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c0\WB GDP, POP, Laobr force, Arable Land\Output\"/>
    </mc:Choice>
  </mc:AlternateContent>
  <xr:revisionPtr revIDLastSave="0" documentId="13_ncr:1_{9AEB7DAE-545D-4A01-A24B-B9B4FA4218E1}" xr6:coauthVersionLast="36" xr6:coauthVersionMax="36" xr10:uidLastSave="{00000000-0000-0000-0000-000000000000}"/>
  <bookViews>
    <workbookView xWindow="240" yWindow="12" windowWidth="16092" windowHeight="9660" activeTab="3" xr2:uid="{00000000-000D-0000-FFFF-FFFF00000000}"/>
  </bookViews>
  <sheets>
    <sheet name="GDP" sheetId="1" r:id="rId1"/>
    <sheet name="POP" sheetId="2" r:id="rId2"/>
    <sheet name="Labor" sheetId="3" r:id="rId3"/>
    <sheet name="Capital" sheetId="4" r:id="rId4"/>
    <sheet name="Land" sheetId="5" r:id="rId5"/>
  </sheets>
  <calcPr calcId="19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</calcChain>
</file>

<file path=xl/sharedStrings.xml><?xml version="1.0" encoding="utf-8"?>
<sst xmlns="http://schemas.openxmlformats.org/spreadsheetml/2006/main" count="121" uniqueCount="41">
  <si>
    <t>2017</t>
  </si>
  <si>
    <t>2019</t>
  </si>
  <si>
    <t>R17</t>
  </si>
  <si>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</si>
  <si>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</si>
  <si>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</si>
  <si>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</si>
  <si>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</si>
  <si>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</si>
  <si>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</si>
  <si>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</si>
  <si>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</si>
  <si>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</si>
  <si>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</si>
  <si>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</si>
  <si>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</si>
  <si>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</si>
  <si>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</si>
  <si>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</si>
  <si>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</si>
  <si>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GDPE</t>
  </si>
  <si>
    <t>1 r_01KOR</t>
  </si>
  <si>
    <t>2 r_02CHN</t>
  </si>
  <si>
    <t>3 r_03JPN</t>
  </si>
  <si>
    <t>4 r_04RUS</t>
  </si>
  <si>
    <t>5 r_05MNG</t>
  </si>
  <si>
    <t>6 r_06PRK</t>
  </si>
  <si>
    <t>7 r_07NAM</t>
  </si>
  <si>
    <t>8 r_08LAM</t>
  </si>
  <si>
    <t>9 r_09WEU</t>
  </si>
  <si>
    <t>10 r_10EEU</t>
  </si>
  <si>
    <t>11 r_11FSU</t>
  </si>
  <si>
    <t>12 r_12MEA</t>
  </si>
  <si>
    <t>13 r_13AFR</t>
  </si>
  <si>
    <t>14 r_14CPA</t>
  </si>
  <si>
    <t>15 r_15SAS</t>
  </si>
  <si>
    <t>16 r_16PAS</t>
  </si>
  <si>
    <t>17 r_17PAO</t>
  </si>
  <si>
    <t>GTAP GDPEXP(2017)</t>
  </si>
  <si>
    <t>WB, UN GDPEXP(2019)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</si>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</sst>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79" formatCode="0.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3" fontId="3" fillId="0" borderId="0" xfId="0" applyNumberFormat="1" applyFont="1"/>
    <xf numFmtId="0" fontId="0" fillId="0" borderId="1" xfId="0" applyBorder="1"/>
    <xf numFmtId="164" fontId="0" fillId="0" borderId="1" xfId="1" applyNumberFormat="1" applyFont="1" applyBorder="1"/>
    <xf numFmtId="164" fontId="0" fillId="0" borderId="1" xfId="0" applyNumberFormat="1" applyBorder="1"/>
    <xf numFmtId="179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E1" sqref="E1:H1"/>
    </sheetView>
  </sheetViews>
  <sheetFormatPr defaultRowHeight="14.4" x14ac:dyDescent="0.3"/>
  <cols>
    <col min="2" max="3" width="20.6640625" bestFit="1" customWidth="1"/>
    <col min="5" max="5" width="10.88671875" bestFit="1" customWidth="1"/>
    <col min="6" max="6" width="17.5546875" bestFit="1" customWidth="1"/>
    <col min="7" max="7" width="19.6640625" bestFit="1" customWidth="1"/>
    <col min="8" max="8" width="12.21875" bestFit="1" customWidth="1"/>
  </cols>
  <sheetData>
    <row r="1" spans="1:8" x14ac:dyDescent="0.3">
      <c r="A1" s="1" t="s">
        <v>2</v>
      </c>
      <c r="B1" s="1" t="s">
        <v>0</v>
      </c>
      <c r="C1" s="1" t="s">
        <v>1</v>
      </c>
      <c r="E1" s="8" t="s">
        <v>20</v>
      </c>
      <c r="F1" s="8" t="s">
        <v>38</v>
      </c>
      <c r="G1" s="8" t="s">
        <v>39</v>
      </c>
      <c r="H1" s="9" t="s">
        <v>40</v>
      </c>
    </row>
    <row r="2" spans="1:8" x14ac:dyDescent="0.3">
      <c r="A2" s="1" t="s">
        <v>3</v>
      </c>
      <c r="B2" s="2">
        <v>1623074183501.9041</v>
      </c>
      <c r="C2" s="2">
        <v>1651422932447.7681</v>
      </c>
      <c r="E2" s="4" t="s">
        <v>21</v>
      </c>
      <c r="F2" s="5">
        <v>1623899</v>
      </c>
      <c r="G2" s="6">
        <f>C2/10^6</f>
        <v>1651422.932447768</v>
      </c>
      <c r="H2" s="7">
        <f>(G2-F2)/F2*100</f>
        <v>1.6949288378013687</v>
      </c>
    </row>
    <row r="3" spans="1:8" x14ac:dyDescent="0.3">
      <c r="A3" s="1" t="s">
        <v>4</v>
      </c>
      <c r="B3" s="2">
        <v>12651764623515.359</v>
      </c>
      <c r="C3" s="2">
        <v>14643043051315.16</v>
      </c>
      <c r="E3" s="4" t="s">
        <v>22</v>
      </c>
      <c r="F3" s="5">
        <v>12651702</v>
      </c>
      <c r="G3" s="6">
        <f t="shared" ref="G3:G18" si="0">C3/10^6</f>
        <v>14643043.05131516</v>
      </c>
      <c r="H3" s="7">
        <f t="shared" ref="H3:H18" si="1">(G3-F3)/F3*100</f>
        <v>15.739708786336893</v>
      </c>
    </row>
    <row r="4" spans="1:8" x14ac:dyDescent="0.3">
      <c r="A4" s="1" t="s">
        <v>5</v>
      </c>
      <c r="B4" s="2">
        <v>4930837369151.4219</v>
      </c>
      <c r="C4" s="2">
        <v>5117993853016.5078</v>
      </c>
      <c r="E4" s="4" t="s">
        <v>23</v>
      </c>
      <c r="F4" s="5">
        <v>4930838</v>
      </c>
      <c r="G4" s="6">
        <f t="shared" si="0"/>
        <v>5117993.8530165078</v>
      </c>
      <c r="H4" s="7">
        <f t="shared" si="1"/>
        <v>3.7956195887292954</v>
      </c>
    </row>
    <row r="5" spans="1:8" x14ac:dyDescent="0.3">
      <c r="A5" s="1" t="s">
        <v>6</v>
      </c>
      <c r="B5" s="2">
        <v>1574199360089.002</v>
      </c>
      <c r="C5" s="2">
        <v>1693115002708.3159</v>
      </c>
      <c r="E5" s="4" t="s">
        <v>24</v>
      </c>
      <c r="F5" s="5">
        <v>1574201</v>
      </c>
      <c r="G5" s="6">
        <f t="shared" si="0"/>
        <v>1693115.0027083158</v>
      </c>
      <c r="H5" s="7">
        <f t="shared" si="1"/>
        <v>7.5539275294778649</v>
      </c>
    </row>
    <row r="6" spans="1:8" x14ac:dyDescent="0.3">
      <c r="A6" s="1" t="s">
        <v>7</v>
      </c>
      <c r="B6" s="2">
        <v>11480847740.735979</v>
      </c>
      <c r="C6" s="2">
        <v>14206359017.51432</v>
      </c>
      <c r="E6" s="4" t="s">
        <v>25</v>
      </c>
      <c r="F6" s="5">
        <v>11480.91</v>
      </c>
      <c r="G6" s="6">
        <f t="shared" si="0"/>
        <v>14206.35901751432</v>
      </c>
      <c r="H6" s="7">
        <f t="shared" si="1"/>
        <v>23.738963353203886</v>
      </c>
    </row>
    <row r="7" spans="1:8" x14ac:dyDescent="0.3">
      <c r="A7" s="1" t="s">
        <v>8</v>
      </c>
      <c r="B7" s="2">
        <v>17364724931</v>
      </c>
      <c r="C7" s="3">
        <v>16331452313</v>
      </c>
      <c r="E7" s="4" t="s">
        <v>26</v>
      </c>
      <c r="F7" s="5">
        <v>67805.600000000006</v>
      </c>
      <c r="G7" s="6">
        <f t="shared" si="0"/>
        <v>16331.452313</v>
      </c>
      <c r="H7" s="7">
        <f t="shared" si="1"/>
        <v>-75.914301601932593</v>
      </c>
    </row>
    <row r="8" spans="1:8" x14ac:dyDescent="0.3">
      <c r="A8" s="1" t="s">
        <v>9</v>
      </c>
      <c r="B8" s="2">
        <v>21239854693244.09</v>
      </c>
      <c r="C8" s="2">
        <v>23240314702672.52</v>
      </c>
      <c r="E8" s="4" t="s">
        <v>27</v>
      </c>
      <c r="F8" s="5">
        <v>21232294</v>
      </c>
      <c r="G8" s="6">
        <f t="shared" si="0"/>
        <v>23240314.702672519</v>
      </c>
      <c r="H8" s="7">
        <f t="shared" si="1"/>
        <v>9.4573893083456682</v>
      </c>
    </row>
    <row r="9" spans="1:8" x14ac:dyDescent="0.3">
      <c r="A9" s="1" t="s">
        <v>10</v>
      </c>
      <c r="B9" s="2">
        <v>5559285812766.4063</v>
      </c>
      <c r="C9" s="2">
        <v>5365456048273.2539</v>
      </c>
      <c r="E9" s="4" t="s">
        <v>28</v>
      </c>
      <c r="F9" s="5">
        <v>5704330</v>
      </c>
      <c r="G9" s="6">
        <f t="shared" si="0"/>
        <v>5365456.0482732542</v>
      </c>
      <c r="H9" s="7">
        <f t="shared" si="1"/>
        <v>-5.9406442426498085</v>
      </c>
    </row>
    <row r="10" spans="1:8" x14ac:dyDescent="0.3">
      <c r="A10" s="1" t="s">
        <v>11</v>
      </c>
      <c r="B10" s="2">
        <v>18004823532814.859</v>
      </c>
      <c r="C10" s="2">
        <v>18828980725054.691</v>
      </c>
      <c r="E10" s="4" t="s">
        <v>29</v>
      </c>
      <c r="F10" s="5">
        <v>18080553</v>
      </c>
      <c r="G10" s="6">
        <f t="shared" si="0"/>
        <v>18828980.725054692</v>
      </c>
      <c r="H10" s="7">
        <f t="shared" si="1"/>
        <v>4.1394072684319587</v>
      </c>
    </row>
    <row r="11" spans="1:8" x14ac:dyDescent="0.3">
      <c r="A11" s="1" t="s">
        <v>12</v>
      </c>
      <c r="B11" s="2">
        <v>1560176531606.3301</v>
      </c>
      <c r="C11" s="2">
        <v>1787657340724.4141</v>
      </c>
      <c r="E11" s="4" t="s">
        <v>30</v>
      </c>
      <c r="F11" s="5">
        <v>1595888</v>
      </c>
      <c r="G11" s="6">
        <f t="shared" si="0"/>
        <v>1787657.340724414</v>
      </c>
      <c r="H11" s="7">
        <f t="shared" si="1"/>
        <v>12.016466113186762</v>
      </c>
    </row>
    <row r="12" spans="1:8" x14ac:dyDescent="0.3">
      <c r="A12" s="1" t="s">
        <v>13</v>
      </c>
      <c r="B12" s="2">
        <v>527024330430.90692</v>
      </c>
      <c r="C12" s="2">
        <v>614148541939.9176</v>
      </c>
      <c r="E12" s="4" t="s">
        <v>31</v>
      </c>
      <c r="F12" s="5">
        <v>528127.5</v>
      </c>
      <c r="G12" s="6">
        <f t="shared" si="0"/>
        <v>614148.5419399176</v>
      </c>
      <c r="H12" s="7">
        <f t="shared" si="1"/>
        <v>16.287930838654987</v>
      </c>
    </row>
    <row r="13" spans="1:8" x14ac:dyDescent="0.3">
      <c r="A13" s="1" t="s">
        <v>14</v>
      </c>
      <c r="B13" s="2">
        <v>3465737836266.3628</v>
      </c>
      <c r="C13" s="2">
        <v>3514288132805.75</v>
      </c>
      <c r="E13" s="4" t="s">
        <v>32</v>
      </c>
      <c r="F13" s="5">
        <v>3404539</v>
      </c>
      <c r="G13" s="6">
        <f t="shared" si="0"/>
        <v>3514288.1328057498</v>
      </c>
      <c r="H13" s="7">
        <f t="shared" si="1"/>
        <v>3.2236121485390465</v>
      </c>
    </row>
    <row r="14" spans="1:8" x14ac:dyDescent="0.3">
      <c r="A14" s="1" t="s">
        <v>15</v>
      </c>
      <c r="B14" s="2">
        <v>1580801853583.697</v>
      </c>
      <c r="C14" s="2">
        <v>1793076615477.4231</v>
      </c>
      <c r="E14" s="4" t="s">
        <v>33</v>
      </c>
      <c r="F14" s="5">
        <v>1579326</v>
      </c>
      <c r="G14" s="6">
        <f t="shared" si="0"/>
        <v>1793076.6154774232</v>
      </c>
      <c r="H14" s="7">
        <f t="shared" si="1"/>
        <v>13.534293456665894</v>
      </c>
    </row>
    <row r="15" spans="1:8" x14ac:dyDescent="0.3">
      <c r="A15" s="1" t="s">
        <v>16</v>
      </c>
      <c r="B15" s="2">
        <v>320601968659.4928</v>
      </c>
      <c r="C15" s="2">
        <v>380195220083.6283</v>
      </c>
      <c r="E15" s="4" t="s">
        <v>34</v>
      </c>
      <c r="F15" s="5">
        <v>263025.40000000002</v>
      </c>
      <c r="G15" s="6">
        <f t="shared" si="0"/>
        <v>380195.22008362832</v>
      </c>
      <c r="H15" s="7">
        <f t="shared" si="1"/>
        <v>44.546960135267646</v>
      </c>
    </row>
    <row r="16" spans="1:8" x14ac:dyDescent="0.3">
      <c r="A16" s="1" t="s">
        <v>17</v>
      </c>
      <c r="B16" s="2">
        <v>3433943646490.542</v>
      </c>
      <c r="C16" s="2">
        <v>3658216510053.2739</v>
      </c>
      <c r="E16" s="4" t="s">
        <v>35</v>
      </c>
      <c r="F16" s="5">
        <v>3426937</v>
      </c>
      <c r="G16" s="6">
        <f t="shared" si="0"/>
        <v>3658216.5100532738</v>
      </c>
      <c r="H16" s="7">
        <f t="shared" si="1"/>
        <v>6.7488696189417485</v>
      </c>
    </row>
    <row r="17" spans="1:8" x14ac:dyDescent="0.3">
      <c r="A17" s="1" t="s">
        <v>18</v>
      </c>
      <c r="B17" s="2">
        <v>3052636265762.9248</v>
      </c>
      <c r="C17" s="2">
        <v>3425523713219.0229</v>
      </c>
      <c r="E17" s="4" t="s">
        <v>36</v>
      </c>
      <c r="F17" s="5">
        <v>3185470</v>
      </c>
      <c r="G17" s="6">
        <f t="shared" si="0"/>
        <v>3425523.7132190228</v>
      </c>
      <c r="H17" s="7">
        <f t="shared" si="1"/>
        <v>7.535896216854117</v>
      </c>
    </row>
    <row r="18" spans="1:8" x14ac:dyDescent="0.3">
      <c r="A18" s="1" t="s">
        <v>19</v>
      </c>
      <c r="B18" s="2">
        <v>1533438363661.5701</v>
      </c>
      <c r="C18" s="2">
        <v>1607763313113.6599</v>
      </c>
      <c r="E18" s="4" t="s">
        <v>37</v>
      </c>
      <c r="F18" s="5">
        <v>1533666</v>
      </c>
      <c r="G18" s="6">
        <f t="shared" si="0"/>
        <v>1607763.3131136599</v>
      </c>
      <c r="H18" s="7">
        <f t="shared" si="1"/>
        <v>4.831385263392411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C26" sqref="C26"/>
    </sheetView>
  </sheetViews>
  <sheetFormatPr defaultRowHeight="14.4" x14ac:dyDescent="0.3"/>
  <cols>
    <col min="2" max="3" width="11" bestFit="1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1" t="s">
        <v>3</v>
      </c>
      <c r="B2">
        <v>51361911</v>
      </c>
      <c r="C2">
        <v>51764822</v>
      </c>
    </row>
    <row r="3" spans="1:3" x14ac:dyDescent="0.3">
      <c r="A3" s="1" t="s">
        <v>4</v>
      </c>
      <c r="B3">
        <v>1403608200</v>
      </c>
      <c r="C3">
        <v>1415252900</v>
      </c>
    </row>
    <row r="4" spans="1:3" x14ac:dyDescent="0.3">
      <c r="A4" s="1" t="s">
        <v>5</v>
      </c>
      <c r="B4">
        <v>126972000</v>
      </c>
      <c r="C4">
        <v>126633000</v>
      </c>
    </row>
    <row r="5" spans="1:3" x14ac:dyDescent="0.3">
      <c r="A5" s="1" t="s">
        <v>6</v>
      </c>
      <c r="B5">
        <v>144496739</v>
      </c>
      <c r="C5">
        <v>144406261</v>
      </c>
    </row>
    <row r="6" spans="1:3" x14ac:dyDescent="0.3">
      <c r="A6" s="1" t="s">
        <v>7</v>
      </c>
      <c r="B6">
        <v>3096030</v>
      </c>
      <c r="C6">
        <v>3232430</v>
      </c>
    </row>
    <row r="7" spans="1:3" x14ac:dyDescent="0.3">
      <c r="A7" s="1" t="s">
        <v>8</v>
      </c>
      <c r="B7">
        <v>25516321</v>
      </c>
      <c r="C7">
        <v>25755441</v>
      </c>
    </row>
    <row r="8" spans="1:3" x14ac:dyDescent="0.3">
      <c r="A8" s="1" t="s">
        <v>9</v>
      </c>
      <c r="B8">
        <v>365268537</v>
      </c>
      <c r="C8">
        <v>369400170</v>
      </c>
    </row>
    <row r="9" spans="1:3" x14ac:dyDescent="0.3">
      <c r="A9" s="1" t="s">
        <v>10</v>
      </c>
      <c r="B9">
        <v>637697634</v>
      </c>
      <c r="C9">
        <v>649450333</v>
      </c>
    </row>
    <row r="10" spans="1:3" x14ac:dyDescent="0.3">
      <c r="A10" s="1" t="s">
        <v>11</v>
      </c>
      <c r="B10">
        <v>504489494</v>
      </c>
      <c r="C10">
        <v>509248131</v>
      </c>
    </row>
    <row r="11" spans="1:3" x14ac:dyDescent="0.3">
      <c r="A11" s="1" t="s">
        <v>12</v>
      </c>
      <c r="B11">
        <v>120562298</v>
      </c>
      <c r="C11">
        <v>120046274</v>
      </c>
    </row>
    <row r="12" spans="1:3" x14ac:dyDescent="0.3">
      <c r="A12" s="1" t="s">
        <v>13</v>
      </c>
      <c r="B12">
        <v>144997757</v>
      </c>
      <c r="C12">
        <v>147080877</v>
      </c>
    </row>
    <row r="13" spans="1:3" x14ac:dyDescent="0.3">
      <c r="A13" s="1" t="s">
        <v>14</v>
      </c>
      <c r="B13">
        <v>506715308</v>
      </c>
      <c r="C13">
        <v>525303478</v>
      </c>
    </row>
    <row r="14" spans="1:3" x14ac:dyDescent="0.3">
      <c r="A14" s="1" t="s">
        <v>15</v>
      </c>
      <c r="B14">
        <v>1013587453</v>
      </c>
      <c r="C14">
        <v>1068943284</v>
      </c>
    </row>
    <row r="15" spans="1:3" x14ac:dyDescent="0.3">
      <c r="A15" s="1" t="s">
        <v>16</v>
      </c>
      <c r="B15">
        <v>116861654</v>
      </c>
      <c r="C15">
        <v>119196515</v>
      </c>
    </row>
    <row r="16" spans="1:3" x14ac:dyDescent="0.3">
      <c r="A16" s="1" t="s">
        <v>17</v>
      </c>
      <c r="B16">
        <v>1818931519</v>
      </c>
      <c r="C16">
        <v>1861598514</v>
      </c>
    </row>
    <row r="17" spans="1:3" x14ac:dyDescent="0.3">
      <c r="A17" s="1" t="s">
        <v>18</v>
      </c>
      <c r="B17">
        <v>580014162</v>
      </c>
      <c r="C17">
        <v>592489624</v>
      </c>
    </row>
    <row r="18" spans="1:3" x14ac:dyDescent="0.3">
      <c r="A18" s="1" t="s">
        <v>19</v>
      </c>
      <c r="B18">
        <v>29406188</v>
      </c>
      <c r="C18">
        <v>30314026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1" t="s">
        <v>3</v>
      </c>
      <c r="B2">
        <v>28349693</v>
      </c>
      <c r="C2">
        <v>28808833</v>
      </c>
    </row>
    <row r="3" spans="1:3" x14ac:dyDescent="0.3">
      <c r="A3" s="1" t="s">
        <v>4</v>
      </c>
      <c r="B3">
        <v>782653013</v>
      </c>
      <c r="C3">
        <v>779313714</v>
      </c>
    </row>
    <row r="4" spans="1:3" x14ac:dyDescent="0.3">
      <c r="A4" s="1" t="s">
        <v>5</v>
      </c>
      <c r="B4">
        <v>67225084</v>
      </c>
      <c r="C4">
        <v>69045531</v>
      </c>
    </row>
    <row r="5" spans="1:3" x14ac:dyDescent="0.3">
      <c r="A5" s="1" t="s">
        <v>6</v>
      </c>
      <c r="B5">
        <v>74610600</v>
      </c>
      <c r="C5">
        <v>73598523</v>
      </c>
    </row>
    <row r="6" spans="1:3" x14ac:dyDescent="0.3">
      <c r="A6" s="1" t="s">
        <v>7</v>
      </c>
      <c r="B6">
        <v>1282474</v>
      </c>
      <c r="C6">
        <v>1388801</v>
      </c>
    </row>
    <row r="7" spans="1:3" x14ac:dyDescent="0.3">
      <c r="A7" s="1" t="s">
        <v>8</v>
      </c>
      <c r="B7">
        <v>15349118</v>
      </c>
      <c r="C7">
        <v>15597969</v>
      </c>
    </row>
    <row r="8" spans="1:3" x14ac:dyDescent="0.3">
      <c r="A8" s="1" t="s">
        <v>9</v>
      </c>
      <c r="B8">
        <v>185371225</v>
      </c>
      <c r="C8">
        <v>189101067</v>
      </c>
    </row>
    <row r="9" spans="1:3" x14ac:dyDescent="0.3">
      <c r="A9" s="1" t="s">
        <v>10</v>
      </c>
      <c r="B9">
        <v>303385586</v>
      </c>
      <c r="C9">
        <v>312945916</v>
      </c>
    </row>
    <row r="10" spans="1:3" x14ac:dyDescent="0.3">
      <c r="A10" s="1" t="s">
        <v>11</v>
      </c>
      <c r="B10">
        <v>241034968</v>
      </c>
      <c r="C10">
        <v>244427732</v>
      </c>
    </row>
    <row r="11" spans="1:3" x14ac:dyDescent="0.3">
      <c r="A11" s="1" t="s">
        <v>12</v>
      </c>
      <c r="B11">
        <v>56905159</v>
      </c>
      <c r="C11">
        <v>56884384</v>
      </c>
    </row>
    <row r="12" spans="1:3" x14ac:dyDescent="0.3">
      <c r="A12" s="1" t="s">
        <v>13</v>
      </c>
      <c r="B12">
        <v>64564800</v>
      </c>
      <c r="C12">
        <v>64830117</v>
      </c>
    </row>
    <row r="13" spans="1:3" x14ac:dyDescent="0.3">
      <c r="A13" s="1" t="s">
        <v>14</v>
      </c>
      <c r="B13">
        <v>163938582</v>
      </c>
      <c r="C13">
        <v>169192009</v>
      </c>
    </row>
    <row r="14" spans="1:3" x14ac:dyDescent="0.3">
      <c r="A14" s="1" t="s">
        <v>15</v>
      </c>
      <c r="B14">
        <v>389630569</v>
      </c>
      <c r="C14">
        <v>414364011</v>
      </c>
    </row>
    <row r="15" spans="1:3" x14ac:dyDescent="0.3">
      <c r="A15" s="1" t="s">
        <v>16</v>
      </c>
      <c r="B15">
        <v>65960357</v>
      </c>
      <c r="C15">
        <v>67444750</v>
      </c>
    </row>
    <row r="16" spans="1:3" x14ac:dyDescent="0.3">
      <c r="A16" s="1" t="s">
        <v>17</v>
      </c>
      <c r="B16">
        <v>638038562</v>
      </c>
      <c r="C16">
        <v>670508999</v>
      </c>
    </row>
    <row r="17" spans="1:3" x14ac:dyDescent="0.3">
      <c r="A17" s="1" t="s">
        <v>18</v>
      </c>
      <c r="B17">
        <v>274971529</v>
      </c>
      <c r="C17">
        <v>285251074</v>
      </c>
    </row>
    <row r="18" spans="1:3" x14ac:dyDescent="0.3">
      <c r="A18" s="1" t="s">
        <v>19</v>
      </c>
      <c r="B18">
        <v>15745878</v>
      </c>
      <c r="C18">
        <v>16422068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tabSelected="1" workbookViewId="0"/>
  </sheetViews>
  <sheetFormatPr defaultRowHeight="14.4" x14ac:dyDescent="0.3"/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1" t="s">
        <v>3</v>
      </c>
      <c r="B2">
        <v>510186502085.63129</v>
      </c>
      <c r="C2">
        <v>493804028020.62872</v>
      </c>
    </row>
    <row r="3" spans="1:3" x14ac:dyDescent="0.3">
      <c r="A3" s="1" t="s">
        <v>4</v>
      </c>
      <c r="B3">
        <v>5452773217263.0078</v>
      </c>
      <c r="C3">
        <v>6053279452761.7793</v>
      </c>
    </row>
    <row r="4" spans="1:3" x14ac:dyDescent="0.3">
      <c r="A4" s="1" t="s">
        <v>5</v>
      </c>
      <c r="B4">
        <v>1150431067614.387</v>
      </c>
      <c r="C4">
        <v>1164912302256.8621</v>
      </c>
    </row>
    <row r="5" spans="1:3" x14ac:dyDescent="0.3">
      <c r="A5" s="1" t="s">
        <v>6</v>
      </c>
      <c r="B5">
        <v>319296591123.26831</v>
      </c>
      <c r="C5">
        <v>321579432457.80713</v>
      </c>
    </row>
    <row r="6" spans="1:3" x14ac:dyDescent="0.3">
      <c r="A6" s="1" t="s">
        <v>7</v>
      </c>
      <c r="B6">
        <v>3682436098.223608</v>
      </c>
      <c r="C6">
        <v>5611937929.4800539</v>
      </c>
    </row>
    <row r="7" spans="1:3" x14ac:dyDescent="0.3">
      <c r="A7" s="1" t="s">
        <v>8</v>
      </c>
      <c r="B7">
        <v>0</v>
      </c>
      <c r="C7">
        <v>0</v>
      </c>
    </row>
    <row r="8" spans="1:3" x14ac:dyDescent="0.3">
      <c r="A8" s="1" t="s">
        <v>9</v>
      </c>
      <c r="B8">
        <v>4376279839039.8369</v>
      </c>
      <c r="C8">
        <v>4721342697456.9229</v>
      </c>
    </row>
    <row r="9" spans="1:3" x14ac:dyDescent="0.3">
      <c r="A9" s="1" t="s">
        <v>10</v>
      </c>
      <c r="B9">
        <v>974395486854.46411</v>
      </c>
      <c r="C9">
        <v>971402484298.19031</v>
      </c>
    </row>
    <row r="10" spans="1:3" x14ac:dyDescent="0.3">
      <c r="A10" s="1" t="s">
        <v>11</v>
      </c>
      <c r="B10">
        <v>3573668502983.123</v>
      </c>
      <c r="C10">
        <v>3837457622482.6802</v>
      </c>
    </row>
    <row r="11" spans="1:3" x14ac:dyDescent="0.3">
      <c r="A11" s="1" t="s">
        <v>12</v>
      </c>
      <c r="B11">
        <v>335753353148.47357</v>
      </c>
      <c r="C11">
        <v>386883832414.61438</v>
      </c>
    </row>
    <row r="12" spans="1:3" x14ac:dyDescent="0.3">
      <c r="A12" s="1" t="s">
        <v>13</v>
      </c>
      <c r="B12">
        <v>102943233516.9138</v>
      </c>
      <c r="C12">
        <v>112319354757.89861</v>
      </c>
    </row>
    <row r="13" spans="1:3" x14ac:dyDescent="0.3">
      <c r="A13" s="1" t="s">
        <v>14</v>
      </c>
      <c r="B13">
        <v>885719774146.57642</v>
      </c>
      <c r="C13">
        <v>871945771263.55042</v>
      </c>
    </row>
    <row r="14" spans="1:3" x14ac:dyDescent="0.3">
      <c r="A14" s="1" t="s">
        <v>15</v>
      </c>
      <c r="B14">
        <v>271836299749.27359</v>
      </c>
      <c r="C14">
        <v>289412751923.26648</v>
      </c>
    </row>
    <row r="15" spans="1:3" x14ac:dyDescent="0.3">
      <c r="A15" s="1" t="s">
        <v>16</v>
      </c>
      <c r="B15">
        <v>97769353069.293213</v>
      </c>
      <c r="C15">
        <v>114201283890.69859</v>
      </c>
    </row>
    <row r="16" spans="1:3" x14ac:dyDescent="0.3">
      <c r="A16" s="1" t="s">
        <v>17</v>
      </c>
      <c r="B16">
        <v>949209510532.9458</v>
      </c>
      <c r="C16">
        <v>1020839568812.3571</v>
      </c>
    </row>
    <row r="17" spans="1:3" x14ac:dyDescent="0.3">
      <c r="A17" s="1" t="s">
        <v>18</v>
      </c>
      <c r="B17">
        <v>513467704972.85907</v>
      </c>
      <c r="C17">
        <v>557280742498.5249</v>
      </c>
    </row>
    <row r="18" spans="1:3" x14ac:dyDescent="0.3">
      <c r="A18" s="1" t="s">
        <v>19</v>
      </c>
      <c r="B18">
        <v>45815056050.489014</v>
      </c>
      <c r="C18">
        <v>48554826966.997307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selection activeCell="E1" sqref="E1:F19"/>
    </sheetView>
  </sheetViews>
  <sheetFormatPr defaultRowHeight="14.4" x14ac:dyDescent="0.3"/>
  <cols>
    <col min="2" max="3" width="14.6640625" bestFit="1" customWidth="1"/>
    <col min="5" max="5" width="10.88671875" bestFit="1" customWidth="1"/>
    <col min="6" max="6" width="13.6640625" bestFit="1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1" t="s">
        <v>3</v>
      </c>
      <c r="B2" s="2">
        <v>1396700</v>
      </c>
      <c r="C2" s="2">
        <v>1364000</v>
      </c>
    </row>
    <row r="3" spans="1:3" x14ac:dyDescent="0.3">
      <c r="A3" s="1" t="s">
        <v>4</v>
      </c>
      <c r="B3" s="2">
        <v>112035966.7</v>
      </c>
      <c r="C3" s="2">
        <v>109165000</v>
      </c>
    </row>
    <row r="4" spans="1:3" x14ac:dyDescent="0.3">
      <c r="A4" s="1" t="s">
        <v>5</v>
      </c>
      <c r="B4" s="2">
        <v>4161000</v>
      </c>
      <c r="C4" s="2">
        <v>4124000</v>
      </c>
    </row>
    <row r="5" spans="1:3" x14ac:dyDescent="0.3">
      <c r="A5" s="1" t="s">
        <v>6</v>
      </c>
      <c r="B5" s="2">
        <v>121649000</v>
      </c>
      <c r="C5" s="2">
        <v>121649000</v>
      </c>
    </row>
    <row r="6" spans="1:3" x14ac:dyDescent="0.3">
      <c r="A6" s="1" t="s">
        <v>7</v>
      </c>
      <c r="B6" s="2">
        <v>1322710</v>
      </c>
      <c r="C6" s="2">
        <v>1328800</v>
      </c>
    </row>
    <row r="7" spans="1:3" x14ac:dyDescent="0.3">
      <c r="A7" s="1" t="s">
        <v>8</v>
      </c>
      <c r="B7" s="2">
        <v>2295000</v>
      </c>
      <c r="C7" s="2">
        <v>2295000</v>
      </c>
    </row>
    <row r="8" spans="1:3" x14ac:dyDescent="0.3">
      <c r="A8" s="1" t="s">
        <v>9</v>
      </c>
      <c r="B8" s="2">
        <v>196298400</v>
      </c>
      <c r="C8" s="2">
        <v>196436900</v>
      </c>
    </row>
    <row r="9" spans="1:3" x14ac:dyDescent="0.3">
      <c r="A9" s="1" t="s">
        <v>10</v>
      </c>
      <c r="B9" s="2">
        <v>149418370.5</v>
      </c>
      <c r="C9" s="2">
        <v>150504571.59999999</v>
      </c>
    </row>
    <row r="10" spans="1:3" x14ac:dyDescent="0.3">
      <c r="A10" s="1" t="s">
        <v>11</v>
      </c>
      <c r="B10" s="2">
        <v>90763225.700000003</v>
      </c>
      <c r="C10" s="2">
        <v>89640303.099999994</v>
      </c>
    </row>
    <row r="11" spans="1:3" x14ac:dyDescent="0.3">
      <c r="A11" s="1" t="s">
        <v>12</v>
      </c>
      <c r="B11" s="2">
        <v>40867980</v>
      </c>
      <c r="C11" s="2">
        <v>41504602</v>
      </c>
    </row>
    <row r="12" spans="1:3" x14ac:dyDescent="0.3">
      <c r="A12" s="1" t="s">
        <v>13</v>
      </c>
      <c r="B12" s="2">
        <v>80851600</v>
      </c>
      <c r="C12" s="2">
        <v>80658100</v>
      </c>
    </row>
    <row r="13" spans="1:3" x14ac:dyDescent="0.3">
      <c r="A13" s="1" t="s">
        <v>14</v>
      </c>
      <c r="B13" s="2">
        <v>76571094.599999994</v>
      </c>
      <c r="C13" s="2">
        <v>76100357.599999994</v>
      </c>
    </row>
    <row r="14" spans="1:3" x14ac:dyDescent="0.3">
      <c r="A14" s="1" t="s">
        <v>15</v>
      </c>
      <c r="B14" s="2">
        <v>203450380.40000001</v>
      </c>
      <c r="C14" s="2">
        <v>206016893.5</v>
      </c>
    </row>
    <row r="15" spans="1:3" x14ac:dyDescent="0.3">
      <c r="A15" s="1" t="s">
        <v>16</v>
      </c>
      <c r="B15" s="2">
        <v>12428631.9</v>
      </c>
      <c r="C15" s="2">
        <v>12140235.800000001</v>
      </c>
    </row>
    <row r="16" spans="1:3" x14ac:dyDescent="0.3">
      <c r="A16" s="1" t="s">
        <v>17</v>
      </c>
      <c r="B16" s="2">
        <v>206093766</v>
      </c>
      <c r="C16" s="2">
        <v>205237249.19999999</v>
      </c>
    </row>
    <row r="17" spans="1:3" x14ac:dyDescent="0.3">
      <c r="A17" s="1" t="s">
        <v>18</v>
      </c>
      <c r="B17" s="2">
        <v>61141870</v>
      </c>
      <c r="C17" s="2">
        <v>61115850</v>
      </c>
    </row>
    <row r="18" spans="1:3" x14ac:dyDescent="0.3">
      <c r="A18" s="1" t="s">
        <v>19</v>
      </c>
      <c r="B18" s="2">
        <v>31243000</v>
      </c>
      <c r="C18" s="2">
        <v>31119000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GDP</vt:lpstr>
      <vt:lpstr>POP</vt:lpstr>
      <vt:lpstr>Labor</vt:lpstr>
      <vt:lpstr>Capital</vt:lpstr>
      <vt:lpstr>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김진태</cp:lastModifiedBy>
  <dcterms:created xsi:type="dcterms:W3CDTF">2024-01-19T05:10:26Z</dcterms:created>
  <dcterms:modified xsi:type="dcterms:W3CDTF">2025-03-27T03:05:06Z</dcterms:modified>
</cp:coreProperties>
</file>