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wnloads\"/>
    </mc:Choice>
  </mc:AlternateContent>
  <xr:revisionPtr revIDLastSave="0" documentId="13_ncr:1_{7D0FA69D-571B-486A-9A5F-8ED7880C5B0F}" xr6:coauthVersionLast="36" xr6:coauthVersionMax="36" xr10:uidLastSave="{00000000-0000-0000-0000-000000000000}"/>
  <bookViews>
    <workbookView xWindow="0" yWindow="0" windowWidth="23040" windowHeight="8940" activeTab="5" xr2:uid="{3C11BF82-D1E3-4124-BB25-D1DA37E1C955}"/>
  </bookViews>
  <sheets>
    <sheet name="CGE_Frozen" sheetId="2" r:id="rId1"/>
    <sheet name="Data" sheetId="1" r:id="rId2"/>
    <sheet name="KAYA" sheetId="3" r:id="rId3"/>
    <sheet name="Emission Projection" sheetId="4" r:id="rId4"/>
    <sheet name="REF_Constraint" sheetId="5" r:id="rId5"/>
    <sheet name="NDC_Constrain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5" l="1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38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B70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B35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38" i="5"/>
  <c r="C38" i="5"/>
  <c r="D38" i="5"/>
  <c r="E38" i="5"/>
  <c r="H38" i="5"/>
  <c r="I38" i="5"/>
  <c r="J38" i="5"/>
  <c r="K38" i="5"/>
  <c r="L38" i="5"/>
  <c r="M38" i="5"/>
  <c r="N38" i="5"/>
  <c r="P38" i="5"/>
  <c r="Q38" i="5"/>
  <c r="R38" i="5"/>
  <c r="C39" i="5"/>
  <c r="D39" i="5"/>
  <c r="E39" i="5"/>
  <c r="H39" i="5"/>
  <c r="I39" i="5"/>
  <c r="J39" i="5"/>
  <c r="K39" i="5"/>
  <c r="L39" i="5"/>
  <c r="M39" i="5"/>
  <c r="N39" i="5"/>
  <c r="P39" i="5"/>
  <c r="Q39" i="5"/>
  <c r="R39" i="5"/>
  <c r="C40" i="5"/>
  <c r="D40" i="5"/>
  <c r="E40" i="5"/>
  <c r="H40" i="5"/>
  <c r="I40" i="5"/>
  <c r="J40" i="5"/>
  <c r="K40" i="5"/>
  <c r="L40" i="5"/>
  <c r="M40" i="5"/>
  <c r="N40" i="5"/>
  <c r="P40" i="5"/>
  <c r="Q40" i="5"/>
  <c r="R40" i="5"/>
  <c r="C41" i="5"/>
  <c r="D41" i="5"/>
  <c r="E41" i="5"/>
  <c r="H41" i="5"/>
  <c r="I41" i="5"/>
  <c r="J41" i="5"/>
  <c r="K41" i="5"/>
  <c r="L41" i="5"/>
  <c r="M41" i="5"/>
  <c r="N41" i="5"/>
  <c r="P41" i="5"/>
  <c r="Q41" i="5"/>
  <c r="R41" i="5"/>
  <c r="C42" i="5"/>
  <c r="D42" i="5"/>
  <c r="E42" i="5"/>
  <c r="H42" i="5"/>
  <c r="I42" i="5"/>
  <c r="J42" i="5"/>
  <c r="K42" i="5"/>
  <c r="L42" i="5"/>
  <c r="M42" i="5"/>
  <c r="N42" i="5"/>
  <c r="P42" i="5"/>
  <c r="Q42" i="5"/>
  <c r="R42" i="5"/>
  <c r="C43" i="5"/>
  <c r="D43" i="5"/>
  <c r="E43" i="5"/>
  <c r="H43" i="5"/>
  <c r="I43" i="5"/>
  <c r="J43" i="5"/>
  <c r="K43" i="5"/>
  <c r="L43" i="5"/>
  <c r="M43" i="5"/>
  <c r="N43" i="5"/>
  <c r="P43" i="5"/>
  <c r="Q43" i="5"/>
  <c r="R43" i="5"/>
  <c r="C44" i="5"/>
  <c r="D44" i="5"/>
  <c r="E44" i="5"/>
  <c r="H44" i="5"/>
  <c r="I44" i="5"/>
  <c r="J44" i="5"/>
  <c r="K44" i="5"/>
  <c r="L44" i="5"/>
  <c r="M44" i="5"/>
  <c r="N44" i="5"/>
  <c r="P44" i="5"/>
  <c r="Q44" i="5"/>
  <c r="R44" i="5"/>
  <c r="C45" i="5"/>
  <c r="D45" i="5"/>
  <c r="E45" i="5"/>
  <c r="H45" i="5"/>
  <c r="I45" i="5"/>
  <c r="J45" i="5"/>
  <c r="K45" i="5"/>
  <c r="L45" i="5"/>
  <c r="M45" i="5"/>
  <c r="N45" i="5"/>
  <c r="P45" i="5"/>
  <c r="Q45" i="5"/>
  <c r="R45" i="5"/>
  <c r="C46" i="5"/>
  <c r="D46" i="5"/>
  <c r="E46" i="5"/>
  <c r="H46" i="5"/>
  <c r="I46" i="5"/>
  <c r="J46" i="5"/>
  <c r="K46" i="5"/>
  <c r="L46" i="5"/>
  <c r="M46" i="5"/>
  <c r="N46" i="5"/>
  <c r="P46" i="5"/>
  <c r="Q46" i="5"/>
  <c r="R46" i="5"/>
  <c r="C47" i="5"/>
  <c r="D47" i="5"/>
  <c r="E47" i="5"/>
  <c r="H47" i="5"/>
  <c r="I47" i="5"/>
  <c r="J47" i="5"/>
  <c r="K47" i="5"/>
  <c r="L47" i="5"/>
  <c r="M47" i="5"/>
  <c r="N47" i="5"/>
  <c r="P47" i="5"/>
  <c r="Q47" i="5"/>
  <c r="R47" i="5"/>
  <c r="C48" i="5"/>
  <c r="D48" i="5"/>
  <c r="E48" i="5"/>
  <c r="H48" i="5"/>
  <c r="I48" i="5"/>
  <c r="J48" i="5"/>
  <c r="K48" i="5"/>
  <c r="L48" i="5"/>
  <c r="M48" i="5"/>
  <c r="N48" i="5"/>
  <c r="P48" i="5"/>
  <c r="Q48" i="5"/>
  <c r="R48" i="5"/>
  <c r="C49" i="5"/>
  <c r="D49" i="5"/>
  <c r="E49" i="5"/>
  <c r="H49" i="5"/>
  <c r="I49" i="5"/>
  <c r="J49" i="5"/>
  <c r="K49" i="5"/>
  <c r="L49" i="5"/>
  <c r="M49" i="5"/>
  <c r="N49" i="5"/>
  <c r="P49" i="5"/>
  <c r="Q49" i="5"/>
  <c r="R49" i="5"/>
  <c r="C50" i="5"/>
  <c r="D50" i="5"/>
  <c r="E50" i="5"/>
  <c r="H50" i="5"/>
  <c r="I50" i="5"/>
  <c r="J50" i="5"/>
  <c r="K50" i="5"/>
  <c r="L50" i="5"/>
  <c r="M50" i="5"/>
  <c r="N50" i="5"/>
  <c r="P50" i="5"/>
  <c r="Q50" i="5"/>
  <c r="R50" i="5"/>
  <c r="C51" i="5"/>
  <c r="D51" i="5"/>
  <c r="E51" i="5"/>
  <c r="H51" i="5"/>
  <c r="I51" i="5"/>
  <c r="J51" i="5"/>
  <c r="K51" i="5"/>
  <c r="L51" i="5"/>
  <c r="M51" i="5"/>
  <c r="N51" i="5"/>
  <c r="P51" i="5"/>
  <c r="Q51" i="5"/>
  <c r="R51" i="5"/>
  <c r="C52" i="5"/>
  <c r="D52" i="5"/>
  <c r="E52" i="5"/>
  <c r="H52" i="5"/>
  <c r="I52" i="5"/>
  <c r="J52" i="5"/>
  <c r="K52" i="5"/>
  <c r="L52" i="5"/>
  <c r="M52" i="5"/>
  <c r="N52" i="5"/>
  <c r="P52" i="5"/>
  <c r="Q52" i="5"/>
  <c r="R52" i="5"/>
  <c r="C53" i="5"/>
  <c r="D53" i="5"/>
  <c r="E53" i="5"/>
  <c r="H53" i="5"/>
  <c r="I53" i="5"/>
  <c r="J53" i="5"/>
  <c r="K53" i="5"/>
  <c r="L53" i="5"/>
  <c r="M53" i="5"/>
  <c r="N53" i="5"/>
  <c r="P53" i="5"/>
  <c r="Q53" i="5"/>
  <c r="R53" i="5"/>
  <c r="C54" i="5"/>
  <c r="D54" i="5"/>
  <c r="E54" i="5"/>
  <c r="H54" i="5"/>
  <c r="I54" i="5"/>
  <c r="J54" i="5"/>
  <c r="K54" i="5"/>
  <c r="L54" i="5"/>
  <c r="M54" i="5"/>
  <c r="N54" i="5"/>
  <c r="P54" i="5"/>
  <c r="Q54" i="5"/>
  <c r="R54" i="5"/>
  <c r="C55" i="5"/>
  <c r="D55" i="5"/>
  <c r="E55" i="5"/>
  <c r="H55" i="5"/>
  <c r="I55" i="5"/>
  <c r="J55" i="5"/>
  <c r="K55" i="5"/>
  <c r="L55" i="5"/>
  <c r="M55" i="5"/>
  <c r="N55" i="5"/>
  <c r="P55" i="5"/>
  <c r="Q55" i="5"/>
  <c r="R55" i="5"/>
  <c r="C56" i="5"/>
  <c r="D56" i="5"/>
  <c r="E56" i="5"/>
  <c r="H56" i="5"/>
  <c r="I56" i="5"/>
  <c r="J56" i="5"/>
  <c r="K56" i="5"/>
  <c r="L56" i="5"/>
  <c r="M56" i="5"/>
  <c r="N56" i="5"/>
  <c r="P56" i="5"/>
  <c r="Q56" i="5"/>
  <c r="R56" i="5"/>
  <c r="C57" i="5"/>
  <c r="D57" i="5"/>
  <c r="E57" i="5"/>
  <c r="H57" i="5"/>
  <c r="I57" i="5"/>
  <c r="J57" i="5"/>
  <c r="K57" i="5"/>
  <c r="L57" i="5"/>
  <c r="M57" i="5"/>
  <c r="N57" i="5"/>
  <c r="P57" i="5"/>
  <c r="Q57" i="5"/>
  <c r="R57" i="5"/>
  <c r="C58" i="5"/>
  <c r="D58" i="5"/>
  <c r="E58" i="5"/>
  <c r="H58" i="5"/>
  <c r="I58" i="5"/>
  <c r="J58" i="5"/>
  <c r="K58" i="5"/>
  <c r="L58" i="5"/>
  <c r="M58" i="5"/>
  <c r="N58" i="5"/>
  <c r="P58" i="5"/>
  <c r="Q58" i="5"/>
  <c r="R58" i="5"/>
  <c r="C59" i="5"/>
  <c r="D59" i="5"/>
  <c r="E59" i="5"/>
  <c r="H59" i="5"/>
  <c r="I59" i="5"/>
  <c r="J59" i="5"/>
  <c r="K59" i="5"/>
  <c r="L59" i="5"/>
  <c r="M59" i="5"/>
  <c r="N59" i="5"/>
  <c r="P59" i="5"/>
  <c r="Q59" i="5"/>
  <c r="R59" i="5"/>
  <c r="C60" i="5"/>
  <c r="D60" i="5"/>
  <c r="E60" i="5"/>
  <c r="H60" i="5"/>
  <c r="I60" i="5"/>
  <c r="J60" i="5"/>
  <c r="K60" i="5"/>
  <c r="L60" i="5"/>
  <c r="M60" i="5"/>
  <c r="N60" i="5"/>
  <c r="P60" i="5"/>
  <c r="Q60" i="5"/>
  <c r="R60" i="5"/>
  <c r="C61" i="5"/>
  <c r="D61" i="5"/>
  <c r="E61" i="5"/>
  <c r="H61" i="5"/>
  <c r="I61" i="5"/>
  <c r="J61" i="5"/>
  <c r="K61" i="5"/>
  <c r="L61" i="5"/>
  <c r="M61" i="5"/>
  <c r="N61" i="5"/>
  <c r="P61" i="5"/>
  <c r="Q61" i="5"/>
  <c r="R61" i="5"/>
  <c r="C62" i="5"/>
  <c r="D62" i="5"/>
  <c r="E62" i="5"/>
  <c r="H62" i="5"/>
  <c r="I62" i="5"/>
  <c r="J62" i="5"/>
  <c r="K62" i="5"/>
  <c r="L62" i="5"/>
  <c r="M62" i="5"/>
  <c r="N62" i="5"/>
  <c r="P62" i="5"/>
  <c r="Q62" i="5"/>
  <c r="R62" i="5"/>
  <c r="C63" i="5"/>
  <c r="D63" i="5"/>
  <c r="E63" i="5"/>
  <c r="H63" i="5"/>
  <c r="I63" i="5"/>
  <c r="J63" i="5"/>
  <c r="K63" i="5"/>
  <c r="L63" i="5"/>
  <c r="M63" i="5"/>
  <c r="N63" i="5"/>
  <c r="P63" i="5"/>
  <c r="Q63" i="5"/>
  <c r="R63" i="5"/>
  <c r="C64" i="5"/>
  <c r="D64" i="5"/>
  <c r="E64" i="5"/>
  <c r="H64" i="5"/>
  <c r="I64" i="5"/>
  <c r="J64" i="5"/>
  <c r="K64" i="5"/>
  <c r="L64" i="5"/>
  <c r="M64" i="5"/>
  <c r="N64" i="5"/>
  <c r="P64" i="5"/>
  <c r="Q64" i="5"/>
  <c r="R64" i="5"/>
  <c r="C65" i="5"/>
  <c r="D65" i="5"/>
  <c r="E65" i="5"/>
  <c r="H65" i="5"/>
  <c r="I65" i="5"/>
  <c r="J65" i="5"/>
  <c r="K65" i="5"/>
  <c r="L65" i="5"/>
  <c r="M65" i="5"/>
  <c r="N65" i="5"/>
  <c r="P65" i="5"/>
  <c r="Q65" i="5"/>
  <c r="R65" i="5"/>
  <c r="C66" i="5"/>
  <c r="D66" i="5"/>
  <c r="E66" i="5"/>
  <c r="H66" i="5"/>
  <c r="I66" i="5"/>
  <c r="J66" i="5"/>
  <c r="K66" i="5"/>
  <c r="L66" i="5"/>
  <c r="M66" i="5"/>
  <c r="N66" i="5"/>
  <c r="P66" i="5"/>
  <c r="Q66" i="5"/>
  <c r="R66" i="5"/>
  <c r="C67" i="5"/>
  <c r="D67" i="5"/>
  <c r="E67" i="5"/>
  <c r="H67" i="5"/>
  <c r="I67" i="5"/>
  <c r="J67" i="5"/>
  <c r="K67" i="5"/>
  <c r="L67" i="5"/>
  <c r="M67" i="5"/>
  <c r="N67" i="5"/>
  <c r="P67" i="5"/>
  <c r="Q67" i="5"/>
  <c r="R67" i="5"/>
  <c r="C68" i="5"/>
  <c r="D68" i="5"/>
  <c r="E68" i="5"/>
  <c r="H68" i="5"/>
  <c r="I68" i="5"/>
  <c r="J68" i="5"/>
  <c r="K68" i="5"/>
  <c r="L68" i="5"/>
  <c r="M68" i="5"/>
  <c r="N68" i="5"/>
  <c r="P68" i="5"/>
  <c r="Q68" i="5"/>
  <c r="R68" i="5"/>
  <c r="C69" i="5"/>
  <c r="D69" i="5"/>
  <c r="E69" i="5"/>
  <c r="H69" i="5"/>
  <c r="I69" i="5"/>
  <c r="J69" i="5"/>
  <c r="K69" i="5"/>
  <c r="L69" i="5"/>
  <c r="M69" i="5"/>
  <c r="N69" i="5"/>
  <c r="P69" i="5"/>
  <c r="Q69" i="5"/>
  <c r="R69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38" i="5"/>
  <c r="T36" i="6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AG36" i="6" s="1"/>
  <c r="AH22" i="6"/>
  <c r="T22" i="6" s="1"/>
  <c r="AH23" i="6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4" i="6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5" i="6"/>
  <c r="T25" i="6" s="1"/>
  <c r="AH26" i="6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7" i="6"/>
  <c r="T27" i="6" s="1"/>
  <c r="AH28" i="6"/>
  <c r="T28" i="6" s="1"/>
  <c r="AH29" i="6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30" i="6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AG30" i="6" s="1"/>
  <c r="AH31" i="6"/>
  <c r="AH32" i="6"/>
  <c r="T32" i="6" s="1"/>
  <c r="AH33" i="6"/>
  <c r="T33" i="6" s="1"/>
  <c r="AH34" i="6"/>
  <c r="T34" i="6" s="1"/>
  <c r="AH35" i="6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G35" i="6" s="1"/>
  <c r="AH36" i="6"/>
  <c r="AH37" i="6"/>
  <c r="T37" i="6" s="1"/>
  <c r="AH21" i="6"/>
  <c r="T21" i="6" s="1"/>
  <c r="P21" i="6"/>
  <c r="Q21" i="6"/>
  <c r="R21" i="6" s="1"/>
  <c r="P22" i="6"/>
  <c r="Q22" i="6"/>
  <c r="R22" i="6" s="1"/>
  <c r="P23" i="6"/>
  <c r="Q23" i="6"/>
  <c r="R23" i="6"/>
  <c r="P24" i="6"/>
  <c r="Q24" i="6"/>
  <c r="R24" i="6" s="1"/>
  <c r="P25" i="6"/>
  <c r="Q25" i="6"/>
  <c r="R25" i="6" s="1"/>
  <c r="P26" i="6"/>
  <c r="Q26" i="6"/>
  <c r="R26" i="6" s="1"/>
  <c r="P27" i="6"/>
  <c r="Q27" i="6"/>
  <c r="R27" i="6"/>
  <c r="P28" i="6"/>
  <c r="Q28" i="6"/>
  <c r="R28" i="6"/>
  <c r="P29" i="6"/>
  <c r="Q29" i="6"/>
  <c r="R29" i="6"/>
  <c r="P30" i="6"/>
  <c r="Q30" i="6"/>
  <c r="R30" i="6" s="1"/>
  <c r="P31" i="6"/>
  <c r="Q31" i="6"/>
  <c r="R31" i="6"/>
  <c r="P32" i="6"/>
  <c r="Q32" i="6"/>
  <c r="R32" i="6"/>
  <c r="P33" i="6"/>
  <c r="Q33" i="6"/>
  <c r="R33" i="6"/>
  <c r="P34" i="6"/>
  <c r="Q34" i="6"/>
  <c r="R34" i="6" s="1"/>
  <c r="P35" i="6"/>
  <c r="Q35" i="6"/>
  <c r="R35" i="6"/>
  <c r="P36" i="6"/>
  <c r="Q36" i="6"/>
  <c r="R36" i="6"/>
  <c r="P37" i="6"/>
  <c r="Q37" i="6"/>
  <c r="R37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21" i="6"/>
  <c r="U21" i="6" l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U34" i="6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T31" i="6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U25" i="6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U28" i="6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U33" i="6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U37" i="6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AG37" i="6" s="1"/>
  <c r="U32" i="6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U22" i="6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U27" i="6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AG27" i="6" s="1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73" i="2"/>
  <c r="S74" i="2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B3" i="5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AK37" i="3"/>
  <c r="AL37" i="3"/>
  <c r="AM37" i="3"/>
  <c r="AN37" i="3"/>
  <c r="AO37" i="3"/>
  <c r="AP37" i="3"/>
  <c r="AQ37" i="3"/>
  <c r="AQ38" i="3" s="1"/>
  <c r="AQ39" i="3" s="1"/>
  <c r="AQ40" i="3" s="1"/>
  <c r="AQ41" i="3" s="1"/>
  <c r="AQ42" i="3" s="1"/>
  <c r="AQ43" i="3" s="1"/>
  <c r="AQ44" i="3" s="1"/>
  <c r="AQ45" i="3" s="1"/>
  <c r="AQ46" i="3" s="1"/>
  <c r="AQ47" i="3" s="1"/>
  <c r="AQ48" i="3" s="1"/>
  <c r="AQ49" i="3" s="1"/>
  <c r="AQ50" i="3" s="1"/>
  <c r="AQ51" i="3" s="1"/>
  <c r="AQ52" i="3" s="1"/>
  <c r="AQ53" i="3" s="1"/>
  <c r="AQ54" i="3" s="1"/>
  <c r="AQ55" i="3" s="1"/>
  <c r="AQ56" i="3" s="1"/>
  <c r="AQ57" i="3" s="1"/>
  <c r="AQ58" i="3" s="1"/>
  <c r="AQ59" i="3" s="1"/>
  <c r="AQ60" i="3" s="1"/>
  <c r="AQ61" i="3" s="1"/>
  <c r="AQ62" i="3" s="1"/>
  <c r="AQ63" i="3" s="1"/>
  <c r="AR37" i="3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R52" i="3" s="1"/>
  <c r="AR53" i="3" s="1"/>
  <c r="AR54" i="3" s="1"/>
  <c r="AR55" i="3" s="1"/>
  <c r="AR56" i="3" s="1"/>
  <c r="AR57" i="3" s="1"/>
  <c r="AR58" i="3" s="1"/>
  <c r="AR59" i="3" s="1"/>
  <c r="AR60" i="3" s="1"/>
  <c r="AR61" i="3" s="1"/>
  <c r="AR62" i="3" s="1"/>
  <c r="AR63" i="3" s="1"/>
  <c r="AS37" i="3"/>
  <c r="AT37" i="3"/>
  <c r="AU37" i="3"/>
  <c r="N37" i="4" s="1"/>
  <c r="AV37" i="3"/>
  <c r="AV38" i="3" s="1"/>
  <c r="AV39" i="3" s="1"/>
  <c r="AV40" i="3" s="1"/>
  <c r="AW37" i="3"/>
  <c r="AX37" i="3"/>
  <c r="AY37" i="3"/>
  <c r="AZ37" i="3"/>
  <c r="BA37" i="3"/>
  <c r="BB37" i="3"/>
  <c r="BC37" i="3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BC60" i="3" s="1"/>
  <c r="BC61" i="3" s="1"/>
  <c r="BC62" i="3" s="1"/>
  <c r="BC63" i="3" s="1"/>
  <c r="BD37" i="3"/>
  <c r="BD38" i="3" s="1"/>
  <c r="BD39" i="3" s="1"/>
  <c r="BD40" i="3" s="1"/>
  <c r="BD41" i="3" s="1"/>
  <c r="BD42" i="3" s="1"/>
  <c r="BD43" i="3" s="1"/>
  <c r="BD44" i="3" s="1"/>
  <c r="BD45" i="3" s="1"/>
  <c r="BD46" i="3" s="1"/>
  <c r="BD47" i="3" s="1"/>
  <c r="BD48" i="3" s="1"/>
  <c r="BD49" i="3" s="1"/>
  <c r="BD50" i="3" s="1"/>
  <c r="BD51" i="3" s="1"/>
  <c r="BD52" i="3" s="1"/>
  <c r="BD53" i="3" s="1"/>
  <c r="BD54" i="3" s="1"/>
  <c r="BD55" i="3" s="1"/>
  <c r="BE37" i="3"/>
  <c r="BF37" i="3"/>
  <c r="BG37" i="3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H37" i="3"/>
  <c r="BH38" i="3" s="1"/>
  <c r="BH39" i="3" s="1"/>
  <c r="BH40" i="3" s="1"/>
  <c r="BI37" i="3"/>
  <c r="BJ37" i="3"/>
  <c r="BK37" i="3"/>
  <c r="BL37" i="3"/>
  <c r="BM37" i="3"/>
  <c r="BN37" i="3"/>
  <c r="BO37" i="3"/>
  <c r="BO38" i="3" s="1"/>
  <c r="BO39" i="3" s="1"/>
  <c r="BO40" i="3" s="1"/>
  <c r="BO41" i="3" s="1"/>
  <c r="BO42" i="3" s="1"/>
  <c r="BO43" i="3" s="1"/>
  <c r="BO44" i="3" s="1"/>
  <c r="BO45" i="3" s="1"/>
  <c r="BO46" i="3" s="1"/>
  <c r="BO47" i="3" s="1"/>
  <c r="BO48" i="3" s="1"/>
  <c r="BO49" i="3" s="1"/>
  <c r="BO50" i="3" s="1"/>
  <c r="BO51" i="3" s="1"/>
  <c r="BO52" i="3" s="1"/>
  <c r="BO53" i="3" s="1"/>
  <c r="BO54" i="3" s="1"/>
  <c r="BO55" i="3" s="1"/>
  <c r="BO56" i="3" s="1"/>
  <c r="BO57" i="3" s="1"/>
  <c r="BO58" i="3" s="1"/>
  <c r="BO59" i="3" s="1"/>
  <c r="BO60" i="3" s="1"/>
  <c r="BO61" i="3" s="1"/>
  <c r="BO62" i="3" s="1"/>
  <c r="BO63" i="3" s="1"/>
  <c r="BP37" i="3"/>
  <c r="BP38" i="3" s="1"/>
  <c r="BP39" i="3" s="1"/>
  <c r="BP40" i="3" s="1"/>
  <c r="BP41" i="3" s="1"/>
  <c r="BP42" i="3" s="1"/>
  <c r="BP43" i="3" s="1"/>
  <c r="BP44" i="3" s="1"/>
  <c r="BP45" i="3" s="1"/>
  <c r="BP46" i="3" s="1"/>
  <c r="BP47" i="3" s="1"/>
  <c r="BP48" i="3" s="1"/>
  <c r="BP49" i="3" s="1"/>
  <c r="BP50" i="3" s="1"/>
  <c r="BP51" i="3" s="1"/>
  <c r="BP52" i="3" s="1"/>
  <c r="BP53" i="3" s="1"/>
  <c r="BP54" i="3" s="1"/>
  <c r="BP55" i="3" s="1"/>
  <c r="BP56" i="3" s="1"/>
  <c r="BP57" i="3" s="1"/>
  <c r="BP58" i="3" s="1"/>
  <c r="BP59" i="3" s="1"/>
  <c r="BQ37" i="3"/>
  <c r="AK38" i="3"/>
  <c r="AL38" i="3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AL52" i="3" s="1"/>
  <c r="AL53" i="3" s="1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M38" i="3"/>
  <c r="AM39" i="3" s="1"/>
  <c r="AM40" i="3" s="1"/>
  <c r="AM41" i="3" s="1"/>
  <c r="AN38" i="3"/>
  <c r="AO38" i="3"/>
  <c r="AP38" i="3"/>
  <c r="AS38" i="3"/>
  <c r="AT38" i="3"/>
  <c r="AT39" i="3" s="1"/>
  <c r="AT40" i="3" s="1"/>
  <c r="AT41" i="3" s="1"/>
  <c r="AT42" i="3" s="1"/>
  <c r="AT43" i="3" s="1"/>
  <c r="AT44" i="3" s="1"/>
  <c r="AT45" i="3" s="1"/>
  <c r="AT46" i="3" s="1"/>
  <c r="AT47" i="3" s="1"/>
  <c r="AT48" i="3" s="1"/>
  <c r="AT49" i="3" s="1"/>
  <c r="AT50" i="3" s="1"/>
  <c r="AT51" i="3" s="1"/>
  <c r="AT52" i="3" s="1"/>
  <c r="AT53" i="3" s="1"/>
  <c r="AT54" i="3" s="1"/>
  <c r="AT55" i="3" s="1"/>
  <c r="AT56" i="3" s="1"/>
  <c r="AT57" i="3" s="1"/>
  <c r="AT58" i="3" s="1"/>
  <c r="AT59" i="3" s="1"/>
  <c r="AT60" i="3" s="1"/>
  <c r="AT61" i="3" s="1"/>
  <c r="AT62" i="3" s="1"/>
  <c r="AT63" i="3" s="1"/>
  <c r="AW38" i="3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AW63" i="3" s="1"/>
  <c r="AX38" i="3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X62" i="3" s="1"/>
  <c r="AX63" i="3" s="1"/>
  <c r="AY38" i="3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AY52" i="3" s="1"/>
  <c r="AY53" i="3" s="1"/>
  <c r="AY54" i="3" s="1"/>
  <c r="AY55" i="3" s="1"/>
  <c r="AY56" i="3" s="1"/>
  <c r="AY57" i="3" s="1"/>
  <c r="AY58" i="3" s="1"/>
  <c r="AY59" i="3" s="1"/>
  <c r="AY60" i="3" s="1"/>
  <c r="AY61" i="3" s="1"/>
  <c r="AY62" i="3" s="1"/>
  <c r="AY63" i="3" s="1"/>
  <c r="AZ38" i="3"/>
  <c r="BA38" i="3"/>
  <c r="BB38" i="3"/>
  <c r="BE38" i="3"/>
  <c r="BF38" i="3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F63" i="3" s="1"/>
  <c r="BI38" i="3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BI63" i="3" s="1"/>
  <c r="BJ38" i="3"/>
  <c r="BJ39" i="3" s="1"/>
  <c r="BJ40" i="3" s="1"/>
  <c r="BJ41" i="3" s="1"/>
  <c r="BJ42" i="3" s="1"/>
  <c r="BJ43" i="3" s="1"/>
  <c r="BJ44" i="3" s="1"/>
  <c r="BJ45" i="3" s="1"/>
  <c r="BJ46" i="3" s="1"/>
  <c r="BJ47" i="3" s="1"/>
  <c r="BJ48" i="3" s="1"/>
  <c r="BJ49" i="3" s="1"/>
  <c r="BJ50" i="3" s="1"/>
  <c r="BJ51" i="3" s="1"/>
  <c r="BJ52" i="3" s="1"/>
  <c r="BJ53" i="3" s="1"/>
  <c r="BJ54" i="3" s="1"/>
  <c r="BJ55" i="3" s="1"/>
  <c r="BJ56" i="3" s="1"/>
  <c r="BJ57" i="3" s="1"/>
  <c r="BJ58" i="3" s="1"/>
  <c r="BJ59" i="3" s="1"/>
  <c r="BJ60" i="3" s="1"/>
  <c r="BJ61" i="3" s="1"/>
  <c r="BK38" i="3"/>
  <c r="BK39" i="3" s="1"/>
  <c r="BK40" i="3" s="1"/>
  <c r="BK41" i="3" s="1"/>
  <c r="BL38" i="3"/>
  <c r="BM38" i="3"/>
  <c r="BN38" i="3"/>
  <c r="BQ38" i="3"/>
  <c r="AK39" i="3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N39" i="3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N52" i="3" s="1"/>
  <c r="AN53" i="3" s="1"/>
  <c r="AN54" i="3" s="1"/>
  <c r="AN55" i="3" s="1"/>
  <c r="AN56" i="3" s="1"/>
  <c r="AN57" i="3" s="1"/>
  <c r="AN58" i="3" s="1"/>
  <c r="AN59" i="3" s="1"/>
  <c r="AN60" i="3" s="1"/>
  <c r="AN61" i="3" s="1"/>
  <c r="AN62" i="3" s="1"/>
  <c r="AN63" i="3" s="1"/>
  <c r="AO39" i="3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O52" i="3" s="1"/>
  <c r="AO53" i="3" s="1"/>
  <c r="AO54" i="3" s="1"/>
  <c r="AO55" i="3" s="1"/>
  <c r="AO56" i="3" s="1"/>
  <c r="AO57" i="3" s="1"/>
  <c r="AO58" i="3" s="1"/>
  <c r="AO59" i="3" s="1"/>
  <c r="AO60" i="3" s="1"/>
  <c r="AO61" i="3" s="1"/>
  <c r="AO62" i="3" s="1"/>
  <c r="AP39" i="3"/>
  <c r="AP40" i="3" s="1"/>
  <c r="AP41" i="3" s="1"/>
  <c r="AP42" i="3" s="1"/>
  <c r="AS39" i="3"/>
  <c r="AZ39" i="3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AZ63" i="3" s="1"/>
  <c r="BA39" i="3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A52" i="3" s="1"/>
  <c r="BA53" i="3" s="1"/>
  <c r="BA54" i="3" s="1"/>
  <c r="BA55" i="3" s="1"/>
  <c r="BA56" i="3" s="1"/>
  <c r="BA57" i="3" s="1"/>
  <c r="BA58" i="3" s="1"/>
  <c r="BA59" i="3" s="1"/>
  <c r="BA60" i="3" s="1"/>
  <c r="BA61" i="3" s="1"/>
  <c r="BA62" i="3" s="1"/>
  <c r="BB39" i="3"/>
  <c r="BB40" i="3" s="1"/>
  <c r="BB41" i="3" s="1"/>
  <c r="BB42" i="3" s="1"/>
  <c r="BE39" i="3"/>
  <c r="BL39" i="3"/>
  <c r="BL40" i="3" s="1"/>
  <c r="BL41" i="3" s="1"/>
  <c r="BL42" i="3" s="1"/>
  <c r="BL43" i="3" s="1"/>
  <c r="BL44" i="3" s="1"/>
  <c r="BL45" i="3" s="1"/>
  <c r="BL46" i="3" s="1"/>
  <c r="BL47" i="3" s="1"/>
  <c r="BL48" i="3" s="1"/>
  <c r="BL49" i="3" s="1"/>
  <c r="BL50" i="3" s="1"/>
  <c r="BL51" i="3" s="1"/>
  <c r="BL52" i="3" s="1"/>
  <c r="BL53" i="3" s="1"/>
  <c r="BL54" i="3" s="1"/>
  <c r="BL55" i="3" s="1"/>
  <c r="BL56" i="3" s="1"/>
  <c r="BL57" i="3" s="1"/>
  <c r="BL58" i="3" s="1"/>
  <c r="BL59" i="3" s="1"/>
  <c r="BL60" i="3" s="1"/>
  <c r="BL61" i="3" s="1"/>
  <c r="BL62" i="3" s="1"/>
  <c r="BL63" i="3" s="1"/>
  <c r="BM39" i="3"/>
  <c r="BM40" i="3" s="1"/>
  <c r="BM41" i="3" s="1"/>
  <c r="BM42" i="3" s="1"/>
  <c r="BM43" i="3" s="1"/>
  <c r="BM44" i="3" s="1"/>
  <c r="BM45" i="3" s="1"/>
  <c r="BM46" i="3" s="1"/>
  <c r="BM47" i="3" s="1"/>
  <c r="BM48" i="3" s="1"/>
  <c r="BM49" i="3" s="1"/>
  <c r="BM50" i="3" s="1"/>
  <c r="BM51" i="3" s="1"/>
  <c r="BM52" i="3" s="1"/>
  <c r="BM53" i="3" s="1"/>
  <c r="BM54" i="3" s="1"/>
  <c r="BM55" i="3" s="1"/>
  <c r="BM56" i="3" s="1"/>
  <c r="BM57" i="3" s="1"/>
  <c r="BM58" i="3" s="1"/>
  <c r="BM59" i="3" s="1"/>
  <c r="BM60" i="3" s="1"/>
  <c r="BM61" i="3" s="1"/>
  <c r="BM62" i="3" s="1"/>
  <c r="BM63" i="3" s="1"/>
  <c r="BN39" i="3"/>
  <c r="BN40" i="3" s="1"/>
  <c r="BN41" i="3" s="1"/>
  <c r="BN42" i="3" s="1"/>
  <c r="BQ39" i="3"/>
  <c r="AS40" i="3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AS63" i="3" s="1"/>
  <c r="BE40" i="3"/>
  <c r="BE41" i="3" s="1"/>
  <c r="BE42" i="3" s="1"/>
  <c r="BE43" i="3" s="1"/>
  <c r="BQ40" i="3"/>
  <c r="BQ41" i="3" s="1"/>
  <c r="BQ42" i="3" s="1"/>
  <c r="BQ43" i="3" s="1"/>
  <c r="AV41" i="3"/>
  <c r="AV42" i="3" s="1"/>
  <c r="AV43" i="3" s="1"/>
  <c r="AV44" i="3" s="1"/>
  <c r="BH41" i="3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BH63" i="3" s="1"/>
  <c r="AM42" i="3"/>
  <c r="AM43" i="3" s="1"/>
  <c r="AM44" i="3" s="1"/>
  <c r="AM45" i="3" s="1"/>
  <c r="AM46" i="3" s="1"/>
  <c r="AM47" i="3" s="1"/>
  <c r="AM48" i="3" s="1"/>
  <c r="AM49" i="3" s="1"/>
  <c r="AM50" i="3" s="1"/>
  <c r="AM51" i="3" s="1"/>
  <c r="AM52" i="3" s="1"/>
  <c r="AM53" i="3" s="1"/>
  <c r="AM54" i="3" s="1"/>
  <c r="AM55" i="3" s="1"/>
  <c r="AM56" i="3" s="1"/>
  <c r="AM57" i="3" s="1"/>
  <c r="AM58" i="3" s="1"/>
  <c r="AM59" i="3" s="1"/>
  <c r="AM60" i="3" s="1"/>
  <c r="AM61" i="3" s="1"/>
  <c r="AM62" i="3" s="1"/>
  <c r="AM63" i="3" s="1"/>
  <c r="BK42" i="3"/>
  <c r="BK43" i="3" s="1"/>
  <c r="BK44" i="3" s="1"/>
  <c r="BK45" i="3" s="1"/>
  <c r="AP43" i="3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P63" i="3" s="1"/>
  <c r="BB43" i="3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N43" i="3"/>
  <c r="BN44" i="3" s="1"/>
  <c r="BN45" i="3" s="1"/>
  <c r="BN46" i="3" s="1"/>
  <c r="BE44" i="3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E63" i="3" s="1"/>
  <c r="BQ44" i="3"/>
  <c r="BQ45" i="3" s="1"/>
  <c r="BQ46" i="3" s="1"/>
  <c r="BQ47" i="3" s="1"/>
  <c r="AV45" i="3"/>
  <c r="AV46" i="3" s="1"/>
  <c r="AV47" i="3" s="1"/>
  <c r="AV48" i="3" s="1"/>
  <c r="BK46" i="3"/>
  <c r="BK47" i="3" s="1"/>
  <c r="BK48" i="3" s="1"/>
  <c r="BK49" i="3" s="1"/>
  <c r="BN47" i="3"/>
  <c r="BN48" i="3" s="1"/>
  <c r="BN49" i="3" s="1"/>
  <c r="BN50" i="3" s="1"/>
  <c r="BN51" i="3" s="1"/>
  <c r="BN52" i="3" s="1"/>
  <c r="BN53" i="3" s="1"/>
  <c r="BN54" i="3" s="1"/>
  <c r="BN55" i="3" s="1"/>
  <c r="BN56" i="3" s="1"/>
  <c r="BN57" i="3" s="1"/>
  <c r="BN58" i="3" s="1"/>
  <c r="BN59" i="3" s="1"/>
  <c r="BN60" i="3" s="1"/>
  <c r="BN61" i="3" s="1"/>
  <c r="BN62" i="3" s="1"/>
  <c r="BN63" i="3" s="1"/>
  <c r="BQ48" i="3"/>
  <c r="BQ49" i="3" s="1"/>
  <c r="BQ50" i="3" s="1"/>
  <c r="BQ51" i="3" s="1"/>
  <c r="BQ52" i="3" s="1"/>
  <c r="BQ53" i="3" s="1"/>
  <c r="BQ54" i="3" s="1"/>
  <c r="BQ55" i="3" s="1"/>
  <c r="BQ56" i="3" s="1"/>
  <c r="BQ57" i="3" s="1"/>
  <c r="BQ58" i="3" s="1"/>
  <c r="BQ59" i="3" s="1"/>
  <c r="BQ60" i="3" s="1"/>
  <c r="BQ61" i="3" s="1"/>
  <c r="BQ62" i="3" s="1"/>
  <c r="BQ63" i="3" s="1"/>
  <c r="AV49" i="3"/>
  <c r="AV50" i="3" s="1"/>
  <c r="AV51" i="3" s="1"/>
  <c r="AV52" i="3" s="1"/>
  <c r="BK50" i="3"/>
  <c r="BK51" i="3" s="1"/>
  <c r="BK52" i="3" s="1"/>
  <c r="BK53" i="3" s="1"/>
  <c r="BK54" i="3" s="1"/>
  <c r="BK55" i="3" s="1"/>
  <c r="BK56" i="3" s="1"/>
  <c r="BK57" i="3" s="1"/>
  <c r="BK58" i="3" s="1"/>
  <c r="BK59" i="3" s="1"/>
  <c r="BK60" i="3" s="1"/>
  <c r="BK61" i="3" s="1"/>
  <c r="BK62" i="3" s="1"/>
  <c r="BK63" i="3" s="1"/>
  <c r="AV53" i="3"/>
  <c r="AV54" i="3" s="1"/>
  <c r="AV55" i="3" s="1"/>
  <c r="AV56" i="3" s="1"/>
  <c r="AV57" i="3" s="1"/>
  <c r="AV58" i="3" s="1"/>
  <c r="AV59" i="3" s="1"/>
  <c r="AV60" i="3" s="1"/>
  <c r="AV61" i="3" s="1"/>
  <c r="AV62" i="3" s="1"/>
  <c r="AV63" i="3" s="1"/>
  <c r="BD56" i="3"/>
  <c r="BD57" i="3" s="1"/>
  <c r="BD58" i="3" s="1"/>
  <c r="BD59" i="3" s="1"/>
  <c r="BD60" i="3"/>
  <c r="BD61" i="3" s="1"/>
  <c r="BD62" i="3" s="1"/>
  <c r="BD63" i="3" s="1"/>
  <c r="BP60" i="3"/>
  <c r="BP61" i="3" s="1"/>
  <c r="BP62" i="3" s="1"/>
  <c r="BP63" i="3" s="1"/>
  <c r="BG61" i="3"/>
  <c r="BG62" i="3" s="1"/>
  <c r="BG63" i="3" s="1"/>
  <c r="BJ62" i="3"/>
  <c r="BJ63" i="3" s="1"/>
  <c r="AO63" i="3"/>
  <c r="BA63" i="3"/>
  <c r="AJ38" i="3"/>
  <c r="AJ39" i="3"/>
  <c r="AJ40" i="3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J52" i="3" s="1"/>
  <c r="AJ53" i="3" s="1"/>
  <c r="AJ54" i="3" s="1"/>
  <c r="AJ55" i="3" s="1"/>
  <c r="AJ56" i="3" s="1"/>
  <c r="AJ57" i="3" s="1"/>
  <c r="AJ58" i="3" s="1"/>
  <c r="AJ59" i="3" s="1"/>
  <c r="AJ60" i="3" s="1"/>
  <c r="AJ61" i="3" s="1"/>
  <c r="AJ62" i="3" s="1"/>
  <c r="AJ63" i="3" s="1"/>
  <c r="AJ37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AJ66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36" i="4"/>
  <c r="G36" i="4"/>
  <c r="L35" i="4"/>
  <c r="Q34" i="4"/>
  <c r="E34" i="4"/>
  <c r="J33" i="4"/>
  <c r="O32" i="4"/>
  <c r="C32" i="4"/>
  <c r="M30" i="4"/>
  <c r="K28" i="4"/>
  <c r="P27" i="4"/>
  <c r="D27" i="4"/>
  <c r="N25" i="4"/>
  <c r="S24" i="4"/>
  <c r="G24" i="4"/>
  <c r="L23" i="4"/>
  <c r="Q22" i="4"/>
  <c r="E22" i="4"/>
  <c r="J21" i="4"/>
  <c r="O20" i="4"/>
  <c r="C20" i="4"/>
  <c r="M18" i="4"/>
  <c r="K16" i="4"/>
  <c r="P15" i="4"/>
  <c r="D15" i="4"/>
  <c r="N13" i="4"/>
  <c r="S12" i="4"/>
  <c r="G12" i="4"/>
  <c r="L11" i="4"/>
  <c r="Q10" i="4"/>
  <c r="E10" i="4"/>
  <c r="J9" i="4"/>
  <c r="O8" i="4"/>
  <c r="C8" i="4"/>
  <c r="M6" i="4"/>
  <c r="K4" i="4"/>
  <c r="P3" i="4"/>
  <c r="D3" i="4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B5" i="3"/>
  <c r="BC5" i="3"/>
  <c r="BD5" i="3"/>
  <c r="F5" i="4" s="1"/>
  <c r="BE5" i="3"/>
  <c r="BF5" i="3"/>
  <c r="BG5" i="3"/>
  <c r="BH5" i="3"/>
  <c r="BI5" i="3"/>
  <c r="BJ5" i="3"/>
  <c r="BK5" i="3"/>
  <c r="BL5" i="3"/>
  <c r="BM5" i="3"/>
  <c r="BN5" i="3"/>
  <c r="BO5" i="3"/>
  <c r="BP5" i="3"/>
  <c r="R5" i="4" s="1"/>
  <c r="BQ5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B17" i="3"/>
  <c r="BC17" i="3"/>
  <c r="BD17" i="3"/>
  <c r="F17" i="4" s="1"/>
  <c r="BE17" i="3"/>
  <c r="BF17" i="3"/>
  <c r="BG17" i="3"/>
  <c r="BH17" i="3"/>
  <c r="BI17" i="3"/>
  <c r="BJ17" i="3"/>
  <c r="BK17" i="3"/>
  <c r="BL17" i="3"/>
  <c r="BM17" i="3"/>
  <c r="BN17" i="3"/>
  <c r="BO17" i="3"/>
  <c r="BP17" i="3"/>
  <c r="R17" i="4" s="1"/>
  <c r="BQ17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B29" i="3"/>
  <c r="BC29" i="3"/>
  <c r="BD29" i="3"/>
  <c r="F29" i="4" s="1"/>
  <c r="BE29" i="3"/>
  <c r="BF29" i="3"/>
  <c r="BG29" i="3"/>
  <c r="BH29" i="3"/>
  <c r="BI29" i="3"/>
  <c r="BJ29" i="3"/>
  <c r="BK29" i="3"/>
  <c r="BL29" i="3"/>
  <c r="BM29" i="3"/>
  <c r="BN29" i="3"/>
  <c r="BO29" i="3"/>
  <c r="BP29" i="3"/>
  <c r="R29" i="4" s="1"/>
  <c r="BQ29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AK7" i="3"/>
  <c r="AL7" i="3"/>
  <c r="AM7" i="3"/>
  <c r="AN7" i="3"/>
  <c r="AO7" i="3"/>
  <c r="H7" i="4" s="1"/>
  <c r="AP7" i="3"/>
  <c r="AQ7" i="3"/>
  <c r="AR7" i="3"/>
  <c r="AS7" i="3"/>
  <c r="AT7" i="3"/>
  <c r="AU7" i="3"/>
  <c r="AV7" i="3"/>
  <c r="AW7" i="3"/>
  <c r="AX7" i="3"/>
  <c r="AY7" i="3"/>
  <c r="AZ7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AK19" i="3"/>
  <c r="AL19" i="3"/>
  <c r="AM19" i="3"/>
  <c r="AN19" i="3"/>
  <c r="AO19" i="3"/>
  <c r="H19" i="4" s="1"/>
  <c r="AP19" i="3"/>
  <c r="AQ19" i="3"/>
  <c r="AR19" i="3"/>
  <c r="AS19" i="3"/>
  <c r="AT19" i="3"/>
  <c r="AU19" i="3"/>
  <c r="AV19" i="3"/>
  <c r="AW19" i="3"/>
  <c r="AX19" i="3"/>
  <c r="AY19" i="3"/>
  <c r="AZ19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AK31" i="3"/>
  <c r="AL31" i="3"/>
  <c r="AM31" i="3"/>
  <c r="AN31" i="3"/>
  <c r="AO31" i="3"/>
  <c r="H31" i="4" s="1"/>
  <c r="AP31" i="3"/>
  <c r="AQ31" i="3"/>
  <c r="AR31" i="3"/>
  <c r="AS31" i="3"/>
  <c r="AT31" i="3"/>
  <c r="AU31" i="3"/>
  <c r="AV31" i="3"/>
  <c r="AW31" i="3"/>
  <c r="AX31" i="3"/>
  <c r="AY31" i="3"/>
  <c r="AZ31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T14" i="3"/>
  <c r="U14" i="3"/>
  <c r="V14" i="3"/>
  <c r="W14" i="3"/>
  <c r="X14" i="3"/>
  <c r="Y14" i="3"/>
  <c r="I14" i="4" s="1"/>
  <c r="Z14" i="3"/>
  <c r="AA14" i="3"/>
  <c r="AB14" i="3"/>
  <c r="AC14" i="3"/>
  <c r="AD14" i="3"/>
  <c r="AE14" i="3"/>
  <c r="AF14" i="3"/>
  <c r="AG14" i="3"/>
  <c r="AH14" i="3"/>
  <c r="AI14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T26" i="3"/>
  <c r="U26" i="3"/>
  <c r="V26" i="3"/>
  <c r="W26" i="3"/>
  <c r="X26" i="3"/>
  <c r="Y26" i="3"/>
  <c r="I26" i="4" s="1"/>
  <c r="Z26" i="3"/>
  <c r="AA26" i="3"/>
  <c r="AB26" i="3"/>
  <c r="AC26" i="3"/>
  <c r="AD26" i="3"/>
  <c r="AE26" i="3"/>
  <c r="AF26" i="3"/>
  <c r="AG26" i="3"/>
  <c r="AH26" i="3"/>
  <c r="AI26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" i="3"/>
  <c r="B4" i="3"/>
  <c r="C4" i="4" s="1"/>
  <c r="C4" i="3"/>
  <c r="D4" i="4" s="1"/>
  <c r="D4" i="3"/>
  <c r="E4" i="4" s="1"/>
  <c r="E4" i="3"/>
  <c r="F4" i="4" s="1"/>
  <c r="F4" i="3"/>
  <c r="G4" i="4" s="1"/>
  <c r="G4" i="3"/>
  <c r="H4" i="4" s="1"/>
  <c r="H4" i="3"/>
  <c r="I4" i="4" s="1"/>
  <c r="I4" i="3"/>
  <c r="J4" i="4" s="1"/>
  <c r="J4" i="3"/>
  <c r="K4" i="3"/>
  <c r="L4" i="4" s="1"/>
  <c r="L4" i="3"/>
  <c r="M4" i="4" s="1"/>
  <c r="M4" i="3"/>
  <c r="N4" i="4" s="1"/>
  <c r="N4" i="3"/>
  <c r="O4" i="4" s="1"/>
  <c r="O4" i="3"/>
  <c r="P4" i="4" s="1"/>
  <c r="P4" i="3"/>
  <c r="Q4" i="4" s="1"/>
  <c r="Q4" i="3"/>
  <c r="R4" i="4" s="1"/>
  <c r="R4" i="3"/>
  <c r="S4" i="4" s="1"/>
  <c r="B5" i="3"/>
  <c r="C5" i="4" s="1"/>
  <c r="C5" i="3"/>
  <c r="D5" i="4" s="1"/>
  <c r="D5" i="3"/>
  <c r="E5" i="4" s="1"/>
  <c r="E5" i="3"/>
  <c r="F5" i="3"/>
  <c r="G5" i="4" s="1"/>
  <c r="G5" i="3"/>
  <c r="H5" i="4" s="1"/>
  <c r="H5" i="3"/>
  <c r="I5" i="4" s="1"/>
  <c r="I5" i="3"/>
  <c r="J5" i="4" s="1"/>
  <c r="J5" i="3"/>
  <c r="K5" i="4" s="1"/>
  <c r="K5" i="3"/>
  <c r="L5" i="4" s="1"/>
  <c r="L5" i="3"/>
  <c r="M5" i="4" s="1"/>
  <c r="M5" i="3"/>
  <c r="N5" i="4" s="1"/>
  <c r="N5" i="3"/>
  <c r="O5" i="4" s="1"/>
  <c r="O5" i="3"/>
  <c r="P5" i="4" s="1"/>
  <c r="P5" i="3"/>
  <c r="Q5" i="4" s="1"/>
  <c r="Q5" i="3"/>
  <c r="R5" i="3"/>
  <c r="S5" i="4" s="1"/>
  <c r="B6" i="3"/>
  <c r="C6" i="4" s="1"/>
  <c r="C6" i="3"/>
  <c r="D6" i="4" s="1"/>
  <c r="D6" i="3"/>
  <c r="E6" i="4" s="1"/>
  <c r="E6" i="3"/>
  <c r="F6" i="4" s="1"/>
  <c r="F6" i="3"/>
  <c r="G6" i="4" s="1"/>
  <c r="G6" i="3"/>
  <c r="H6" i="4" s="1"/>
  <c r="H6" i="3"/>
  <c r="I6" i="4" s="1"/>
  <c r="I6" i="3"/>
  <c r="J6" i="4" s="1"/>
  <c r="J6" i="3"/>
  <c r="K6" i="4" s="1"/>
  <c r="K6" i="3"/>
  <c r="L6" i="4" s="1"/>
  <c r="L6" i="3"/>
  <c r="M6" i="3"/>
  <c r="N6" i="4" s="1"/>
  <c r="N6" i="3"/>
  <c r="O6" i="4" s="1"/>
  <c r="O6" i="3"/>
  <c r="P6" i="4" s="1"/>
  <c r="P6" i="3"/>
  <c r="Q6" i="4" s="1"/>
  <c r="Q6" i="3"/>
  <c r="R6" i="4" s="1"/>
  <c r="R6" i="3"/>
  <c r="S6" i="4" s="1"/>
  <c r="B7" i="3"/>
  <c r="C7" i="4" s="1"/>
  <c r="C7" i="3"/>
  <c r="D7" i="4" s="1"/>
  <c r="D7" i="3"/>
  <c r="E7" i="4" s="1"/>
  <c r="E7" i="3"/>
  <c r="F7" i="4" s="1"/>
  <c r="F7" i="3"/>
  <c r="G7" i="4" s="1"/>
  <c r="G7" i="3"/>
  <c r="H7" i="3"/>
  <c r="I7" i="4" s="1"/>
  <c r="I7" i="3"/>
  <c r="J7" i="4" s="1"/>
  <c r="J7" i="3"/>
  <c r="K7" i="4" s="1"/>
  <c r="K7" i="3"/>
  <c r="L7" i="4" s="1"/>
  <c r="L7" i="3"/>
  <c r="M7" i="4" s="1"/>
  <c r="M7" i="3"/>
  <c r="N7" i="4" s="1"/>
  <c r="N7" i="3"/>
  <c r="O7" i="4" s="1"/>
  <c r="O7" i="3"/>
  <c r="P7" i="4" s="1"/>
  <c r="P7" i="3"/>
  <c r="Q7" i="4" s="1"/>
  <c r="Q7" i="3"/>
  <c r="R7" i="4" s="1"/>
  <c r="R7" i="3"/>
  <c r="S7" i="4" s="1"/>
  <c r="B8" i="3"/>
  <c r="C8" i="3"/>
  <c r="D8" i="4" s="1"/>
  <c r="D8" i="3"/>
  <c r="E8" i="4" s="1"/>
  <c r="E8" i="3"/>
  <c r="F8" i="4" s="1"/>
  <c r="F8" i="3"/>
  <c r="G8" i="4" s="1"/>
  <c r="G8" i="3"/>
  <c r="H8" i="4" s="1"/>
  <c r="H8" i="3"/>
  <c r="I8" i="4" s="1"/>
  <c r="I8" i="3"/>
  <c r="J8" i="4" s="1"/>
  <c r="J8" i="3"/>
  <c r="K8" i="4" s="1"/>
  <c r="K8" i="3"/>
  <c r="L8" i="4" s="1"/>
  <c r="L8" i="3"/>
  <c r="M8" i="4" s="1"/>
  <c r="M8" i="3"/>
  <c r="N8" i="4" s="1"/>
  <c r="N8" i="3"/>
  <c r="O8" i="3"/>
  <c r="P8" i="4" s="1"/>
  <c r="P8" i="3"/>
  <c r="Q8" i="4" s="1"/>
  <c r="Q8" i="3"/>
  <c r="R8" i="4" s="1"/>
  <c r="R8" i="3"/>
  <c r="S8" i="4" s="1"/>
  <c r="B9" i="3"/>
  <c r="C9" i="4" s="1"/>
  <c r="C9" i="3"/>
  <c r="D9" i="4" s="1"/>
  <c r="D9" i="3"/>
  <c r="E9" i="4" s="1"/>
  <c r="E9" i="3"/>
  <c r="F9" i="4" s="1"/>
  <c r="F9" i="3"/>
  <c r="G9" i="4" s="1"/>
  <c r="G9" i="3"/>
  <c r="H9" i="4" s="1"/>
  <c r="H9" i="3"/>
  <c r="I9" i="4" s="1"/>
  <c r="I9" i="3"/>
  <c r="J9" i="3"/>
  <c r="K9" i="4" s="1"/>
  <c r="K9" i="3"/>
  <c r="L9" i="4" s="1"/>
  <c r="L9" i="3"/>
  <c r="M9" i="4" s="1"/>
  <c r="M9" i="3"/>
  <c r="N9" i="4" s="1"/>
  <c r="N9" i="3"/>
  <c r="O9" i="4" s="1"/>
  <c r="O9" i="3"/>
  <c r="P9" i="4" s="1"/>
  <c r="P9" i="3"/>
  <c r="Q9" i="4" s="1"/>
  <c r="Q9" i="3"/>
  <c r="R9" i="4" s="1"/>
  <c r="R9" i="3"/>
  <c r="S9" i="4" s="1"/>
  <c r="B10" i="3"/>
  <c r="C10" i="4" s="1"/>
  <c r="C10" i="3"/>
  <c r="D10" i="4" s="1"/>
  <c r="D10" i="3"/>
  <c r="E10" i="3"/>
  <c r="F10" i="4" s="1"/>
  <c r="F10" i="3"/>
  <c r="G10" i="4" s="1"/>
  <c r="G10" i="3"/>
  <c r="H10" i="4" s="1"/>
  <c r="H10" i="3"/>
  <c r="I10" i="4" s="1"/>
  <c r="I10" i="3"/>
  <c r="J10" i="4" s="1"/>
  <c r="J10" i="3"/>
  <c r="K10" i="4" s="1"/>
  <c r="K10" i="3"/>
  <c r="L10" i="4" s="1"/>
  <c r="L10" i="3"/>
  <c r="M10" i="4" s="1"/>
  <c r="M10" i="3"/>
  <c r="N10" i="4" s="1"/>
  <c r="N10" i="3"/>
  <c r="O10" i="4" s="1"/>
  <c r="O10" i="3"/>
  <c r="P10" i="4" s="1"/>
  <c r="P10" i="3"/>
  <c r="Q10" i="3"/>
  <c r="R10" i="4" s="1"/>
  <c r="R10" i="3"/>
  <c r="S10" i="4" s="1"/>
  <c r="B11" i="3"/>
  <c r="C11" i="4" s="1"/>
  <c r="C11" i="3"/>
  <c r="D11" i="4" s="1"/>
  <c r="D11" i="3"/>
  <c r="E11" i="4" s="1"/>
  <c r="E11" i="3"/>
  <c r="F11" i="4" s="1"/>
  <c r="F11" i="3"/>
  <c r="G11" i="4" s="1"/>
  <c r="G11" i="3"/>
  <c r="H11" i="4" s="1"/>
  <c r="H11" i="3"/>
  <c r="I11" i="4" s="1"/>
  <c r="I11" i="3"/>
  <c r="J11" i="4" s="1"/>
  <c r="J11" i="3"/>
  <c r="K11" i="4" s="1"/>
  <c r="K11" i="3"/>
  <c r="L11" i="3"/>
  <c r="M11" i="4" s="1"/>
  <c r="M11" i="3"/>
  <c r="N11" i="4" s="1"/>
  <c r="N11" i="3"/>
  <c r="O11" i="4" s="1"/>
  <c r="O11" i="3"/>
  <c r="P11" i="4" s="1"/>
  <c r="P11" i="3"/>
  <c r="Q11" i="4" s="1"/>
  <c r="Q11" i="3"/>
  <c r="R11" i="4" s="1"/>
  <c r="R11" i="3"/>
  <c r="S11" i="4" s="1"/>
  <c r="B12" i="3"/>
  <c r="C12" i="4" s="1"/>
  <c r="C12" i="3"/>
  <c r="D12" i="4" s="1"/>
  <c r="D12" i="3"/>
  <c r="E12" i="4" s="1"/>
  <c r="E12" i="3"/>
  <c r="F12" i="4" s="1"/>
  <c r="F12" i="3"/>
  <c r="G12" i="3"/>
  <c r="H12" i="4" s="1"/>
  <c r="H12" i="3"/>
  <c r="I12" i="4" s="1"/>
  <c r="I12" i="3"/>
  <c r="J12" i="4" s="1"/>
  <c r="J12" i="3"/>
  <c r="K12" i="4" s="1"/>
  <c r="K12" i="3"/>
  <c r="L12" i="4" s="1"/>
  <c r="L12" i="3"/>
  <c r="M12" i="4" s="1"/>
  <c r="M12" i="3"/>
  <c r="N12" i="4" s="1"/>
  <c r="N12" i="3"/>
  <c r="O12" i="4" s="1"/>
  <c r="O12" i="3"/>
  <c r="P12" i="4" s="1"/>
  <c r="P12" i="3"/>
  <c r="Q12" i="4" s="1"/>
  <c r="Q12" i="3"/>
  <c r="R12" i="4" s="1"/>
  <c r="R12" i="3"/>
  <c r="B13" i="3"/>
  <c r="C13" i="4" s="1"/>
  <c r="C13" i="3"/>
  <c r="D13" i="4" s="1"/>
  <c r="D13" i="3"/>
  <c r="E13" i="4" s="1"/>
  <c r="E13" i="3"/>
  <c r="F13" i="4" s="1"/>
  <c r="F13" i="3"/>
  <c r="G13" i="4" s="1"/>
  <c r="G13" i="3"/>
  <c r="H13" i="4" s="1"/>
  <c r="H13" i="3"/>
  <c r="I13" i="4" s="1"/>
  <c r="I13" i="3"/>
  <c r="J13" i="4" s="1"/>
  <c r="J13" i="3"/>
  <c r="K13" i="4" s="1"/>
  <c r="K13" i="3"/>
  <c r="L13" i="4" s="1"/>
  <c r="L13" i="3"/>
  <c r="M13" i="4" s="1"/>
  <c r="M13" i="3"/>
  <c r="N13" i="3"/>
  <c r="O13" i="4" s="1"/>
  <c r="O13" i="3"/>
  <c r="P13" i="4" s="1"/>
  <c r="P13" i="3"/>
  <c r="Q13" i="4" s="1"/>
  <c r="Q13" i="3"/>
  <c r="R13" i="4" s="1"/>
  <c r="R13" i="3"/>
  <c r="S13" i="4" s="1"/>
  <c r="B14" i="3"/>
  <c r="C14" i="4" s="1"/>
  <c r="C14" i="3"/>
  <c r="D14" i="4" s="1"/>
  <c r="D14" i="3"/>
  <c r="E14" i="4" s="1"/>
  <c r="E14" i="3"/>
  <c r="F14" i="4" s="1"/>
  <c r="F14" i="3"/>
  <c r="G14" i="4" s="1"/>
  <c r="G14" i="3"/>
  <c r="H14" i="4" s="1"/>
  <c r="H14" i="3"/>
  <c r="I14" i="3"/>
  <c r="J14" i="4" s="1"/>
  <c r="J14" i="3"/>
  <c r="K14" i="4" s="1"/>
  <c r="K14" i="3"/>
  <c r="L14" i="4" s="1"/>
  <c r="L14" i="3"/>
  <c r="M14" i="4" s="1"/>
  <c r="M14" i="3"/>
  <c r="N14" i="4" s="1"/>
  <c r="N14" i="3"/>
  <c r="O14" i="4" s="1"/>
  <c r="O14" i="3"/>
  <c r="P14" i="4" s="1"/>
  <c r="P14" i="3"/>
  <c r="Q14" i="4" s="1"/>
  <c r="Q14" i="3"/>
  <c r="R14" i="4" s="1"/>
  <c r="R14" i="3"/>
  <c r="S14" i="4" s="1"/>
  <c r="B15" i="3"/>
  <c r="C15" i="4" s="1"/>
  <c r="C15" i="3"/>
  <c r="D15" i="3"/>
  <c r="E15" i="4" s="1"/>
  <c r="E15" i="3"/>
  <c r="F15" i="4" s="1"/>
  <c r="F15" i="3"/>
  <c r="G15" i="4" s="1"/>
  <c r="G15" i="3"/>
  <c r="H15" i="4" s="1"/>
  <c r="H15" i="3"/>
  <c r="I15" i="4" s="1"/>
  <c r="I15" i="3"/>
  <c r="J15" i="4" s="1"/>
  <c r="J15" i="3"/>
  <c r="K15" i="4" s="1"/>
  <c r="K15" i="3"/>
  <c r="L15" i="4" s="1"/>
  <c r="L15" i="3"/>
  <c r="M15" i="4" s="1"/>
  <c r="M15" i="3"/>
  <c r="N15" i="4" s="1"/>
  <c r="N15" i="3"/>
  <c r="O15" i="4" s="1"/>
  <c r="O15" i="3"/>
  <c r="P15" i="3"/>
  <c r="Q15" i="4" s="1"/>
  <c r="Q15" i="3"/>
  <c r="R15" i="4" s="1"/>
  <c r="R15" i="3"/>
  <c r="S15" i="4" s="1"/>
  <c r="B16" i="3"/>
  <c r="C16" i="4" s="1"/>
  <c r="C16" i="3"/>
  <c r="D16" i="4" s="1"/>
  <c r="D16" i="3"/>
  <c r="E16" i="4" s="1"/>
  <c r="E16" i="3"/>
  <c r="F16" i="4" s="1"/>
  <c r="F16" i="3"/>
  <c r="G16" i="4" s="1"/>
  <c r="G16" i="3"/>
  <c r="H16" i="4" s="1"/>
  <c r="H16" i="3"/>
  <c r="I16" i="4" s="1"/>
  <c r="I16" i="3"/>
  <c r="J16" i="4" s="1"/>
  <c r="J16" i="3"/>
  <c r="K16" i="3"/>
  <c r="L16" i="4" s="1"/>
  <c r="L16" i="3"/>
  <c r="M16" i="4" s="1"/>
  <c r="M16" i="3"/>
  <c r="N16" i="4" s="1"/>
  <c r="N16" i="3"/>
  <c r="O16" i="4" s="1"/>
  <c r="O16" i="3"/>
  <c r="P16" i="4" s="1"/>
  <c r="P16" i="3"/>
  <c r="Q16" i="4" s="1"/>
  <c r="Q16" i="3"/>
  <c r="R16" i="4" s="1"/>
  <c r="R16" i="3"/>
  <c r="S16" i="4" s="1"/>
  <c r="B17" i="3"/>
  <c r="C17" i="4" s="1"/>
  <c r="C17" i="3"/>
  <c r="D17" i="4" s="1"/>
  <c r="D17" i="3"/>
  <c r="E17" i="4" s="1"/>
  <c r="E17" i="3"/>
  <c r="F17" i="3"/>
  <c r="G17" i="4" s="1"/>
  <c r="G17" i="3"/>
  <c r="H17" i="4" s="1"/>
  <c r="H17" i="3"/>
  <c r="I17" i="4" s="1"/>
  <c r="I17" i="3"/>
  <c r="J17" i="4" s="1"/>
  <c r="J17" i="3"/>
  <c r="K17" i="4" s="1"/>
  <c r="K17" i="3"/>
  <c r="L17" i="4" s="1"/>
  <c r="L17" i="3"/>
  <c r="M17" i="4" s="1"/>
  <c r="M17" i="3"/>
  <c r="N17" i="4" s="1"/>
  <c r="N17" i="3"/>
  <c r="O17" i="4" s="1"/>
  <c r="O17" i="3"/>
  <c r="P17" i="4" s="1"/>
  <c r="P17" i="3"/>
  <c r="Q17" i="4" s="1"/>
  <c r="Q17" i="3"/>
  <c r="R17" i="3"/>
  <c r="S17" i="4" s="1"/>
  <c r="B18" i="3"/>
  <c r="C18" i="4" s="1"/>
  <c r="C18" i="3"/>
  <c r="D18" i="4" s="1"/>
  <c r="D18" i="3"/>
  <c r="E18" i="4" s="1"/>
  <c r="E18" i="3"/>
  <c r="F18" i="4" s="1"/>
  <c r="F18" i="3"/>
  <c r="G18" i="4" s="1"/>
  <c r="G18" i="3"/>
  <c r="H18" i="4" s="1"/>
  <c r="H18" i="3"/>
  <c r="I18" i="4" s="1"/>
  <c r="I18" i="3"/>
  <c r="J18" i="4" s="1"/>
  <c r="J18" i="3"/>
  <c r="K18" i="4" s="1"/>
  <c r="K18" i="3"/>
  <c r="L18" i="4" s="1"/>
  <c r="L18" i="3"/>
  <c r="M18" i="3"/>
  <c r="N18" i="4" s="1"/>
  <c r="N18" i="3"/>
  <c r="O18" i="4" s="1"/>
  <c r="O18" i="3"/>
  <c r="P18" i="4" s="1"/>
  <c r="P18" i="3"/>
  <c r="Q18" i="4" s="1"/>
  <c r="Q18" i="3"/>
  <c r="R18" i="4" s="1"/>
  <c r="R18" i="3"/>
  <c r="S18" i="4" s="1"/>
  <c r="B19" i="3"/>
  <c r="C19" i="4" s="1"/>
  <c r="C19" i="3"/>
  <c r="D19" i="4" s="1"/>
  <c r="D19" i="3"/>
  <c r="E19" i="4" s="1"/>
  <c r="E19" i="3"/>
  <c r="F19" i="4" s="1"/>
  <c r="F19" i="3"/>
  <c r="G19" i="4" s="1"/>
  <c r="G19" i="3"/>
  <c r="H19" i="3"/>
  <c r="I19" i="4" s="1"/>
  <c r="I19" i="3"/>
  <c r="J19" i="4" s="1"/>
  <c r="J19" i="3"/>
  <c r="K19" i="4" s="1"/>
  <c r="K19" i="3"/>
  <c r="L19" i="4" s="1"/>
  <c r="L19" i="3"/>
  <c r="M19" i="4" s="1"/>
  <c r="M19" i="3"/>
  <c r="N19" i="4" s="1"/>
  <c r="N19" i="3"/>
  <c r="O19" i="4" s="1"/>
  <c r="O19" i="3"/>
  <c r="P19" i="4" s="1"/>
  <c r="P19" i="3"/>
  <c r="Q19" i="4" s="1"/>
  <c r="Q19" i="3"/>
  <c r="R19" i="4" s="1"/>
  <c r="R19" i="3"/>
  <c r="S19" i="4" s="1"/>
  <c r="B20" i="3"/>
  <c r="C20" i="3"/>
  <c r="D20" i="4" s="1"/>
  <c r="D20" i="3"/>
  <c r="E20" i="4" s="1"/>
  <c r="E20" i="3"/>
  <c r="F20" i="4" s="1"/>
  <c r="F20" i="3"/>
  <c r="G20" i="4" s="1"/>
  <c r="G20" i="3"/>
  <c r="H20" i="4" s="1"/>
  <c r="H20" i="3"/>
  <c r="I20" i="4" s="1"/>
  <c r="I20" i="3"/>
  <c r="J20" i="4" s="1"/>
  <c r="J20" i="3"/>
  <c r="K20" i="4" s="1"/>
  <c r="K20" i="3"/>
  <c r="L20" i="4" s="1"/>
  <c r="L20" i="3"/>
  <c r="M20" i="4" s="1"/>
  <c r="M20" i="3"/>
  <c r="N20" i="4" s="1"/>
  <c r="N20" i="3"/>
  <c r="O20" i="3"/>
  <c r="P20" i="4" s="1"/>
  <c r="P20" i="3"/>
  <c r="Q20" i="4" s="1"/>
  <c r="Q20" i="3"/>
  <c r="R20" i="4" s="1"/>
  <c r="R20" i="3"/>
  <c r="S20" i="4" s="1"/>
  <c r="B21" i="3"/>
  <c r="C21" i="4" s="1"/>
  <c r="C21" i="3"/>
  <c r="D21" i="4" s="1"/>
  <c r="D21" i="3"/>
  <c r="E21" i="4" s="1"/>
  <c r="E21" i="3"/>
  <c r="F21" i="4" s="1"/>
  <c r="F21" i="3"/>
  <c r="G21" i="4" s="1"/>
  <c r="G21" i="3"/>
  <c r="H21" i="4" s="1"/>
  <c r="H21" i="3"/>
  <c r="I21" i="4" s="1"/>
  <c r="I21" i="3"/>
  <c r="J21" i="3"/>
  <c r="K21" i="4" s="1"/>
  <c r="K21" i="3"/>
  <c r="L21" i="4" s="1"/>
  <c r="L21" i="3"/>
  <c r="M21" i="4" s="1"/>
  <c r="M21" i="3"/>
  <c r="N21" i="4" s="1"/>
  <c r="N21" i="3"/>
  <c r="O21" i="4" s="1"/>
  <c r="O21" i="3"/>
  <c r="P21" i="4" s="1"/>
  <c r="P21" i="3"/>
  <c r="Q21" i="4" s="1"/>
  <c r="Q21" i="3"/>
  <c r="R21" i="4" s="1"/>
  <c r="R21" i="3"/>
  <c r="S21" i="4" s="1"/>
  <c r="B22" i="3"/>
  <c r="C22" i="4" s="1"/>
  <c r="C22" i="3"/>
  <c r="D22" i="4" s="1"/>
  <c r="D22" i="3"/>
  <c r="E22" i="3"/>
  <c r="F22" i="4" s="1"/>
  <c r="F22" i="3"/>
  <c r="G22" i="4" s="1"/>
  <c r="G22" i="3"/>
  <c r="H22" i="4" s="1"/>
  <c r="H22" i="3"/>
  <c r="I22" i="4" s="1"/>
  <c r="I22" i="3"/>
  <c r="J22" i="4" s="1"/>
  <c r="J22" i="3"/>
  <c r="K22" i="4" s="1"/>
  <c r="K22" i="3"/>
  <c r="L22" i="4" s="1"/>
  <c r="L22" i="3"/>
  <c r="M22" i="4" s="1"/>
  <c r="M22" i="3"/>
  <c r="N22" i="4" s="1"/>
  <c r="N22" i="3"/>
  <c r="O22" i="4" s="1"/>
  <c r="O22" i="3"/>
  <c r="P22" i="4" s="1"/>
  <c r="P22" i="3"/>
  <c r="Q22" i="3"/>
  <c r="R22" i="4" s="1"/>
  <c r="R22" i="3"/>
  <c r="S22" i="4" s="1"/>
  <c r="B23" i="3"/>
  <c r="C23" i="4" s="1"/>
  <c r="C23" i="3"/>
  <c r="D23" i="4" s="1"/>
  <c r="D23" i="3"/>
  <c r="E23" i="4" s="1"/>
  <c r="E23" i="3"/>
  <c r="F23" i="4" s="1"/>
  <c r="F23" i="3"/>
  <c r="G23" i="4" s="1"/>
  <c r="G23" i="3"/>
  <c r="H23" i="4" s="1"/>
  <c r="H23" i="3"/>
  <c r="I23" i="4" s="1"/>
  <c r="I23" i="3"/>
  <c r="J23" i="4" s="1"/>
  <c r="J23" i="3"/>
  <c r="K23" i="4" s="1"/>
  <c r="K23" i="3"/>
  <c r="L23" i="3"/>
  <c r="M23" i="4" s="1"/>
  <c r="M23" i="3"/>
  <c r="N23" i="4" s="1"/>
  <c r="N23" i="3"/>
  <c r="O23" i="4" s="1"/>
  <c r="O23" i="3"/>
  <c r="P23" i="4" s="1"/>
  <c r="P23" i="3"/>
  <c r="Q23" i="4" s="1"/>
  <c r="Q23" i="3"/>
  <c r="R23" i="4" s="1"/>
  <c r="R23" i="3"/>
  <c r="S23" i="4" s="1"/>
  <c r="B24" i="3"/>
  <c r="C24" i="4" s="1"/>
  <c r="C24" i="3"/>
  <c r="D24" i="4" s="1"/>
  <c r="D24" i="3"/>
  <c r="E24" i="4" s="1"/>
  <c r="E24" i="3"/>
  <c r="F24" i="4" s="1"/>
  <c r="F24" i="3"/>
  <c r="G24" i="3"/>
  <c r="H24" i="4" s="1"/>
  <c r="H24" i="3"/>
  <c r="I24" i="4" s="1"/>
  <c r="I24" i="3"/>
  <c r="J24" i="4" s="1"/>
  <c r="J24" i="3"/>
  <c r="K24" i="4" s="1"/>
  <c r="K24" i="3"/>
  <c r="L24" i="4" s="1"/>
  <c r="L24" i="3"/>
  <c r="M24" i="4" s="1"/>
  <c r="M24" i="3"/>
  <c r="N24" i="4" s="1"/>
  <c r="N24" i="3"/>
  <c r="O24" i="4" s="1"/>
  <c r="O24" i="3"/>
  <c r="P24" i="4" s="1"/>
  <c r="P24" i="3"/>
  <c r="Q24" i="4" s="1"/>
  <c r="Q24" i="3"/>
  <c r="R24" i="4" s="1"/>
  <c r="R24" i="3"/>
  <c r="B25" i="3"/>
  <c r="C25" i="4" s="1"/>
  <c r="C25" i="3"/>
  <c r="D25" i="4" s="1"/>
  <c r="D25" i="3"/>
  <c r="E25" i="4" s="1"/>
  <c r="E25" i="3"/>
  <c r="F25" i="4" s="1"/>
  <c r="F25" i="3"/>
  <c r="G25" i="4" s="1"/>
  <c r="G25" i="3"/>
  <c r="H25" i="4" s="1"/>
  <c r="H25" i="3"/>
  <c r="I25" i="4" s="1"/>
  <c r="I25" i="3"/>
  <c r="J25" i="4" s="1"/>
  <c r="J25" i="3"/>
  <c r="K25" i="4" s="1"/>
  <c r="K25" i="3"/>
  <c r="L25" i="4" s="1"/>
  <c r="L25" i="3"/>
  <c r="M25" i="4" s="1"/>
  <c r="M25" i="3"/>
  <c r="N25" i="3"/>
  <c r="O25" i="4" s="1"/>
  <c r="O25" i="3"/>
  <c r="P25" i="4" s="1"/>
  <c r="P25" i="3"/>
  <c r="Q25" i="4" s="1"/>
  <c r="Q25" i="3"/>
  <c r="R25" i="4" s="1"/>
  <c r="R25" i="3"/>
  <c r="S25" i="4" s="1"/>
  <c r="B26" i="3"/>
  <c r="C26" i="4" s="1"/>
  <c r="C26" i="3"/>
  <c r="D26" i="4" s="1"/>
  <c r="D26" i="3"/>
  <c r="E26" i="4" s="1"/>
  <c r="E26" i="3"/>
  <c r="F26" i="4" s="1"/>
  <c r="F26" i="3"/>
  <c r="G26" i="4" s="1"/>
  <c r="G26" i="3"/>
  <c r="H26" i="4" s="1"/>
  <c r="H26" i="3"/>
  <c r="I26" i="3"/>
  <c r="J26" i="4" s="1"/>
  <c r="J26" i="3"/>
  <c r="K26" i="4" s="1"/>
  <c r="K26" i="3"/>
  <c r="L26" i="4" s="1"/>
  <c r="L26" i="3"/>
  <c r="M26" i="4" s="1"/>
  <c r="M26" i="3"/>
  <c r="N26" i="4" s="1"/>
  <c r="N26" i="3"/>
  <c r="O26" i="4" s="1"/>
  <c r="O26" i="3"/>
  <c r="P26" i="4" s="1"/>
  <c r="P26" i="3"/>
  <c r="Q26" i="4" s="1"/>
  <c r="Q26" i="3"/>
  <c r="R26" i="4" s="1"/>
  <c r="R26" i="3"/>
  <c r="S26" i="4" s="1"/>
  <c r="B27" i="3"/>
  <c r="C27" i="4" s="1"/>
  <c r="C27" i="3"/>
  <c r="D27" i="3"/>
  <c r="E27" i="4" s="1"/>
  <c r="E27" i="3"/>
  <c r="F27" i="4" s="1"/>
  <c r="F27" i="3"/>
  <c r="G27" i="4" s="1"/>
  <c r="G27" i="3"/>
  <c r="H27" i="4" s="1"/>
  <c r="H27" i="3"/>
  <c r="I27" i="4" s="1"/>
  <c r="I27" i="3"/>
  <c r="J27" i="4" s="1"/>
  <c r="J27" i="3"/>
  <c r="K27" i="4" s="1"/>
  <c r="K27" i="3"/>
  <c r="L27" i="4" s="1"/>
  <c r="L27" i="3"/>
  <c r="M27" i="4" s="1"/>
  <c r="M27" i="3"/>
  <c r="N27" i="4" s="1"/>
  <c r="N27" i="3"/>
  <c r="O27" i="4" s="1"/>
  <c r="O27" i="3"/>
  <c r="P27" i="3"/>
  <c r="Q27" i="4" s="1"/>
  <c r="Q27" i="3"/>
  <c r="R27" i="4" s="1"/>
  <c r="R27" i="3"/>
  <c r="S27" i="4" s="1"/>
  <c r="B28" i="3"/>
  <c r="C28" i="4" s="1"/>
  <c r="C28" i="3"/>
  <c r="D28" i="4" s="1"/>
  <c r="D28" i="3"/>
  <c r="E28" i="4" s="1"/>
  <c r="E28" i="3"/>
  <c r="F28" i="4" s="1"/>
  <c r="F28" i="3"/>
  <c r="G28" i="4" s="1"/>
  <c r="G28" i="3"/>
  <c r="H28" i="4" s="1"/>
  <c r="H28" i="3"/>
  <c r="I28" i="4" s="1"/>
  <c r="I28" i="3"/>
  <c r="J28" i="4" s="1"/>
  <c r="J28" i="3"/>
  <c r="K28" i="3"/>
  <c r="L28" i="4" s="1"/>
  <c r="L28" i="3"/>
  <c r="M28" i="4" s="1"/>
  <c r="M28" i="3"/>
  <c r="N28" i="4" s="1"/>
  <c r="N28" i="3"/>
  <c r="O28" i="4" s="1"/>
  <c r="O28" i="3"/>
  <c r="P28" i="4" s="1"/>
  <c r="P28" i="3"/>
  <c r="Q28" i="4" s="1"/>
  <c r="Q28" i="3"/>
  <c r="R28" i="4" s="1"/>
  <c r="R28" i="3"/>
  <c r="S28" i="4" s="1"/>
  <c r="B29" i="3"/>
  <c r="C29" i="4" s="1"/>
  <c r="C29" i="3"/>
  <c r="D29" i="4" s="1"/>
  <c r="D29" i="3"/>
  <c r="E29" i="4" s="1"/>
  <c r="E29" i="3"/>
  <c r="F29" i="3"/>
  <c r="G29" i="4" s="1"/>
  <c r="G29" i="3"/>
  <c r="H29" i="4" s="1"/>
  <c r="H29" i="3"/>
  <c r="I29" i="4" s="1"/>
  <c r="I29" i="3"/>
  <c r="J29" i="4" s="1"/>
  <c r="J29" i="3"/>
  <c r="K29" i="4" s="1"/>
  <c r="K29" i="3"/>
  <c r="L29" i="4" s="1"/>
  <c r="L29" i="3"/>
  <c r="M29" i="4" s="1"/>
  <c r="M29" i="3"/>
  <c r="N29" i="4" s="1"/>
  <c r="N29" i="3"/>
  <c r="O29" i="4" s="1"/>
  <c r="O29" i="3"/>
  <c r="P29" i="4" s="1"/>
  <c r="P29" i="3"/>
  <c r="Q29" i="4" s="1"/>
  <c r="Q29" i="3"/>
  <c r="R29" i="3"/>
  <c r="S29" i="4" s="1"/>
  <c r="B30" i="3"/>
  <c r="C30" i="4" s="1"/>
  <c r="C30" i="3"/>
  <c r="D30" i="4" s="1"/>
  <c r="D30" i="3"/>
  <c r="E30" i="4" s="1"/>
  <c r="E30" i="3"/>
  <c r="F30" i="4" s="1"/>
  <c r="F30" i="3"/>
  <c r="G30" i="4" s="1"/>
  <c r="G30" i="3"/>
  <c r="H30" i="4" s="1"/>
  <c r="H30" i="3"/>
  <c r="I30" i="4" s="1"/>
  <c r="I30" i="3"/>
  <c r="J30" i="4" s="1"/>
  <c r="J30" i="3"/>
  <c r="K30" i="4" s="1"/>
  <c r="K30" i="3"/>
  <c r="L30" i="4" s="1"/>
  <c r="L30" i="3"/>
  <c r="M30" i="3"/>
  <c r="N30" i="4" s="1"/>
  <c r="N30" i="3"/>
  <c r="O30" i="4" s="1"/>
  <c r="O30" i="3"/>
  <c r="P30" i="4" s="1"/>
  <c r="P30" i="3"/>
  <c r="Q30" i="4" s="1"/>
  <c r="Q30" i="3"/>
  <c r="R30" i="4" s="1"/>
  <c r="R30" i="3"/>
  <c r="S30" i="4" s="1"/>
  <c r="B31" i="3"/>
  <c r="C31" i="4" s="1"/>
  <c r="C31" i="3"/>
  <c r="D31" i="4" s="1"/>
  <c r="D31" i="3"/>
  <c r="E31" i="4" s="1"/>
  <c r="E31" i="3"/>
  <c r="F31" i="4" s="1"/>
  <c r="F31" i="3"/>
  <c r="G31" i="4" s="1"/>
  <c r="G31" i="3"/>
  <c r="H31" i="3"/>
  <c r="I31" i="4" s="1"/>
  <c r="I31" i="3"/>
  <c r="J31" i="4" s="1"/>
  <c r="J31" i="3"/>
  <c r="K31" i="4" s="1"/>
  <c r="K31" i="3"/>
  <c r="L31" i="4" s="1"/>
  <c r="L31" i="3"/>
  <c r="M31" i="4" s="1"/>
  <c r="M31" i="3"/>
  <c r="N31" i="4" s="1"/>
  <c r="N31" i="3"/>
  <c r="O31" i="4" s="1"/>
  <c r="O31" i="3"/>
  <c r="P31" i="4" s="1"/>
  <c r="P31" i="3"/>
  <c r="Q31" i="4" s="1"/>
  <c r="Q31" i="3"/>
  <c r="R31" i="4" s="1"/>
  <c r="R31" i="3"/>
  <c r="S31" i="4" s="1"/>
  <c r="B32" i="3"/>
  <c r="C32" i="3"/>
  <c r="D32" i="4" s="1"/>
  <c r="D32" i="3"/>
  <c r="E32" i="4" s="1"/>
  <c r="E32" i="3"/>
  <c r="F32" i="4" s="1"/>
  <c r="F32" i="3"/>
  <c r="G32" i="4" s="1"/>
  <c r="G32" i="3"/>
  <c r="H32" i="4" s="1"/>
  <c r="H32" i="3"/>
  <c r="I32" i="4" s="1"/>
  <c r="I32" i="3"/>
  <c r="J32" i="4" s="1"/>
  <c r="J32" i="3"/>
  <c r="K32" i="4" s="1"/>
  <c r="K32" i="3"/>
  <c r="L32" i="4" s="1"/>
  <c r="L32" i="3"/>
  <c r="M32" i="4" s="1"/>
  <c r="M32" i="3"/>
  <c r="N32" i="4" s="1"/>
  <c r="N32" i="3"/>
  <c r="O32" i="3"/>
  <c r="P32" i="4" s="1"/>
  <c r="P32" i="3"/>
  <c r="Q32" i="4" s="1"/>
  <c r="Q32" i="3"/>
  <c r="R32" i="4" s="1"/>
  <c r="R32" i="3"/>
  <c r="S32" i="4" s="1"/>
  <c r="B33" i="3"/>
  <c r="C33" i="4" s="1"/>
  <c r="C33" i="3"/>
  <c r="D33" i="4" s="1"/>
  <c r="D33" i="3"/>
  <c r="E33" i="4" s="1"/>
  <c r="E33" i="3"/>
  <c r="F33" i="4" s="1"/>
  <c r="F33" i="3"/>
  <c r="G33" i="4" s="1"/>
  <c r="G33" i="3"/>
  <c r="H33" i="4" s="1"/>
  <c r="H33" i="3"/>
  <c r="I33" i="4" s="1"/>
  <c r="I33" i="3"/>
  <c r="J33" i="3"/>
  <c r="K33" i="4" s="1"/>
  <c r="K33" i="3"/>
  <c r="L33" i="4" s="1"/>
  <c r="L33" i="3"/>
  <c r="M33" i="4" s="1"/>
  <c r="M33" i="3"/>
  <c r="N33" i="4" s="1"/>
  <c r="N33" i="3"/>
  <c r="O33" i="4" s="1"/>
  <c r="O33" i="3"/>
  <c r="P33" i="4" s="1"/>
  <c r="P33" i="3"/>
  <c r="Q33" i="4" s="1"/>
  <c r="Q33" i="3"/>
  <c r="R33" i="4" s="1"/>
  <c r="R33" i="3"/>
  <c r="S33" i="4" s="1"/>
  <c r="B34" i="3"/>
  <c r="C34" i="4" s="1"/>
  <c r="C34" i="3"/>
  <c r="D34" i="4" s="1"/>
  <c r="D34" i="3"/>
  <c r="E34" i="3"/>
  <c r="F34" i="4" s="1"/>
  <c r="F34" i="3"/>
  <c r="G34" i="4" s="1"/>
  <c r="G34" i="3"/>
  <c r="H34" i="4" s="1"/>
  <c r="H34" i="3"/>
  <c r="I34" i="4" s="1"/>
  <c r="I34" i="3"/>
  <c r="J34" i="4" s="1"/>
  <c r="J34" i="3"/>
  <c r="K34" i="4" s="1"/>
  <c r="K34" i="3"/>
  <c r="L34" i="4" s="1"/>
  <c r="L34" i="3"/>
  <c r="M34" i="4" s="1"/>
  <c r="M34" i="3"/>
  <c r="N34" i="4" s="1"/>
  <c r="N34" i="3"/>
  <c r="O34" i="4" s="1"/>
  <c r="O34" i="3"/>
  <c r="P34" i="4" s="1"/>
  <c r="P34" i="3"/>
  <c r="Q34" i="3"/>
  <c r="R34" i="4" s="1"/>
  <c r="R34" i="3"/>
  <c r="S34" i="4" s="1"/>
  <c r="B35" i="3"/>
  <c r="C35" i="4" s="1"/>
  <c r="C35" i="3"/>
  <c r="D35" i="4" s="1"/>
  <c r="D35" i="3"/>
  <c r="E35" i="4" s="1"/>
  <c r="E35" i="3"/>
  <c r="F35" i="4" s="1"/>
  <c r="F35" i="3"/>
  <c r="G35" i="4" s="1"/>
  <c r="G35" i="3"/>
  <c r="H35" i="4" s="1"/>
  <c r="H35" i="3"/>
  <c r="I35" i="4" s="1"/>
  <c r="I35" i="3"/>
  <c r="J35" i="4" s="1"/>
  <c r="J35" i="3"/>
  <c r="K35" i="4" s="1"/>
  <c r="K35" i="3"/>
  <c r="L35" i="3"/>
  <c r="M35" i="4" s="1"/>
  <c r="M35" i="3"/>
  <c r="N35" i="4" s="1"/>
  <c r="N35" i="3"/>
  <c r="O35" i="4" s="1"/>
  <c r="O35" i="3"/>
  <c r="P35" i="4" s="1"/>
  <c r="P35" i="3"/>
  <c r="Q35" i="4" s="1"/>
  <c r="Q35" i="3"/>
  <c r="R35" i="4" s="1"/>
  <c r="R35" i="3"/>
  <c r="S35" i="4" s="1"/>
  <c r="B36" i="3"/>
  <c r="C36" i="4" s="1"/>
  <c r="C36" i="3"/>
  <c r="D36" i="4" s="1"/>
  <c r="D36" i="3"/>
  <c r="E36" i="4" s="1"/>
  <c r="E36" i="3"/>
  <c r="F36" i="4" s="1"/>
  <c r="F36" i="3"/>
  <c r="G36" i="3"/>
  <c r="H36" i="4" s="1"/>
  <c r="H36" i="3"/>
  <c r="I36" i="4" s="1"/>
  <c r="I36" i="3"/>
  <c r="J36" i="4" s="1"/>
  <c r="J36" i="3"/>
  <c r="K36" i="4" s="1"/>
  <c r="K36" i="3"/>
  <c r="L36" i="4" s="1"/>
  <c r="L36" i="3"/>
  <c r="M36" i="4" s="1"/>
  <c r="M36" i="3"/>
  <c r="N36" i="4" s="1"/>
  <c r="N36" i="3"/>
  <c r="O36" i="4" s="1"/>
  <c r="O36" i="3"/>
  <c r="P36" i="4" s="1"/>
  <c r="P36" i="3"/>
  <c r="Q36" i="4" s="1"/>
  <c r="Q36" i="3"/>
  <c r="R36" i="4" s="1"/>
  <c r="R36" i="3"/>
  <c r="B37" i="3"/>
  <c r="C37" i="4" s="1"/>
  <c r="C37" i="3"/>
  <c r="D37" i="4" s="1"/>
  <c r="D37" i="3"/>
  <c r="E37" i="4" s="1"/>
  <c r="E37" i="3"/>
  <c r="F37" i="4" s="1"/>
  <c r="F37" i="3"/>
  <c r="G37" i="4" s="1"/>
  <c r="G37" i="3"/>
  <c r="H37" i="4" s="1"/>
  <c r="H37" i="3"/>
  <c r="I37" i="3"/>
  <c r="J37" i="3"/>
  <c r="K37" i="4" s="1"/>
  <c r="K37" i="3"/>
  <c r="L37" i="4" s="1"/>
  <c r="L37" i="3"/>
  <c r="M37" i="4" s="1"/>
  <c r="M37" i="3"/>
  <c r="N37" i="3"/>
  <c r="O37" i="3"/>
  <c r="P37" i="4" s="1"/>
  <c r="P37" i="3"/>
  <c r="Q37" i="4" s="1"/>
  <c r="Q37" i="3"/>
  <c r="R37" i="4" s="1"/>
  <c r="R37" i="3"/>
  <c r="S37" i="4" s="1"/>
  <c r="C3" i="3"/>
  <c r="D3" i="3"/>
  <c r="E3" i="4" s="1"/>
  <c r="E3" i="3"/>
  <c r="F3" i="4" s="1"/>
  <c r="F3" i="3"/>
  <c r="G3" i="4" s="1"/>
  <c r="G3" i="3"/>
  <c r="H3" i="4" s="1"/>
  <c r="H3" i="3"/>
  <c r="I3" i="4" s="1"/>
  <c r="I3" i="3"/>
  <c r="J3" i="4" s="1"/>
  <c r="J3" i="3"/>
  <c r="K3" i="4" s="1"/>
  <c r="K3" i="3"/>
  <c r="L3" i="4" s="1"/>
  <c r="L3" i="3"/>
  <c r="M3" i="4" s="1"/>
  <c r="M3" i="3"/>
  <c r="N3" i="4" s="1"/>
  <c r="N3" i="3"/>
  <c r="O3" i="4" s="1"/>
  <c r="O3" i="3"/>
  <c r="P3" i="3"/>
  <c r="Q3" i="4" s="1"/>
  <c r="Q3" i="3"/>
  <c r="R3" i="4" s="1"/>
  <c r="R3" i="3"/>
  <c r="S3" i="4" s="1"/>
  <c r="B3" i="3"/>
  <c r="C3" i="4" s="1"/>
  <c r="U38" i="1"/>
  <c r="V38" i="1"/>
  <c r="W38" i="1"/>
  <c r="X38" i="1"/>
  <c r="Y38" i="1"/>
  <c r="Z38" i="1"/>
  <c r="AA38" i="1"/>
  <c r="AB38" i="1"/>
  <c r="AC38" i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D38" i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E38" i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F38" i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G38" i="1"/>
  <c r="AH38" i="1"/>
  <c r="AI38" i="1"/>
  <c r="AJ38" i="1"/>
  <c r="U39" i="1"/>
  <c r="V39" i="1"/>
  <c r="W39" i="1"/>
  <c r="X39" i="1"/>
  <c r="Y39" i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Z39" i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AA39" i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B39" i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G39" i="1"/>
  <c r="AH39" i="1"/>
  <c r="AI39" i="1"/>
  <c r="AJ39" i="1"/>
  <c r="U40" i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V40" i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W40" i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X40" i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AG40" i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H40" i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I40" i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J40" i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T39" i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38" i="1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AK39" i="1"/>
  <c r="AL39" i="1"/>
  <c r="AM39" i="1"/>
  <c r="AN39" i="1"/>
  <c r="AO39" i="1"/>
  <c r="AP39" i="1"/>
  <c r="AQ39" i="1"/>
  <c r="AR39" i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S39" i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T39" i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U39" i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V39" i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W39" i="1"/>
  <c r="AX39" i="1"/>
  <c r="AY39" i="1"/>
  <c r="AZ39" i="1"/>
  <c r="BA39" i="1"/>
  <c r="AK40" i="1"/>
  <c r="AL40" i="1"/>
  <c r="AM40" i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N40" i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O40" i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P40" i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Q40" i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W40" i="1"/>
  <c r="AX40" i="1"/>
  <c r="AY40" i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Z40" i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BA40" i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AK41" i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L41" i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W41" i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X41" i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AK38" i="1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S9" i="2"/>
  <c r="J37" i="4" l="1"/>
  <c r="AU38" i="3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AU63" i="3" s="1"/>
  <c r="I37" i="4"/>
  <c r="O37" i="4"/>
</calcChain>
</file>

<file path=xl/sharedStrings.xml><?xml version="1.0" encoding="utf-8"?>
<sst xmlns="http://schemas.openxmlformats.org/spreadsheetml/2006/main" count="515" uniqueCount="56">
  <si>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</si>
  <si>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</si>
  <si>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</si>
  <si>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</si>
  <si>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</si>
  <si>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</si>
  <si>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</si>
  <si>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</si>
  <si>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</si>
  <si>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</si>
  <si>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12_MEA</t>
  </si>
  <si>
    <t>13_AFR</t>
  </si>
  <si>
    <t>15_SAS</t>
  </si>
  <si>
    <t>Historical</t>
  </si>
  <si>
    <t>11_RFSU</t>
  </si>
  <si>
    <t>14_RCPA</t>
  </si>
  <si>
    <t>16_RPAS</t>
  </si>
  <si>
    <t>17_RPAO</t>
  </si>
  <si>
    <t>Frozen</t>
  </si>
  <si>
    <t>Projection</t>
  </si>
  <si>
    <t>TES (ktoe)</t>
  </si>
  <si>
    <t>EDGAR IEA CO2 Emission ktCO2</t>
  </si>
  <si>
    <t>World Bank POP Person</t>
  </si>
  <si>
    <t>World Bank GDP constant 2021 international $</t>
  </si>
  <si>
    <t>P</t>
  </si>
  <si>
    <t>GDP/P</t>
  </si>
  <si>
    <t>TES/GDP</t>
  </si>
  <si>
    <t>E/PES</t>
  </si>
  <si>
    <t>Emission</t>
  </si>
  <si>
    <t>2014-2023</t>
  </si>
  <si>
    <t>BAU(REF)</t>
  </si>
  <si>
    <t>지역 코드</t>
  </si>
  <si>
    <t>지역명 (추정)</t>
  </si>
  <si>
    <t>기존 2030 NDC</t>
  </si>
  <si>
    <t>추천안 (넷제로 연계 경로)</t>
  </si>
  <si>
    <t>대안 (2030 트렌드 연장)</t>
  </si>
  <si>
    <t>한국</t>
  </si>
  <si>
    <t>중국</t>
  </si>
  <si>
    <t>일본</t>
  </si>
  <si>
    <t>러시아</t>
  </si>
  <si>
    <t>몽골</t>
  </si>
  <si>
    <t>북한</t>
  </si>
  <si>
    <t>북미 (미국·캐나다)</t>
  </si>
  <si>
    <t>라틴아메리카</t>
  </si>
  <si>
    <t>서유럽 (EU 등)</t>
  </si>
  <si>
    <t>동유럽</t>
  </si>
  <si>
    <t>구소련 잔여지역</t>
  </si>
  <si>
    <t>중동</t>
  </si>
  <si>
    <t>아프리카</t>
  </si>
  <si>
    <t>아시아 중앙계획경제</t>
  </si>
  <si>
    <t>남아시아 (인도 등)</t>
  </si>
  <si>
    <t>아태 잔여지역</t>
  </si>
  <si>
    <t>아태 선진지역 (오세아니아)</t>
  </si>
  <si>
    <t>PERMIT_NDC</t>
  </si>
  <si>
    <t>PERMIT_REF</t>
  </si>
  <si>
    <t>PERMIT_NZ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</si>
</sst>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"/>
    <numFmt numFmtId="167" formatCode="0.0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1" xfId="1" applyNumberFormat="1" applyFont="1" applyBorder="1"/>
    <xf numFmtId="0" fontId="0" fillId="2" borderId="0" xfId="0" applyFill="1"/>
    <xf numFmtId="165" fontId="0" fillId="0" borderId="0" xfId="2" applyNumberFormat="1" applyFont="1"/>
    <xf numFmtId="0" fontId="0" fillId="0" borderId="0" xfId="0" applyAlignment="1">
      <alignment horizontal="center" vertical="center"/>
    </xf>
    <xf numFmtId="164" fontId="0" fillId="0" borderId="1" xfId="0" applyNumberFormat="1" applyBorder="1"/>
    <xf numFmtId="0" fontId="0" fillId="2" borderId="1" xfId="0" applyFill="1" applyBorder="1"/>
    <xf numFmtId="0" fontId="0" fillId="0" borderId="0" xfId="0" applyAlignment="1"/>
    <xf numFmtId="0" fontId="0" fillId="0" borderId="1" xfId="0" applyBorder="1" applyAlignment="1"/>
    <xf numFmtId="0" fontId="0" fillId="0" borderId="0" xfId="0" applyAlignment="1">
      <alignment vertical="center"/>
    </xf>
    <xf numFmtId="2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5" fontId="0" fillId="0" borderId="1" xfId="2" applyNumberFormat="1" applyFont="1" applyBorder="1"/>
    <xf numFmtId="167" fontId="0" fillId="0" borderId="0" xfId="0" applyNumberFormat="1"/>
    <xf numFmtId="2" fontId="0" fillId="0" borderId="0" xfId="0" applyNumberFormat="1" applyAlignment="1">
      <alignment horizontal="right" indent="3"/>
    </xf>
    <xf numFmtId="166" fontId="0" fillId="0" borderId="1" xfId="0" applyNumberFormat="1" applyBorder="1" applyAlignment="1"/>
    <xf numFmtId="165" fontId="0" fillId="0" borderId="1" xfId="2" applyNumberFormat="1" applyFont="1" applyBorder="1" applyAlignment="1"/>
    <xf numFmtId="2" fontId="0" fillId="0" borderId="0" xfId="0" applyNumberFormat="1" applyAlignment="1">
      <alignment horizontal="right"/>
    </xf>
    <xf numFmtId="164" fontId="0" fillId="2" borderId="1" xfId="1" applyNumberFormat="1" applyFont="1" applyFill="1" applyBorder="1"/>
    <xf numFmtId="164" fontId="0" fillId="3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9" xfId="0" applyBorder="1"/>
    <xf numFmtId="0" fontId="0" fillId="0" borderId="10" xfId="0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  <xf numFmtId="2" fontId="0" fillId="4" borderId="12" xfId="0" applyNumberFormat="1" applyFill="1" applyBorder="1"/>
    <xf numFmtId="0" fontId="0" fillId="4" borderId="1" xfId="0" applyFill="1" applyBorder="1"/>
    <xf numFmtId="0" fontId="0" fillId="0" borderId="14" xfId="0" applyBorder="1"/>
    <xf numFmtId="0" fontId="0" fillId="0" borderId="15" xfId="0" applyBorder="1"/>
    <xf numFmtId="0" fontId="0" fillId="3" borderId="16" xfId="0" applyFill="1" applyBorder="1"/>
    <xf numFmtId="0" fontId="0" fillId="0" borderId="17" xfId="0" applyBorder="1"/>
    <xf numFmtId="0" fontId="0" fillId="0" borderId="0" xfId="0" applyBorder="1"/>
    <xf numFmtId="2" fontId="0" fillId="0" borderId="0" xfId="0" applyNumberFormat="1" applyBorder="1"/>
    <xf numFmtId="2" fontId="0" fillId="3" borderId="18" xfId="0" applyNumberFormat="1" applyFill="1" applyBorder="1"/>
    <xf numFmtId="0" fontId="0" fillId="0" borderId="19" xfId="0" applyBorder="1"/>
    <xf numFmtId="0" fontId="0" fillId="0" borderId="20" xfId="0" applyBorder="1"/>
    <xf numFmtId="2" fontId="0" fillId="0" borderId="20" xfId="0" applyNumberFormat="1" applyBorder="1"/>
    <xf numFmtId="2" fontId="0" fillId="3" borderId="2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KAYA!$AJ$2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KAYA!$AJ$3:$AJ$36</c:f>
              <c:numCache>
                <c:formatCode>0.0000000000000</c:formatCode>
                <c:ptCount val="34"/>
                <c:pt idx="0">
                  <c:v>1.4522456440265589E-7</c:v>
                </c:pt>
                <c:pt idx="1">
                  <c:v>1.4317480467544725E-7</c:v>
                </c:pt>
                <c:pt idx="2">
                  <c:v>1.532402303347893E-7</c:v>
                </c:pt>
                <c:pt idx="3">
                  <c:v>1.6054124952100397E-7</c:v>
                </c:pt>
                <c:pt idx="4">
                  <c:v>1.5583412973394313E-7</c:v>
                </c:pt>
                <c:pt idx="5">
                  <c:v>1.5626215180420949E-7</c:v>
                </c:pt>
                <c:pt idx="6">
                  <c:v>1.5632131616332806E-7</c:v>
                </c:pt>
                <c:pt idx="7">
                  <c:v>1.5767070964464481E-7</c:v>
                </c:pt>
                <c:pt idx="8">
                  <c:v>1.5337714405101142E-7</c:v>
                </c:pt>
                <c:pt idx="9">
                  <c:v>1.5034710043458281E-7</c:v>
                </c:pt>
                <c:pt idx="10">
                  <c:v>1.4968715230993026E-7</c:v>
                </c:pt>
                <c:pt idx="11">
                  <c:v>1.4296600505616956E-7</c:v>
                </c:pt>
                <c:pt idx="12">
                  <c:v>1.3925626445971143E-7</c:v>
                </c:pt>
                <c:pt idx="13">
                  <c:v>1.372697066015645E-7</c:v>
                </c:pt>
                <c:pt idx="14">
                  <c:v>1.3474553181490708E-7</c:v>
                </c:pt>
                <c:pt idx="15">
                  <c:v>1.3149982325941639E-7</c:v>
                </c:pt>
                <c:pt idx="16">
                  <c:v>1.2598311531207374E-7</c:v>
                </c:pt>
                <c:pt idx="17">
                  <c:v>1.2378132505083514E-7</c:v>
                </c:pt>
                <c:pt idx="18">
                  <c:v>1.2176103358791838E-7</c:v>
                </c:pt>
                <c:pt idx="19">
                  <c:v>1.2259720841935125E-7</c:v>
                </c:pt>
                <c:pt idx="20">
                  <c:v>1.2433252895579858E-7</c:v>
                </c:pt>
                <c:pt idx="21">
                  <c:v>1.2561543024063957E-7</c:v>
                </c:pt>
                <c:pt idx="22">
                  <c:v>1.2333243053764708E-7</c:v>
                </c:pt>
                <c:pt idx="23">
                  <c:v>1.1960288997018985E-7</c:v>
                </c:pt>
                <c:pt idx="24">
                  <c:v>1.1726423343905469E-7</c:v>
                </c:pt>
                <c:pt idx="25">
                  <c:v>1.1681400400414967E-7</c:v>
                </c:pt>
                <c:pt idx="26">
                  <c:v>1.1696780400407516E-7</c:v>
                </c:pt>
                <c:pt idx="27">
                  <c:v>1.1502295950088823E-7</c:v>
                </c:pt>
                <c:pt idx="28">
                  <c:v>1.1327618649910155E-7</c:v>
                </c:pt>
                <c:pt idx="29">
                  <c:v>1.0714161558974391E-7</c:v>
                </c:pt>
                <c:pt idx="30">
                  <c:v>1.0523556492393689E-7</c:v>
                </c:pt>
                <c:pt idx="31">
                  <c:v>1.0660895370797837E-7</c:v>
                </c:pt>
                <c:pt idx="32">
                  <c:v>1.0167418691453124E-7</c:v>
                </c:pt>
                <c:pt idx="33">
                  <c:v>9.8778271325180121E-8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8-41E1-AEEA-F314A505388B}"/>
            </c:ext>
          </c:extLst>
        </c:ser>
        <c:ser>
          <c:idx val="1"/>
          <c:order val="1"/>
          <c:tx>
            <c:strRef>
              <c:f>KAYA!$AK$2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KAYA!$AK$3:$AK$36</c:f>
              <c:numCache>
                <c:formatCode>0.0000000000000</c:formatCode>
                <c:ptCount val="34"/>
                <c:pt idx="0">
                  <c:v>4.2805689159844093E-7</c:v>
                </c:pt>
                <c:pt idx="1">
                  <c:v>3.8144535196265743E-7</c:v>
                </c:pt>
                <c:pt idx="2">
                  <c:v>3.4778479340745734E-7</c:v>
                </c:pt>
                <c:pt idx="3">
                  <c:v>3.246964651855462E-7</c:v>
                </c:pt>
                <c:pt idx="4">
                  <c:v>3.0229592563711752E-7</c:v>
                </c:pt>
                <c:pt idx="5">
                  <c:v>2.9380829637585707E-7</c:v>
                </c:pt>
                <c:pt idx="6">
                  <c:v>2.7454655605347418E-7</c:v>
                </c:pt>
                <c:pt idx="7">
                  <c:v>2.5183728168367877E-7</c:v>
                </c:pt>
                <c:pt idx="8">
                  <c:v>2.3689196245935441E-7</c:v>
                </c:pt>
                <c:pt idx="9">
                  <c:v>2.2496586881612263E-7</c:v>
                </c:pt>
                <c:pt idx="10">
                  <c:v>2.1262658734475583E-7</c:v>
                </c:pt>
                <c:pt idx="11">
                  <c:v>2.0350276558781708E-7</c:v>
                </c:pt>
                <c:pt idx="12">
                  <c:v>1.9900297744145191E-7</c:v>
                </c:pt>
                <c:pt idx="13">
                  <c:v>2.0626591206892844E-7</c:v>
                </c:pt>
                <c:pt idx="14">
                  <c:v>2.1264072239342092E-7</c:v>
                </c:pt>
                <c:pt idx="15">
                  <c:v>2.1065329312407837E-7</c:v>
                </c:pt>
                <c:pt idx="16">
                  <c:v>2.0482958934237946E-7</c:v>
                </c:pt>
                <c:pt idx="17">
                  <c:v>1.9360879404059524E-7</c:v>
                </c:pt>
                <c:pt idx="18">
                  <c:v>1.8164779321140437E-7</c:v>
                </c:pt>
                <c:pt idx="19">
                  <c:v>1.7753701406428245E-7</c:v>
                </c:pt>
                <c:pt idx="20">
                  <c:v>1.7729805190650771E-7</c:v>
                </c:pt>
                <c:pt idx="21">
                  <c:v>1.7400274562240974E-7</c:v>
                </c:pt>
                <c:pt idx="22">
                  <c:v>1.6724497675153613E-7</c:v>
                </c:pt>
                <c:pt idx="23">
                  <c:v>1.6025200745981662E-7</c:v>
                </c:pt>
                <c:pt idx="24">
                  <c:v>1.5303714222083111E-7</c:v>
                </c:pt>
                <c:pt idx="25">
                  <c:v>1.4391677773890182E-7</c:v>
                </c:pt>
                <c:pt idx="26">
                  <c:v>1.3409307869531516E-7</c:v>
                </c:pt>
                <c:pt idx="27">
                  <c:v>1.3012079874601729E-7</c:v>
                </c:pt>
                <c:pt idx="28">
                  <c:v>1.2778667466607353E-7</c:v>
                </c:pt>
                <c:pt idx="29">
                  <c:v>1.2561392487663423E-7</c:v>
                </c:pt>
                <c:pt idx="30">
                  <c:v>1.2664626547106625E-7</c:v>
                </c:pt>
                <c:pt idx="31">
                  <c:v>1.2424135953114465E-7</c:v>
                </c:pt>
                <c:pt idx="32">
                  <c:v>1.2296455562284608E-7</c:v>
                </c:pt>
                <c:pt idx="33">
                  <c:v>1.2413764601787502E-7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8-41E1-AEEA-F314A505388B}"/>
            </c:ext>
          </c:extLst>
        </c:ser>
        <c:ser>
          <c:idx val="2"/>
          <c:order val="2"/>
          <c:tx>
            <c:strRef>
              <c:f>KAYA!$AL$2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KAYA!$AL$3:$AL$36</c:f>
              <c:numCache>
                <c:formatCode>0.0000000000000</c:formatCode>
                <c:ptCount val="34"/>
                <c:pt idx="0">
                  <c:v>1.0031611265958311E-7</c:v>
                </c:pt>
                <c:pt idx="1">
                  <c:v>9.7902034572545042E-8</c:v>
                </c:pt>
                <c:pt idx="2">
                  <c:v>9.9182432807000542E-8</c:v>
                </c:pt>
                <c:pt idx="3">
                  <c:v>1.0023918932720349E-7</c:v>
                </c:pt>
                <c:pt idx="4">
                  <c:v>1.0456674390328515E-7</c:v>
                </c:pt>
                <c:pt idx="5">
                  <c:v>1.0457733420451451E-7</c:v>
                </c:pt>
                <c:pt idx="6">
                  <c:v>1.0357122194623562E-7</c:v>
                </c:pt>
                <c:pt idx="7">
                  <c:v>1.0362402504851791E-7</c:v>
                </c:pt>
                <c:pt idx="8">
                  <c:v>1.0305002493891373E-7</c:v>
                </c:pt>
                <c:pt idx="9">
                  <c:v>1.0505560178049042E-7</c:v>
                </c:pt>
                <c:pt idx="10">
                  <c:v>1.0426715055493005E-7</c:v>
                </c:pt>
                <c:pt idx="11">
                  <c:v>1.0214728721539466E-7</c:v>
                </c:pt>
                <c:pt idx="12">
                  <c:v>1.0241431496781124E-7</c:v>
                </c:pt>
                <c:pt idx="13">
                  <c:v>1.0017011447509011E-7</c:v>
                </c:pt>
                <c:pt idx="14">
                  <c:v>1.0124689271142747E-7</c:v>
                </c:pt>
                <c:pt idx="15">
                  <c:v>9.8998431084867354E-8</c:v>
                </c:pt>
                <c:pt idx="16">
                  <c:v>9.7670102828143954E-8</c:v>
                </c:pt>
                <c:pt idx="17">
                  <c:v>9.5320011440148173E-8</c:v>
                </c:pt>
                <c:pt idx="18">
                  <c:v>9.2858267849718226E-8</c:v>
                </c:pt>
                <c:pt idx="19">
                  <c:v>9.4426444921986083E-8</c:v>
                </c:pt>
                <c:pt idx="20">
                  <c:v>9.5402171400887096E-8</c:v>
                </c:pt>
                <c:pt idx="21">
                  <c:v>8.8367463794360043E-8</c:v>
                </c:pt>
                <c:pt idx="22">
                  <c:v>8.5023178115179173E-8</c:v>
                </c:pt>
                <c:pt idx="23">
                  <c:v>8.3952685403626743E-8</c:v>
                </c:pt>
                <c:pt idx="24">
                  <c:v>8.0746124460304994E-8</c:v>
                </c:pt>
                <c:pt idx="25">
                  <c:v>7.8378672767734442E-8</c:v>
                </c:pt>
                <c:pt idx="26">
                  <c:v>7.7073298789470719E-8</c:v>
                </c:pt>
                <c:pt idx="27">
                  <c:v>7.6194344987003929E-8</c:v>
                </c:pt>
                <c:pt idx="28">
                  <c:v>7.4541066643174358E-8</c:v>
                </c:pt>
                <c:pt idx="29">
                  <c:v>7.2916477005829068E-8</c:v>
                </c:pt>
                <c:pt idx="30">
                  <c:v>7.0869484750114253E-8</c:v>
                </c:pt>
                <c:pt idx="31">
                  <c:v>7.2055343429594431E-8</c:v>
                </c:pt>
                <c:pt idx="32">
                  <c:v>6.9590741457791971E-8</c:v>
                </c:pt>
                <c:pt idx="33">
                  <c:v>6.6271917755308904E-8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8-41E1-AEEA-F314A505388B}"/>
            </c:ext>
          </c:extLst>
        </c:ser>
        <c:ser>
          <c:idx val="3"/>
          <c:order val="3"/>
          <c:tx>
            <c:strRef>
              <c:f>KAYA!$AM$2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KAYA!$AM$3:$AM$36</c:f>
              <c:numCache>
                <c:formatCode>0.0000000000000</c:formatCode>
                <c:ptCount val="34"/>
                <c:pt idx="0">
                  <c:v>2.0047090237190505E-7</c:v>
                </c:pt>
                <c:pt idx="1">
                  <c:v>2.0921404778669016E-7</c:v>
                </c:pt>
                <c:pt idx="2">
                  <c:v>2.2353525202742635E-7</c:v>
                </c:pt>
                <c:pt idx="3">
                  <c:v>2.3106063898465755E-7</c:v>
                </c:pt>
                <c:pt idx="4">
                  <c:v>2.3114825038326481E-7</c:v>
                </c:pt>
                <c:pt idx="5">
                  <c:v>2.3369639009157902E-7</c:v>
                </c:pt>
                <c:pt idx="6">
                  <c:v>2.4037426000456595E-7</c:v>
                </c:pt>
                <c:pt idx="7">
                  <c:v>2.2643259323317767E-7</c:v>
                </c:pt>
                <c:pt idx="8">
                  <c:v>2.335262415286489E-7</c:v>
                </c:pt>
                <c:pt idx="9">
                  <c:v>2.2734474131852509E-7</c:v>
                </c:pt>
                <c:pt idx="10">
                  <c:v>2.1014881973086083E-7</c:v>
                </c:pt>
                <c:pt idx="11">
                  <c:v>2.0207010664052247E-7</c:v>
                </c:pt>
                <c:pt idx="12">
                  <c:v>1.9218196546397495E-7</c:v>
                </c:pt>
                <c:pt idx="13">
                  <c:v>1.854620277740746E-7</c:v>
                </c:pt>
                <c:pt idx="14">
                  <c:v>1.7357210911860032E-7</c:v>
                </c:pt>
                <c:pt idx="15">
                  <c:v>1.6419946894564556E-7</c:v>
                </c:pt>
                <c:pt idx="16">
                  <c:v>1.5618700661821355E-7</c:v>
                </c:pt>
                <c:pt idx="17">
                  <c:v>1.443586119645085E-7</c:v>
                </c:pt>
                <c:pt idx="18">
                  <c:v>1.4042133488474863E-7</c:v>
                </c:pt>
                <c:pt idx="19">
                  <c:v>1.4308468570200562E-7</c:v>
                </c:pt>
                <c:pt idx="20">
                  <c:v>1.4678890094369893E-7</c:v>
                </c:pt>
                <c:pt idx="21">
                  <c:v>1.4528337775455414E-7</c:v>
                </c:pt>
                <c:pt idx="22">
                  <c:v>1.4146570418701822E-7</c:v>
                </c:pt>
                <c:pt idx="23">
                  <c:v>1.3568367444028632E-7</c:v>
                </c:pt>
                <c:pt idx="24">
                  <c:v>1.3498249722380539E-7</c:v>
                </c:pt>
                <c:pt idx="25">
                  <c:v>1.3495130110697614E-7</c:v>
                </c:pt>
                <c:pt idx="26">
                  <c:v>1.3874442694051526E-7</c:v>
                </c:pt>
                <c:pt idx="27">
                  <c:v>1.3880580025998008E-7</c:v>
                </c:pt>
                <c:pt idx="28">
                  <c:v>1.4212123866749962E-7</c:v>
                </c:pt>
                <c:pt idx="29">
                  <c:v>1.3394259028984164E-7</c:v>
                </c:pt>
                <c:pt idx="30">
                  <c:v>1.370092005398229E-7</c:v>
                </c:pt>
                <c:pt idx="31">
                  <c:v>1.4531382651487565E-7</c:v>
                </c:pt>
                <c:pt idx="32">
                  <c:v>1.4682412123507971E-7</c:v>
                </c:pt>
                <c:pt idx="33">
                  <c:v>1.3551579518226601E-7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A8-41E1-AEEA-F314A505388B}"/>
            </c:ext>
          </c:extLst>
        </c:ser>
        <c:ser>
          <c:idx val="4"/>
          <c:order val="4"/>
          <c:tx>
            <c:strRef>
              <c:f>KAYA!$AN$2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KAYA!$AN$3:$AN$36</c:f>
              <c:numCache>
                <c:formatCode>0.0000000000000</c:formatCode>
                <c:ptCount val="34"/>
                <c:pt idx="0">
                  <c:v>2.5080666830696971E-7</c:v>
                </c:pt>
                <c:pt idx="1">
                  <c:v>3.0064696917917764E-7</c:v>
                </c:pt>
                <c:pt idx="2">
                  <c:v>2.8961865888381448E-7</c:v>
                </c:pt>
                <c:pt idx="3">
                  <c:v>2.7949494184646131E-7</c:v>
                </c:pt>
                <c:pt idx="4">
                  <c:v>2.3617503882713965E-7</c:v>
                </c:pt>
                <c:pt idx="5">
                  <c:v>2.2073830080179488E-7</c:v>
                </c:pt>
                <c:pt idx="6">
                  <c:v>1.8168115642515962E-7</c:v>
                </c:pt>
                <c:pt idx="7">
                  <c:v>1.7102787300388423E-7</c:v>
                </c:pt>
                <c:pt idx="8">
                  <c:v>1.6683172612059632E-7</c:v>
                </c:pt>
                <c:pt idx="9">
                  <c:v>1.6208404706529221E-7</c:v>
                </c:pt>
                <c:pt idx="10">
                  <c:v>1.7230022878261726E-7</c:v>
                </c:pt>
                <c:pt idx="11">
                  <c:v>1.6860298599901468E-7</c:v>
                </c:pt>
                <c:pt idx="12">
                  <c:v>1.7236341523600248E-7</c:v>
                </c:pt>
                <c:pt idx="13">
                  <c:v>1.5732311100683065E-7</c:v>
                </c:pt>
                <c:pt idx="14">
                  <c:v>1.4644624311267999E-7</c:v>
                </c:pt>
                <c:pt idx="15">
                  <c:v>1.5730943456165927E-7</c:v>
                </c:pt>
                <c:pt idx="16">
                  <c:v>1.6537723263793474E-7</c:v>
                </c:pt>
                <c:pt idx="17">
                  <c:v>1.5667385440147783E-7</c:v>
                </c:pt>
                <c:pt idx="18">
                  <c:v>1.4444318334448554E-7</c:v>
                </c:pt>
                <c:pt idx="19">
                  <c:v>1.5204421636979312E-7</c:v>
                </c:pt>
                <c:pt idx="20">
                  <c:v>1.5142267280304125E-7</c:v>
                </c:pt>
                <c:pt idx="21">
                  <c:v>1.4130252086533438E-7</c:v>
                </c:pt>
                <c:pt idx="22">
                  <c:v>1.3079705696480821E-7</c:v>
                </c:pt>
                <c:pt idx="23">
                  <c:v>1.3402396927627137E-7</c:v>
                </c:pt>
                <c:pt idx="24">
                  <c:v>1.2790398753013898E-7</c:v>
                </c:pt>
                <c:pt idx="25">
                  <c:v>1.098798934388449E-7</c:v>
                </c:pt>
                <c:pt idx="26">
                  <c:v>1.1558769478282337E-7</c:v>
                </c:pt>
                <c:pt idx="27">
                  <c:v>1.1263415423338068E-7</c:v>
                </c:pt>
                <c:pt idx="28">
                  <c:v>1.1720847750243888E-7</c:v>
                </c:pt>
                <c:pt idx="29">
                  <c:v>1.2891344294919793E-7</c:v>
                </c:pt>
                <c:pt idx="30">
                  <c:v>1.2115626844599747E-7</c:v>
                </c:pt>
                <c:pt idx="31">
                  <c:v>1.3145607302146869E-7</c:v>
                </c:pt>
                <c:pt idx="32">
                  <c:v>1.2502737337244724E-7</c:v>
                </c:pt>
                <c:pt idx="33">
                  <c:v>1.3414783822565666E-7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A8-41E1-AEEA-F314A505388B}"/>
            </c:ext>
          </c:extLst>
        </c:ser>
        <c:ser>
          <c:idx val="5"/>
          <c:order val="5"/>
          <c:tx>
            <c:strRef>
              <c:f>KAYA!$AO$2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KAYA!$AO$3:$AO$36</c:f>
              <c:numCache>
                <c:formatCode>0.0000000000000</c:formatCode>
                <c:ptCount val="34"/>
                <c:pt idx="0">
                  <c:v>1.6973280897722564E-6</c:v>
                </c:pt>
                <c:pt idx="1">
                  <c:v>1.6946132627872746E-6</c:v>
                </c:pt>
                <c:pt idx="2">
                  <c:v>1.5942360680884388E-6</c:v>
                </c:pt>
                <c:pt idx="3">
                  <c:v>1.5350427051766675E-6</c:v>
                </c:pt>
                <c:pt idx="4">
                  <c:v>1.4340097665985281E-6</c:v>
                </c:pt>
                <c:pt idx="5">
                  <c:v>1.4144464272602569E-6</c:v>
                </c:pt>
                <c:pt idx="6">
                  <c:v>1.286826788313635E-6</c:v>
                </c:pt>
                <c:pt idx="7">
                  <c:v>1.3108463903555594E-6</c:v>
                </c:pt>
                <c:pt idx="8">
                  <c:v>1.2344227045072147E-6</c:v>
                </c:pt>
                <c:pt idx="9">
                  <c:v>1.2465916576579923E-6</c:v>
                </c:pt>
                <c:pt idx="10">
                  <c:v>1.3297010932065392E-6</c:v>
                </c:pt>
                <c:pt idx="11">
                  <c:v>1.3239786719416575E-6</c:v>
                </c:pt>
                <c:pt idx="12">
                  <c:v>1.2566328108638654E-6</c:v>
                </c:pt>
                <c:pt idx="13">
                  <c:v>1.2634173511997253E-6</c:v>
                </c:pt>
                <c:pt idx="14">
                  <c:v>1.2666702002442773E-6</c:v>
                </c:pt>
                <c:pt idx="15">
                  <c:v>1.2706974051178593E-6</c:v>
                </c:pt>
                <c:pt idx="16">
                  <c:v>1.2967369185652353E-6</c:v>
                </c:pt>
                <c:pt idx="17">
                  <c:v>1.1147807955944363E-6</c:v>
                </c:pt>
                <c:pt idx="18">
                  <c:v>1.1913751444723024E-6</c:v>
                </c:pt>
                <c:pt idx="19">
                  <c:v>1.1542365574171822E-6</c:v>
                </c:pt>
                <c:pt idx="20">
                  <c:v>1.1259278297926322E-6</c:v>
                </c:pt>
                <c:pt idx="21">
                  <c:v>8.3985415175131972E-7</c:v>
                </c:pt>
                <c:pt idx="22">
                  <c:v>8.1313322814101631E-7</c:v>
                </c:pt>
                <c:pt idx="23">
                  <c:v>6.464410303522406E-7</c:v>
                </c:pt>
                <c:pt idx="24">
                  <c:v>6.8868426128151886E-7</c:v>
                </c:pt>
                <c:pt idx="25">
                  <c:v>5.5388353722882606E-7</c:v>
                </c:pt>
                <c:pt idx="26">
                  <c:v>5.8842556389658536E-7</c:v>
                </c:pt>
                <c:pt idx="27">
                  <c:v>1.1497758944359632E-6</c:v>
                </c:pt>
                <c:pt idx="28">
                  <c:v>1.0981688086788042E-6</c:v>
                </c:pt>
                <c:pt idx="29">
                  <c:v>1.1978651158855805E-6</c:v>
                </c:pt>
                <c:pt idx="30">
                  <c:v>1.1988878317351514E-6</c:v>
                </c:pt>
                <c:pt idx="31">
                  <c:v>1.0258015341492492E-6</c:v>
                </c:pt>
                <c:pt idx="32">
                  <c:v>1.0663798817683945E-6</c:v>
                </c:pt>
                <c:pt idx="33">
                  <c:v>1.0777285226458967E-6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A8-41E1-AEEA-F314A505388B}"/>
            </c:ext>
          </c:extLst>
        </c:ser>
        <c:ser>
          <c:idx val="6"/>
          <c:order val="6"/>
          <c:tx>
            <c:strRef>
              <c:f>KAYA!$AP$2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KAYA!$AP$3:$AP$36</c:f>
              <c:numCache>
                <c:formatCode>0.0000000000000</c:formatCode>
                <c:ptCount val="34"/>
                <c:pt idx="0">
                  <c:v>1.7428695246338048E-7</c:v>
                </c:pt>
                <c:pt idx="1">
                  <c:v>1.7604646974283997E-7</c:v>
                </c:pt>
                <c:pt idx="2">
                  <c:v>1.739266263263481E-7</c:v>
                </c:pt>
                <c:pt idx="3">
                  <c:v>1.7251475259804773E-7</c:v>
                </c:pt>
                <c:pt idx="4">
                  <c:v>1.6911776705796222E-7</c:v>
                </c:pt>
                <c:pt idx="5">
                  <c:v>1.6680685683230492E-7</c:v>
                </c:pt>
                <c:pt idx="6">
                  <c:v>1.6457155541043132E-7</c:v>
                </c:pt>
                <c:pt idx="7">
                  <c:v>1.5915925252321492E-7</c:v>
                </c:pt>
                <c:pt idx="8">
                  <c:v>1.5349452766507096E-7</c:v>
                </c:pt>
                <c:pt idx="9">
                  <c:v>1.5041026570758664E-7</c:v>
                </c:pt>
                <c:pt idx="10">
                  <c:v>1.4841268980310926E-7</c:v>
                </c:pt>
                <c:pt idx="11">
                  <c:v>1.4416446840098603E-7</c:v>
                </c:pt>
                <c:pt idx="12">
                  <c:v>1.4302349062990992E-7</c:v>
                </c:pt>
                <c:pt idx="13">
                  <c:v>1.4030256777783279E-7</c:v>
                </c:pt>
                <c:pt idx="14">
                  <c:v>1.3793328861347566E-7</c:v>
                </c:pt>
                <c:pt idx="15">
                  <c:v>1.3401927591679738E-7</c:v>
                </c:pt>
                <c:pt idx="16">
                  <c:v>1.2952896054338522E-7</c:v>
                </c:pt>
                <c:pt idx="17">
                  <c:v>1.2899585121914581E-7</c:v>
                </c:pt>
                <c:pt idx="18">
                  <c:v>1.2550346441447667E-7</c:v>
                </c:pt>
                <c:pt idx="19">
                  <c:v>1.2264965391274586E-7</c:v>
                </c:pt>
                <c:pt idx="20">
                  <c:v>1.220451822713352E-7</c:v>
                </c:pt>
                <c:pt idx="21">
                  <c:v>1.1876490015066479E-7</c:v>
                </c:pt>
                <c:pt idx="22">
                  <c:v>1.1418627713891221E-7</c:v>
                </c:pt>
                <c:pt idx="23">
                  <c:v>1.1373482852346262E-7</c:v>
                </c:pt>
                <c:pt idx="24">
                  <c:v>1.1238629988125272E-7</c:v>
                </c:pt>
                <c:pt idx="25">
                  <c:v>1.0833400363289778E-7</c:v>
                </c:pt>
                <c:pt idx="26">
                  <c:v>1.0597690074913433E-7</c:v>
                </c:pt>
                <c:pt idx="27">
                  <c:v>1.0351911997421045E-7</c:v>
                </c:pt>
                <c:pt idx="28">
                  <c:v>1.0321875141450199E-7</c:v>
                </c:pt>
                <c:pt idx="29">
                  <c:v>1.0076447433911336E-7</c:v>
                </c:pt>
                <c:pt idx="30">
                  <c:v>9.5175384455575658E-8</c:v>
                </c:pt>
                <c:pt idx="31">
                  <c:v>9.3885614660237672E-8</c:v>
                </c:pt>
                <c:pt idx="32">
                  <c:v>9.3028443785329598E-8</c:v>
                </c:pt>
                <c:pt idx="33">
                  <c:v>8.9336064520570575E-8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A8-41E1-AEEA-F314A505388B}"/>
            </c:ext>
          </c:extLst>
        </c:ser>
        <c:ser>
          <c:idx val="7"/>
          <c:order val="7"/>
          <c:tx>
            <c:strRef>
              <c:f>KAYA!$AQ$2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KAYA!$AQ$3:$AQ$36</c:f>
              <c:numCache>
                <c:formatCode>0.0000000000000</c:formatCode>
                <c:ptCount val="34"/>
                <c:pt idx="0">
                  <c:v>9.1240739198094612E-8</c:v>
                </c:pt>
                <c:pt idx="1">
                  <c:v>9.0418148812871186E-8</c:v>
                </c:pt>
                <c:pt idx="2">
                  <c:v>9.0183613801648096E-8</c:v>
                </c:pt>
                <c:pt idx="3">
                  <c:v>8.677718030628198E-8</c:v>
                </c:pt>
                <c:pt idx="4">
                  <c:v>8.694067621500416E-8</c:v>
                </c:pt>
                <c:pt idx="5">
                  <c:v>8.6873483042602189E-8</c:v>
                </c:pt>
                <c:pt idx="6">
                  <c:v>8.7297716889210907E-8</c:v>
                </c:pt>
                <c:pt idx="7">
                  <c:v>8.6310003798623923E-8</c:v>
                </c:pt>
                <c:pt idx="8">
                  <c:v>8.6875006354525068E-8</c:v>
                </c:pt>
                <c:pt idx="9">
                  <c:v>8.8772321247125034E-8</c:v>
                </c:pt>
                <c:pt idx="10">
                  <c:v>8.6273519858859285E-8</c:v>
                </c:pt>
                <c:pt idx="11">
                  <c:v>8.6199033163013308E-8</c:v>
                </c:pt>
                <c:pt idx="12">
                  <c:v>8.8923233762620787E-8</c:v>
                </c:pt>
                <c:pt idx="13">
                  <c:v>8.9233387348050063E-8</c:v>
                </c:pt>
                <c:pt idx="14">
                  <c:v>8.7867975012682404E-8</c:v>
                </c:pt>
                <c:pt idx="15">
                  <c:v>8.7509530244947208E-8</c:v>
                </c:pt>
                <c:pt idx="16">
                  <c:v>8.5740455451608422E-8</c:v>
                </c:pt>
                <c:pt idx="17">
                  <c:v>8.3995050589276297E-8</c:v>
                </c:pt>
                <c:pt idx="18">
                  <c:v>8.2882428530157596E-8</c:v>
                </c:pt>
                <c:pt idx="19">
                  <c:v>8.2711356693779051E-8</c:v>
                </c:pt>
                <c:pt idx="20">
                  <c:v>8.2610670138957295E-8</c:v>
                </c:pt>
                <c:pt idx="21">
                  <c:v>8.05029273646056E-8</c:v>
                </c:pt>
                <c:pt idx="22">
                  <c:v>8.0822661126835504E-8</c:v>
                </c:pt>
                <c:pt idx="23">
                  <c:v>8.1725852905027592E-8</c:v>
                </c:pt>
                <c:pt idx="24">
                  <c:v>8.0311251417570866E-8</c:v>
                </c:pt>
                <c:pt idx="25">
                  <c:v>7.9398953612963608E-8</c:v>
                </c:pt>
                <c:pt idx="26">
                  <c:v>7.8708462219838403E-8</c:v>
                </c:pt>
                <c:pt idx="27">
                  <c:v>7.6893820119230484E-8</c:v>
                </c:pt>
                <c:pt idx="28">
                  <c:v>7.4102067235710346E-8</c:v>
                </c:pt>
                <c:pt idx="29">
                  <c:v>7.4465177185477311E-8</c:v>
                </c:pt>
                <c:pt idx="30">
                  <c:v>7.4572141989322408E-8</c:v>
                </c:pt>
                <c:pt idx="31">
                  <c:v>7.4064381114723479E-8</c:v>
                </c:pt>
                <c:pt idx="32">
                  <c:v>7.2103907779987181E-8</c:v>
                </c:pt>
                <c:pt idx="33">
                  <c:v>7.2018191706128204E-8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A8-41E1-AEEA-F314A505388B}"/>
            </c:ext>
          </c:extLst>
        </c:ser>
        <c:ser>
          <c:idx val="8"/>
          <c:order val="8"/>
          <c:tx>
            <c:strRef>
              <c:f>KAYA!$AR$2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KAYA!$AR$3:$AR$36</c:f>
              <c:numCache>
                <c:formatCode>0.0000000000000</c:formatCode>
                <c:ptCount val="34"/>
                <c:pt idx="0">
                  <c:v>9.1154091005368372E-8</c:v>
                </c:pt>
                <c:pt idx="1">
                  <c:v>9.1355041807902251E-8</c:v>
                </c:pt>
                <c:pt idx="2">
                  <c:v>8.9271357907721353E-8</c:v>
                </c:pt>
                <c:pt idx="3">
                  <c:v>8.9335671486749043E-8</c:v>
                </c:pt>
                <c:pt idx="4">
                  <c:v>8.7383730904906603E-8</c:v>
                </c:pt>
                <c:pt idx="5">
                  <c:v>8.7363648354845111E-8</c:v>
                </c:pt>
                <c:pt idx="6">
                  <c:v>8.8673648888522167E-8</c:v>
                </c:pt>
                <c:pt idx="7">
                  <c:v>8.5608961509934163E-8</c:v>
                </c:pt>
                <c:pt idx="8">
                  <c:v>8.4574333664884696E-8</c:v>
                </c:pt>
                <c:pt idx="9">
                  <c:v>8.2378338661447837E-8</c:v>
                </c:pt>
                <c:pt idx="10">
                  <c:v>8.0123162177120202E-8</c:v>
                </c:pt>
                <c:pt idx="11">
                  <c:v>8.0179597465635956E-8</c:v>
                </c:pt>
                <c:pt idx="12">
                  <c:v>7.916110096986929E-8</c:v>
                </c:pt>
                <c:pt idx="13">
                  <c:v>8.0026979834541603E-8</c:v>
                </c:pt>
                <c:pt idx="14">
                  <c:v>7.8841297623125468E-8</c:v>
                </c:pt>
                <c:pt idx="15">
                  <c:v>7.7374132205122598E-8</c:v>
                </c:pt>
                <c:pt idx="16">
                  <c:v>7.541654312028645E-8</c:v>
                </c:pt>
                <c:pt idx="17">
                  <c:v>7.207763420839058E-8</c:v>
                </c:pt>
                <c:pt idx="18">
                  <c:v>7.1670247371745782E-8</c:v>
                </c:pt>
                <c:pt idx="19">
                  <c:v>7.1103338721351727E-8</c:v>
                </c:pt>
                <c:pt idx="20">
                  <c:v>7.2132940285770754E-8</c:v>
                </c:pt>
                <c:pt idx="21">
                  <c:v>6.7998152719627181E-8</c:v>
                </c:pt>
                <c:pt idx="22">
                  <c:v>6.8193971532895938E-8</c:v>
                </c:pt>
                <c:pt idx="23">
                  <c:v>6.7086151541706066E-8</c:v>
                </c:pt>
                <c:pt idx="24">
                  <c:v>6.3358466764190134E-8</c:v>
                </c:pt>
                <c:pt idx="25">
                  <c:v>6.274238298190864E-8</c:v>
                </c:pt>
                <c:pt idx="26">
                  <c:v>6.1956015222471897E-8</c:v>
                </c:pt>
                <c:pt idx="27">
                  <c:v>6.1079108895156021E-8</c:v>
                </c:pt>
                <c:pt idx="28">
                  <c:v>5.9172479007461347E-8</c:v>
                </c:pt>
                <c:pt idx="29">
                  <c:v>5.7394313386099251E-8</c:v>
                </c:pt>
                <c:pt idx="30">
                  <c:v>5.6777377727850518E-8</c:v>
                </c:pt>
                <c:pt idx="31">
                  <c:v>5.5960286654066836E-8</c:v>
                </c:pt>
                <c:pt idx="32">
                  <c:v>5.0883854789213328E-8</c:v>
                </c:pt>
                <c:pt idx="33">
                  <c:v>4.868603557915235E-8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A8-41E1-AEEA-F314A505388B}"/>
            </c:ext>
          </c:extLst>
        </c:ser>
        <c:ser>
          <c:idx val="9"/>
          <c:order val="9"/>
          <c:tx>
            <c:strRef>
              <c:f>KAYA!$AS$2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KAYA!$AS$3:$AS$36</c:f>
              <c:numCache>
                <c:formatCode>0.0000000000000</c:formatCode>
                <c:ptCount val="34"/>
                <c:pt idx="0">
                  <c:v>1.9007955597378242E-7</c:v>
                </c:pt>
                <c:pt idx="1">
                  <c:v>1.9456109042469565E-7</c:v>
                </c:pt>
                <c:pt idx="2">
                  <c:v>1.874402485170073E-7</c:v>
                </c:pt>
                <c:pt idx="3">
                  <c:v>1.8471189477704405E-7</c:v>
                </c:pt>
                <c:pt idx="4">
                  <c:v>1.6947012128383503E-7</c:v>
                </c:pt>
                <c:pt idx="5">
                  <c:v>1.609313465323333E-7</c:v>
                </c:pt>
                <c:pt idx="6">
                  <c:v>1.5988005969138427E-7</c:v>
                </c:pt>
                <c:pt idx="7">
                  <c:v>1.5323654161661416E-7</c:v>
                </c:pt>
                <c:pt idx="8">
                  <c:v>1.429262506019321E-7</c:v>
                </c:pt>
                <c:pt idx="9">
                  <c:v>1.3240839902821368E-7</c:v>
                </c:pt>
                <c:pt idx="10">
                  <c:v>1.273721792074241E-7</c:v>
                </c:pt>
                <c:pt idx="11">
                  <c:v>1.2707576275346935E-7</c:v>
                </c:pt>
                <c:pt idx="12">
                  <c:v>1.2340091052204485E-7</c:v>
                </c:pt>
                <c:pt idx="13">
                  <c:v>1.2261861095232625E-7</c:v>
                </c:pt>
                <c:pt idx="14">
                  <c:v>1.1647435622945579E-7</c:v>
                </c:pt>
                <c:pt idx="15">
                  <c:v>1.1222688813719469E-7</c:v>
                </c:pt>
                <c:pt idx="16">
                  <c:v>1.0825437898890017E-7</c:v>
                </c:pt>
                <c:pt idx="17">
                  <c:v>1.0156952583130024E-7</c:v>
                </c:pt>
                <c:pt idx="18">
                  <c:v>9.7111802179976647E-8</c:v>
                </c:pt>
                <c:pt idx="19">
                  <c:v>9.376034480591244E-8</c:v>
                </c:pt>
                <c:pt idx="20">
                  <c:v>9.6661841753220542E-8</c:v>
                </c:pt>
                <c:pt idx="21">
                  <c:v>9.3755798640721507E-8</c:v>
                </c:pt>
                <c:pt idx="22">
                  <c:v>8.9693850761998933E-8</c:v>
                </c:pt>
                <c:pt idx="23">
                  <c:v>8.7544716583625377E-8</c:v>
                </c:pt>
                <c:pt idx="24">
                  <c:v>8.2343858509193777E-8</c:v>
                </c:pt>
                <c:pt idx="25">
                  <c:v>8.0779015751205714E-8</c:v>
                </c:pt>
                <c:pt idx="26">
                  <c:v>8.0375158887806712E-8</c:v>
                </c:pt>
                <c:pt idx="27">
                  <c:v>7.9554368644288012E-8</c:v>
                </c:pt>
                <c:pt idx="28">
                  <c:v>7.7107569480194019E-8</c:v>
                </c:pt>
                <c:pt idx="29">
                  <c:v>7.2459971681086741E-8</c:v>
                </c:pt>
                <c:pt idx="30">
                  <c:v>7.2532471102421548E-8</c:v>
                </c:pt>
                <c:pt idx="31">
                  <c:v>7.1892179444188955E-8</c:v>
                </c:pt>
                <c:pt idx="32">
                  <c:v>6.6203936669120368E-8</c:v>
                </c:pt>
                <c:pt idx="33">
                  <c:v>6.1992285049722202E-8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A8-41E1-AEEA-F314A505388B}"/>
            </c:ext>
          </c:extLst>
        </c:ser>
        <c:ser>
          <c:idx val="10"/>
          <c:order val="10"/>
          <c:tx>
            <c:strRef>
              <c:f>KAYA!$AT$2</c:f>
              <c:strCache>
                <c:ptCount val="1"/>
                <c:pt idx="0">
                  <c:v>11_RFSU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KAYA!$AT$3:$AT$36</c:f>
              <c:numCache>
                <c:formatCode>0.0000000000000</c:formatCode>
                <c:ptCount val="34"/>
                <c:pt idx="0">
                  <c:v>2.5363526889768332E-7</c:v>
                </c:pt>
                <c:pt idx="1">
                  <c:v>2.7371040939436026E-7</c:v>
                </c:pt>
                <c:pt idx="2">
                  <c:v>2.7447625048328509E-7</c:v>
                </c:pt>
                <c:pt idx="3">
                  <c:v>2.7833725677797513E-7</c:v>
                </c:pt>
                <c:pt idx="4">
                  <c:v>3.0228096125422267E-7</c:v>
                </c:pt>
                <c:pt idx="5">
                  <c:v>3.1652643697898059E-7</c:v>
                </c:pt>
                <c:pt idx="6">
                  <c:v>3.0946345689088862E-7</c:v>
                </c:pt>
                <c:pt idx="7">
                  <c:v>2.9475420287902894E-7</c:v>
                </c:pt>
                <c:pt idx="8">
                  <c:v>2.8734836312370745E-7</c:v>
                </c:pt>
                <c:pt idx="9">
                  <c:v>2.7970968943145232E-7</c:v>
                </c:pt>
                <c:pt idx="10">
                  <c:v>2.5521661756301119E-7</c:v>
                </c:pt>
                <c:pt idx="11">
                  <c:v>2.3377518549970314E-7</c:v>
                </c:pt>
                <c:pt idx="12">
                  <c:v>2.2446291662871029E-7</c:v>
                </c:pt>
                <c:pt idx="13">
                  <c:v>2.1589611564286763E-7</c:v>
                </c:pt>
                <c:pt idx="14">
                  <c:v>2.0514156573602291E-7</c:v>
                </c:pt>
                <c:pt idx="15">
                  <c:v>1.9003447100206799E-7</c:v>
                </c:pt>
                <c:pt idx="16">
                  <c:v>1.7744533902530227E-7</c:v>
                </c:pt>
                <c:pt idx="17">
                  <c:v>1.6555586622453136E-7</c:v>
                </c:pt>
                <c:pt idx="18">
                  <c:v>1.6075773424814717E-7</c:v>
                </c:pt>
                <c:pt idx="19">
                  <c:v>1.4939084797481869E-7</c:v>
                </c:pt>
                <c:pt idx="20">
                  <c:v>1.5574930211336288E-7</c:v>
                </c:pt>
                <c:pt idx="21">
                  <c:v>1.5180582063973996E-7</c:v>
                </c:pt>
                <c:pt idx="22">
                  <c:v>1.431294436190057E-7</c:v>
                </c:pt>
                <c:pt idx="23">
                  <c:v>1.3669383277620984E-7</c:v>
                </c:pt>
                <c:pt idx="24">
                  <c:v>1.260615336107447E-7</c:v>
                </c:pt>
                <c:pt idx="25">
                  <c:v>1.1679538727771162E-7</c:v>
                </c:pt>
                <c:pt idx="26">
                  <c:v>1.1805401110863893E-7</c:v>
                </c:pt>
                <c:pt idx="27">
                  <c:v>1.15308058172109E-7</c:v>
                </c:pt>
                <c:pt idx="28">
                  <c:v>1.1764800553202683E-7</c:v>
                </c:pt>
                <c:pt idx="29">
                  <c:v>1.1235253162478097E-7</c:v>
                </c:pt>
                <c:pt idx="30">
                  <c:v>1.1194766925531371E-7</c:v>
                </c:pt>
                <c:pt idx="31">
                  <c:v>1.2008084846119251E-7</c:v>
                </c:pt>
                <c:pt idx="32">
                  <c:v>1.1384207711908798E-7</c:v>
                </c:pt>
                <c:pt idx="33">
                  <c:v>1.0811234189540074E-7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A8-41E1-AEEA-F314A505388B}"/>
            </c:ext>
          </c:extLst>
        </c:ser>
        <c:ser>
          <c:idx val="11"/>
          <c:order val="11"/>
          <c:tx>
            <c:strRef>
              <c:f>KAYA!$AU$2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KAYA!$AU$3:$AU$36</c:f>
              <c:numCache>
                <c:formatCode>0.0000000000000</c:formatCode>
                <c:ptCount val="34"/>
                <c:pt idx="0">
                  <c:v>9.9237826489602099E-8</c:v>
                </c:pt>
                <c:pt idx="1">
                  <c:v>1.0274799695196167E-7</c:v>
                </c:pt>
                <c:pt idx="2">
                  <c:v>1.0629878514174275E-7</c:v>
                </c:pt>
                <c:pt idx="3">
                  <c:v>1.1081267365544867E-7</c:v>
                </c:pt>
                <c:pt idx="4">
                  <c:v>1.1555091841001713E-7</c:v>
                </c:pt>
                <c:pt idx="5">
                  <c:v>1.1562592807240083E-7</c:v>
                </c:pt>
                <c:pt idx="6">
                  <c:v>1.118552876127837E-7</c:v>
                </c:pt>
                <c:pt idx="7">
                  <c:v>1.1320830548007931E-7</c:v>
                </c:pt>
                <c:pt idx="8">
                  <c:v>1.101461857905657E-7</c:v>
                </c:pt>
                <c:pt idx="9">
                  <c:v>1.1102914240348362E-7</c:v>
                </c:pt>
                <c:pt idx="10">
                  <c:v>1.0742167572964397E-7</c:v>
                </c:pt>
                <c:pt idx="11">
                  <c:v>1.1395813906285656E-7</c:v>
                </c:pt>
                <c:pt idx="12">
                  <c:v>1.1644202030514213E-7</c:v>
                </c:pt>
                <c:pt idx="13">
                  <c:v>1.138806881952308E-7</c:v>
                </c:pt>
                <c:pt idx="14">
                  <c:v>1.1128449821388618E-7</c:v>
                </c:pt>
                <c:pt idx="15">
                  <c:v>1.144020399512366E-7</c:v>
                </c:pt>
                <c:pt idx="16">
                  <c:v>1.1369318152343443E-7</c:v>
                </c:pt>
                <c:pt idx="17">
                  <c:v>1.1307468992541791E-7</c:v>
                </c:pt>
                <c:pt idx="18">
                  <c:v>1.1573897991595496E-7</c:v>
                </c:pt>
                <c:pt idx="19">
                  <c:v>1.1810580955178526E-7</c:v>
                </c:pt>
                <c:pt idx="20">
                  <c:v>1.1726901008808922E-7</c:v>
                </c:pt>
                <c:pt idx="21">
                  <c:v>1.154749662476004E-7</c:v>
                </c:pt>
                <c:pt idx="22">
                  <c:v>1.1758277407413376E-7</c:v>
                </c:pt>
                <c:pt idx="23">
                  <c:v>1.1678595953045022E-7</c:v>
                </c:pt>
                <c:pt idx="24">
                  <c:v>1.195160799930133E-7</c:v>
                </c:pt>
                <c:pt idx="25">
                  <c:v>1.1727288927793398E-7</c:v>
                </c:pt>
                <c:pt idx="26">
                  <c:v>1.1602832579071436E-7</c:v>
                </c:pt>
                <c:pt idx="27">
                  <c:v>1.1802786931563545E-7</c:v>
                </c:pt>
                <c:pt idx="28">
                  <c:v>1.1556369168765306E-7</c:v>
                </c:pt>
                <c:pt idx="29">
                  <c:v>1.1705403427057999E-7</c:v>
                </c:pt>
                <c:pt idx="30">
                  <c:v>1.1731721196557754E-7</c:v>
                </c:pt>
                <c:pt idx="31">
                  <c:v>1.172361809993155E-7</c:v>
                </c:pt>
                <c:pt idx="32">
                  <c:v>1.1327933326386234E-7</c:v>
                </c:pt>
                <c:pt idx="33">
                  <c:v>1.1670362076031929E-7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A8-41E1-AEEA-F314A505388B}"/>
            </c:ext>
          </c:extLst>
        </c:ser>
        <c:ser>
          <c:idx val="12"/>
          <c:order val="12"/>
          <c:tx>
            <c:strRef>
              <c:f>KAYA!$AV$2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KAYA!$AV$3:$AV$36</c:f>
              <c:numCache>
                <c:formatCode>0.0000000000000</c:formatCode>
                <c:ptCount val="34"/>
                <c:pt idx="0">
                  <c:v>1.2739970226370872E-7</c:v>
                </c:pt>
                <c:pt idx="1">
                  <c:v>1.3102936340184169E-7</c:v>
                </c:pt>
                <c:pt idx="2">
                  <c:v>1.3217473991371668E-7</c:v>
                </c:pt>
                <c:pt idx="3">
                  <c:v>1.3878778315118074E-7</c:v>
                </c:pt>
                <c:pt idx="4">
                  <c:v>1.4023195455391778E-7</c:v>
                </c:pt>
                <c:pt idx="5">
                  <c:v>1.4193313117351587E-7</c:v>
                </c:pt>
                <c:pt idx="6">
                  <c:v>1.3964546293677361E-7</c:v>
                </c:pt>
                <c:pt idx="7">
                  <c:v>1.3917412812194258E-7</c:v>
                </c:pt>
                <c:pt idx="8">
                  <c:v>1.3676164078303882E-7</c:v>
                </c:pt>
                <c:pt idx="9">
                  <c:v>1.3600271285436221E-7</c:v>
                </c:pt>
                <c:pt idx="10">
                  <c:v>1.2986084916386597E-7</c:v>
                </c:pt>
                <c:pt idx="11">
                  <c:v>1.2589014077673655E-7</c:v>
                </c:pt>
                <c:pt idx="12">
                  <c:v>1.1852108878127679E-7</c:v>
                </c:pt>
                <c:pt idx="13">
                  <c:v>1.211528659883719E-7</c:v>
                </c:pt>
                <c:pt idx="14">
                  <c:v>1.197909132833025E-7</c:v>
                </c:pt>
                <c:pt idx="15">
                  <c:v>1.146117989930069E-7</c:v>
                </c:pt>
                <c:pt idx="16">
                  <c:v>1.1047203764396185E-7</c:v>
                </c:pt>
                <c:pt idx="17">
                  <c:v>1.082528229267631E-7</c:v>
                </c:pt>
                <c:pt idx="18">
                  <c:v>1.0783194433802363E-7</c:v>
                </c:pt>
                <c:pt idx="19">
                  <c:v>1.0583458219064136E-7</c:v>
                </c:pt>
                <c:pt idx="20">
                  <c:v>1.0193324710870546E-7</c:v>
                </c:pt>
                <c:pt idx="21">
                  <c:v>1.0217107496495707E-7</c:v>
                </c:pt>
                <c:pt idx="22">
                  <c:v>9.8777931152935386E-8</c:v>
                </c:pt>
                <c:pt idx="23">
                  <c:v>9.6007718763707039E-8</c:v>
                </c:pt>
                <c:pt idx="24">
                  <c:v>9.4778198637700011E-8</c:v>
                </c:pt>
                <c:pt idx="25">
                  <c:v>9.1808135677833455E-8</c:v>
                </c:pt>
                <c:pt idx="26">
                  <c:v>9.3709923867562202E-8</c:v>
                </c:pt>
                <c:pt idx="27">
                  <c:v>9.2033723306804945E-8</c:v>
                </c:pt>
                <c:pt idx="28">
                  <c:v>8.9527381299997441E-8</c:v>
                </c:pt>
                <c:pt idx="29">
                  <c:v>9.1080879245443034E-8</c:v>
                </c:pt>
                <c:pt idx="30">
                  <c:v>9.4015005964725346E-8</c:v>
                </c:pt>
                <c:pt idx="31">
                  <c:v>9.5182796157114567E-8</c:v>
                </c:pt>
                <c:pt idx="32">
                  <c:v>9.2263128791291547E-8</c:v>
                </c:pt>
                <c:pt idx="33">
                  <c:v>9.0652245932766471E-8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A8-41E1-AEEA-F314A505388B}"/>
            </c:ext>
          </c:extLst>
        </c:ser>
        <c:ser>
          <c:idx val="13"/>
          <c:order val="13"/>
          <c:tx>
            <c:strRef>
              <c:f>KAYA!$AW$2</c:f>
              <c:strCache>
                <c:ptCount val="1"/>
                <c:pt idx="0">
                  <c:v>14_RCPA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KAYA!$AW$3:$AW$36</c:f>
              <c:numCache>
                <c:formatCode>0.0000000000000</c:formatCode>
                <c:ptCount val="34"/>
                <c:pt idx="0">
                  <c:v>6.3448595026547409E-7</c:v>
                </c:pt>
                <c:pt idx="1">
                  <c:v>6.0339688021380819E-7</c:v>
                </c:pt>
                <c:pt idx="2">
                  <c:v>5.9092642314615792E-7</c:v>
                </c:pt>
                <c:pt idx="3">
                  <c:v>6.1273593238255786E-7</c:v>
                </c:pt>
                <c:pt idx="4">
                  <c:v>7.8475594669166027E-7</c:v>
                </c:pt>
                <c:pt idx="5">
                  <c:v>8.7002756782192359E-7</c:v>
                </c:pt>
                <c:pt idx="6">
                  <c:v>8.6103617816456626E-7</c:v>
                </c:pt>
                <c:pt idx="7">
                  <c:v>8.7756766643140848E-7</c:v>
                </c:pt>
                <c:pt idx="8">
                  <c:v>8.9723554405866861E-7</c:v>
                </c:pt>
                <c:pt idx="9">
                  <c:v>8.3598201824099709E-7</c:v>
                </c:pt>
                <c:pt idx="10">
                  <c:v>8.5028160713836645E-7</c:v>
                </c:pt>
                <c:pt idx="11">
                  <c:v>8.4555413928306579E-7</c:v>
                </c:pt>
                <c:pt idx="12">
                  <c:v>8.6002181235266064E-7</c:v>
                </c:pt>
                <c:pt idx="13">
                  <c:v>8.2903916456120221E-7</c:v>
                </c:pt>
                <c:pt idx="14">
                  <c:v>8.4214201901860795E-7</c:v>
                </c:pt>
                <c:pt idx="15">
                  <c:v>8.0157870847653791E-7</c:v>
                </c:pt>
                <c:pt idx="16">
                  <c:v>7.4829179880919545E-7</c:v>
                </c:pt>
                <c:pt idx="17">
                  <c:v>7.3507744097670127E-7</c:v>
                </c:pt>
                <c:pt idx="18">
                  <c:v>7.2823651251099461E-7</c:v>
                </c:pt>
                <c:pt idx="19">
                  <c:v>7.5236466653631313E-7</c:v>
                </c:pt>
                <c:pt idx="20">
                  <c:v>7.7494526901878611E-7</c:v>
                </c:pt>
                <c:pt idx="21">
                  <c:v>7.2297902953101306E-7</c:v>
                </c:pt>
                <c:pt idx="22">
                  <c:v>6.8134182180039979E-7</c:v>
                </c:pt>
                <c:pt idx="23">
                  <c:v>6.4932969845217225E-7</c:v>
                </c:pt>
                <c:pt idx="24">
                  <c:v>6.6983698779431165E-7</c:v>
                </c:pt>
                <c:pt idx="25">
                  <c:v>5.9322748063311651E-7</c:v>
                </c:pt>
                <c:pt idx="26">
                  <c:v>6.1261476137666607E-7</c:v>
                </c:pt>
                <c:pt idx="27">
                  <c:v>5.9239282928663475E-7</c:v>
                </c:pt>
                <c:pt idx="28">
                  <c:v>6.3844998905911386E-7</c:v>
                </c:pt>
                <c:pt idx="29">
                  <c:v>6.6675549337166369E-7</c:v>
                </c:pt>
                <c:pt idx="30">
                  <c:v>6.8934630674545258E-7</c:v>
                </c:pt>
                <c:pt idx="31">
                  <c:v>6.5853709407509022E-7</c:v>
                </c:pt>
                <c:pt idx="32">
                  <c:v>6.7622836970848247E-7</c:v>
                </c:pt>
                <c:pt idx="33">
                  <c:v>6.5577399903996858E-7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A8-41E1-AEEA-F314A505388B}"/>
            </c:ext>
          </c:extLst>
        </c:ser>
        <c:ser>
          <c:idx val="14"/>
          <c:order val="14"/>
          <c:tx>
            <c:strRef>
              <c:f>KAYA!$AX$2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KAYA!$AX$3:$AX$36</c:f>
              <c:numCache>
                <c:formatCode>0.0000000000000</c:formatCode>
                <c:ptCount val="34"/>
                <c:pt idx="0">
                  <c:v>1.3234066364735944E-7</c:v>
                </c:pt>
                <c:pt idx="1">
                  <c:v>1.3495692845725357E-7</c:v>
                </c:pt>
                <c:pt idx="2">
                  <c:v>1.3277770953786042E-7</c:v>
                </c:pt>
                <c:pt idx="3">
                  <c:v>1.3144822971979585E-7</c:v>
                </c:pt>
                <c:pt idx="4">
                  <c:v>1.2965704245299505E-7</c:v>
                </c:pt>
                <c:pt idx="5">
                  <c:v>1.2840858785067109E-7</c:v>
                </c:pt>
                <c:pt idx="6">
                  <c:v>1.2486241835473674E-7</c:v>
                </c:pt>
                <c:pt idx="7">
                  <c:v>1.2526866717216857E-7</c:v>
                </c:pt>
                <c:pt idx="8">
                  <c:v>1.2161668326374932E-7</c:v>
                </c:pt>
                <c:pt idx="9">
                  <c:v>1.195383734778431E-7</c:v>
                </c:pt>
                <c:pt idx="10">
                  <c:v>1.1788063555312451E-7</c:v>
                </c:pt>
                <c:pt idx="11">
                  <c:v>1.1485784628396185E-7</c:v>
                </c:pt>
                <c:pt idx="12">
                  <c:v>1.1371955408753291E-7</c:v>
                </c:pt>
                <c:pt idx="13">
                  <c:v>1.0903326635330605E-7</c:v>
                </c:pt>
                <c:pt idx="14">
                  <c:v>1.0705942847226016E-7</c:v>
                </c:pt>
                <c:pt idx="15">
                  <c:v>1.0344469682568261E-7</c:v>
                </c:pt>
                <c:pt idx="16">
                  <c:v>1.0111576115289823E-7</c:v>
                </c:pt>
                <c:pt idx="17">
                  <c:v>9.980497874199157E-8</c:v>
                </c:pt>
                <c:pt idx="18">
                  <c:v>1.0122988275648881E-7</c:v>
                </c:pt>
                <c:pt idx="19">
                  <c:v>1.0071664281113052E-7</c:v>
                </c:pt>
                <c:pt idx="20">
                  <c:v>9.8787596106174416E-8</c:v>
                </c:pt>
                <c:pt idx="21">
                  <c:v>9.7522361028912997E-8</c:v>
                </c:pt>
                <c:pt idx="22">
                  <c:v>9.7530205134690166E-8</c:v>
                </c:pt>
                <c:pt idx="23">
                  <c:v>9.4114754662789914E-8</c:v>
                </c:pt>
                <c:pt idx="24">
                  <c:v>9.3839601154267206E-8</c:v>
                </c:pt>
                <c:pt idx="25">
                  <c:v>9.0227266499420687E-8</c:v>
                </c:pt>
                <c:pt idx="26">
                  <c:v>8.5811118891509064E-8</c:v>
                </c:pt>
                <c:pt idx="27">
                  <c:v>8.3992295196143423E-8</c:v>
                </c:pt>
                <c:pt idx="28">
                  <c:v>8.188586127510637E-8</c:v>
                </c:pt>
                <c:pt idx="29">
                  <c:v>7.9282260763140301E-8</c:v>
                </c:pt>
                <c:pt idx="30">
                  <c:v>8.0771151785654195E-8</c:v>
                </c:pt>
                <c:pt idx="31">
                  <c:v>7.9646352227407095E-8</c:v>
                </c:pt>
                <c:pt idx="32">
                  <c:v>7.8928702207592829E-8</c:v>
                </c:pt>
                <c:pt idx="33">
                  <c:v>7.6753274912074437E-8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A8-41E1-AEEA-F314A505388B}"/>
            </c:ext>
          </c:extLst>
        </c:ser>
        <c:ser>
          <c:idx val="15"/>
          <c:order val="15"/>
          <c:tx>
            <c:strRef>
              <c:f>KAYA!$AY$2</c:f>
              <c:strCache>
                <c:ptCount val="1"/>
                <c:pt idx="0">
                  <c:v>16_RPAS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KAYA!$AY$3:$AY$36</c:f>
              <c:numCache>
                <c:formatCode>0.0000000000000</c:formatCode>
                <c:ptCount val="34"/>
                <c:pt idx="0">
                  <c:v>1.1838532006123034E-7</c:v>
                </c:pt>
                <c:pt idx="1">
                  <c:v>1.2016805589344051E-7</c:v>
                </c:pt>
                <c:pt idx="2">
                  <c:v>1.1960812738250137E-7</c:v>
                </c:pt>
                <c:pt idx="3">
                  <c:v>1.201210174086808E-7</c:v>
                </c:pt>
                <c:pt idx="4">
                  <c:v>1.172474327573947E-7</c:v>
                </c:pt>
                <c:pt idx="5">
                  <c:v>1.1638529211454909E-7</c:v>
                </c:pt>
                <c:pt idx="6">
                  <c:v>1.1517036380577862E-7</c:v>
                </c:pt>
                <c:pt idx="7">
                  <c:v>1.1735981601738456E-7</c:v>
                </c:pt>
                <c:pt idx="8">
                  <c:v>1.2627724012415815E-7</c:v>
                </c:pt>
                <c:pt idx="9">
                  <c:v>1.2676769676065022E-7</c:v>
                </c:pt>
                <c:pt idx="10">
                  <c:v>1.2557348451568003E-7</c:v>
                </c:pt>
                <c:pt idx="11">
                  <c:v>1.2562712807927305E-7</c:v>
                </c:pt>
                <c:pt idx="12">
                  <c:v>1.2526409311236786E-7</c:v>
                </c:pt>
                <c:pt idx="13">
                  <c:v>1.2391855469867987E-7</c:v>
                </c:pt>
                <c:pt idx="14">
                  <c:v>1.2451306396956877E-7</c:v>
                </c:pt>
                <c:pt idx="15">
                  <c:v>1.1876411730552046E-7</c:v>
                </c:pt>
                <c:pt idx="16">
                  <c:v>1.145973881087871E-7</c:v>
                </c:pt>
                <c:pt idx="17">
                  <c:v>1.101207594472739E-7</c:v>
                </c:pt>
                <c:pt idx="18">
                  <c:v>1.0752904874766222E-7</c:v>
                </c:pt>
                <c:pt idx="19">
                  <c:v>1.0646314302650449E-7</c:v>
                </c:pt>
                <c:pt idx="20">
                  <c:v>1.0285435272983161E-7</c:v>
                </c:pt>
                <c:pt idx="21">
                  <c:v>9.8353212801611608E-8</c:v>
                </c:pt>
                <c:pt idx="22">
                  <c:v>9.6256681142449852E-8</c:v>
                </c:pt>
                <c:pt idx="23">
                  <c:v>9.6704200502845967E-8</c:v>
                </c:pt>
                <c:pt idx="24">
                  <c:v>9.4475437655689899E-8</c:v>
                </c:pt>
                <c:pt idx="25">
                  <c:v>9.0979882455939777E-8</c:v>
                </c:pt>
                <c:pt idx="26">
                  <c:v>8.9907619885169753E-8</c:v>
                </c:pt>
                <c:pt idx="27">
                  <c:v>8.7846349263444373E-8</c:v>
                </c:pt>
                <c:pt idx="28">
                  <c:v>8.7465521156152172E-8</c:v>
                </c:pt>
                <c:pt idx="29">
                  <c:v>8.51490216873857E-8</c:v>
                </c:pt>
                <c:pt idx="30">
                  <c:v>8.8080200534881298E-8</c:v>
                </c:pt>
                <c:pt idx="31">
                  <c:v>8.7865744160094639E-8</c:v>
                </c:pt>
                <c:pt idx="32">
                  <c:v>8.6793771610733445E-8</c:v>
                </c:pt>
                <c:pt idx="33">
                  <c:v>8.3742072670344051E-8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0A8-41E1-AEEA-F314A505388B}"/>
            </c:ext>
          </c:extLst>
        </c:ser>
        <c:ser>
          <c:idx val="16"/>
          <c:order val="16"/>
          <c:tx>
            <c:strRef>
              <c:f>KAYA!$AZ$2</c:f>
              <c:strCache>
                <c:ptCount val="1"/>
                <c:pt idx="0">
                  <c:v>17_RPAO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KAYA!$AZ$3:$AZ$36</c:f>
              <c:numCache>
                <c:formatCode>0.0000000000000</c:formatCode>
                <c:ptCount val="34"/>
                <c:pt idx="0">
                  <c:v>1.3743570870101105E-7</c:v>
                </c:pt>
                <c:pt idx="1">
                  <c:v>1.3712583691063622E-7</c:v>
                </c:pt>
                <c:pt idx="2">
                  <c:v>1.3901183969738404E-7</c:v>
                </c:pt>
                <c:pt idx="3">
                  <c:v>1.4012804257121127E-7</c:v>
                </c:pt>
                <c:pt idx="4">
                  <c:v>1.353176694332269E-7</c:v>
                </c:pt>
                <c:pt idx="5">
                  <c:v>1.3185055225849002E-7</c:v>
                </c:pt>
                <c:pt idx="6">
                  <c:v>1.3524435453711585E-7</c:v>
                </c:pt>
                <c:pt idx="7">
                  <c:v>1.3393239805133811E-7</c:v>
                </c:pt>
                <c:pt idx="8">
                  <c:v>1.3125005556510833E-7</c:v>
                </c:pt>
                <c:pt idx="9">
                  <c:v>1.2785834688750833E-7</c:v>
                </c:pt>
                <c:pt idx="10">
                  <c:v>1.2576844131410195E-7</c:v>
                </c:pt>
                <c:pt idx="11">
                  <c:v>1.2055906750843901E-7</c:v>
                </c:pt>
                <c:pt idx="12">
                  <c:v>1.1689709544490848E-7</c:v>
                </c:pt>
                <c:pt idx="13">
                  <c:v>1.1647911769861971E-7</c:v>
                </c:pt>
                <c:pt idx="14">
                  <c:v>1.1384426527435849E-7</c:v>
                </c:pt>
                <c:pt idx="15">
                  <c:v>1.1066717515311345E-7</c:v>
                </c:pt>
                <c:pt idx="16">
                  <c:v>1.1153551798968451E-7</c:v>
                </c:pt>
                <c:pt idx="17">
                  <c:v>1.1081235561727946E-7</c:v>
                </c:pt>
                <c:pt idx="18">
                  <c:v>1.1139308167173054E-7</c:v>
                </c:pt>
                <c:pt idx="19">
                  <c:v>1.0982670091397017E-7</c:v>
                </c:pt>
                <c:pt idx="20">
                  <c:v>1.0809682744859798E-7</c:v>
                </c:pt>
                <c:pt idx="21">
                  <c:v>1.0583414716824738E-7</c:v>
                </c:pt>
                <c:pt idx="22">
                  <c:v>1.0156240137365313E-7</c:v>
                </c:pt>
                <c:pt idx="23">
                  <c:v>1.0058741014345435E-7</c:v>
                </c:pt>
                <c:pt idx="24">
                  <c:v>9.7943768312882694E-8</c:v>
                </c:pt>
                <c:pt idx="25">
                  <c:v>9.5608956368491511E-8</c:v>
                </c:pt>
                <c:pt idx="26">
                  <c:v>9.245153909458553E-8</c:v>
                </c:pt>
                <c:pt idx="27">
                  <c:v>9.078229348808691E-8</c:v>
                </c:pt>
                <c:pt idx="28">
                  <c:v>8.8134700831262516E-8</c:v>
                </c:pt>
                <c:pt idx="29">
                  <c:v>8.9839457436105386E-8</c:v>
                </c:pt>
                <c:pt idx="30">
                  <c:v>8.9186768369776503E-8</c:v>
                </c:pt>
                <c:pt idx="31">
                  <c:v>8.5151905113197132E-8</c:v>
                </c:pt>
                <c:pt idx="32">
                  <c:v>8.1352674284913649E-8</c:v>
                </c:pt>
                <c:pt idx="33">
                  <c:v>8.0203679269917155E-8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A8-41E1-AEEA-F314A5053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162047"/>
        <c:axId val="1349492831"/>
      </c:lineChart>
      <c:catAx>
        <c:axId val="1031162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92831"/>
        <c:crosses val="autoZero"/>
        <c:auto val="1"/>
        <c:lblAlgn val="ctr"/>
        <c:lblOffset val="100"/>
        <c:noMultiLvlLbl val="0"/>
      </c:catAx>
      <c:valAx>
        <c:axId val="13494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543471</xdr:colOff>
      <xdr:row>70</xdr:row>
      <xdr:rowOff>42583</xdr:rowOff>
    </xdr:from>
    <xdr:to>
      <xdr:col>42</xdr:col>
      <xdr:colOff>121083</xdr:colOff>
      <xdr:row>80</xdr:row>
      <xdr:rowOff>157967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429BC-AEFB-433E-B14E-08A770C4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7521" y="14139583"/>
          <a:ext cx="7464312" cy="2020384"/>
        </a:xfrm>
        <a:prstGeom prst="rect">
          <a:avLst/>
        </a:prstGeom>
      </xdr:spPr>
    </xdr:pic>
    <xdr:clientData/>
  </xdr:twoCellAnchor>
  <xdr:twoCellAnchor>
    <xdr:from>
      <xdr:col>43</xdr:col>
      <xdr:colOff>245051</xdr:colOff>
      <xdr:row>82</xdr:row>
      <xdr:rowOff>148069</xdr:rowOff>
    </xdr:from>
    <xdr:to>
      <xdr:col>51</xdr:col>
      <xdr:colOff>1174172</xdr:colOff>
      <xdr:row>126</xdr:row>
      <xdr:rowOff>81394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D58EBE-31BF-4B8E-B342-948F6F1C1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609600</xdr:colOff>
      <xdr:row>82</xdr:row>
      <xdr:rowOff>27709</xdr:rowOff>
    </xdr:from>
    <xdr:to>
      <xdr:col>39</xdr:col>
      <xdr:colOff>547797</xdr:colOff>
      <xdr:row>95</xdr:row>
      <xdr:rowOff>77399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5681CA-FA19-4E56-A0C5-5FA69B0C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5382" y="15517091"/>
          <a:ext cx="3886742" cy="2391109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88</xdr:row>
      <xdr:rowOff>0</xdr:rowOff>
    </xdr:from>
    <xdr:to>
      <xdr:col>43</xdr:col>
      <xdr:colOff>204935</xdr:colOff>
      <xdr:row>91</xdr:row>
      <xdr:rowOff>59832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5373B7-B6A3-42EB-BF46-ACA0254BD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11491" y="15849600"/>
          <a:ext cx="4153480" cy="600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510814</xdr:colOff>
      <xdr:row>66</xdr:row>
      <xdr:rowOff>135112</xdr:rowOff>
    </xdr:from>
    <xdr:ext cx="7459116" cy="2020384"/>
    <xdr:pic>
      <xdr:nvPicPr>
        <xdr:cNvPr id="2" name="Picture 1">
          <a:extLst>
            <a:ext uri="{FF2B5EF4-FFF2-40B4-BE49-F238E27FC236}">
              <a16:creationId xmlns:a16="http://schemas.microsoft.com/office/drawing/2014/main" id="{D15806AF-6783-4A28-94CB-65B6DC2E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2714" y="12708112"/>
          <a:ext cx="7459116" cy="20203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AE1E-2D0C-4947-BF99-F03B55ABA2E0}">
  <dimension ref="A1:AI104"/>
  <sheetViews>
    <sheetView topLeftCell="A61" zoomScale="55" zoomScaleNormal="55" workbookViewId="0">
      <selection activeCell="S72" sqref="S72:AI104"/>
    </sheetView>
  </sheetViews>
  <sheetFormatPr defaultRowHeight="14.4" x14ac:dyDescent="0.3"/>
  <sheetData>
    <row r="1" spans="1:35" x14ac:dyDescent="0.3">
      <c r="B1" t="s">
        <v>18</v>
      </c>
      <c r="C1" t="s">
        <v>18</v>
      </c>
      <c r="D1" t="s">
        <v>18</v>
      </c>
      <c r="E1" t="s">
        <v>18</v>
      </c>
      <c r="F1" t="s">
        <v>18</v>
      </c>
      <c r="G1" t="s">
        <v>18</v>
      </c>
      <c r="H1" t="s">
        <v>18</v>
      </c>
      <c r="I1" t="s">
        <v>18</v>
      </c>
      <c r="J1" t="s">
        <v>18</v>
      </c>
      <c r="K1" t="s">
        <v>18</v>
      </c>
      <c r="L1" t="s">
        <v>18</v>
      </c>
      <c r="M1" t="s">
        <v>18</v>
      </c>
      <c r="N1" t="s">
        <v>18</v>
      </c>
      <c r="O1" t="s">
        <v>18</v>
      </c>
      <c r="P1" t="s">
        <v>18</v>
      </c>
      <c r="Q1" t="s">
        <v>18</v>
      </c>
      <c r="R1" t="s">
        <v>18</v>
      </c>
    </row>
    <row r="2" spans="1:35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14</v>
      </c>
      <c r="M2" t="s">
        <v>10</v>
      </c>
      <c r="N2" t="s">
        <v>11</v>
      </c>
      <c r="O2" t="s">
        <v>15</v>
      </c>
      <c r="P2" t="s">
        <v>12</v>
      </c>
      <c r="Q2" t="s">
        <v>16</v>
      </c>
      <c r="R2" t="s">
        <v>17</v>
      </c>
    </row>
    <row r="3" spans="1:35" x14ac:dyDescent="0.3">
      <c r="A3" s="7">
        <v>2019</v>
      </c>
      <c r="B3" s="7">
        <v>1649.34</v>
      </c>
      <c r="C3" s="7">
        <v>14643</v>
      </c>
      <c r="D3" s="7">
        <v>5115.17</v>
      </c>
      <c r="E3" s="7">
        <v>1690.44</v>
      </c>
      <c r="F3" s="7">
        <v>14.161</v>
      </c>
      <c r="G3" s="7">
        <v>16.036300000000001</v>
      </c>
      <c r="H3" s="7">
        <v>23243.9</v>
      </c>
      <c r="I3" s="7">
        <v>5369.37</v>
      </c>
      <c r="J3" s="7">
        <v>18893.2</v>
      </c>
      <c r="K3" s="7">
        <v>1774.9</v>
      </c>
      <c r="L3" s="7">
        <v>610.96600000000001</v>
      </c>
      <c r="M3" s="7">
        <v>3517.49</v>
      </c>
      <c r="N3" s="7">
        <v>1794.02</v>
      </c>
      <c r="O3" s="7">
        <v>380.75200000000001</v>
      </c>
      <c r="P3" s="7">
        <v>3658.47</v>
      </c>
      <c r="Q3" s="7">
        <v>3429.91</v>
      </c>
      <c r="R3" s="7">
        <v>1607.7</v>
      </c>
    </row>
    <row r="4" spans="1:35" x14ac:dyDescent="0.3">
      <c r="A4" s="7">
        <v>2020</v>
      </c>
      <c r="B4" s="7">
        <v>1638.79</v>
      </c>
      <c r="C4" s="7">
        <v>15017.2</v>
      </c>
      <c r="D4" s="7">
        <v>4921.99</v>
      </c>
      <c r="E4" s="7">
        <v>1642.65</v>
      </c>
      <c r="F4" s="7">
        <v>13.5975</v>
      </c>
      <c r="G4" s="7">
        <v>15.433</v>
      </c>
      <c r="H4" s="7">
        <v>22689.200000000001</v>
      </c>
      <c r="I4" s="7">
        <v>5041.57</v>
      </c>
      <c r="J4" s="7">
        <v>17906.8</v>
      </c>
      <c r="K4" s="7">
        <v>1718.48</v>
      </c>
      <c r="L4" s="7">
        <v>597.99800000000005</v>
      </c>
      <c r="M4" s="7">
        <v>3421.18</v>
      </c>
      <c r="N4" s="7">
        <v>1742.29</v>
      </c>
      <c r="O4" s="7">
        <v>377.89299999999997</v>
      </c>
      <c r="P4" s="7">
        <v>3517.61</v>
      </c>
      <c r="Q4" s="7">
        <v>3276.68</v>
      </c>
      <c r="R4" s="7">
        <v>1595.68</v>
      </c>
    </row>
    <row r="5" spans="1:35" x14ac:dyDescent="0.3">
      <c r="A5" s="7">
        <v>2021</v>
      </c>
      <c r="B5" s="7">
        <v>1720.41</v>
      </c>
      <c r="C5" s="7">
        <v>16306.4</v>
      </c>
      <c r="D5" s="7">
        <v>5070.6499999999996</v>
      </c>
      <c r="E5" s="7">
        <v>1735.6</v>
      </c>
      <c r="F5" s="7">
        <v>14.1899</v>
      </c>
      <c r="G5" s="7">
        <v>15.6426</v>
      </c>
      <c r="H5" s="7">
        <v>24077.8</v>
      </c>
      <c r="I5" s="7">
        <v>5406.67</v>
      </c>
      <c r="J5" s="7">
        <v>19180.599999999999</v>
      </c>
      <c r="K5" s="7">
        <v>1836.19</v>
      </c>
      <c r="L5" s="7">
        <v>621.99599999999998</v>
      </c>
      <c r="M5" s="7">
        <v>3567.62</v>
      </c>
      <c r="N5" s="7">
        <v>1808.5</v>
      </c>
      <c r="O5" s="7">
        <v>394.15800000000002</v>
      </c>
      <c r="P5" s="7">
        <v>3833.46</v>
      </c>
      <c r="Q5" s="7">
        <v>3407.19</v>
      </c>
      <c r="R5" s="7">
        <v>1643.18</v>
      </c>
    </row>
    <row r="6" spans="1:35" x14ac:dyDescent="0.3">
      <c r="A6" s="7">
        <v>2022</v>
      </c>
      <c r="B6" s="7">
        <v>1772.2</v>
      </c>
      <c r="C6" s="7">
        <v>16858.400000000001</v>
      </c>
      <c r="D6" s="7">
        <v>5139.1400000000003</v>
      </c>
      <c r="E6" s="7">
        <v>1715.32</v>
      </c>
      <c r="F6" s="7">
        <v>14.601900000000001</v>
      </c>
      <c r="G6" s="7">
        <v>15.6356</v>
      </c>
      <c r="H6" s="7">
        <v>24740.5</v>
      </c>
      <c r="I6" s="7">
        <v>5633.88</v>
      </c>
      <c r="J6" s="7">
        <v>19963.400000000001</v>
      </c>
      <c r="K6" s="7">
        <v>1910.54</v>
      </c>
      <c r="L6" s="7">
        <v>594.19000000000005</v>
      </c>
      <c r="M6" s="7">
        <v>3800.41</v>
      </c>
      <c r="N6" s="7">
        <v>1887.96</v>
      </c>
      <c r="O6" s="7">
        <v>410.95699999999999</v>
      </c>
      <c r="P6" s="7">
        <v>4097.67</v>
      </c>
      <c r="Q6" s="7">
        <v>3576.53</v>
      </c>
      <c r="R6" s="7">
        <v>1702.95</v>
      </c>
    </row>
    <row r="7" spans="1:35" x14ac:dyDescent="0.3">
      <c r="A7" s="7">
        <v>2023</v>
      </c>
      <c r="B7" s="7">
        <v>1811.48</v>
      </c>
      <c r="C7" s="7">
        <v>17767.5</v>
      </c>
      <c r="D7" s="7">
        <v>5232.68</v>
      </c>
      <c r="E7" s="7">
        <v>1773.48</v>
      </c>
      <c r="F7" s="7">
        <v>15.626099999999999</v>
      </c>
      <c r="G7" s="7">
        <v>16.163799999999998</v>
      </c>
      <c r="H7" s="7">
        <v>25440.9</v>
      </c>
      <c r="I7" s="7">
        <v>5762.21</v>
      </c>
      <c r="J7" s="7">
        <v>20234.3</v>
      </c>
      <c r="K7" s="7">
        <v>1938.74</v>
      </c>
      <c r="L7" s="7">
        <v>618.90499999999997</v>
      </c>
      <c r="M7" s="7">
        <v>3822.19</v>
      </c>
      <c r="N7" s="7">
        <v>1949.9</v>
      </c>
      <c r="O7" s="7">
        <v>427.27800000000002</v>
      </c>
      <c r="P7" s="7">
        <v>4416.22</v>
      </c>
      <c r="Q7" s="7">
        <v>3733.56</v>
      </c>
      <c r="R7" s="7">
        <v>1762.3</v>
      </c>
    </row>
    <row r="8" spans="1:35" x14ac:dyDescent="0.3">
      <c r="A8" s="7">
        <v>2024</v>
      </c>
      <c r="B8" s="7">
        <v>1846.93</v>
      </c>
      <c r="C8" s="7">
        <v>18608.599999999999</v>
      </c>
      <c r="D8" s="7">
        <v>5248.03</v>
      </c>
      <c r="E8" s="7">
        <v>1853.78</v>
      </c>
      <c r="F8" s="7">
        <v>16.2624</v>
      </c>
      <c r="G8" s="7">
        <v>16.723400000000002</v>
      </c>
      <c r="H8" s="7">
        <v>26124.799999999999</v>
      </c>
      <c r="I8" s="7">
        <v>5906.93</v>
      </c>
      <c r="J8" s="7">
        <v>20525.3</v>
      </c>
      <c r="K8" s="7">
        <v>1978.27</v>
      </c>
      <c r="L8" s="7">
        <v>632.95799999999997</v>
      </c>
      <c r="M8" s="7">
        <v>3924.03</v>
      </c>
      <c r="N8" s="7">
        <v>2037.58</v>
      </c>
      <c r="O8" s="7">
        <v>446.476</v>
      </c>
      <c r="P8" s="7">
        <v>4655.1499999999996</v>
      </c>
      <c r="Q8" s="7">
        <v>3886.44</v>
      </c>
      <c r="R8" s="7">
        <v>1787.56</v>
      </c>
      <c r="S8" t="s">
        <v>0</v>
      </c>
      <c r="T8" t="s">
        <v>1</v>
      </c>
      <c r="U8" t="s">
        <v>2</v>
      </c>
      <c r="V8" t="s">
        <v>3</v>
      </c>
      <c r="W8" t="s">
        <v>4</v>
      </c>
      <c r="X8" t="s">
        <v>5</v>
      </c>
      <c r="Y8" t="s">
        <v>6</v>
      </c>
      <c r="Z8" t="s">
        <v>7</v>
      </c>
      <c r="AA8" t="s">
        <v>8</v>
      </c>
      <c r="AB8" t="s">
        <v>9</v>
      </c>
      <c r="AC8" t="s">
        <v>14</v>
      </c>
      <c r="AD8" t="s">
        <v>10</v>
      </c>
      <c r="AE8" t="s">
        <v>11</v>
      </c>
      <c r="AF8" t="s">
        <v>15</v>
      </c>
      <c r="AG8" t="s">
        <v>12</v>
      </c>
      <c r="AH8" t="s">
        <v>16</v>
      </c>
      <c r="AI8" t="s">
        <v>17</v>
      </c>
    </row>
    <row r="9" spans="1:35" x14ac:dyDescent="0.3">
      <c r="A9">
        <v>2025</v>
      </c>
      <c r="B9">
        <v>1901.56</v>
      </c>
      <c r="C9">
        <v>19472.900000000001</v>
      </c>
      <c r="D9">
        <v>5342.34</v>
      </c>
      <c r="E9">
        <v>1872.04</v>
      </c>
      <c r="F9">
        <v>16.918600000000001</v>
      </c>
      <c r="G9">
        <v>17.4908</v>
      </c>
      <c r="H9">
        <v>26806.400000000001</v>
      </c>
      <c r="I9">
        <v>6104.74</v>
      </c>
      <c r="J9">
        <v>21145.3</v>
      </c>
      <c r="K9">
        <v>2046.18</v>
      </c>
      <c r="L9">
        <v>641.03300000000002</v>
      </c>
      <c r="M9">
        <v>4023.35</v>
      </c>
      <c r="N9">
        <v>2114.36</v>
      </c>
      <c r="O9">
        <v>467.738</v>
      </c>
      <c r="P9">
        <v>4960.0200000000004</v>
      </c>
      <c r="Q9">
        <v>4057.61</v>
      </c>
      <c r="R9">
        <v>1841.45</v>
      </c>
      <c r="S9" s="8">
        <f>(B9-B8)/B8</f>
        <v>2.9578814573373045E-2</v>
      </c>
      <c r="T9" s="8">
        <f t="shared" ref="T9:AI9" si="0">(C9-C8)/C8</f>
        <v>4.6446266779876129E-2</v>
      </c>
      <c r="U9" s="8">
        <f t="shared" si="0"/>
        <v>1.7970552759797562E-2</v>
      </c>
      <c r="V9" s="8">
        <f t="shared" si="0"/>
        <v>9.8501440300359216E-3</v>
      </c>
      <c r="W9" s="8">
        <f t="shared" si="0"/>
        <v>4.0350747737111489E-2</v>
      </c>
      <c r="X9" s="8">
        <f t="shared" si="0"/>
        <v>4.5887797935826355E-2</v>
      </c>
      <c r="Y9" s="8">
        <f t="shared" si="0"/>
        <v>2.6090151886330314E-2</v>
      </c>
      <c r="Z9" s="8">
        <f t="shared" si="0"/>
        <v>3.3487784686799991E-2</v>
      </c>
      <c r="AA9" s="8">
        <f t="shared" si="0"/>
        <v>3.020662304570457E-2</v>
      </c>
      <c r="AB9" s="8">
        <f t="shared" si="0"/>
        <v>3.4327973431331454E-2</v>
      </c>
      <c r="AC9" s="8">
        <f t="shared" si="0"/>
        <v>1.2757560533242404E-2</v>
      </c>
      <c r="AD9" s="8">
        <f t="shared" si="0"/>
        <v>2.531071373052696E-2</v>
      </c>
      <c r="AE9" s="8">
        <f t="shared" si="0"/>
        <v>3.7681956045897684E-2</v>
      </c>
      <c r="AF9" s="8">
        <f t="shared" si="0"/>
        <v>4.7621820657773317E-2</v>
      </c>
      <c r="AG9" s="8">
        <f t="shared" si="0"/>
        <v>6.549090791918645E-2</v>
      </c>
      <c r="AH9" s="8">
        <f t="shared" si="0"/>
        <v>4.4042877286153928E-2</v>
      </c>
      <c r="AI9" s="8">
        <f t="shared" si="0"/>
        <v>3.0147239812929414E-2</v>
      </c>
    </row>
    <row r="10" spans="1:35" x14ac:dyDescent="0.3">
      <c r="A10">
        <v>2026</v>
      </c>
      <c r="B10">
        <v>1944.92</v>
      </c>
      <c r="C10">
        <v>20266</v>
      </c>
      <c r="D10">
        <v>5404.59</v>
      </c>
      <c r="E10">
        <v>1903.42</v>
      </c>
      <c r="F10">
        <v>17.433700000000002</v>
      </c>
      <c r="G10">
        <v>18.281500000000001</v>
      </c>
      <c r="H10">
        <v>27390.7</v>
      </c>
      <c r="I10">
        <v>6280.2</v>
      </c>
      <c r="J10">
        <v>21614.2</v>
      </c>
      <c r="K10">
        <v>2104.73</v>
      </c>
      <c r="L10">
        <v>659.04499999999996</v>
      </c>
      <c r="M10">
        <v>4194.5200000000004</v>
      </c>
      <c r="N10">
        <v>2208.2800000000002</v>
      </c>
      <c r="O10">
        <v>491.255</v>
      </c>
      <c r="P10">
        <v>5241.93</v>
      </c>
      <c r="Q10">
        <v>4217.1899999999996</v>
      </c>
      <c r="R10">
        <v>1888.73</v>
      </c>
      <c r="S10" s="8">
        <f t="shared" ref="S10:S34" si="1">(B10-B9)/B9</f>
        <v>2.2802330717936921E-2</v>
      </c>
      <c r="T10" s="8">
        <f t="shared" ref="T10:T34" si="2">(C10-C9)/C9</f>
        <v>4.072839690030753E-2</v>
      </c>
      <c r="U10" s="8">
        <f t="shared" ref="U10:U34" si="3">(D10-D9)/D9</f>
        <v>1.1652197351722279E-2</v>
      </c>
      <c r="V10" s="8">
        <f t="shared" ref="V10:V34" si="4">(E10-E9)/E9</f>
        <v>1.6762462340548338E-2</v>
      </c>
      <c r="W10" s="8">
        <f t="shared" ref="W10:W34" si="5">(F10-F9)/F9</f>
        <v>3.0445781565850618E-2</v>
      </c>
      <c r="X10" s="8">
        <f t="shared" ref="X10:X34" si="6">(G10-G9)/G9</f>
        <v>4.5206622910330063E-2</v>
      </c>
      <c r="Y10" s="8">
        <f t="shared" ref="Y10:Y34" si="7">(H10-H9)/H9</f>
        <v>2.1797033544228215E-2</v>
      </c>
      <c r="Z10" s="8">
        <f t="shared" ref="Z10:Z34" si="8">(I10-I9)/I9</f>
        <v>2.8741600788895195E-2</v>
      </c>
      <c r="AA10" s="8">
        <f t="shared" ref="AA10:AA34" si="9">(J10-J9)/J9</f>
        <v>2.2175140574974179E-2</v>
      </c>
      <c r="AB10" s="8">
        <f t="shared" ref="AB10:AB34" si="10">(K10-K9)/K9</f>
        <v>2.8614295907495896E-2</v>
      </c>
      <c r="AC10" s="8">
        <f t="shared" ref="AC10:AC34" si="11">(L10-L9)/L9</f>
        <v>2.8098397430397409E-2</v>
      </c>
      <c r="AD10" s="8">
        <f t="shared" ref="AD10:AD34" si="12">(M10-M9)/M9</f>
        <v>4.2544148532939099E-2</v>
      </c>
      <c r="AE10" s="8">
        <f t="shared" ref="AE10:AE34" si="13">(N10-N9)/N9</f>
        <v>4.442006091677863E-2</v>
      </c>
      <c r="AF10" s="8">
        <f t="shared" ref="AF10:AF34" si="14">(O10-O9)/O9</f>
        <v>5.0278147167858923E-2</v>
      </c>
      <c r="AG10" s="8">
        <f t="shared" ref="AG10:AG34" si="15">(P10-P9)/P9</f>
        <v>5.6836464369095251E-2</v>
      </c>
      <c r="AH10" s="8">
        <f t="shared" ref="AH10:AH34" si="16">(Q10-Q9)/Q9</f>
        <v>3.932857026673324E-2</v>
      </c>
      <c r="AI10" s="8">
        <f t="shared" ref="AI10:AI34" si="17">(R10-R9)/R9</f>
        <v>2.5675418827554357E-2</v>
      </c>
    </row>
    <row r="11" spans="1:35" x14ac:dyDescent="0.3">
      <c r="A11">
        <v>2027</v>
      </c>
      <c r="B11">
        <v>1996.8</v>
      </c>
      <c r="C11">
        <v>21085.8</v>
      </c>
      <c r="D11">
        <v>5471.3</v>
      </c>
      <c r="E11">
        <v>1921.76</v>
      </c>
      <c r="F11">
        <v>18.058700000000002</v>
      </c>
      <c r="G11">
        <v>19.183399999999999</v>
      </c>
      <c r="H11">
        <v>27962</v>
      </c>
      <c r="I11">
        <v>6431.18</v>
      </c>
      <c r="J11">
        <v>22082.9</v>
      </c>
      <c r="K11">
        <v>2169.42</v>
      </c>
      <c r="L11">
        <v>677.82399999999996</v>
      </c>
      <c r="M11">
        <v>4305.47</v>
      </c>
      <c r="N11">
        <v>2292.44</v>
      </c>
      <c r="O11">
        <v>516.35799999999995</v>
      </c>
      <c r="P11">
        <v>5568.14</v>
      </c>
      <c r="Q11">
        <v>4395.01</v>
      </c>
      <c r="R11">
        <v>1940.13</v>
      </c>
      <c r="S11" s="8">
        <f t="shared" si="1"/>
        <v>2.6674619007465542E-2</v>
      </c>
      <c r="T11" s="8">
        <f t="shared" si="2"/>
        <v>4.0451988552254972E-2</v>
      </c>
      <c r="U11" s="8">
        <f t="shared" si="3"/>
        <v>1.2343211973526213E-2</v>
      </c>
      <c r="V11" s="8">
        <f t="shared" si="4"/>
        <v>9.6352880604385349E-3</v>
      </c>
      <c r="W11" s="8">
        <f t="shared" si="5"/>
        <v>3.5850106403115804E-2</v>
      </c>
      <c r="X11" s="8">
        <f t="shared" si="6"/>
        <v>4.9334026201350967E-2</v>
      </c>
      <c r="Y11" s="8">
        <f t="shared" si="7"/>
        <v>2.0857444315041211E-2</v>
      </c>
      <c r="Z11" s="8">
        <f t="shared" si="8"/>
        <v>2.4040635648546301E-2</v>
      </c>
      <c r="AA11" s="8">
        <f t="shared" si="9"/>
        <v>2.1684818313886273E-2</v>
      </c>
      <c r="AB11" s="8">
        <f t="shared" si="10"/>
        <v>3.0735533773928275E-2</v>
      </c>
      <c r="AC11" s="8">
        <f t="shared" si="11"/>
        <v>2.8494260634706274E-2</v>
      </c>
      <c r="AD11" s="8">
        <f t="shared" si="12"/>
        <v>2.6451179157567447E-2</v>
      </c>
      <c r="AE11" s="8">
        <f t="shared" si="13"/>
        <v>3.8111109098483816E-2</v>
      </c>
      <c r="AF11" s="8">
        <f t="shared" si="14"/>
        <v>5.1099734353848715E-2</v>
      </c>
      <c r="AG11" s="8">
        <f t="shared" si="15"/>
        <v>6.2230895872321841E-2</v>
      </c>
      <c r="AH11" s="8">
        <f t="shared" si="16"/>
        <v>4.2165517797396045E-2</v>
      </c>
      <c r="AI11" s="8">
        <f t="shared" si="17"/>
        <v>2.7214053888062396E-2</v>
      </c>
    </row>
    <row r="12" spans="1:35" x14ac:dyDescent="0.3">
      <c r="A12">
        <v>2028</v>
      </c>
      <c r="B12">
        <v>2035.58</v>
      </c>
      <c r="C12">
        <v>21841.4</v>
      </c>
      <c r="D12">
        <v>5521.69</v>
      </c>
      <c r="E12">
        <v>1958.17</v>
      </c>
      <c r="F12">
        <v>18.617100000000001</v>
      </c>
      <c r="G12">
        <v>20.127600000000001</v>
      </c>
      <c r="H12">
        <v>28496.7</v>
      </c>
      <c r="I12">
        <v>6599.77</v>
      </c>
      <c r="J12">
        <v>22490.9</v>
      </c>
      <c r="K12">
        <v>2225.63</v>
      </c>
      <c r="L12">
        <v>706.428</v>
      </c>
      <c r="M12">
        <v>4510.17</v>
      </c>
      <c r="N12">
        <v>2402.23</v>
      </c>
      <c r="O12">
        <v>543.71</v>
      </c>
      <c r="P12">
        <v>5869.25</v>
      </c>
      <c r="Q12">
        <v>4562.04</v>
      </c>
      <c r="R12">
        <v>1989.35</v>
      </c>
      <c r="S12" s="8">
        <f t="shared" si="1"/>
        <v>1.9421073717948704E-2</v>
      </c>
      <c r="T12" s="8">
        <f t="shared" si="2"/>
        <v>3.5834542678010901E-2</v>
      </c>
      <c r="U12" s="8">
        <f t="shared" si="3"/>
        <v>9.2098769944984581E-3</v>
      </c>
      <c r="V12" s="8">
        <f t="shared" si="4"/>
        <v>1.8946174340188204E-2</v>
      </c>
      <c r="W12" s="8">
        <f t="shared" si="5"/>
        <v>3.0921384152790558E-2</v>
      </c>
      <c r="X12" s="8">
        <f t="shared" si="6"/>
        <v>4.9219637811858286E-2</v>
      </c>
      <c r="Y12" s="8">
        <f t="shared" si="7"/>
        <v>1.9122380373363876E-2</v>
      </c>
      <c r="Z12" s="8">
        <f t="shared" si="8"/>
        <v>2.621447386016254E-2</v>
      </c>
      <c r="AA12" s="8">
        <f t="shared" si="9"/>
        <v>1.8475834242785139E-2</v>
      </c>
      <c r="AB12" s="8">
        <f t="shared" si="10"/>
        <v>2.5910151100294102E-2</v>
      </c>
      <c r="AC12" s="8">
        <f t="shared" si="11"/>
        <v>4.2199745066566013E-2</v>
      </c>
      <c r="AD12" s="8">
        <f t="shared" si="12"/>
        <v>4.7544170555130986E-2</v>
      </c>
      <c r="AE12" s="8">
        <f t="shared" si="13"/>
        <v>4.7892202195041075E-2</v>
      </c>
      <c r="AF12" s="8">
        <f t="shared" si="14"/>
        <v>5.2971000739796985E-2</v>
      </c>
      <c r="AG12" s="8">
        <f t="shared" si="15"/>
        <v>5.407730409077352E-2</v>
      </c>
      <c r="AH12" s="8">
        <f t="shared" si="16"/>
        <v>3.8004464153665117E-2</v>
      </c>
      <c r="AI12" s="8">
        <f t="shared" si="17"/>
        <v>2.5369434006999425E-2</v>
      </c>
    </row>
    <row r="13" spans="1:35" x14ac:dyDescent="0.3">
      <c r="A13">
        <v>2029</v>
      </c>
      <c r="B13">
        <v>2083.5500000000002</v>
      </c>
      <c r="C13">
        <v>22632.7</v>
      </c>
      <c r="D13">
        <v>5584.79</v>
      </c>
      <c r="E13">
        <v>1979.55</v>
      </c>
      <c r="F13">
        <v>19.273599999999998</v>
      </c>
      <c r="G13">
        <v>21.1555</v>
      </c>
      <c r="H13">
        <v>29039.1</v>
      </c>
      <c r="I13">
        <v>6755.58</v>
      </c>
      <c r="J13">
        <v>22936.3</v>
      </c>
      <c r="K13">
        <v>2288.04</v>
      </c>
      <c r="L13">
        <v>730.17399999999998</v>
      </c>
      <c r="M13">
        <v>4635.24</v>
      </c>
      <c r="N13">
        <v>2499.69</v>
      </c>
      <c r="O13">
        <v>570.89599999999996</v>
      </c>
      <c r="P13">
        <v>6213.99</v>
      </c>
      <c r="Q13">
        <v>4744.3100000000004</v>
      </c>
      <c r="R13">
        <v>2041.99</v>
      </c>
      <c r="S13" s="8">
        <f t="shared" si="1"/>
        <v>2.3565765039939603E-2</v>
      </c>
      <c r="T13" s="8">
        <f t="shared" si="2"/>
        <v>3.6229362586647343E-2</v>
      </c>
      <c r="U13" s="8">
        <f t="shared" si="3"/>
        <v>1.1427660734304238E-2</v>
      </c>
      <c r="V13" s="8">
        <f t="shared" si="4"/>
        <v>1.0918357445982668E-2</v>
      </c>
      <c r="W13" s="8">
        <f t="shared" si="5"/>
        <v>3.526327945813245E-2</v>
      </c>
      <c r="X13" s="8">
        <f t="shared" si="6"/>
        <v>5.1069178640274993E-2</v>
      </c>
      <c r="Y13" s="8">
        <f t="shared" si="7"/>
        <v>1.9033782859067816E-2</v>
      </c>
      <c r="Z13" s="8">
        <f t="shared" si="8"/>
        <v>2.3608398474492216E-2</v>
      </c>
      <c r="AA13" s="8">
        <f t="shared" si="9"/>
        <v>1.980356499739885E-2</v>
      </c>
      <c r="AB13" s="8">
        <f t="shared" si="10"/>
        <v>2.8041498362261406E-2</v>
      </c>
      <c r="AC13" s="8">
        <f t="shared" si="11"/>
        <v>3.36141829032824E-2</v>
      </c>
      <c r="AD13" s="8">
        <f t="shared" si="12"/>
        <v>2.7730662037129355E-2</v>
      </c>
      <c r="AE13" s="8">
        <f t="shared" si="13"/>
        <v>4.0570636450298278E-2</v>
      </c>
      <c r="AF13" s="8">
        <f t="shared" si="14"/>
        <v>5.000091960787905E-2</v>
      </c>
      <c r="AG13" s="8">
        <f t="shared" si="15"/>
        <v>5.8736635856370026E-2</v>
      </c>
      <c r="AH13" s="8">
        <f t="shared" si="16"/>
        <v>3.9953617241409639E-2</v>
      </c>
      <c r="AI13" s="8">
        <f t="shared" si="17"/>
        <v>2.6460904315479983E-2</v>
      </c>
    </row>
    <row r="14" spans="1:35" x14ac:dyDescent="0.3">
      <c r="A14">
        <v>2030</v>
      </c>
      <c r="B14">
        <v>2122.5</v>
      </c>
      <c r="C14">
        <v>23373.3</v>
      </c>
      <c r="D14">
        <v>5642.53</v>
      </c>
      <c r="E14">
        <v>2013.82</v>
      </c>
      <c r="F14">
        <v>19.860499999999998</v>
      </c>
      <c r="G14">
        <v>22.203499999999998</v>
      </c>
      <c r="H14">
        <v>29566.5</v>
      </c>
      <c r="I14">
        <v>6934.9</v>
      </c>
      <c r="J14">
        <v>23365.8</v>
      </c>
      <c r="K14">
        <v>2343.2800000000002</v>
      </c>
      <c r="L14">
        <v>756.93600000000004</v>
      </c>
      <c r="M14">
        <v>4818.22</v>
      </c>
      <c r="N14">
        <v>2617.0100000000002</v>
      </c>
      <c r="O14">
        <v>598.08500000000004</v>
      </c>
      <c r="P14">
        <v>6535.51</v>
      </c>
      <c r="Q14">
        <v>4914.6499999999996</v>
      </c>
      <c r="R14">
        <v>2092.44</v>
      </c>
      <c r="S14" s="8">
        <f t="shared" si="1"/>
        <v>1.8694055818194819E-2</v>
      </c>
      <c r="T14" s="8">
        <f t="shared" si="2"/>
        <v>3.2722565138052398E-2</v>
      </c>
      <c r="U14" s="8">
        <f t="shared" si="3"/>
        <v>1.033879519194093E-2</v>
      </c>
      <c r="V14" s="8">
        <f t="shared" si="4"/>
        <v>1.7312015357025579E-2</v>
      </c>
      <c r="W14" s="8">
        <f t="shared" si="5"/>
        <v>3.0450979578283251E-2</v>
      </c>
      <c r="X14" s="8">
        <f t="shared" si="6"/>
        <v>4.9537945215192183E-2</v>
      </c>
      <c r="Y14" s="8">
        <f t="shared" si="7"/>
        <v>1.8161719888013111E-2</v>
      </c>
      <c r="Z14" s="8">
        <f t="shared" si="8"/>
        <v>2.6543982900061831E-2</v>
      </c>
      <c r="AA14" s="8">
        <f t="shared" si="9"/>
        <v>1.8725775299416211E-2</v>
      </c>
      <c r="AB14" s="8">
        <f t="shared" si="10"/>
        <v>2.4142934564081151E-2</v>
      </c>
      <c r="AC14" s="8">
        <f t="shared" si="11"/>
        <v>3.6651537852621513E-2</v>
      </c>
      <c r="AD14" s="8">
        <f t="shared" si="12"/>
        <v>3.9475841596120262E-2</v>
      </c>
      <c r="AE14" s="8">
        <f t="shared" si="13"/>
        <v>4.6933819793654477E-2</v>
      </c>
      <c r="AF14" s="8">
        <f t="shared" si="14"/>
        <v>4.762513662733682E-2</v>
      </c>
      <c r="AG14" s="8">
        <f t="shared" si="15"/>
        <v>5.1741312747526219E-2</v>
      </c>
      <c r="AH14" s="8">
        <f t="shared" si="16"/>
        <v>3.5904061918382066E-2</v>
      </c>
      <c r="AI14" s="8">
        <f t="shared" si="17"/>
        <v>2.4706291411809092E-2</v>
      </c>
    </row>
    <row r="15" spans="1:35" x14ac:dyDescent="0.3">
      <c r="A15">
        <v>2031</v>
      </c>
      <c r="B15">
        <v>2164.1999999999998</v>
      </c>
      <c r="C15">
        <v>24130.5</v>
      </c>
      <c r="D15">
        <v>5709.7</v>
      </c>
      <c r="E15">
        <v>2043.64</v>
      </c>
      <c r="F15">
        <v>20.532900000000001</v>
      </c>
      <c r="G15">
        <v>23.322700000000001</v>
      </c>
      <c r="H15">
        <v>30099.200000000001</v>
      </c>
      <c r="I15">
        <v>7119.62</v>
      </c>
      <c r="J15">
        <v>23826.400000000001</v>
      </c>
      <c r="K15">
        <v>2400.0500000000002</v>
      </c>
      <c r="L15">
        <v>779.96</v>
      </c>
      <c r="M15">
        <v>4958.91</v>
      </c>
      <c r="N15">
        <v>2734.14</v>
      </c>
      <c r="O15">
        <v>624.85500000000002</v>
      </c>
      <c r="P15">
        <v>6880.79</v>
      </c>
      <c r="Q15">
        <v>5091.1099999999997</v>
      </c>
      <c r="R15">
        <v>2145.13</v>
      </c>
      <c r="S15" s="8">
        <f t="shared" si="1"/>
        <v>1.9646643109540552E-2</v>
      </c>
      <c r="T15" s="8">
        <f t="shared" si="2"/>
        <v>3.2395938955988274E-2</v>
      </c>
      <c r="U15" s="8">
        <f t="shared" si="3"/>
        <v>1.1904234448022443E-2</v>
      </c>
      <c r="V15" s="8">
        <f t="shared" si="4"/>
        <v>1.4807678938534807E-2</v>
      </c>
      <c r="W15" s="8">
        <f t="shared" si="5"/>
        <v>3.3856146622693449E-2</v>
      </c>
      <c r="X15" s="8">
        <f t="shared" si="6"/>
        <v>5.0406467448825772E-2</v>
      </c>
      <c r="Y15" s="8">
        <f t="shared" si="7"/>
        <v>1.8017012497251982E-2</v>
      </c>
      <c r="Z15" s="8">
        <f t="shared" si="8"/>
        <v>2.663628891548548E-2</v>
      </c>
      <c r="AA15" s="8">
        <f t="shared" si="9"/>
        <v>1.9712571364986529E-2</v>
      </c>
      <c r="AB15" s="8">
        <f t="shared" si="10"/>
        <v>2.4226724932573135E-2</v>
      </c>
      <c r="AC15" s="8">
        <f t="shared" si="11"/>
        <v>3.0417366857964215E-2</v>
      </c>
      <c r="AD15" s="8">
        <f t="shared" si="12"/>
        <v>2.919957992785709E-2</v>
      </c>
      <c r="AE15" s="8">
        <f t="shared" si="13"/>
        <v>4.4757184726080389E-2</v>
      </c>
      <c r="AF15" s="8">
        <f t="shared" si="14"/>
        <v>4.4759524147905363E-2</v>
      </c>
      <c r="AG15" s="8">
        <f t="shared" si="15"/>
        <v>5.2831378117392483E-2</v>
      </c>
      <c r="AH15" s="8">
        <f t="shared" si="16"/>
        <v>3.5904896584700856E-2</v>
      </c>
      <c r="AI15" s="8">
        <f t="shared" si="17"/>
        <v>2.518112825218408E-2</v>
      </c>
    </row>
    <row r="16" spans="1:35" x14ac:dyDescent="0.3">
      <c r="A16">
        <v>2032</v>
      </c>
      <c r="B16">
        <v>2197.7800000000002</v>
      </c>
      <c r="C16">
        <v>24850.9</v>
      </c>
      <c r="D16">
        <v>5772.03</v>
      </c>
      <c r="E16">
        <v>2086.37</v>
      </c>
      <c r="F16">
        <v>21.195900000000002</v>
      </c>
      <c r="G16">
        <v>24.4954</v>
      </c>
      <c r="H16">
        <v>30615</v>
      </c>
      <c r="I16">
        <v>7326.75</v>
      </c>
      <c r="J16">
        <v>24266.2</v>
      </c>
      <c r="K16">
        <v>2451.0100000000002</v>
      </c>
      <c r="L16">
        <v>807.57299999999998</v>
      </c>
      <c r="M16">
        <v>5158.9799999999996</v>
      </c>
      <c r="N16">
        <v>2875.4</v>
      </c>
      <c r="O16">
        <v>652.79200000000003</v>
      </c>
      <c r="P16">
        <v>7205.58</v>
      </c>
      <c r="Q16">
        <v>5259.73</v>
      </c>
      <c r="R16">
        <v>2197.41</v>
      </c>
      <c r="S16" s="8">
        <f t="shared" si="1"/>
        <v>1.5516126051196925E-2</v>
      </c>
      <c r="T16" s="8">
        <f t="shared" si="2"/>
        <v>2.9854333727026023E-2</v>
      </c>
      <c r="U16" s="8">
        <f t="shared" si="3"/>
        <v>1.0916510499675977E-2</v>
      </c>
      <c r="V16" s="8">
        <f t="shared" si="4"/>
        <v>2.0908770624963196E-2</v>
      </c>
      <c r="W16" s="8">
        <f t="shared" si="5"/>
        <v>3.2289642476221098E-2</v>
      </c>
      <c r="X16" s="8">
        <f t="shared" si="6"/>
        <v>5.0281485419784111E-2</v>
      </c>
      <c r="Y16" s="8">
        <f t="shared" si="7"/>
        <v>1.7136668084201549E-2</v>
      </c>
      <c r="Z16" s="8">
        <f t="shared" si="8"/>
        <v>2.909284484284275E-2</v>
      </c>
      <c r="AA16" s="8">
        <f t="shared" si="9"/>
        <v>1.8458516603431455E-2</v>
      </c>
      <c r="AB16" s="8">
        <f t="shared" si="10"/>
        <v>2.12328909814379E-2</v>
      </c>
      <c r="AC16" s="8">
        <f t="shared" si="11"/>
        <v>3.5403097594748377E-2</v>
      </c>
      <c r="AD16" s="8">
        <f t="shared" si="12"/>
        <v>4.0345559810522819E-2</v>
      </c>
      <c r="AE16" s="8">
        <f t="shared" si="13"/>
        <v>5.166524025836286E-2</v>
      </c>
      <c r="AF16" s="8">
        <f t="shared" si="14"/>
        <v>4.4709572620848057E-2</v>
      </c>
      <c r="AG16" s="8">
        <f t="shared" si="15"/>
        <v>4.7202428790880109E-2</v>
      </c>
      <c r="AH16" s="8">
        <f t="shared" si="16"/>
        <v>3.3120478638253723E-2</v>
      </c>
      <c r="AI16" s="8">
        <f t="shared" si="17"/>
        <v>2.4371483313365503E-2</v>
      </c>
    </row>
    <row r="17" spans="1:35" x14ac:dyDescent="0.3">
      <c r="A17">
        <v>2033</v>
      </c>
      <c r="B17">
        <v>2237.5500000000002</v>
      </c>
      <c r="C17">
        <v>25591.1</v>
      </c>
      <c r="D17">
        <v>5843.18</v>
      </c>
      <c r="E17">
        <v>2119.66</v>
      </c>
      <c r="F17">
        <v>21.917400000000001</v>
      </c>
      <c r="G17">
        <v>25.758400000000002</v>
      </c>
      <c r="H17">
        <v>31135.599999999999</v>
      </c>
      <c r="I17">
        <v>7530.19</v>
      </c>
      <c r="J17">
        <v>24735.7</v>
      </c>
      <c r="K17">
        <v>2506.0500000000002</v>
      </c>
      <c r="L17">
        <v>831.20600000000002</v>
      </c>
      <c r="M17">
        <v>5297.83</v>
      </c>
      <c r="N17">
        <v>3010.32</v>
      </c>
      <c r="O17">
        <v>680.09299999999996</v>
      </c>
      <c r="P17">
        <v>7567.37</v>
      </c>
      <c r="Q17">
        <v>5438.3</v>
      </c>
      <c r="R17">
        <v>2251.4299999999998</v>
      </c>
      <c r="S17" s="8">
        <f t="shared" si="1"/>
        <v>1.8095532764880917E-2</v>
      </c>
      <c r="T17" s="8">
        <f t="shared" si="2"/>
        <v>2.9785641566301303E-2</v>
      </c>
      <c r="U17" s="8">
        <f t="shared" si="3"/>
        <v>1.2326685758736623E-2</v>
      </c>
      <c r="V17" s="8">
        <f t="shared" si="4"/>
        <v>1.5955942618039929E-2</v>
      </c>
      <c r="W17" s="8">
        <f t="shared" si="5"/>
        <v>3.4039601998499654E-2</v>
      </c>
      <c r="X17" s="8">
        <f t="shared" si="6"/>
        <v>5.1560701192877097E-2</v>
      </c>
      <c r="Y17" s="8">
        <f t="shared" si="7"/>
        <v>1.7004736240404984E-2</v>
      </c>
      <c r="Z17" s="8">
        <f t="shared" si="8"/>
        <v>2.7766745146210747E-2</v>
      </c>
      <c r="AA17" s="8">
        <f t="shared" si="9"/>
        <v>1.9347899547518772E-2</v>
      </c>
      <c r="AB17" s="8">
        <f t="shared" si="10"/>
        <v>2.2456048730931315E-2</v>
      </c>
      <c r="AC17" s="8">
        <f t="shared" si="11"/>
        <v>2.9264227506367892E-2</v>
      </c>
      <c r="AD17" s="8">
        <f t="shared" si="12"/>
        <v>2.691423498443498E-2</v>
      </c>
      <c r="AE17" s="8">
        <f t="shared" si="13"/>
        <v>4.6922167350629498E-2</v>
      </c>
      <c r="AF17" s="8">
        <f t="shared" si="14"/>
        <v>4.1821897327173022E-2</v>
      </c>
      <c r="AG17" s="8">
        <f t="shared" si="15"/>
        <v>5.0209698594700217E-2</v>
      </c>
      <c r="AH17" s="8">
        <f t="shared" si="16"/>
        <v>3.395041190327272E-2</v>
      </c>
      <c r="AI17" s="8">
        <f t="shared" si="17"/>
        <v>2.4583486923241447E-2</v>
      </c>
    </row>
    <row r="18" spans="1:35" x14ac:dyDescent="0.3">
      <c r="A18">
        <v>2034</v>
      </c>
      <c r="B18">
        <v>2267.7600000000002</v>
      </c>
      <c r="C18">
        <v>26267.200000000001</v>
      </c>
      <c r="D18">
        <v>5905.01</v>
      </c>
      <c r="E18">
        <v>2165.37</v>
      </c>
      <c r="F18">
        <v>22.601500000000001</v>
      </c>
      <c r="G18">
        <v>27.057600000000001</v>
      </c>
      <c r="H18">
        <v>31640.799999999999</v>
      </c>
      <c r="I18">
        <v>7754.67</v>
      </c>
      <c r="J18">
        <v>25180.400000000001</v>
      </c>
      <c r="K18">
        <v>2554.1999999999998</v>
      </c>
      <c r="L18">
        <v>859.55100000000004</v>
      </c>
      <c r="M18">
        <v>5507.32</v>
      </c>
      <c r="N18">
        <v>3167.78</v>
      </c>
      <c r="O18">
        <v>707.875</v>
      </c>
      <c r="P18">
        <v>7902.7</v>
      </c>
      <c r="Q18">
        <v>5605.12</v>
      </c>
      <c r="R18">
        <v>2304.7800000000002</v>
      </c>
      <c r="S18" s="8">
        <f t="shared" si="1"/>
        <v>1.3501374270966027E-2</v>
      </c>
      <c r="T18" s="8">
        <f t="shared" si="2"/>
        <v>2.6419341099054056E-2</v>
      </c>
      <c r="U18" s="8">
        <f t="shared" si="3"/>
        <v>1.0581566886524106E-2</v>
      </c>
      <c r="V18" s="8">
        <f t="shared" si="4"/>
        <v>2.1564779257050679E-2</v>
      </c>
      <c r="W18" s="8">
        <f t="shared" si="5"/>
        <v>3.1212643835491473E-2</v>
      </c>
      <c r="X18" s="8">
        <f t="shared" si="6"/>
        <v>5.0437915398471915E-2</v>
      </c>
      <c r="Y18" s="8">
        <f t="shared" si="7"/>
        <v>1.622579940646722E-2</v>
      </c>
      <c r="Z18" s="8">
        <f t="shared" si="8"/>
        <v>2.9810668787905815E-2</v>
      </c>
      <c r="AA18" s="8">
        <f t="shared" si="9"/>
        <v>1.7978064093597541E-2</v>
      </c>
      <c r="AB18" s="8">
        <f t="shared" si="10"/>
        <v>1.9213503321960708E-2</v>
      </c>
      <c r="AC18" s="8">
        <f t="shared" si="11"/>
        <v>3.4101053168528649E-2</v>
      </c>
      <c r="AD18" s="8">
        <f t="shared" si="12"/>
        <v>3.9542605179856617E-2</v>
      </c>
      <c r="AE18" s="8">
        <f t="shared" si="13"/>
        <v>5.2306731510271341E-2</v>
      </c>
      <c r="AF18" s="8">
        <f t="shared" si="14"/>
        <v>4.0850295474295487E-2</v>
      </c>
      <c r="AG18" s="8">
        <f t="shared" si="15"/>
        <v>4.4312621161645319E-2</v>
      </c>
      <c r="AH18" s="8">
        <f t="shared" si="16"/>
        <v>3.0675027122446297E-2</v>
      </c>
      <c r="AI18" s="8">
        <f t="shared" si="17"/>
        <v>2.3696050954282552E-2</v>
      </c>
    </row>
    <row r="19" spans="1:35" x14ac:dyDescent="0.3">
      <c r="A19">
        <v>2035</v>
      </c>
      <c r="B19">
        <v>2303.5700000000002</v>
      </c>
      <c r="C19">
        <v>26942.5</v>
      </c>
      <c r="D19">
        <v>5972.07</v>
      </c>
      <c r="E19">
        <v>2199.2199999999998</v>
      </c>
      <c r="F19">
        <v>23.327200000000001</v>
      </c>
      <c r="G19">
        <v>28.441400000000002</v>
      </c>
      <c r="H19">
        <v>32154.799999999999</v>
      </c>
      <c r="I19">
        <v>7971.45</v>
      </c>
      <c r="J19">
        <v>25655.599999999999</v>
      </c>
      <c r="K19">
        <v>2606.2600000000002</v>
      </c>
      <c r="L19">
        <v>883.22299999999996</v>
      </c>
      <c r="M19">
        <v>5653.78</v>
      </c>
      <c r="N19">
        <v>3313.15</v>
      </c>
      <c r="O19">
        <v>734.17399999999998</v>
      </c>
      <c r="P19">
        <v>8276.57</v>
      </c>
      <c r="Q19">
        <v>5780.21</v>
      </c>
      <c r="R19">
        <v>2359.75</v>
      </c>
      <c r="S19" s="8">
        <f t="shared" si="1"/>
        <v>1.5790912618619229E-2</v>
      </c>
      <c r="T19" s="8">
        <f t="shared" si="2"/>
        <v>2.5708868855454682E-2</v>
      </c>
      <c r="U19" s="8">
        <f t="shared" si="3"/>
        <v>1.1356458329452361E-2</v>
      </c>
      <c r="V19" s="8">
        <f t="shared" si="4"/>
        <v>1.5632432332580534E-2</v>
      </c>
      <c r="W19" s="8">
        <f t="shared" si="5"/>
        <v>3.2108488374665387E-2</v>
      </c>
      <c r="X19" s="8">
        <f t="shared" si="6"/>
        <v>5.1142747324226863E-2</v>
      </c>
      <c r="Y19" s="8">
        <f t="shared" si="7"/>
        <v>1.6244848423554399E-2</v>
      </c>
      <c r="Z19" s="8">
        <f t="shared" si="8"/>
        <v>2.7954767901148564E-2</v>
      </c>
      <c r="AA19" s="8">
        <f t="shared" si="9"/>
        <v>1.8871820940096148E-2</v>
      </c>
      <c r="AB19" s="8">
        <f t="shared" si="10"/>
        <v>2.0382115730953099E-2</v>
      </c>
      <c r="AC19" s="8">
        <f t="shared" si="11"/>
        <v>2.7539959816229531E-2</v>
      </c>
      <c r="AD19" s="8">
        <f t="shared" si="12"/>
        <v>2.6593697115838564E-2</v>
      </c>
      <c r="AE19" s="8">
        <f t="shared" si="13"/>
        <v>4.5890181767673226E-2</v>
      </c>
      <c r="AF19" s="8">
        <f t="shared" si="14"/>
        <v>3.715203955500615E-2</v>
      </c>
      <c r="AG19" s="8">
        <f t="shared" si="15"/>
        <v>4.7309147506548382E-2</v>
      </c>
      <c r="AH19" s="8">
        <f t="shared" si="16"/>
        <v>3.1237511418132021E-2</v>
      </c>
      <c r="AI19" s="8">
        <f t="shared" si="17"/>
        <v>2.3850432579248255E-2</v>
      </c>
    </row>
    <row r="20" spans="1:35" x14ac:dyDescent="0.3">
      <c r="A20">
        <v>2036</v>
      </c>
      <c r="B20">
        <v>2330.9699999999998</v>
      </c>
      <c r="C20">
        <v>27542.400000000001</v>
      </c>
      <c r="D20">
        <v>6028.65</v>
      </c>
      <c r="E20">
        <v>2243.04</v>
      </c>
      <c r="F20">
        <v>24.0091</v>
      </c>
      <c r="G20">
        <v>29.871700000000001</v>
      </c>
      <c r="H20">
        <v>32655.1</v>
      </c>
      <c r="I20">
        <v>8207.27</v>
      </c>
      <c r="J20">
        <v>26109.8</v>
      </c>
      <c r="K20">
        <v>2652.22</v>
      </c>
      <c r="L20">
        <v>910.85599999999999</v>
      </c>
      <c r="M20">
        <v>5866.22</v>
      </c>
      <c r="N20">
        <v>3478.35</v>
      </c>
      <c r="O20">
        <v>760.46100000000001</v>
      </c>
      <c r="P20">
        <v>8625.64</v>
      </c>
      <c r="Q20">
        <v>5943.39</v>
      </c>
      <c r="R20">
        <v>2414.11</v>
      </c>
      <c r="S20" s="8">
        <f t="shared" si="1"/>
        <v>1.1894581019895047E-2</v>
      </c>
      <c r="T20" s="8">
        <f t="shared" si="2"/>
        <v>2.226593671708273E-2</v>
      </c>
      <c r="U20" s="8">
        <f t="shared" si="3"/>
        <v>9.4741019445518781E-3</v>
      </c>
      <c r="V20" s="8">
        <f t="shared" si="4"/>
        <v>1.9925246223661191E-2</v>
      </c>
      <c r="W20" s="8">
        <f t="shared" si="5"/>
        <v>2.9231969546280684E-2</v>
      </c>
      <c r="X20" s="8">
        <f t="shared" si="6"/>
        <v>5.0289366908801918E-2</v>
      </c>
      <c r="Y20" s="8">
        <f t="shared" si="7"/>
        <v>1.5559107815940366E-2</v>
      </c>
      <c r="Z20" s="8">
        <f t="shared" si="8"/>
        <v>2.9583074597469797E-2</v>
      </c>
      <c r="AA20" s="8">
        <f t="shared" si="9"/>
        <v>1.770373719577795E-2</v>
      </c>
      <c r="AB20" s="8">
        <f t="shared" si="10"/>
        <v>1.7634464711885834E-2</v>
      </c>
      <c r="AC20" s="8">
        <f t="shared" si="11"/>
        <v>3.1286549376544813E-2</v>
      </c>
      <c r="AD20" s="8">
        <f t="shared" si="12"/>
        <v>3.7574861420147321E-2</v>
      </c>
      <c r="AE20" s="8">
        <f t="shared" si="13"/>
        <v>4.9861913888595392E-2</v>
      </c>
      <c r="AF20" s="8">
        <f t="shared" si="14"/>
        <v>3.5804863697161758E-2</v>
      </c>
      <c r="AG20" s="8">
        <f t="shared" si="15"/>
        <v>4.2175683888374012E-2</v>
      </c>
      <c r="AH20" s="8">
        <f t="shared" si="16"/>
        <v>2.8230808223230694E-2</v>
      </c>
      <c r="AI20" s="8">
        <f t="shared" si="17"/>
        <v>2.3036338595190223E-2</v>
      </c>
    </row>
    <row r="21" spans="1:35" x14ac:dyDescent="0.3">
      <c r="A21">
        <v>2037</v>
      </c>
      <c r="B21">
        <v>2363.39</v>
      </c>
      <c r="C21">
        <v>28141.599999999999</v>
      </c>
      <c r="D21">
        <v>6089.69</v>
      </c>
      <c r="E21">
        <v>2277.63</v>
      </c>
      <c r="F21">
        <v>24.7347</v>
      </c>
      <c r="G21">
        <v>31.412199999999999</v>
      </c>
      <c r="H21">
        <v>33160.1</v>
      </c>
      <c r="I21">
        <v>8440.4500000000007</v>
      </c>
      <c r="J21">
        <v>26590.799999999999</v>
      </c>
      <c r="K21">
        <v>2701.86</v>
      </c>
      <c r="L21">
        <v>934.75599999999997</v>
      </c>
      <c r="M21">
        <v>6024.3</v>
      </c>
      <c r="N21">
        <v>3635.8</v>
      </c>
      <c r="O21">
        <v>785.63499999999999</v>
      </c>
      <c r="P21">
        <v>9010.69</v>
      </c>
      <c r="Q21">
        <v>6113.95</v>
      </c>
      <c r="R21">
        <v>2469.85</v>
      </c>
      <c r="S21" s="8">
        <f t="shared" si="1"/>
        <v>1.3908372909132282E-2</v>
      </c>
      <c r="T21" s="8">
        <f t="shared" si="2"/>
        <v>2.175554780992205E-2</v>
      </c>
      <c r="U21" s="8">
        <f t="shared" si="3"/>
        <v>1.0124986522687495E-2</v>
      </c>
      <c r="V21" s="8">
        <f t="shared" si="4"/>
        <v>1.5421035737213847E-2</v>
      </c>
      <c r="W21" s="8">
        <f t="shared" si="5"/>
        <v>3.0221874206030213E-2</v>
      </c>
      <c r="X21" s="8">
        <f t="shared" si="6"/>
        <v>5.1570550052390654E-2</v>
      </c>
      <c r="Y21" s="8">
        <f t="shared" si="7"/>
        <v>1.5464659425327132E-2</v>
      </c>
      <c r="Z21" s="8">
        <f t="shared" si="8"/>
        <v>2.8411396237725855E-2</v>
      </c>
      <c r="AA21" s="8">
        <f t="shared" si="9"/>
        <v>1.8422201625443321E-2</v>
      </c>
      <c r="AB21" s="8">
        <f t="shared" si="10"/>
        <v>1.8716396075740448E-2</v>
      </c>
      <c r="AC21" s="8">
        <f t="shared" si="11"/>
        <v>2.6239054252263781E-2</v>
      </c>
      <c r="AD21" s="8">
        <f t="shared" si="12"/>
        <v>2.6947506230587996E-2</v>
      </c>
      <c r="AE21" s="8">
        <f t="shared" si="13"/>
        <v>4.526571506605151E-2</v>
      </c>
      <c r="AF21" s="8">
        <f t="shared" si="14"/>
        <v>3.3103604261099491E-2</v>
      </c>
      <c r="AG21" s="8">
        <f t="shared" si="15"/>
        <v>4.4640165831173237E-2</v>
      </c>
      <c r="AH21" s="8">
        <f t="shared" si="16"/>
        <v>2.8697426889367765E-2</v>
      </c>
      <c r="AI21" s="8">
        <f t="shared" si="17"/>
        <v>2.3089254425026108E-2</v>
      </c>
    </row>
    <row r="22" spans="1:35" x14ac:dyDescent="0.3">
      <c r="A22">
        <v>2038</v>
      </c>
      <c r="B22">
        <v>2388.85</v>
      </c>
      <c r="C22">
        <v>28691.4</v>
      </c>
      <c r="D22">
        <v>6143.78</v>
      </c>
      <c r="E22">
        <v>2321.44</v>
      </c>
      <c r="F22">
        <v>25.4377</v>
      </c>
      <c r="G22">
        <v>33.002800000000001</v>
      </c>
      <c r="H22">
        <v>33653.199999999997</v>
      </c>
      <c r="I22">
        <v>8692.0300000000007</v>
      </c>
      <c r="J22">
        <v>27053.8</v>
      </c>
      <c r="K22">
        <v>2745.94</v>
      </c>
      <c r="L22">
        <v>962.24800000000005</v>
      </c>
      <c r="M22">
        <v>6241.45</v>
      </c>
      <c r="N22">
        <v>3814.26</v>
      </c>
      <c r="O22">
        <v>811.01400000000001</v>
      </c>
      <c r="P22">
        <v>9373.7999999999993</v>
      </c>
      <c r="Q22">
        <v>6274.98</v>
      </c>
      <c r="R22">
        <v>2525.4499999999998</v>
      </c>
      <c r="S22" s="8">
        <f t="shared" si="1"/>
        <v>1.0772661304312888E-2</v>
      </c>
      <c r="T22" s="8">
        <f t="shared" si="2"/>
        <v>1.9536913324047066E-2</v>
      </c>
      <c r="U22" s="8">
        <f t="shared" si="3"/>
        <v>8.8822255320057594E-3</v>
      </c>
      <c r="V22" s="8">
        <f t="shared" si="4"/>
        <v>1.9234906459784928E-2</v>
      </c>
      <c r="W22" s="8">
        <f t="shared" si="5"/>
        <v>2.8421610126664137E-2</v>
      </c>
      <c r="X22" s="8">
        <f t="shared" si="6"/>
        <v>5.0636376949083545E-2</v>
      </c>
      <c r="Y22" s="8">
        <f t="shared" si="7"/>
        <v>1.48702808495752E-2</v>
      </c>
      <c r="Z22" s="8">
        <f t="shared" si="8"/>
        <v>2.9806467664638722E-2</v>
      </c>
      <c r="AA22" s="8">
        <f t="shared" si="9"/>
        <v>1.7412037245964771E-2</v>
      </c>
      <c r="AB22" s="8">
        <f t="shared" si="10"/>
        <v>1.6314686919381434E-2</v>
      </c>
      <c r="AC22" s="8">
        <f t="shared" si="11"/>
        <v>2.941088369585226E-2</v>
      </c>
      <c r="AD22" s="8">
        <f t="shared" si="12"/>
        <v>3.604568165595997E-2</v>
      </c>
      <c r="AE22" s="8">
        <f t="shared" si="13"/>
        <v>4.9084108036745705E-2</v>
      </c>
      <c r="AF22" s="8">
        <f t="shared" si="14"/>
        <v>3.2303805202161334E-2</v>
      </c>
      <c r="AG22" s="8">
        <f t="shared" si="15"/>
        <v>4.0297690853863435E-2</v>
      </c>
      <c r="AH22" s="8">
        <f t="shared" si="16"/>
        <v>2.6338128378544108E-2</v>
      </c>
      <c r="AI22" s="8">
        <f t="shared" si="17"/>
        <v>2.2511488551936316E-2</v>
      </c>
    </row>
    <row r="23" spans="1:35" x14ac:dyDescent="0.3">
      <c r="A23">
        <v>2039</v>
      </c>
      <c r="B23">
        <v>2418.3000000000002</v>
      </c>
      <c r="C23">
        <v>29258.2</v>
      </c>
      <c r="D23">
        <v>6203.43</v>
      </c>
      <c r="E23">
        <v>2357.39</v>
      </c>
      <c r="F23">
        <v>26.186299999999999</v>
      </c>
      <c r="G23">
        <v>34.686300000000003</v>
      </c>
      <c r="H23">
        <v>34152.5</v>
      </c>
      <c r="I23">
        <v>8940.76</v>
      </c>
      <c r="J23">
        <v>27539</v>
      </c>
      <c r="K23">
        <v>2792.38</v>
      </c>
      <c r="L23">
        <v>986.50300000000004</v>
      </c>
      <c r="M23">
        <v>6410.48</v>
      </c>
      <c r="N23">
        <v>3986.82</v>
      </c>
      <c r="O23">
        <v>835.51700000000005</v>
      </c>
      <c r="P23">
        <v>9770.11</v>
      </c>
      <c r="Q23">
        <v>6442.47</v>
      </c>
      <c r="R23">
        <v>2582.5300000000002</v>
      </c>
      <c r="S23" s="8">
        <f t="shared" si="1"/>
        <v>1.232810766686911E-2</v>
      </c>
      <c r="T23" s="8">
        <f t="shared" si="2"/>
        <v>1.9755048551133764E-2</v>
      </c>
      <c r="U23" s="8">
        <f t="shared" si="3"/>
        <v>9.7090065073945596E-3</v>
      </c>
      <c r="V23" s="8">
        <f t="shared" si="4"/>
        <v>1.5486077607002472E-2</v>
      </c>
      <c r="W23" s="8">
        <f t="shared" si="5"/>
        <v>2.9428761248068799E-2</v>
      </c>
      <c r="X23" s="8">
        <f t="shared" si="6"/>
        <v>5.1010823324081661E-2</v>
      </c>
      <c r="Y23" s="8">
        <f t="shared" si="7"/>
        <v>1.4836627720395177E-2</v>
      </c>
      <c r="Z23" s="8">
        <f t="shared" si="8"/>
        <v>2.8615869940623713E-2</v>
      </c>
      <c r="AA23" s="8">
        <f t="shared" si="9"/>
        <v>1.7934633951607565E-2</v>
      </c>
      <c r="AB23" s="8">
        <f t="shared" si="10"/>
        <v>1.6912241345404509E-2</v>
      </c>
      <c r="AC23" s="8">
        <f t="shared" si="11"/>
        <v>2.5206599546062962E-2</v>
      </c>
      <c r="AD23" s="8">
        <f t="shared" si="12"/>
        <v>2.7081847968020212E-2</v>
      </c>
      <c r="AE23" s="8">
        <f t="shared" si="13"/>
        <v>4.5240754432052332E-2</v>
      </c>
      <c r="AF23" s="8">
        <f t="shared" si="14"/>
        <v>3.0212795340154475E-2</v>
      </c>
      <c r="AG23" s="8">
        <f t="shared" si="15"/>
        <v>4.227847831189073E-2</v>
      </c>
      <c r="AH23" s="8">
        <f t="shared" si="16"/>
        <v>2.6691718539342071E-2</v>
      </c>
      <c r="AI23" s="8">
        <f t="shared" si="17"/>
        <v>2.2601912530440273E-2</v>
      </c>
    </row>
    <row r="24" spans="1:35" x14ac:dyDescent="0.3">
      <c r="A24">
        <v>2040</v>
      </c>
      <c r="B24">
        <v>2441.85</v>
      </c>
      <c r="C24">
        <v>29802.6</v>
      </c>
      <c r="D24">
        <v>6259.28</v>
      </c>
      <c r="E24">
        <v>2400.9499999999998</v>
      </c>
      <c r="F24">
        <v>26.9239</v>
      </c>
      <c r="G24">
        <v>36.406300000000002</v>
      </c>
      <c r="H24">
        <v>34644.400000000001</v>
      </c>
      <c r="I24">
        <v>9204.59</v>
      </c>
      <c r="J24">
        <v>28008.7</v>
      </c>
      <c r="K24">
        <v>2833.28</v>
      </c>
      <c r="L24">
        <v>1013.7</v>
      </c>
      <c r="M24">
        <v>6630.48</v>
      </c>
      <c r="N24">
        <v>4179.3</v>
      </c>
      <c r="O24">
        <v>860.21500000000003</v>
      </c>
      <c r="P24">
        <v>10147.5</v>
      </c>
      <c r="Q24">
        <v>6602.17</v>
      </c>
      <c r="R24">
        <v>2639.9</v>
      </c>
      <c r="S24" s="8">
        <f t="shared" si="1"/>
        <v>9.7382458752014751E-3</v>
      </c>
      <c r="T24" s="8">
        <f t="shared" si="2"/>
        <v>1.860674956080681E-2</v>
      </c>
      <c r="U24" s="8">
        <f t="shared" si="3"/>
        <v>9.0030837778453943E-3</v>
      </c>
      <c r="V24" s="8">
        <f t="shared" si="4"/>
        <v>1.8478062603133102E-2</v>
      </c>
      <c r="W24" s="8">
        <f t="shared" si="5"/>
        <v>2.8167400510954219E-2</v>
      </c>
      <c r="X24" s="8">
        <f t="shared" si="6"/>
        <v>4.9587301038162002E-2</v>
      </c>
      <c r="Y24" s="8">
        <f t="shared" si="7"/>
        <v>1.4403045165068486E-2</v>
      </c>
      <c r="Z24" s="8">
        <f t="shared" si="8"/>
        <v>2.9508677114697176E-2</v>
      </c>
      <c r="AA24" s="8">
        <f t="shared" si="9"/>
        <v>1.7055811757870683E-2</v>
      </c>
      <c r="AB24" s="8">
        <f t="shared" si="10"/>
        <v>1.4647003631310957E-2</v>
      </c>
      <c r="AC24" s="8">
        <f t="shared" si="11"/>
        <v>2.7569100144652376E-2</v>
      </c>
      <c r="AD24" s="8">
        <f t="shared" si="12"/>
        <v>3.4318802960152751E-2</v>
      </c>
      <c r="AE24" s="8">
        <f t="shared" si="13"/>
        <v>4.8279079567173838E-2</v>
      </c>
      <c r="AF24" s="8">
        <f t="shared" si="14"/>
        <v>2.9560140607551945E-2</v>
      </c>
      <c r="AG24" s="8">
        <f t="shared" si="15"/>
        <v>3.8626996011303802E-2</v>
      </c>
      <c r="AH24" s="8">
        <f t="shared" si="16"/>
        <v>2.4788629205879081E-2</v>
      </c>
      <c r="AI24" s="8">
        <f t="shared" si="17"/>
        <v>2.2214649975024446E-2</v>
      </c>
    </row>
    <row r="25" spans="1:35" x14ac:dyDescent="0.3">
      <c r="A25">
        <v>2041</v>
      </c>
      <c r="B25">
        <v>2468.6</v>
      </c>
      <c r="C25">
        <v>30371.8</v>
      </c>
      <c r="D25">
        <v>6320.24</v>
      </c>
      <c r="E25">
        <v>2438.12</v>
      </c>
      <c r="F25">
        <v>27.701799999999999</v>
      </c>
      <c r="G25">
        <v>38.219900000000003</v>
      </c>
      <c r="H25">
        <v>35142.1</v>
      </c>
      <c r="I25">
        <v>9467.41</v>
      </c>
      <c r="J25">
        <v>28497.9</v>
      </c>
      <c r="K25">
        <v>2875.51</v>
      </c>
      <c r="L25">
        <v>1038.1500000000001</v>
      </c>
      <c r="M25">
        <v>6810.16</v>
      </c>
      <c r="N25">
        <v>4368.8</v>
      </c>
      <c r="O25">
        <v>884.28499999999997</v>
      </c>
      <c r="P25">
        <v>10554.8</v>
      </c>
      <c r="Q25">
        <v>6767.29</v>
      </c>
      <c r="R25">
        <v>2698.9</v>
      </c>
      <c r="S25" s="8">
        <f t="shared" si="1"/>
        <v>1.0954808853942708E-2</v>
      </c>
      <c r="T25" s="8">
        <f t="shared" si="2"/>
        <v>1.9099004784817457E-2</v>
      </c>
      <c r="U25" s="8">
        <f t="shared" si="3"/>
        <v>9.7391393259288663E-3</v>
      </c>
      <c r="V25" s="8">
        <f t="shared" si="4"/>
        <v>1.5481371956933745E-2</v>
      </c>
      <c r="W25" s="8">
        <f t="shared" si="5"/>
        <v>2.8892545285044105E-2</v>
      </c>
      <c r="X25" s="8">
        <f t="shared" si="6"/>
        <v>4.9815553901385222E-2</v>
      </c>
      <c r="Y25" s="8">
        <f t="shared" si="7"/>
        <v>1.4365958134647938E-2</v>
      </c>
      <c r="Z25" s="8">
        <f t="shared" si="8"/>
        <v>2.8553145767492055E-2</v>
      </c>
      <c r="AA25" s="8">
        <f t="shared" si="9"/>
        <v>1.746600163520623E-2</v>
      </c>
      <c r="AB25" s="8">
        <f t="shared" si="10"/>
        <v>1.4904986446803711E-2</v>
      </c>
      <c r="AC25" s="8">
        <f t="shared" si="11"/>
        <v>2.4119562000591933E-2</v>
      </c>
      <c r="AD25" s="8">
        <f t="shared" si="12"/>
        <v>2.7099093881589313E-2</v>
      </c>
      <c r="AE25" s="8">
        <f t="shared" si="13"/>
        <v>4.5342521474888139E-2</v>
      </c>
      <c r="AF25" s="8">
        <f t="shared" si="14"/>
        <v>2.7981376748835971E-2</v>
      </c>
      <c r="AG25" s="8">
        <f t="shared" si="15"/>
        <v>4.0137965016013723E-2</v>
      </c>
      <c r="AH25" s="8">
        <f t="shared" si="16"/>
        <v>2.500995884686397E-2</v>
      </c>
      <c r="AI25" s="8">
        <f t="shared" si="17"/>
        <v>2.2349331414068713E-2</v>
      </c>
    </row>
    <row r="26" spans="1:35" x14ac:dyDescent="0.3">
      <c r="A26">
        <v>2042</v>
      </c>
      <c r="B26">
        <v>2490.84</v>
      </c>
      <c r="C26">
        <v>30919.9</v>
      </c>
      <c r="D26">
        <v>6377.71</v>
      </c>
      <c r="E26">
        <v>2481.4499999999998</v>
      </c>
      <c r="F26">
        <v>28.468800000000002</v>
      </c>
      <c r="G26">
        <v>40.095100000000002</v>
      </c>
      <c r="H26">
        <v>35632.699999999997</v>
      </c>
      <c r="I26">
        <v>9745.89</v>
      </c>
      <c r="J26">
        <v>28976.799999999999</v>
      </c>
      <c r="K26">
        <v>2913.4</v>
      </c>
      <c r="L26">
        <v>1064.92</v>
      </c>
      <c r="M26">
        <v>7032.96</v>
      </c>
      <c r="N26">
        <v>4578.08</v>
      </c>
      <c r="O26">
        <v>908.38499999999999</v>
      </c>
      <c r="P26">
        <v>10947.8</v>
      </c>
      <c r="Q26">
        <v>6925.82</v>
      </c>
      <c r="R26">
        <v>2758.45</v>
      </c>
      <c r="S26" s="8">
        <f t="shared" si="1"/>
        <v>9.0091549866321945E-3</v>
      </c>
      <c r="T26" s="8">
        <f t="shared" si="2"/>
        <v>1.8046345623242685E-2</v>
      </c>
      <c r="U26" s="8">
        <f t="shared" si="3"/>
        <v>9.0930091262357536E-3</v>
      </c>
      <c r="V26" s="8">
        <f t="shared" si="4"/>
        <v>1.7771889816744019E-2</v>
      </c>
      <c r="W26" s="8">
        <f t="shared" si="5"/>
        <v>2.768773148315283E-2</v>
      </c>
      <c r="X26" s="8">
        <f t="shared" si="6"/>
        <v>4.9063446005876504E-2</v>
      </c>
      <c r="Y26" s="8">
        <f t="shared" si="7"/>
        <v>1.3960463375836918E-2</v>
      </c>
      <c r="Z26" s="8">
        <f t="shared" si="8"/>
        <v>2.9414591741563908E-2</v>
      </c>
      <c r="AA26" s="8">
        <f t="shared" si="9"/>
        <v>1.6804747016446749E-2</v>
      </c>
      <c r="AB26" s="8">
        <f t="shared" si="10"/>
        <v>1.3176792986287605E-2</v>
      </c>
      <c r="AC26" s="8">
        <f t="shared" si="11"/>
        <v>2.5786254394836949E-2</v>
      </c>
      <c r="AD26" s="8">
        <f t="shared" si="12"/>
        <v>3.2715824591492741E-2</v>
      </c>
      <c r="AE26" s="8">
        <f t="shared" si="13"/>
        <v>4.7903314411279922E-2</v>
      </c>
      <c r="AF26" s="8">
        <f t="shared" si="14"/>
        <v>2.7253656909254395E-2</v>
      </c>
      <c r="AG26" s="8">
        <f t="shared" si="15"/>
        <v>3.7234244135369694E-2</v>
      </c>
      <c r="AH26" s="8">
        <f t="shared" si="16"/>
        <v>2.3425920863447518E-2</v>
      </c>
      <c r="AI26" s="8">
        <f t="shared" si="17"/>
        <v>2.2064544814553975E-2</v>
      </c>
    </row>
    <row r="27" spans="1:35" x14ac:dyDescent="0.3">
      <c r="A27">
        <v>2043</v>
      </c>
      <c r="B27">
        <v>2515.33</v>
      </c>
      <c r="C27">
        <v>31479.9</v>
      </c>
      <c r="D27">
        <v>6438.83</v>
      </c>
      <c r="E27">
        <v>2519.89</v>
      </c>
      <c r="F27">
        <v>29.270499999999998</v>
      </c>
      <c r="G27">
        <v>42.064100000000003</v>
      </c>
      <c r="H27">
        <v>36127.4</v>
      </c>
      <c r="I27">
        <v>10025</v>
      </c>
      <c r="J27">
        <v>29470.7</v>
      </c>
      <c r="K27">
        <v>2952.58</v>
      </c>
      <c r="L27">
        <v>1089.6400000000001</v>
      </c>
      <c r="M27">
        <v>7224.22</v>
      </c>
      <c r="N27">
        <v>4786.8999999999996</v>
      </c>
      <c r="O27">
        <v>931.96900000000005</v>
      </c>
      <c r="P27">
        <v>11366.6</v>
      </c>
      <c r="Q27">
        <v>7088.35</v>
      </c>
      <c r="R27">
        <v>2819.19</v>
      </c>
      <c r="S27" s="8">
        <f t="shared" si="1"/>
        <v>9.8320245379068024E-3</v>
      </c>
      <c r="T27" s="8">
        <f t="shared" si="2"/>
        <v>1.8111313425981324E-2</v>
      </c>
      <c r="U27" s="8">
        <f t="shared" si="3"/>
        <v>9.5833771055754951E-3</v>
      </c>
      <c r="V27" s="8">
        <f t="shared" si="4"/>
        <v>1.5490942795542952E-2</v>
      </c>
      <c r="W27" s="8">
        <f t="shared" si="5"/>
        <v>2.8160653065812283E-2</v>
      </c>
      <c r="X27" s="8">
        <f t="shared" si="6"/>
        <v>4.9108245147162645E-2</v>
      </c>
      <c r="Y27" s="8">
        <f t="shared" si="7"/>
        <v>1.3883315044888668E-2</v>
      </c>
      <c r="Z27" s="8">
        <f t="shared" si="8"/>
        <v>2.8638738996643775E-2</v>
      </c>
      <c r="AA27" s="8">
        <f t="shared" si="9"/>
        <v>1.7044670218933817E-2</v>
      </c>
      <c r="AB27" s="8">
        <f t="shared" si="10"/>
        <v>1.3448204846570959E-2</v>
      </c>
      <c r="AC27" s="8">
        <f t="shared" si="11"/>
        <v>2.3213011306013623E-2</v>
      </c>
      <c r="AD27" s="8">
        <f t="shared" si="12"/>
        <v>2.7194808444808476E-2</v>
      </c>
      <c r="AE27" s="8">
        <f t="shared" si="13"/>
        <v>4.5613008073253351E-2</v>
      </c>
      <c r="AF27" s="8">
        <f t="shared" si="14"/>
        <v>2.5962559927783992E-2</v>
      </c>
      <c r="AG27" s="8">
        <f t="shared" si="15"/>
        <v>3.8254261130090166E-2</v>
      </c>
      <c r="AH27" s="8">
        <f t="shared" si="16"/>
        <v>2.3467257306716123E-2</v>
      </c>
      <c r="AI27" s="8">
        <f t="shared" si="17"/>
        <v>2.2019612463521267E-2</v>
      </c>
    </row>
    <row r="28" spans="1:35" x14ac:dyDescent="0.3">
      <c r="A28">
        <v>2044</v>
      </c>
      <c r="B28">
        <v>2536.1</v>
      </c>
      <c r="C28">
        <v>32017.8</v>
      </c>
      <c r="D28">
        <v>6497.61</v>
      </c>
      <c r="E28">
        <v>2562.91</v>
      </c>
      <c r="F28">
        <v>30.071300000000001</v>
      </c>
      <c r="G28">
        <v>44.082900000000002</v>
      </c>
      <c r="H28">
        <v>36617.199999999997</v>
      </c>
      <c r="I28">
        <v>10315.9</v>
      </c>
      <c r="J28">
        <v>29954.9</v>
      </c>
      <c r="K28">
        <v>2988.63</v>
      </c>
      <c r="L28">
        <v>1116.26</v>
      </c>
      <c r="M28">
        <v>7449.59</v>
      </c>
      <c r="N28">
        <v>5012.99</v>
      </c>
      <c r="O28">
        <v>955.52700000000004</v>
      </c>
      <c r="P28">
        <v>11775</v>
      </c>
      <c r="Q28">
        <v>7245.88</v>
      </c>
      <c r="R28">
        <v>2880.08</v>
      </c>
      <c r="S28" s="8">
        <f t="shared" si="1"/>
        <v>8.2573658327137912E-3</v>
      </c>
      <c r="T28" s="8">
        <f t="shared" si="2"/>
        <v>1.708709366929367E-2</v>
      </c>
      <c r="U28" s="8">
        <f t="shared" si="3"/>
        <v>9.128987719818623E-3</v>
      </c>
      <c r="V28" s="8">
        <f t="shared" si="4"/>
        <v>1.7072173785363642E-2</v>
      </c>
      <c r="W28" s="8">
        <f t="shared" si="5"/>
        <v>2.735860337199578E-2</v>
      </c>
      <c r="X28" s="8">
        <f t="shared" si="6"/>
        <v>4.7993419566803967E-2</v>
      </c>
      <c r="Y28" s="8">
        <f t="shared" si="7"/>
        <v>1.3557576797665916E-2</v>
      </c>
      <c r="Z28" s="8">
        <f t="shared" si="8"/>
        <v>2.9017456359102207E-2</v>
      </c>
      <c r="AA28" s="8">
        <f t="shared" si="9"/>
        <v>1.6429877810842659E-2</v>
      </c>
      <c r="AB28" s="8">
        <f t="shared" si="10"/>
        <v>1.2209660703520373E-2</v>
      </c>
      <c r="AC28" s="8">
        <f t="shared" si="11"/>
        <v>2.4430087001211308E-2</v>
      </c>
      <c r="AD28" s="8">
        <f t="shared" si="12"/>
        <v>3.1196447505751471E-2</v>
      </c>
      <c r="AE28" s="8">
        <f t="shared" si="13"/>
        <v>4.7230984562033916E-2</v>
      </c>
      <c r="AF28" s="8">
        <f t="shared" si="14"/>
        <v>2.5277664815031391E-2</v>
      </c>
      <c r="AG28" s="8">
        <f t="shared" si="15"/>
        <v>3.5929829500466248E-2</v>
      </c>
      <c r="AH28" s="8">
        <f t="shared" si="16"/>
        <v>2.2223789739502103E-2</v>
      </c>
      <c r="AI28" s="8">
        <f t="shared" si="17"/>
        <v>2.159840237798796E-2</v>
      </c>
    </row>
    <row r="29" spans="1:35" x14ac:dyDescent="0.3">
      <c r="A29">
        <v>2045</v>
      </c>
      <c r="B29">
        <v>2558.06</v>
      </c>
      <c r="C29">
        <v>32559.599999999999</v>
      </c>
      <c r="D29">
        <v>6559.36</v>
      </c>
      <c r="E29">
        <v>2602.3200000000002</v>
      </c>
      <c r="F29">
        <v>30.906099999999999</v>
      </c>
      <c r="G29">
        <v>46.177999999999997</v>
      </c>
      <c r="H29">
        <v>37110.699999999997</v>
      </c>
      <c r="I29">
        <v>10606.9</v>
      </c>
      <c r="J29">
        <v>30447.7</v>
      </c>
      <c r="K29">
        <v>3025.81</v>
      </c>
      <c r="L29">
        <v>1141.56</v>
      </c>
      <c r="M29">
        <v>7651.61</v>
      </c>
      <c r="N29">
        <v>5240.3100000000004</v>
      </c>
      <c r="O29">
        <v>978.70799999999997</v>
      </c>
      <c r="P29">
        <v>12204.8</v>
      </c>
      <c r="Q29">
        <v>7406.35</v>
      </c>
      <c r="R29">
        <v>2941.56</v>
      </c>
      <c r="S29" s="8">
        <f t="shared" si="1"/>
        <v>8.6589645518709984E-3</v>
      </c>
      <c r="T29" s="8">
        <f t="shared" si="2"/>
        <v>1.6921837228041879E-2</v>
      </c>
      <c r="U29" s="8">
        <f t="shared" si="3"/>
        <v>9.5034943617730225E-3</v>
      </c>
      <c r="V29" s="8">
        <f t="shared" si="4"/>
        <v>1.5377051866823381E-2</v>
      </c>
      <c r="W29" s="8">
        <f t="shared" si="5"/>
        <v>2.7760688763039765E-2</v>
      </c>
      <c r="X29" s="8">
        <f t="shared" si="6"/>
        <v>4.7526365098484784E-2</v>
      </c>
      <c r="Y29" s="8">
        <f t="shared" si="7"/>
        <v>1.3477272975541551E-2</v>
      </c>
      <c r="Z29" s="8">
        <f t="shared" si="8"/>
        <v>2.8208881435454008E-2</v>
      </c>
      <c r="AA29" s="8">
        <f t="shared" si="9"/>
        <v>1.6451398602565833E-2</v>
      </c>
      <c r="AB29" s="8">
        <f t="shared" si="10"/>
        <v>1.2440482763005068E-2</v>
      </c>
      <c r="AC29" s="8">
        <f t="shared" si="11"/>
        <v>2.266497052657979E-2</v>
      </c>
      <c r="AD29" s="8">
        <f t="shared" si="12"/>
        <v>2.7118270938400572E-2</v>
      </c>
      <c r="AE29" s="8">
        <f t="shared" si="13"/>
        <v>4.5346190596829559E-2</v>
      </c>
      <c r="AF29" s="8">
        <f t="shared" si="14"/>
        <v>2.425991102292235E-2</v>
      </c>
      <c r="AG29" s="8">
        <f t="shared" si="15"/>
        <v>3.6501061571125204E-2</v>
      </c>
      <c r="AH29" s="8">
        <f t="shared" si="16"/>
        <v>2.2146378355700103E-2</v>
      </c>
      <c r="AI29" s="8">
        <f t="shared" si="17"/>
        <v>2.134662926029833E-2</v>
      </c>
    </row>
    <row r="30" spans="1:35" x14ac:dyDescent="0.3">
      <c r="A30">
        <v>2046</v>
      </c>
      <c r="B30">
        <v>2577.25</v>
      </c>
      <c r="C30">
        <v>33082.5</v>
      </c>
      <c r="D30">
        <v>6619.78</v>
      </c>
      <c r="E30">
        <v>2645.03</v>
      </c>
      <c r="F30">
        <v>31.7483</v>
      </c>
      <c r="G30">
        <v>48.328699999999998</v>
      </c>
      <c r="H30">
        <v>37601.1</v>
      </c>
      <c r="I30">
        <v>10907.5</v>
      </c>
      <c r="J30">
        <v>30932.400000000001</v>
      </c>
      <c r="K30">
        <v>3060.84</v>
      </c>
      <c r="L30">
        <v>1168.3499999999999</v>
      </c>
      <c r="M30">
        <v>7879.85</v>
      </c>
      <c r="N30">
        <v>5484.14</v>
      </c>
      <c r="O30">
        <v>1001.8</v>
      </c>
      <c r="P30">
        <v>12628.6</v>
      </c>
      <c r="Q30">
        <v>7563.16</v>
      </c>
      <c r="R30">
        <v>3003.07</v>
      </c>
      <c r="S30" s="8">
        <f t="shared" si="1"/>
        <v>7.501778691664799E-3</v>
      </c>
      <c r="T30" s="8">
        <f t="shared" si="2"/>
        <v>1.6059779604172087E-2</v>
      </c>
      <c r="U30" s="8">
        <f t="shared" si="3"/>
        <v>9.2112645136110949E-3</v>
      </c>
      <c r="V30" s="8">
        <f t="shared" si="4"/>
        <v>1.6412278274770219E-2</v>
      </c>
      <c r="W30" s="8">
        <f t="shared" si="5"/>
        <v>2.725028392453276E-2</v>
      </c>
      <c r="X30" s="8">
        <f t="shared" si="6"/>
        <v>4.657412620728487E-2</v>
      </c>
      <c r="Y30" s="8">
        <f t="shared" si="7"/>
        <v>1.32145176458542E-2</v>
      </c>
      <c r="Z30" s="8">
        <f t="shared" si="8"/>
        <v>2.8340042802326822E-2</v>
      </c>
      <c r="AA30" s="8">
        <f t="shared" si="9"/>
        <v>1.591910062172186E-2</v>
      </c>
      <c r="AB30" s="8">
        <f t="shared" si="10"/>
        <v>1.1577065314742235E-2</v>
      </c>
      <c r="AC30" s="8">
        <f t="shared" si="11"/>
        <v>2.3467886050667477E-2</v>
      </c>
      <c r="AD30" s="8">
        <f t="shared" si="12"/>
        <v>2.9829016376945596E-2</v>
      </c>
      <c r="AE30" s="8">
        <f t="shared" si="13"/>
        <v>4.6529690037421433E-2</v>
      </c>
      <c r="AF30" s="8">
        <f t="shared" si="14"/>
        <v>2.3594371354888267E-2</v>
      </c>
      <c r="AG30" s="8">
        <f t="shared" si="15"/>
        <v>3.4724042999475707E-2</v>
      </c>
      <c r="AH30" s="8">
        <f t="shared" si="16"/>
        <v>2.1172372356153771E-2</v>
      </c>
      <c r="AI30" s="8">
        <f t="shared" si="17"/>
        <v>2.0910673248208507E-2</v>
      </c>
    </row>
    <row r="31" spans="1:35" x14ac:dyDescent="0.3">
      <c r="A31">
        <v>2047</v>
      </c>
      <c r="B31">
        <v>2597.3000000000002</v>
      </c>
      <c r="C31">
        <v>33607</v>
      </c>
      <c r="D31">
        <v>6682.36</v>
      </c>
      <c r="E31">
        <v>2685.34</v>
      </c>
      <c r="F31">
        <v>32.621400000000001</v>
      </c>
      <c r="G31">
        <v>50.5702</v>
      </c>
      <c r="H31">
        <v>38093.699999999997</v>
      </c>
      <c r="I31">
        <v>11210.9</v>
      </c>
      <c r="J31">
        <v>31424.2</v>
      </c>
      <c r="K31">
        <v>3096.45</v>
      </c>
      <c r="L31">
        <v>1194.25</v>
      </c>
      <c r="M31">
        <v>8092.83</v>
      </c>
      <c r="N31">
        <v>5733.77</v>
      </c>
      <c r="O31">
        <v>1024.6300000000001</v>
      </c>
      <c r="P31">
        <v>13070.3</v>
      </c>
      <c r="Q31">
        <v>7721.82</v>
      </c>
      <c r="R31">
        <v>3065.27</v>
      </c>
      <c r="S31" s="8">
        <f t="shared" si="1"/>
        <v>7.7796100494714063E-3</v>
      </c>
      <c r="T31" s="8">
        <f t="shared" si="2"/>
        <v>1.5854303634852265E-2</v>
      </c>
      <c r="U31" s="8">
        <f t="shared" si="3"/>
        <v>9.4534863696376509E-3</v>
      </c>
      <c r="V31" s="8">
        <f t="shared" si="4"/>
        <v>1.5239902761027263E-2</v>
      </c>
      <c r="W31" s="8">
        <f t="shared" si="5"/>
        <v>2.7500685076051343E-2</v>
      </c>
      <c r="X31" s="8">
        <f t="shared" si="6"/>
        <v>4.6380308181267073E-2</v>
      </c>
      <c r="Y31" s="8">
        <f t="shared" si="7"/>
        <v>1.3100680565196194E-2</v>
      </c>
      <c r="Z31" s="8">
        <f t="shared" si="8"/>
        <v>2.7815723126289216E-2</v>
      </c>
      <c r="AA31" s="8">
        <f t="shared" si="9"/>
        <v>1.5899186613389172E-2</v>
      </c>
      <c r="AB31" s="8">
        <f t="shared" si="10"/>
        <v>1.1634061238091397E-2</v>
      </c>
      <c r="AC31" s="8">
        <f t="shared" si="11"/>
        <v>2.2168014721616034E-2</v>
      </c>
      <c r="AD31" s="8">
        <f t="shared" si="12"/>
        <v>2.702843328235938E-2</v>
      </c>
      <c r="AE31" s="8">
        <f t="shared" si="13"/>
        <v>4.5518531620272293E-2</v>
      </c>
      <c r="AF31" s="8">
        <f t="shared" si="14"/>
        <v>2.2788979836294826E-2</v>
      </c>
      <c r="AG31" s="8">
        <f t="shared" si="15"/>
        <v>3.4976165212295809E-2</v>
      </c>
      <c r="AH31" s="8">
        <f t="shared" si="16"/>
        <v>2.097800390313042E-2</v>
      </c>
      <c r="AI31" s="8">
        <f t="shared" si="17"/>
        <v>2.0712137912203117E-2</v>
      </c>
    </row>
    <row r="32" spans="1:35" x14ac:dyDescent="0.3">
      <c r="A32">
        <v>2048</v>
      </c>
      <c r="B32">
        <v>2615.35</v>
      </c>
      <c r="C32">
        <v>34117.1</v>
      </c>
      <c r="D32">
        <v>6744.21</v>
      </c>
      <c r="E32">
        <v>2727.96</v>
      </c>
      <c r="F32">
        <v>33.504800000000003</v>
      </c>
      <c r="G32">
        <v>52.8748</v>
      </c>
      <c r="H32">
        <v>38583.9</v>
      </c>
      <c r="I32">
        <v>11523.7</v>
      </c>
      <c r="J32">
        <v>31911.4</v>
      </c>
      <c r="K32">
        <v>3130.29</v>
      </c>
      <c r="L32">
        <v>1221.17</v>
      </c>
      <c r="M32">
        <v>8325.0400000000009</v>
      </c>
      <c r="N32">
        <v>5998.57</v>
      </c>
      <c r="O32">
        <v>1047.33</v>
      </c>
      <c r="P32">
        <v>13510</v>
      </c>
      <c r="Q32">
        <v>7877.74</v>
      </c>
      <c r="R32">
        <v>3127.75</v>
      </c>
      <c r="S32" s="8">
        <f t="shared" si="1"/>
        <v>6.94952450621789E-3</v>
      </c>
      <c r="T32" s="8">
        <f t="shared" si="2"/>
        <v>1.5178385455411033E-2</v>
      </c>
      <c r="U32" s="8">
        <f t="shared" si="3"/>
        <v>9.2557120538253497E-3</v>
      </c>
      <c r="V32" s="8">
        <f t="shared" si="4"/>
        <v>1.5871360796025788E-2</v>
      </c>
      <c r="W32" s="8">
        <f t="shared" si="5"/>
        <v>2.7080382816188197E-2</v>
      </c>
      <c r="X32" s="8">
        <f t="shared" si="6"/>
        <v>4.5572293564193948E-2</v>
      </c>
      <c r="Y32" s="8">
        <f t="shared" si="7"/>
        <v>1.2868269556383455E-2</v>
      </c>
      <c r="Z32" s="8">
        <f t="shared" si="8"/>
        <v>2.7901417370594789E-2</v>
      </c>
      <c r="AA32" s="8">
        <f t="shared" si="9"/>
        <v>1.5503974643745925E-2</v>
      </c>
      <c r="AB32" s="8">
        <f t="shared" si="10"/>
        <v>1.0928644092428474E-2</v>
      </c>
      <c r="AC32" s="8">
        <f t="shared" si="11"/>
        <v>2.2541343939711175E-2</v>
      </c>
      <c r="AD32" s="8">
        <f t="shared" si="12"/>
        <v>2.8693300118747204E-2</v>
      </c>
      <c r="AE32" s="8">
        <f t="shared" si="13"/>
        <v>4.6182529121328419E-2</v>
      </c>
      <c r="AF32" s="8">
        <f t="shared" si="14"/>
        <v>2.2154338639313525E-2</v>
      </c>
      <c r="AG32" s="8">
        <f t="shared" si="15"/>
        <v>3.3641155903078028E-2</v>
      </c>
      <c r="AH32" s="8">
        <f t="shared" si="16"/>
        <v>2.0192130870701475E-2</v>
      </c>
      <c r="AI32" s="8">
        <f t="shared" si="17"/>
        <v>2.0383196260035825E-2</v>
      </c>
    </row>
    <row r="33" spans="1:35" x14ac:dyDescent="0.3">
      <c r="A33">
        <v>2049</v>
      </c>
      <c r="B33">
        <v>2633.48</v>
      </c>
      <c r="C33">
        <v>34625.300000000003</v>
      </c>
      <c r="D33">
        <v>6807.6</v>
      </c>
      <c r="E33">
        <v>2769.16</v>
      </c>
      <c r="F33">
        <v>34.4146</v>
      </c>
      <c r="G33">
        <v>55.256100000000004</v>
      </c>
      <c r="H33">
        <v>39075.4</v>
      </c>
      <c r="I33">
        <v>11840.3</v>
      </c>
      <c r="J33">
        <v>32403.200000000001</v>
      </c>
      <c r="K33">
        <v>3164.14</v>
      </c>
      <c r="L33">
        <v>1247.6099999999999</v>
      </c>
      <c r="M33">
        <v>8548.43</v>
      </c>
      <c r="N33">
        <v>6269.72</v>
      </c>
      <c r="O33">
        <v>1069.79</v>
      </c>
      <c r="P33">
        <v>13963.3</v>
      </c>
      <c r="Q33">
        <v>8034.56</v>
      </c>
      <c r="R33">
        <v>3190.83</v>
      </c>
      <c r="S33" s="8">
        <f t="shared" si="1"/>
        <v>6.9321505725811498E-3</v>
      </c>
      <c r="T33" s="8">
        <f t="shared" si="2"/>
        <v>1.4895756087123594E-2</v>
      </c>
      <c r="U33" s="8">
        <f t="shared" si="3"/>
        <v>9.3991735132803282E-3</v>
      </c>
      <c r="V33" s="8">
        <f t="shared" si="4"/>
        <v>1.5102860745758669E-2</v>
      </c>
      <c r="W33" s="8">
        <f t="shared" si="5"/>
        <v>2.7154318187244723E-2</v>
      </c>
      <c r="X33" s="8">
        <f t="shared" si="6"/>
        <v>4.5036576970503964E-2</v>
      </c>
      <c r="Y33" s="8">
        <f t="shared" si="7"/>
        <v>1.2738473819390989E-2</v>
      </c>
      <c r="Z33" s="8">
        <f t="shared" si="8"/>
        <v>2.7473814833777217E-2</v>
      </c>
      <c r="AA33" s="8">
        <f t="shared" si="9"/>
        <v>1.541142037014983E-2</v>
      </c>
      <c r="AB33" s="8">
        <f t="shared" si="10"/>
        <v>1.0813694577818639E-2</v>
      </c>
      <c r="AC33" s="8">
        <f t="shared" si="11"/>
        <v>2.1651367131521267E-2</v>
      </c>
      <c r="AD33" s="8">
        <f t="shared" si="12"/>
        <v>2.6833504703881229E-2</v>
      </c>
      <c r="AE33" s="8">
        <f t="shared" si="13"/>
        <v>4.5202439914846466E-2</v>
      </c>
      <c r="AF33" s="8">
        <f t="shared" si="14"/>
        <v>2.1445007781692532E-2</v>
      </c>
      <c r="AG33" s="8">
        <f t="shared" si="15"/>
        <v>3.3552923760177593E-2</v>
      </c>
      <c r="AH33" s="8">
        <f t="shared" si="16"/>
        <v>1.9906724517437822E-2</v>
      </c>
      <c r="AI33" s="8">
        <f t="shared" si="17"/>
        <v>2.016785228998479E-2</v>
      </c>
    </row>
    <row r="34" spans="1:35" x14ac:dyDescent="0.3">
      <c r="A34">
        <v>2050</v>
      </c>
      <c r="B34">
        <v>2649.92</v>
      </c>
      <c r="C34">
        <v>35122.300000000003</v>
      </c>
      <c r="D34">
        <v>6870.76</v>
      </c>
      <c r="E34">
        <v>2811.9</v>
      </c>
      <c r="F34">
        <v>35.336100000000002</v>
      </c>
      <c r="G34">
        <v>57.6935</v>
      </c>
      <c r="H34">
        <v>39565.199999999997</v>
      </c>
      <c r="I34">
        <v>12164.8</v>
      </c>
      <c r="J34">
        <v>32892.400000000001</v>
      </c>
      <c r="K34">
        <v>3196.52</v>
      </c>
      <c r="L34">
        <v>1274.73</v>
      </c>
      <c r="M34">
        <v>8785.08</v>
      </c>
      <c r="N34">
        <v>6553.17</v>
      </c>
      <c r="O34">
        <v>1092.08</v>
      </c>
      <c r="P34">
        <v>14417</v>
      </c>
      <c r="Q34">
        <v>8189.45</v>
      </c>
      <c r="R34">
        <v>3254.25</v>
      </c>
      <c r="S34" s="8">
        <f t="shared" si="1"/>
        <v>6.2426902805413579E-3</v>
      </c>
      <c r="T34" s="8">
        <f t="shared" si="2"/>
        <v>1.4353666249823104E-2</v>
      </c>
      <c r="U34" s="8">
        <f t="shared" si="3"/>
        <v>9.2778659145660511E-3</v>
      </c>
      <c r="V34" s="8">
        <f t="shared" si="4"/>
        <v>1.5434283320573835E-2</v>
      </c>
      <c r="W34" s="8">
        <f t="shared" si="5"/>
        <v>2.6776426284193387E-2</v>
      </c>
      <c r="X34" s="8">
        <f t="shared" si="6"/>
        <v>4.4110966933967412E-2</v>
      </c>
      <c r="Y34" s="8">
        <f t="shared" si="7"/>
        <v>1.2534740527288157E-2</v>
      </c>
      <c r="Z34" s="8">
        <f t="shared" si="8"/>
        <v>2.7406400175671225E-2</v>
      </c>
      <c r="AA34" s="8">
        <f t="shared" si="9"/>
        <v>1.509727434327476E-2</v>
      </c>
      <c r="AB34" s="8">
        <f t="shared" si="10"/>
        <v>1.023342835652029E-2</v>
      </c>
      <c r="AC34" s="8">
        <f t="shared" si="11"/>
        <v>2.1737562218962753E-2</v>
      </c>
      <c r="AD34" s="8">
        <f t="shared" si="12"/>
        <v>2.7683445966101335E-2</v>
      </c>
      <c r="AE34" s="8">
        <f t="shared" si="13"/>
        <v>4.5209355441710286E-2</v>
      </c>
      <c r="AF34" s="8">
        <f t="shared" si="14"/>
        <v>2.0835864982847067E-2</v>
      </c>
      <c r="AG34" s="8">
        <f t="shared" si="15"/>
        <v>3.2492319150917104E-2</v>
      </c>
      <c r="AH34" s="8">
        <f t="shared" si="16"/>
        <v>1.9277969173171823E-2</v>
      </c>
      <c r="AI34" s="8">
        <f t="shared" si="17"/>
        <v>1.9875706320925928E-2</v>
      </c>
    </row>
    <row r="36" spans="1:35" x14ac:dyDescent="0.3"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35" x14ac:dyDescent="0.3"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14</v>
      </c>
      <c r="M37" t="s">
        <v>10</v>
      </c>
      <c r="N37" t="s">
        <v>11</v>
      </c>
      <c r="O37" t="s">
        <v>15</v>
      </c>
      <c r="P37" t="s">
        <v>12</v>
      </c>
      <c r="Q37" t="s">
        <v>16</v>
      </c>
      <c r="R37" t="s">
        <v>17</v>
      </c>
    </row>
    <row r="38" spans="1:35" x14ac:dyDescent="0.3">
      <c r="A38">
        <v>2019</v>
      </c>
      <c r="B38">
        <v>51.764800000000001</v>
      </c>
      <c r="C38">
        <v>1415.25</v>
      </c>
      <c r="D38">
        <v>126.633</v>
      </c>
      <c r="E38">
        <v>144.40600000000001</v>
      </c>
      <c r="F38">
        <v>3.2324299999999999</v>
      </c>
      <c r="G38">
        <v>25.755400000000002</v>
      </c>
      <c r="H38">
        <v>369.4</v>
      </c>
      <c r="I38">
        <v>612.53300000000002</v>
      </c>
      <c r="J38">
        <v>508.66800000000001</v>
      </c>
      <c r="K38">
        <v>118.25700000000001</v>
      </c>
      <c r="L38">
        <v>140.625</v>
      </c>
      <c r="M38">
        <v>500.52</v>
      </c>
      <c r="N38">
        <v>1068.94</v>
      </c>
      <c r="O38">
        <v>119.197</v>
      </c>
      <c r="P38">
        <v>1823.83</v>
      </c>
      <c r="Q38">
        <v>557.76499999999999</v>
      </c>
      <c r="R38">
        <v>30.314</v>
      </c>
    </row>
    <row r="39" spans="1:35" x14ac:dyDescent="0.3">
      <c r="A39">
        <v>2020</v>
      </c>
      <c r="B39">
        <v>51.8581</v>
      </c>
      <c r="C39">
        <v>1431.5</v>
      </c>
      <c r="D39">
        <v>125.54300000000001</v>
      </c>
      <c r="E39">
        <v>145.762</v>
      </c>
      <c r="F39">
        <v>3.2664599999999999</v>
      </c>
      <c r="G39">
        <v>25.813199999999998</v>
      </c>
      <c r="H39">
        <v>376.69600000000003</v>
      </c>
      <c r="I39">
        <v>616.16200000000003</v>
      </c>
      <c r="J39">
        <v>507.435</v>
      </c>
      <c r="K39">
        <v>119.398</v>
      </c>
      <c r="L39">
        <v>147.82599999999999</v>
      </c>
      <c r="M39">
        <v>504.77699999999999</v>
      </c>
      <c r="N39">
        <v>1056.8699999999999</v>
      </c>
      <c r="O39">
        <v>119.76600000000001</v>
      </c>
      <c r="P39">
        <v>1833.47</v>
      </c>
      <c r="Q39">
        <v>585.76599999999996</v>
      </c>
      <c r="R39">
        <v>30.570699999999999</v>
      </c>
    </row>
    <row r="40" spans="1:35" x14ac:dyDescent="0.3">
      <c r="A40">
        <v>2021</v>
      </c>
      <c r="B40">
        <v>51.7866</v>
      </c>
      <c r="C40">
        <v>1431.98</v>
      </c>
      <c r="D40">
        <v>124.929</v>
      </c>
      <c r="E40">
        <v>145.68299999999999</v>
      </c>
      <c r="F40">
        <v>3.3147000000000002</v>
      </c>
      <c r="G40">
        <v>25.930299999999999</v>
      </c>
      <c r="H40">
        <v>378.16399999999999</v>
      </c>
      <c r="I40">
        <v>620.40700000000004</v>
      </c>
      <c r="J40">
        <v>508.62299999999999</v>
      </c>
      <c r="K40">
        <v>119.197</v>
      </c>
      <c r="L40">
        <v>147.37799999999999</v>
      </c>
      <c r="M40">
        <v>513.09799999999996</v>
      </c>
      <c r="N40">
        <v>1085.1600000000001</v>
      </c>
      <c r="O40">
        <v>120.78700000000001</v>
      </c>
      <c r="P40">
        <v>1851.56</v>
      </c>
      <c r="Q40">
        <v>590.51300000000003</v>
      </c>
      <c r="R40">
        <v>30.805800000000001</v>
      </c>
    </row>
    <row r="41" spans="1:35" x14ac:dyDescent="0.3">
      <c r="A41">
        <v>2022</v>
      </c>
      <c r="B41">
        <v>51.7151</v>
      </c>
      <c r="C41">
        <v>1432.46</v>
      </c>
      <c r="D41">
        <v>124.315</v>
      </c>
      <c r="E41">
        <v>145.60499999999999</v>
      </c>
      <c r="F41">
        <v>3.36293</v>
      </c>
      <c r="G41">
        <v>26.0474</v>
      </c>
      <c r="H41">
        <v>379.63099999999997</v>
      </c>
      <c r="I41">
        <v>624.65099999999995</v>
      </c>
      <c r="J41">
        <v>509.81</v>
      </c>
      <c r="K41">
        <v>118.996</v>
      </c>
      <c r="L41">
        <v>146.93</v>
      </c>
      <c r="M41">
        <v>521.41999999999996</v>
      </c>
      <c r="N41">
        <v>1113.45</v>
      </c>
      <c r="O41">
        <v>121.809</v>
      </c>
      <c r="P41">
        <v>1869.64</v>
      </c>
      <c r="Q41">
        <v>595.26099999999997</v>
      </c>
      <c r="R41">
        <v>31.041</v>
      </c>
    </row>
    <row r="42" spans="1:35" x14ac:dyDescent="0.3">
      <c r="A42">
        <v>2023</v>
      </c>
      <c r="B42">
        <v>51.643500000000003</v>
      </c>
      <c r="C42">
        <v>1432.94</v>
      </c>
      <c r="D42">
        <v>123.70099999999999</v>
      </c>
      <c r="E42">
        <v>145.52699999999999</v>
      </c>
      <c r="F42">
        <v>3.4111699999999998</v>
      </c>
      <c r="G42">
        <v>26.1645</v>
      </c>
      <c r="H42">
        <v>381.09899999999999</v>
      </c>
      <c r="I42">
        <v>628.89599999999996</v>
      </c>
      <c r="J42">
        <v>510.99799999999999</v>
      </c>
      <c r="K42">
        <v>118.795</v>
      </c>
      <c r="L42">
        <v>146.482</v>
      </c>
      <c r="M42">
        <v>529.74099999999999</v>
      </c>
      <c r="N42">
        <v>1141.74</v>
      </c>
      <c r="O42">
        <v>122.831</v>
      </c>
      <c r="P42">
        <v>1887.73</v>
      </c>
      <c r="Q42">
        <v>600.00900000000001</v>
      </c>
      <c r="R42">
        <v>31.276199999999999</v>
      </c>
    </row>
    <row r="43" spans="1:35" x14ac:dyDescent="0.3">
      <c r="A43">
        <v>2024</v>
      </c>
      <c r="B43">
        <v>51.572000000000003</v>
      </c>
      <c r="C43">
        <v>1433.43</v>
      </c>
      <c r="D43">
        <v>123.087</v>
      </c>
      <c r="E43">
        <v>145.44900000000001</v>
      </c>
      <c r="F43">
        <v>3.4594</v>
      </c>
      <c r="G43">
        <v>26.281600000000001</v>
      </c>
      <c r="H43">
        <v>382.56700000000001</v>
      </c>
      <c r="I43">
        <v>633.14</v>
      </c>
      <c r="J43">
        <v>512.18499999999995</v>
      </c>
      <c r="K43">
        <v>118.59399999999999</v>
      </c>
      <c r="L43">
        <v>146.03399999999999</v>
      </c>
      <c r="M43">
        <v>538.06200000000001</v>
      </c>
      <c r="N43">
        <v>1170.02</v>
      </c>
      <c r="O43">
        <v>123.85299999999999</v>
      </c>
      <c r="P43">
        <v>1905.81</v>
      </c>
      <c r="Q43">
        <v>604.75699999999995</v>
      </c>
      <c r="R43">
        <v>31.511399999999998</v>
      </c>
      <c r="S43" t="s">
        <v>0</v>
      </c>
      <c r="T43" t="s">
        <v>1</v>
      </c>
      <c r="U43" t="s">
        <v>2</v>
      </c>
      <c r="V43" t="s">
        <v>3</v>
      </c>
      <c r="W43" t="s">
        <v>4</v>
      </c>
      <c r="X43" t="s">
        <v>5</v>
      </c>
      <c r="Y43" t="s">
        <v>6</v>
      </c>
      <c r="Z43" t="s">
        <v>7</v>
      </c>
      <c r="AA43" t="s">
        <v>8</v>
      </c>
      <c r="AB43" t="s">
        <v>9</v>
      </c>
      <c r="AC43" t="s">
        <v>14</v>
      </c>
      <c r="AD43" t="s">
        <v>10</v>
      </c>
      <c r="AE43" t="s">
        <v>11</v>
      </c>
      <c r="AF43" t="s">
        <v>15</v>
      </c>
      <c r="AG43" t="s">
        <v>12</v>
      </c>
      <c r="AH43" t="s">
        <v>16</v>
      </c>
      <c r="AI43" t="s">
        <v>17</v>
      </c>
    </row>
    <row r="44" spans="1:35" x14ac:dyDescent="0.3">
      <c r="A44">
        <v>2025</v>
      </c>
      <c r="B44">
        <v>51.500500000000002</v>
      </c>
      <c r="C44">
        <v>1433.91</v>
      </c>
      <c r="D44">
        <v>122.473</v>
      </c>
      <c r="E44">
        <v>145.37</v>
      </c>
      <c r="F44">
        <v>3.5076399999999999</v>
      </c>
      <c r="G44">
        <v>26.398700000000002</v>
      </c>
      <c r="H44">
        <v>384.03500000000003</v>
      </c>
      <c r="I44">
        <v>637.38499999999999</v>
      </c>
      <c r="J44">
        <v>513.37300000000005</v>
      </c>
      <c r="K44">
        <v>118.393</v>
      </c>
      <c r="L44">
        <v>145.58600000000001</v>
      </c>
      <c r="M44">
        <v>546.38400000000001</v>
      </c>
      <c r="N44">
        <v>1198.31</v>
      </c>
      <c r="O44">
        <v>124.875</v>
      </c>
      <c r="P44">
        <v>1923.9</v>
      </c>
      <c r="Q44">
        <v>609.505</v>
      </c>
      <c r="R44">
        <v>31.746500000000001</v>
      </c>
      <c r="S44" s="8">
        <f>(B44-B43)/B43</f>
        <v>-1.3864112309004953E-3</v>
      </c>
      <c r="T44" s="8">
        <f t="shared" ref="T44:T69" si="18">(C44-C43)/C43</f>
        <v>3.3486113727215013E-4</v>
      </c>
      <c r="U44" s="8">
        <f t="shared" ref="U44:U69" si="19">(D44-D43)/D43</f>
        <v>-4.9883415795332108E-3</v>
      </c>
      <c r="V44" s="8">
        <f t="shared" ref="V44:V69" si="20">(E44-E43)/E43</f>
        <v>-5.4314570743014884E-4</v>
      </c>
      <c r="W44" s="8">
        <f t="shared" ref="W44:W69" si="21">(F44-F43)/F43</f>
        <v>1.3944614673064647E-2</v>
      </c>
      <c r="X44" s="8">
        <f t="shared" ref="X44:X69" si="22">(G44-G43)/G43</f>
        <v>4.4555887008401558E-3</v>
      </c>
      <c r="Y44" s="8">
        <f t="shared" ref="Y44:Y69" si="23">(H44-H43)/H43</f>
        <v>3.8372363533708282E-3</v>
      </c>
      <c r="Z44" s="8">
        <f t="shared" ref="Z44:Z69" si="24">(I44-I43)/I43</f>
        <v>6.704678270208808E-3</v>
      </c>
      <c r="AA44" s="8">
        <f t="shared" ref="AA44:AA69" si="25">(J44-J43)/J43</f>
        <v>2.319474408661132E-3</v>
      </c>
      <c r="AB44" s="8">
        <f t="shared" ref="AB44:AB69" si="26">(K44-K43)/K43</f>
        <v>-1.6948580872556236E-3</v>
      </c>
      <c r="AC44" s="8">
        <f t="shared" ref="AC44:AC69" si="27">(L44-L43)/L43</f>
        <v>-3.0677787364584898E-3</v>
      </c>
      <c r="AD44" s="8">
        <f t="shared" ref="AD44:AD69" si="28">(M44-M43)/M43</f>
        <v>1.5466619088506533E-2</v>
      </c>
      <c r="AE44" s="8">
        <f t="shared" ref="AE44:AE69" si="29">(N44-N43)/N43</f>
        <v>2.4179073861985236E-2</v>
      </c>
      <c r="AF44" s="8">
        <f t="shared" ref="AF44:AF69" si="30">(O44-O43)/O43</f>
        <v>8.2517177621858617E-3</v>
      </c>
      <c r="AG44" s="8">
        <f t="shared" ref="AG44:AG69" si="31">(P44-P43)/P43</f>
        <v>9.4920270121366477E-3</v>
      </c>
      <c r="AH44" s="8">
        <f t="shared" ref="AH44:AH69" si="32">(Q44-Q43)/Q43</f>
        <v>7.8510872962198833E-3</v>
      </c>
      <c r="AI44" s="8">
        <f t="shared" ref="AI44:AI69" si="33">(R44-R43)/R43</f>
        <v>7.4607919673515856E-3</v>
      </c>
    </row>
    <row r="45" spans="1:35" x14ac:dyDescent="0.3">
      <c r="A45">
        <v>2026</v>
      </c>
      <c r="B45">
        <v>51.396700000000003</v>
      </c>
      <c r="C45">
        <v>1431.89</v>
      </c>
      <c r="D45">
        <v>121.848</v>
      </c>
      <c r="E45">
        <v>144.976</v>
      </c>
      <c r="F45">
        <v>3.5508799999999998</v>
      </c>
      <c r="G45">
        <v>26.4254</v>
      </c>
      <c r="H45">
        <v>385.70299999999997</v>
      </c>
      <c r="I45">
        <v>641.625</v>
      </c>
      <c r="J45">
        <v>514.18499999999995</v>
      </c>
      <c r="K45">
        <v>117.85</v>
      </c>
      <c r="L45">
        <v>146.66800000000001</v>
      </c>
      <c r="M45">
        <v>554.46699999999998</v>
      </c>
      <c r="N45">
        <v>1228.6500000000001</v>
      </c>
      <c r="O45">
        <v>125.724</v>
      </c>
      <c r="P45">
        <v>1942.06</v>
      </c>
      <c r="Q45">
        <v>613.99800000000005</v>
      </c>
      <c r="R45">
        <v>31.972100000000001</v>
      </c>
      <c r="S45" s="8">
        <f t="shared" ref="S45:S69" si="34">(B45-B44)/B44</f>
        <v>-2.0155144124814257E-3</v>
      </c>
      <c r="T45" s="8">
        <f t="shared" si="18"/>
        <v>-1.4087355552300923E-3</v>
      </c>
      <c r="U45" s="8">
        <f t="shared" si="19"/>
        <v>-5.103165595682314E-3</v>
      </c>
      <c r="V45" s="8">
        <f t="shared" si="20"/>
        <v>-2.7103253766252006E-3</v>
      </c>
      <c r="W45" s="8">
        <f t="shared" si="21"/>
        <v>1.2327376811759459E-2</v>
      </c>
      <c r="X45" s="8">
        <f t="shared" si="22"/>
        <v>1.0114134408133039E-3</v>
      </c>
      <c r="Y45" s="8">
        <f t="shared" si="23"/>
        <v>4.3433541213690145E-3</v>
      </c>
      <c r="Z45" s="8">
        <f t="shared" si="24"/>
        <v>6.652180393325869E-3</v>
      </c>
      <c r="AA45" s="8">
        <f t="shared" si="25"/>
        <v>1.5816959598574489E-3</v>
      </c>
      <c r="AB45" s="8">
        <f t="shared" si="26"/>
        <v>-4.5864198052250251E-3</v>
      </c>
      <c r="AC45" s="8">
        <f t="shared" si="27"/>
        <v>7.432033299905166E-3</v>
      </c>
      <c r="AD45" s="8">
        <f t="shared" si="28"/>
        <v>1.4793624996339516E-2</v>
      </c>
      <c r="AE45" s="8">
        <f t="shared" si="29"/>
        <v>2.5318990912201474E-2</v>
      </c>
      <c r="AF45" s="8">
        <f t="shared" si="30"/>
        <v>6.7987987987988292E-3</v>
      </c>
      <c r="AG45" s="8">
        <f t="shared" si="31"/>
        <v>9.4391600395030174E-3</v>
      </c>
      <c r="AH45" s="8">
        <f t="shared" si="32"/>
        <v>7.3715556065988824E-3</v>
      </c>
      <c r="AI45" s="8">
        <f t="shared" si="33"/>
        <v>7.1062951821460642E-3</v>
      </c>
    </row>
    <row r="46" spans="1:35" x14ac:dyDescent="0.3">
      <c r="A46">
        <v>2027</v>
      </c>
      <c r="B46">
        <v>51.292900000000003</v>
      </c>
      <c r="C46">
        <v>1429.87</v>
      </c>
      <c r="D46">
        <v>121.223</v>
      </c>
      <c r="E46">
        <v>144.58199999999999</v>
      </c>
      <c r="F46">
        <v>3.5941200000000002</v>
      </c>
      <c r="G46">
        <v>26.452000000000002</v>
      </c>
      <c r="H46">
        <v>387.37</v>
      </c>
      <c r="I46">
        <v>645.86500000000001</v>
      </c>
      <c r="J46">
        <v>514.99699999999996</v>
      </c>
      <c r="K46">
        <v>117.30800000000001</v>
      </c>
      <c r="L46">
        <v>147.75</v>
      </c>
      <c r="M46">
        <v>562.54999999999995</v>
      </c>
      <c r="N46">
        <v>1258.99</v>
      </c>
      <c r="O46">
        <v>126.57299999999999</v>
      </c>
      <c r="P46">
        <v>1960.22</v>
      </c>
      <c r="Q46">
        <v>618.49099999999999</v>
      </c>
      <c r="R46">
        <v>32.197600000000001</v>
      </c>
      <c r="S46" s="8">
        <f t="shared" si="34"/>
        <v>-2.0195849149848076E-3</v>
      </c>
      <c r="T46" s="8">
        <f t="shared" si="18"/>
        <v>-1.4107228907249921E-3</v>
      </c>
      <c r="U46" s="8">
        <f t="shared" si="19"/>
        <v>-5.1293414746241221E-3</v>
      </c>
      <c r="V46" s="8">
        <f t="shared" si="20"/>
        <v>-2.7176912040613997E-3</v>
      </c>
      <c r="W46" s="8">
        <f t="shared" si="21"/>
        <v>1.2177263100977897E-2</v>
      </c>
      <c r="X46" s="8">
        <f t="shared" si="22"/>
        <v>1.0066072793600838E-3</v>
      </c>
      <c r="Y46" s="8">
        <f t="shared" si="23"/>
        <v>4.3219783097358071E-3</v>
      </c>
      <c r="Z46" s="8">
        <f t="shared" si="24"/>
        <v>6.6082213130722912E-3</v>
      </c>
      <c r="AA46" s="8">
        <f t="shared" si="25"/>
        <v>1.5791981485263318E-3</v>
      </c>
      <c r="AB46" s="8">
        <f t="shared" si="26"/>
        <v>-4.5990666100974749E-3</v>
      </c>
      <c r="AC46" s="8">
        <f t="shared" si="27"/>
        <v>7.3772056617666679E-3</v>
      </c>
      <c r="AD46" s="8">
        <f t="shared" si="28"/>
        <v>1.4577964062784566E-2</v>
      </c>
      <c r="AE46" s="8">
        <f t="shared" si="29"/>
        <v>2.4693769584503249E-2</v>
      </c>
      <c r="AF46" s="8">
        <f t="shared" si="30"/>
        <v>6.7528872768921567E-3</v>
      </c>
      <c r="AG46" s="8">
        <f t="shared" si="31"/>
        <v>9.3508954409235977E-3</v>
      </c>
      <c r="AH46" s="8">
        <f t="shared" si="32"/>
        <v>7.3176134124214379E-3</v>
      </c>
      <c r="AI46" s="8">
        <f t="shared" si="33"/>
        <v>7.053024355610055E-3</v>
      </c>
    </row>
    <row r="47" spans="1:35" x14ac:dyDescent="0.3">
      <c r="A47">
        <v>2028</v>
      </c>
      <c r="B47">
        <v>51.189100000000003</v>
      </c>
      <c r="C47">
        <v>1427.86</v>
      </c>
      <c r="D47">
        <v>120.598</v>
      </c>
      <c r="E47">
        <v>144.18799999999999</v>
      </c>
      <c r="F47">
        <v>3.6373600000000001</v>
      </c>
      <c r="G47">
        <v>26.4787</v>
      </c>
      <c r="H47">
        <v>389.03800000000001</v>
      </c>
      <c r="I47">
        <v>650.10599999999999</v>
      </c>
      <c r="J47">
        <v>515.80899999999997</v>
      </c>
      <c r="K47">
        <v>116.765</v>
      </c>
      <c r="L47">
        <v>148.83199999999999</v>
      </c>
      <c r="M47">
        <v>570.63300000000004</v>
      </c>
      <c r="N47">
        <v>1289.32</v>
      </c>
      <c r="O47">
        <v>127.42100000000001</v>
      </c>
      <c r="P47">
        <v>1978.38</v>
      </c>
      <c r="Q47">
        <v>622.98299999999995</v>
      </c>
      <c r="R47">
        <v>32.423200000000001</v>
      </c>
      <c r="S47" s="8">
        <f t="shared" si="34"/>
        <v>-2.0236718922111963E-3</v>
      </c>
      <c r="T47" s="8">
        <f t="shared" si="18"/>
        <v>-1.4057221985215376E-3</v>
      </c>
      <c r="U47" s="8">
        <f t="shared" si="19"/>
        <v>-5.1557872680926889E-3</v>
      </c>
      <c r="V47" s="8">
        <f t="shared" si="20"/>
        <v>-2.7250971766886989E-3</v>
      </c>
      <c r="W47" s="8">
        <f t="shared" si="21"/>
        <v>1.2030761354657036E-2</v>
      </c>
      <c r="X47" s="8">
        <f t="shared" si="22"/>
        <v>1.009375472553991E-3</v>
      </c>
      <c r="Y47" s="8">
        <f t="shared" si="23"/>
        <v>4.305960709399299E-3</v>
      </c>
      <c r="Z47" s="8">
        <f t="shared" si="24"/>
        <v>6.5663877126024561E-3</v>
      </c>
      <c r="AA47" s="8">
        <f t="shared" si="25"/>
        <v>1.5767082138342784E-3</v>
      </c>
      <c r="AB47" s="8">
        <f t="shared" si="26"/>
        <v>-4.6288403177959419E-3</v>
      </c>
      <c r="AC47" s="8">
        <f t="shared" si="27"/>
        <v>7.3231810490693309E-3</v>
      </c>
      <c r="AD47" s="8">
        <f t="shared" si="28"/>
        <v>1.4368500577726574E-2</v>
      </c>
      <c r="AE47" s="8">
        <f t="shared" si="29"/>
        <v>2.4090739402219181E-2</v>
      </c>
      <c r="AF47" s="8">
        <f t="shared" si="30"/>
        <v>6.6996910873568082E-3</v>
      </c>
      <c r="AG47" s="8">
        <f t="shared" si="31"/>
        <v>9.2642662558284697E-3</v>
      </c>
      <c r="AH47" s="8">
        <f t="shared" si="32"/>
        <v>7.2628381011202456E-3</v>
      </c>
      <c r="AI47" s="8">
        <f t="shared" si="33"/>
        <v>7.0067334211245565E-3</v>
      </c>
    </row>
    <row r="48" spans="1:35" x14ac:dyDescent="0.3">
      <c r="A48">
        <v>2029</v>
      </c>
      <c r="B48">
        <v>51.085299999999997</v>
      </c>
      <c r="C48">
        <v>1425.84</v>
      </c>
      <c r="D48">
        <v>119.973</v>
      </c>
      <c r="E48">
        <v>143.79400000000001</v>
      </c>
      <c r="F48">
        <v>3.68059</v>
      </c>
      <c r="G48">
        <v>26.505299999999998</v>
      </c>
      <c r="H48">
        <v>390.70600000000002</v>
      </c>
      <c r="I48">
        <v>654.346</v>
      </c>
      <c r="J48">
        <v>516.62099999999998</v>
      </c>
      <c r="K48">
        <v>116.223</v>
      </c>
      <c r="L48">
        <v>149.91300000000001</v>
      </c>
      <c r="M48">
        <v>578.71500000000003</v>
      </c>
      <c r="N48">
        <v>1319.66</v>
      </c>
      <c r="O48">
        <v>128.27000000000001</v>
      </c>
      <c r="P48">
        <v>1996.55</v>
      </c>
      <c r="Q48">
        <v>627.476</v>
      </c>
      <c r="R48">
        <v>32.648699999999998</v>
      </c>
      <c r="S48" s="8">
        <f t="shared" si="34"/>
        <v>-2.0277754443818463E-3</v>
      </c>
      <c r="T48" s="8">
        <f t="shared" si="18"/>
        <v>-1.4147045228523679E-3</v>
      </c>
      <c r="U48" s="8">
        <f t="shared" si="19"/>
        <v>-5.182507172589927E-3</v>
      </c>
      <c r="V48" s="8">
        <f t="shared" si="20"/>
        <v>-2.7325436236023599E-3</v>
      </c>
      <c r="W48" s="8">
        <f t="shared" si="21"/>
        <v>1.188499351177774E-2</v>
      </c>
      <c r="X48" s="8">
        <f t="shared" si="22"/>
        <v>1.0045810406099395E-3</v>
      </c>
      <c r="Y48" s="8">
        <f t="shared" si="23"/>
        <v>4.2874989075617452E-3</v>
      </c>
      <c r="Z48" s="8">
        <f t="shared" si="24"/>
        <v>6.5220133332102902E-3</v>
      </c>
      <c r="AA48" s="8">
        <f t="shared" si="25"/>
        <v>1.5742261185826766E-3</v>
      </c>
      <c r="AB48" s="8">
        <f t="shared" si="26"/>
        <v>-4.6418019098188809E-3</v>
      </c>
      <c r="AC48" s="8">
        <f t="shared" si="27"/>
        <v>7.2632229628038147E-3</v>
      </c>
      <c r="AD48" s="8">
        <f t="shared" si="28"/>
        <v>1.4163218741292552E-2</v>
      </c>
      <c r="AE48" s="8">
        <f t="shared" si="29"/>
        <v>2.3531784196320654E-2</v>
      </c>
      <c r="AF48" s="8">
        <f t="shared" si="30"/>
        <v>6.6629519466964134E-3</v>
      </c>
      <c r="AG48" s="8">
        <f t="shared" si="31"/>
        <v>9.1842820893861862E-3</v>
      </c>
      <c r="AH48" s="8">
        <f t="shared" si="32"/>
        <v>7.2120748078198802E-3</v>
      </c>
      <c r="AI48" s="8">
        <f t="shared" si="33"/>
        <v>6.9548964938684864E-3</v>
      </c>
    </row>
    <row r="49" spans="1:35" x14ac:dyDescent="0.3">
      <c r="A49">
        <v>2030</v>
      </c>
      <c r="B49">
        <v>50.981499999999997</v>
      </c>
      <c r="C49">
        <v>1423.82</v>
      </c>
      <c r="D49">
        <v>119.348</v>
      </c>
      <c r="E49">
        <v>143.4</v>
      </c>
      <c r="F49">
        <v>3.72383</v>
      </c>
      <c r="G49">
        <v>26.532</v>
      </c>
      <c r="H49">
        <v>392.37400000000002</v>
      </c>
      <c r="I49">
        <v>658.58699999999999</v>
      </c>
      <c r="J49">
        <v>517.43299999999999</v>
      </c>
      <c r="K49">
        <v>115.68</v>
      </c>
      <c r="L49">
        <v>150.995</v>
      </c>
      <c r="M49">
        <v>586.798</v>
      </c>
      <c r="N49">
        <v>1350</v>
      </c>
      <c r="O49">
        <v>129.119</v>
      </c>
      <c r="P49">
        <v>2014.71</v>
      </c>
      <c r="Q49">
        <v>631.96900000000005</v>
      </c>
      <c r="R49">
        <v>32.874200000000002</v>
      </c>
      <c r="S49" s="8">
        <f t="shared" si="34"/>
        <v>-2.0318956725320137E-3</v>
      </c>
      <c r="T49" s="8">
        <f t="shared" si="18"/>
        <v>-1.4167087471244895E-3</v>
      </c>
      <c r="U49" s="8">
        <f t="shared" si="19"/>
        <v>-5.2095054720645477E-3</v>
      </c>
      <c r="V49" s="8">
        <f t="shared" si="20"/>
        <v>-2.7400308775053579E-3</v>
      </c>
      <c r="W49" s="8">
        <f t="shared" si="21"/>
        <v>1.1748116470457167E-2</v>
      </c>
      <c r="X49" s="8">
        <f t="shared" si="22"/>
        <v>1.0073457006712515E-3</v>
      </c>
      <c r="Y49" s="8">
        <f t="shared" si="23"/>
        <v>4.2691947397787752E-3</v>
      </c>
      <c r="Z49" s="8">
        <f t="shared" si="24"/>
        <v>6.4812805457662844E-3</v>
      </c>
      <c r="AA49" s="8">
        <f t="shared" si="25"/>
        <v>1.5717518258065619E-3</v>
      </c>
      <c r="AB49" s="8">
        <f t="shared" si="26"/>
        <v>-4.672052863890901E-3</v>
      </c>
      <c r="AC49" s="8">
        <f t="shared" si="27"/>
        <v>7.2175194946401816E-3</v>
      </c>
      <c r="AD49" s="8">
        <f t="shared" si="28"/>
        <v>1.3967151361205377E-2</v>
      </c>
      <c r="AE49" s="8">
        <f t="shared" si="29"/>
        <v>2.2990770349938558E-2</v>
      </c>
      <c r="AF49" s="8">
        <f t="shared" si="30"/>
        <v>6.6188508614640172E-3</v>
      </c>
      <c r="AG49" s="8">
        <f t="shared" si="31"/>
        <v>9.0956900653627916E-3</v>
      </c>
      <c r="AH49" s="8">
        <f t="shared" si="32"/>
        <v>7.1604332277251269E-3</v>
      </c>
      <c r="AI49" s="8">
        <f t="shared" si="33"/>
        <v>6.9068599974885314E-3</v>
      </c>
    </row>
    <row r="50" spans="1:35" x14ac:dyDescent="0.3">
      <c r="A50">
        <v>2031</v>
      </c>
      <c r="B50">
        <v>50.835999999999999</v>
      </c>
      <c r="C50">
        <v>1420.33</v>
      </c>
      <c r="D50">
        <v>118.688</v>
      </c>
      <c r="E50">
        <v>143.03299999999999</v>
      </c>
      <c r="F50">
        <v>3.76586</v>
      </c>
      <c r="G50">
        <v>26.500900000000001</v>
      </c>
      <c r="H50">
        <v>394.00200000000001</v>
      </c>
      <c r="I50">
        <v>662.13400000000001</v>
      </c>
      <c r="J50">
        <v>518.17399999999998</v>
      </c>
      <c r="K50">
        <v>115.114</v>
      </c>
      <c r="L50">
        <v>151.87299999999999</v>
      </c>
      <c r="M50">
        <v>594.49099999999999</v>
      </c>
      <c r="N50">
        <v>1381.71</v>
      </c>
      <c r="O50">
        <v>129.76599999999999</v>
      </c>
      <c r="P50">
        <v>2030.54</v>
      </c>
      <c r="Q50">
        <v>635.69500000000005</v>
      </c>
      <c r="R50">
        <v>33.083399999999997</v>
      </c>
      <c r="S50" s="8">
        <f t="shared" si="34"/>
        <v>-2.85397644243497E-3</v>
      </c>
      <c r="T50" s="8">
        <f t="shared" si="18"/>
        <v>-2.4511525333258482E-3</v>
      </c>
      <c r="U50" s="8">
        <f t="shared" si="19"/>
        <v>-5.5300465864530331E-3</v>
      </c>
      <c r="V50" s="8">
        <f t="shared" si="20"/>
        <v>-2.5592747559276055E-3</v>
      </c>
      <c r="W50" s="8">
        <f t="shared" si="21"/>
        <v>1.1286766581718288E-2</v>
      </c>
      <c r="X50" s="8">
        <f t="shared" si="22"/>
        <v>-1.1721694557514915E-3</v>
      </c>
      <c r="Y50" s="8">
        <f t="shared" si="23"/>
        <v>4.1491026418671619E-3</v>
      </c>
      <c r="Z50" s="8">
        <f t="shared" si="24"/>
        <v>5.385772874350732E-3</v>
      </c>
      <c r="AA50" s="8">
        <f t="shared" si="25"/>
        <v>1.4320694659984683E-3</v>
      </c>
      <c r="AB50" s="8">
        <f t="shared" si="26"/>
        <v>-4.8928077455048626E-3</v>
      </c>
      <c r="AC50" s="8">
        <f t="shared" si="27"/>
        <v>5.8147620782144169E-3</v>
      </c>
      <c r="AD50" s="8">
        <f t="shared" si="28"/>
        <v>1.3110133299704471E-2</v>
      </c>
      <c r="AE50" s="8">
        <f t="shared" si="29"/>
        <v>2.3488888888888917E-2</v>
      </c>
      <c r="AF50" s="8">
        <f t="shared" si="30"/>
        <v>5.0108814349552845E-3</v>
      </c>
      <c r="AG50" s="8">
        <f t="shared" si="31"/>
        <v>7.8572102188403919E-3</v>
      </c>
      <c r="AH50" s="8">
        <f t="shared" si="32"/>
        <v>5.8958588158596371E-3</v>
      </c>
      <c r="AI50" s="8">
        <f t="shared" si="33"/>
        <v>6.3636529558132393E-3</v>
      </c>
    </row>
    <row r="51" spans="1:35" x14ac:dyDescent="0.3">
      <c r="A51">
        <v>2032</v>
      </c>
      <c r="B51">
        <v>50.6905</v>
      </c>
      <c r="C51">
        <v>1416.85</v>
      </c>
      <c r="D51">
        <v>118.029</v>
      </c>
      <c r="E51">
        <v>142.667</v>
      </c>
      <c r="F51">
        <v>3.80789</v>
      </c>
      <c r="G51">
        <v>26.469799999999999</v>
      </c>
      <c r="H51">
        <v>395.62900000000002</v>
      </c>
      <c r="I51">
        <v>665.68</v>
      </c>
      <c r="J51">
        <v>518.91600000000005</v>
      </c>
      <c r="K51">
        <v>114.548</v>
      </c>
      <c r="L51">
        <v>152.751</v>
      </c>
      <c r="M51">
        <v>602.18399999999997</v>
      </c>
      <c r="N51">
        <v>1413.42</v>
      </c>
      <c r="O51">
        <v>130.41300000000001</v>
      </c>
      <c r="P51">
        <v>2046.37</v>
      </c>
      <c r="Q51">
        <v>639.42100000000005</v>
      </c>
      <c r="R51">
        <v>33.292499999999997</v>
      </c>
      <c r="S51" s="8">
        <f t="shared" si="34"/>
        <v>-2.8621449366590295E-3</v>
      </c>
      <c r="T51" s="8">
        <f t="shared" si="18"/>
        <v>-2.4501348278217162E-3</v>
      </c>
      <c r="U51" s="8">
        <f t="shared" si="19"/>
        <v>-5.5523726071717953E-3</v>
      </c>
      <c r="V51" s="8">
        <f t="shared" si="20"/>
        <v>-2.5588500555814775E-3</v>
      </c>
      <c r="W51" s="8">
        <f t="shared" si="21"/>
        <v>1.1160797268087505E-2</v>
      </c>
      <c r="X51" s="8">
        <f t="shared" si="22"/>
        <v>-1.1735450494134963E-3</v>
      </c>
      <c r="Y51" s="8">
        <f t="shared" si="23"/>
        <v>4.129420662839299E-3</v>
      </c>
      <c r="Z51" s="8">
        <f t="shared" si="24"/>
        <v>5.355411442396759E-3</v>
      </c>
      <c r="AA51" s="8">
        <f t="shared" si="25"/>
        <v>1.4319514294427653E-3</v>
      </c>
      <c r="AB51" s="8">
        <f t="shared" si="26"/>
        <v>-4.9168650207620486E-3</v>
      </c>
      <c r="AC51" s="8">
        <f t="shared" si="27"/>
        <v>5.781146089166701E-3</v>
      </c>
      <c r="AD51" s="8">
        <f t="shared" si="28"/>
        <v>1.2940481857589069E-2</v>
      </c>
      <c r="AE51" s="8">
        <f t="shared" si="29"/>
        <v>2.2949823045356865E-2</v>
      </c>
      <c r="AF51" s="8">
        <f t="shared" si="30"/>
        <v>4.9858976927702157E-3</v>
      </c>
      <c r="AG51" s="8">
        <f t="shared" si="31"/>
        <v>7.7959557556117722E-3</v>
      </c>
      <c r="AH51" s="8">
        <f t="shared" si="32"/>
        <v>5.8613014102675007E-3</v>
      </c>
      <c r="AI51" s="8">
        <f t="shared" si="33"/>
        <v>6.320390286367163E-3</v>
      </c>
    </row>
    <row r="52" spans="1:35" x14ac:dyDescent="0.3">
      <c r="A52">
        <v>2033</v>
      </c>
      <c r="B52">
        <v>50.545000000000002</v>
      </c>
      <c r="C52">
        <v>1413.36</v>
      </c>
      <c r="D52">
        <v>117.37</v>
      </c>
      <c r="E52">
        <v>142.30099999999999</v>
      </c>
      <c r="F52">
        <v>3.84992</v>
      </c>
      <c r="G52">
        <v>26.438700000000001</v>
      </c>
      <c r="H52">
        <v>397.25700000000001</v>
      </c>
      <c r="I52">
        <v>669.22699999999998</v>
      </c>
      <c r="J52">
        <v>519.65700000000004</v>
      </c>
      <c r="K52">
        <v>113.98099999999999</v>
      </c>
      <c r="L52">
        <v>153.62899999999999</v>
      </c>
      <c r="M52">
        <v>609.87599999999998</v>
      </c>
      <c r="N52">
        <v>1445.14</v>
      </c>
      <c r="O52">
        <v>131.06</v>
      </c>
      <c r="P52">
        <v>2062.1999999999998</v>
      </c>
      <c r="Q52">
        <v>643.14800000000002</v>
      </c>
      <c r="R52">
        <v>33.501600000000003</v>
      </c>
      <c r="S52" s="8">
        <f t="shared" si="34"/>
        <v>-2.8703603239265425E-3</v>
      </c>
      <c r="T52" s="8">
        <f t="shared" si="18"/>
        <v>-2.4632106433285172E-3</v>
      </c>
      <c r="U52" s="8">
        <f t="shared" si="19"/>
        <v>-5.5833735776799924E-3</v>
      </c>
      <c r="V52" s="8">
        <f t="shared" si="20"/>
        <v>-2.5654145667884927E-3</v>
      </c>
      <c r="W52" s="8">
        <f t="shared" si="21"/>
        <v>1.1037608754454569E-2</v>
      </c>
      <c r="X52" s="8">
        <f t="shared" si="22"/>
        <v>-1.1749238755109058E-3</v>
      </c>
      <c r="Y52" s="8">
        <f t="shared" si="23"/>
        <v>4.1149662941796124E-3</v>
      </c>
      <c r="Z52" s="8">
        <f t="shared" si="24"/>
        <v>5.3283860112967579E-3</v>
      </c>
      <c r="AA52" s="8">
        <f t="shared" si="25"/>
        <v>1.4279767823693727E-3</v>
      </c>
      <c r="AB52" s="8">
        <f t="shared" si="26"/>
        <v>-4.9498900024444537E-3</v>
      </c>
      <c r="AC52" s="8">
        <f t="shared" si="27"/>
        <v>5.7479165439177872E-3</v>
      </c>
      <c r="AD52" s="8">
        <f t="shared" si="28"/>
        <v>1.2773504443824491E-2</v>
      </c>
      <c r="AE52" s="8">
        <f t="shared" si="29"/>
        <v>2.2442020064807364E-2</v>
      </c>
      <c r="AF52" s="8">
        <f t="shared" si="30"/>
        <v>4.9611618473617758E-3</v>
      </c>
      <c r="AG52" s="8">
        <f t="shared" si="31"/>
        <v>7.7356489784349497E-3</v>
      </c>
      <c r="AH52" s="8">
        <f t="shared" si="32"/>
        <v>5.8287106616766969E-3</v>
      </c>
      <c r="AI52" s="8">
        <f t="shared" si="33"/>
        <v>6.2806938499664049E-3</v>
      </c>
    </row>
    <row r="53" spans="1:35" x14ac:dyDescent="0.3">
      <c r="A53">
        <v>2034</v>
      </c>
      <c r="B53">
        <v>50.399500000000003</v>
      </c>
      <c r="C53">
        <v>1409.87</v>
      </c>
      <c r="D53">
        <v>116.71</v>
      </c>
      <c r="E53">
        <v>141.934</v>
      </c>
      <c r="F53">
        <v>3.89195</v>
      </c>
      <c r="G53">
        <v>26.407599999999999</v>
      </c>
      <c r="H53">
        <v>398.88400000000001</v>
      </c>
      <c r="I53">
        <v>672.774</v>
      </c>
      <c r="J53">
        <v>520.399</v>
      </c>
      <c r="K53">
        <v>113.41500000000001</v>
      </c>
      <c r="L53">
        <v>154.50700000000001</v>
      </c>
      <c r="M53">
        <v>617.56899999999996</v>
      </c>
      <c r="N53">
        <v>1476.85</v>
      </c>
      <c r="O53">
        <v>131.70699999999999</v>
      </c>
      <c r="P53">
        <v>2078.02</v>
      </c>
      <c r="Q53">
        <v>646.87400000000002</v>
      </c>
      <c r="R53">
        <v>33.710700000000003</v>
      </c>
      <c r="S53" s="8">
        <f t="shared" si="34"/>
        <v>-2.8786230091996916E-3</v>
      </c>
      <c r="T53" s="8">
        <f t="shared" si="18"/>
        <v>-2.4692930322069459E-3</v>
      </c>
      <c r="U53" s="8">
        <f t="shared" si="19"/>
        <v>-5.6232427366448906E-3</v>
      </c>
      <c r="V53" s="8">
        <f t="shared" si="20"/>
        <v>-2.5790402035122048E-3</v>
      </c>
      <c r="W53" s="8">
        <f t="shared" si="21"/>
        <v>1.0917109965921374E-2</v>
      </c>
      <c r="X53" s="8">
        <f t="shared" si="22"/>
        <v>-1.176305945451256E-3</v>
      </c>
      <c r="Y53" s="8">
        <f t="shared" si="23"/>
        <v>4.0955854774113723E-3</v>
      </c>
      <c r="Z53" s="8">
        <f t="shared" si="24"/>
        <v>5.3001447939189927E-3</v>
      </c>
      <c r="AA53" s="8">
        <f t="shared" si="25"/>
        <v>1.4278649185904583E-3</v>
      </c>
      <c r="AB53" s="8">
        <f t="shared" si="26"/>
        <v>-4.9657399040189884E-3</v>
      </c>
      <c r="AC53" s="8">
        <f t="shared" si="27"/>
        <v>5.7150668168120238E-3</v>
      </c>
      <c r="AD53" s="8">
        <f t="shared" si="28"/>
        <v>1.2614039575257896E-2</v>
      </c>
      <c r="AE53" s="8">
        <f t="shared" si="29"/>
        <v>2.1942510760203031E-2</v>
      </c>
      <c r="AF53" s="8">
        <f t="shared" si="30"/>
        <v>4.9366702273767084E-3</v>
      </c>
      <c r="AG53" s="8">
        <f t="shared" si="31"/>
        <v>7.6714188730482814E-3</v>
      </c>
      <c r="AH53" s="8">
        <f t="shared" si="32"/>
        <v>5.7933788179392598E-3</v>
      </c>
      <c r="AI53" s="8">
        <f t="shared" si="33"/>
        <v>6.2414929436205848E-3</v>
      </c>
    </row>
    <row r="54" spans="1:35" x14ac:dyDescent="0.3">
      <c r="A54">
        <v>2035</v>
      </c>
      <c r="B54">
        <v>50.253999999999998</v>
      </c>
      <c r="C54">
        <v>1406.39</v>
      </c>
      <c r="D54">
        <v>116.051</v>
      </c>
      <c r="E54">
        <v>141.56800000000001</v>
      </c>
      <c r="F54">
        <v>3.93398</v>
      </c>
      <c r="G54">
        <v>26.3765</v>
      </c>
      <c r="H54">
        <v>400.512</v>
      </c>
      <c r="I54">
        <v>676.32100000000003</v>
      </c>
      <c r="J54">
        <v>521.14</v>
      </c>
      <c r="K54">
        <v>112.849</v>
      </c>
      <c r="L54">
        <v>155.38499999999999</v>
      </c>
      <c r="M54">
        <v>625.26099999999997</v>
      </c>
      <c r="N54">
        <v>1508.56</v>
      </c>
      <c r="O54">
        <v>132.35400000000001</v>
      </c>
      <c r="P54">
        <v>2093.85</v>
      </c>
      <c r="Q54">
        <v>650.6</v>
      </c>
      <c r="R54">
        <v>33.919800000000002</v>
      </c>
      <c r="S54" s="8">
        <f t="shared" si="34"/>
        <v>-2.8869334021171937E-3</v>
      </c>
      <c r="T54" s="8">
        <f t="shared" si="18"/>
        <v>-2.4683126813108947E-3</v>
      </c>
      <c r="U54" s="8">
        <f t="shared" si="19"/>
        <v>-5.6464741667379987E-3</v>
      </c>
      <c r="V54" s="8">
        <f t="shared" si="20"/>
        <v>-2.5786633223891771E-3</v>
      </c>
      <c r="W54" s="8">
        <f t="shared" si="21"/>
        <v>1.0799213761738978E-2</v>
      </c>
      <c r="X54" s="8">
        <f t="shared" si="22"/>
        <v>-1.1776912706947459E-3</v>
      </c>
      <c r="Y54" s="8">
        <f t="shared" si="23"/>
        <v>4.0813870699250559E-3</v>
      </c>
      <c r="Z54" s="8">
        <f t="shared" si="24"/>
        <v>5.2722013633107485E-3</v>
      </c>
      <c r="AA54" s="8">
        <f t="shared" si="25"/>
        <v>1.4239074248797278E-3</v>
      </c>
      <c r="AB54" s="8">
        <f t="shared" si="26"/>
        <v>-4.9905215359520565E-3</v>
      </c>
      <c r="AC54" s="8">
        <f t="shared" si="27"/>
        <v>5.6825904327958334E-3</v>
      </c>
      <c r="AD54" s="8">
        <f t="shared" si="28"/>
        <v>1.2455288396924081E-2</v>
      </c>
      <c r="AE54" s="8">
        <f t="shared" si="29"/>
        <v>2.1471374885736558E-2</v>
      </c>
      <c r="AF54" s="8">
        <f t="shared" si="30"/>
        <v>4.9124192336020087E-3</v>
      </c>
      <c r="AG54" s="8">
        <f t="shared" si="31"/>
        <v>7.6178285098314393E-3</v>
      </c>
      <c r="AH54" s="8">
        <f t="shared" si="32"/>
        <v>5.7600089043615896E-3</v>
      </c>
      <c r="AI54" s="8">
        <f t="shared" si="33"/>
        <v>6.2027783463410547E-3</v>
      </c>
    </row>
    <row r="55" spans="1:35" x14ac:dyDescent="0.3">
      <c r="A55">
        <v>2036</v>
      </c>
      <c r="B55">
        <v>50.048499999999997</v>
      </c>
      <c r="C55">
        <v>1401.75</v>
      </c>
      <c r="D55">
        <v>115.374</v>
      </c>
      <c r="E55">
        <v>141.292</v>
      </c>
      <c r="F55">
        <v>3.9761700000000002</v>
      </c>
      <c r="G55">
        <v>26.316700000000001</v>
      </c>
      <c r="H55">
        <v>402.04</v>
      </c>
      <c r="I55">
        <v>679.09</v>
      </c>
      <c r="J55">
        <v>521.86199999999997</v>
      </c>
      <c r="K55">
        <v>112.29300000000001</v>
      </c>
      <c r="L55">
        <v>156.14099999999999</v>
      </c>
      <c r="M55">
        <v>632.60299999999995</v>
      </c>
      <c r="N55">
        <v>1541.18</v>
      </c>
      <c r="O55">
        <v>132.834</v>
      </c>
      <c r="P55">
        <v>2107.06</v>
      </c>
      <c r="Q55">
        <v>653.45899999999995</v>
      </c>
      <c r="R55">
        <v>34.116799999999998</v>
      </c>
      <c r="S55" s="8">
        <f t="shared" si="34"/>
        <v>-4.0892267282206527E-3</v>
      </c>
      <c r="T55" s="8">
        <f t="shared" si="18"/>
        <v>-3.2992270991688646E-3</v>
      </c>
      <c r="U55" s="8">
        <f t="shared" si="19"/>
        <v>-5.8336421056260322E-3</v>
      </c>
      <c r="V55" s="8">
        <f t="shared" si="20"/>
        <v>-1.9495931283906704E-3</v>
      </c>
      <c r="W55" s="8">
        <f t="shared" si="21"/>
        <v>1.0724508004616233E-2</v>
      </c>
      <c r="X55" s="8">
        <f t="shared" si="22"/>
        <v>-2.2671696396413168E-3</v>
      </c>
      <c r="Y55" s="8">
        <f t="shared" si="23"/>
        <v>3.8151166506871703E-3</v>
      </c>
      <c r="Z55" s="8">
        <f t="shared" si="24"/>
        <v>4.0942097021976331E-3</v>
      </c>
      <c r="AA55" s="8">
        <f t="shared" si="25"/>
        <v>1.3854242621943816E-3</v>
      </c>
      <c r="AB55" s="8">
        <f t="shared" si="26"/>
        <v>-4.9269377663957803E-3</v>
      </c>
      <c r="AC55" s="8">
        <f t="shared" si="27"/>
        <v>4.8653344917463093E-3</v>
      </c>
      <c r="AD55" s="8">
        <f t="shared" si="28"/>
        <v>1.174229641701623E-2</v>
      </c>
      <c r="AE55" s="8">
        <f t="shared" si="29"/>
        <v>2.1623269873256693E-2</v>
      </c>
      <c r="AF55" s="8">
        <f t="shared" si="30"/>
        <v>3.6266376535653605E-3</v>
      </c>
      <c r="AG55" s="8">
        <f t="shared" si="31"/>
        <v>6.3089524082432062E-3</v>
      </c>
      <c r="AH55" s="8">
        <f t="shared" si="32"/>
        <v>4.3944051644634547E-3</v>
      </c>
      <c r="AI55" s="8">
        <f t="shared" si="33"/>
        <v>5.8078172630733555E-3</v>
      </c>
    </row>
    <row r="56" spans="1:35" x14ac:dyDescent="0.3">
      <c r="A56">
        <v>2037</v>
      </c>
      <c r="B56">
        <v>49.843000000000004</v>
      </c>
      <c r="C56">
        <v>1397.11</v>
      </c>
      <c r="D56">
        <v>114.697</v>
      </c>
      <c r="E56">
        <v>141.017</v>
      </c>
      <c r="F56">
        <v>4.0183600000000004</v>
      </c>
      <c r="G56">
        <v>26.256900000000002</v>
      </c>
      <c r="H56">
        <v>403.56799999999998</v>
      </c>
      <c r="I56">
        <v>681.86</v>
      </c>
      <c r="J56">
        <v>522.58299999999997</v>
      </c>
      <c r="K56">
        <v>111.738</v>
      </c>
      <c r="L56">
        <v>156.898</v>
      </c>
      <c r="M56">
        <v>639.94399999999996</v>
      </c>
      <c r="N56">
        <v>1573.81</v>
      </c>
      <c r="O56">
        <v>133.315</v>
      </c>
      <c r="P56">
        <v>2120.27</v>
      </c>
      <c r="Q56">
        <v>656.31899999999996</v>
      </c>
      <c r="R56">
        <v>34.313699999999997</v>
      </c>
      <c r="S56" s="8">
        <f t="shared" si="34"/>
        <v>-4.1060171633514209E-3</v>
      </c>
      <c r="T56" s="8">
        <f t="shared" si="18"/>
        <v>-3.3101480292492243E-3</v>
      </c>
      <c r="U56" s="8">
        <f t="shared" si="19"/>
        <v>-5.867873177665614E-3</v>
      </c>
      <c r="V56" s="8">
        <f t="shared" si="20"/>
        <v>-1.9463239249214795E-3</v>
      </c>
      <c r="W56" s="8">
        <f t="shared" si="21"/>
        <v>1.0610713324631534E-2</v>
      </c>
      <c r="X56" s="8">
        <f t="shared" si="22"/>
        <v>-2.2723213776803014E-3</v>
      </c>
      <c r="Y56" s="8">
        <f t="shared" si="23"/>
        <v>3.8006168540442821E-3</v>
      </c>
      <c r="Z56" s="8">
        <f t="shared" si="24"/>
        <v>4.0789880575475739E-3</v>
      </c>
      <c r="AA56" s="8">
        <f t="shared" si="25"/>
        <v>1.3815913019150727E-3</v>
      </c>
      <c r="AB56" s="8">
        <f t="shared" si="26"/>
        <v>-4.942427399748932E-3</v>
      </c>
      <c r="AC56" s="8">
        <f t="shared" si="27"/>
        <v>4.8481820918272909E-3</v>
      </c>
      <c r="AD56" s="8">
        <f t="shared" si="28"/>
        <v>1.1604434376694402E-2</v>
      </c>
      <c r="AE56" s="8">
        <f t="shared" si="29"/>
        <v>2.1172088918880262E-2</v>
      </c>
      <c r="AF56" s="8">
        <f t="shared" si="30"/>
        <v>3.6210608729692288E-3</v>
      </c>
      <c r="AG56" s="8">
        <f t="shared" si="31"/>
        <v>6.2693990678955687E-3</v>
      </c>
      <c r="AH56" s="8">
        <f t="shared" si="32"/>
        <v>4.3767091737966944E-3</v>
      </c>
      <c r="AI56" s="8">
        <f t="shared" si="33"/>
        <v>5.7713501852459615E-3</v>
      </c>
    </row>
    <row r="57" spans="1:35" x14ac:dyDescent="0.3">
      <c r="A57">
        <v>2038</v>
      </c>
      <c r="B57">
        <v>49.637500000000003</v>
      </c>
      <c r="C57">
        <v>1392.48</v>
      </c>
      <c r="D57">
        <v>114.02</v>
      </c>
      <c r="E57">
        <v>140.74100000000001</v>
      </c>
      <c r="F57">
        <v>4.0605399999999996</v>
      </c>
      <c r="G57">
        <v>26.197099999999999</v>
      </c>
      <c r="H57">
        <v>405.096</v>
      </c>
      <c r="I57">
        <v>684.63</v>
      </c>
      <c r="J57">
        <v>523.30499999999995</v>
      </c>
      <c r="K57">
        <v>111.182</v>
      </c>
      <c r="L57">
        <v>157.654</v>
      </c>
      <c r="M57">
        <v>647.28499999999997</v>
      </c>
      <c r="N57">
        <v>1606.43</v>
      </c>
      <c r="O57">
        <v>133.79499999999999</v>
      </c>
      <c r="P57">
        <v>2133.48</v>
      </c>
      <c r="Q57">
        <v>659.178</v>
      </c>
      <c r="R57">
        <v>34.5107</v>
      </c>
      <c r="S57" s="8">
        <f t="shared" si="34"/>
        <v>-4.1229460505988937E-3</v>
      </c>
      <c r="T57" s="8">
        <f t="shared" si="18"/>
        <v>-3.313983866696167E-3</v>
      </c>
      <c r="U57" s="8">
        <f t="shared" si="19"/>
        <v>-5.902508348082397E-3</v>
      </c>
      <c r="V57" s="8">
        <f t="shared" si="20"/>
        <v>-1.9572108327363513E-3</v>
      </c>
      <c r="W57" s="8">
        <f t="shared" si="21"/>
        <v>1.0496819598044778E-2</v>
      </c>
      <c r="X57" s="8">
        <f t="shared" si="22"/>
        <v>-2.2774965818509701E-3</v>
      </c>
      <c r="Y57" s="8">
        <f t="shared" si="23"/>
        <v>3.7862268564406E-3</v>
      </c>
      <c r="Z57" s="8">
        <f t="shared" si="24"/>
        <v>4.062417505059663E-3</v>
      </c>
      <c r="AA57" s="8">
        <f t="shared" si="25"/>
        <v>1.3815987125489731E-3</v>
      </c>
      <c r="AB57" s="8">
        <f t="shared" si="26"/>
        <v>-4.975925826486937E-3</v>
      </c>
      <c r="AC57" s="8">
        <f t="shared" si="27"/>
        <v>4.8184170607655941E-3</v>
      </c>
      <c r="AD57" s="8">
        <f t="shared" si="28"/>
        <v>1.1471316240171028E-2</v>
      </c>
      <c r="AE57" s="8">
        <f t="shared" si="29"/>
        <v>2.0726771338344604E-2</v>
      </c>
      <c r="AF57" s="8">
        <f t="shared" si="30"/>
        <v>3.600495068071783E-3</v>
      </c>
      <c r="AG57" s="8">
        <f t="shared" si="31"/>
        <v>6.2303385889533108E-3</v>
      </c>
      <c r="AH57" s="8">
        <f t="shared" si="32"/>
        <v>4.3561134143610611E-3</v>
      </c>
      <c r="AI57" s="8">
        <f t="shared" si="33"/>
        <v>5.7411471219950853E-3</v>
      </c>
    </row>
    <row r="58" spans="1:35" x14ac:dyDescent="0.3">
      <c r="A58">
        <v>2039</v>
      </c>
      <c r="B58">
        <v>49.432000000000002</v>
      </c>
      <c r="C58">
        <v>1387.84</v>
      </c>
      <c r="D58">
        <v>113.343</v>
      </c>
      <c r="E58">
        <v>140.46600000000001</v>
      </c>
      <c r="F58">
        <v>4.1027300000000002</v>
      </c>
      <c r="G58">
        <v>26.1374</v>
      </c>
      <c r="H58">
        <v>406.62299999999999</v>
      </c>
      <c r="I58">
        <v>687.399</v>
      </c>
      <c r="J58">
        <v>524.02599999999995</v>
      </c>
      <c r="K58">
        <v>110.627</v>
      </c>
      <c r="L58">
        <v>158.411</v>
      </c>
      <c r="M58">
        <v>654.62699999999995</v>
      </c>
      <c r="N58">
        <v>1639.05</v>
      </c>
      <c r="O58">
        <v>134.27600000000001</v>
      </c>
      <c r="P58">
        <v>2146.69</v>
      </c>
      <c r="Q58">
        <v>662.03700000000003</v>
      </c>
      <c r="R58">
        <v>34.707700000000003</v>
      </c>
      <c r="S58" s="8">
        <f t="shared" si="34"/>
        <v>-4.1400151095442091E-3</v>
      </c>
      <c r="T58" s="8">
        <f t="shared" si="18"/>
        <v>-3.3321843042629696E-3</v>
      </c>
      <c r="U58" s="8">
        <f t="shared" si="19"/>
        <v>-5.9375548149446806E-3</v>
      </c>
      <c r="V58" s="8">
        <f t="shared" si="20"/>
        <v>-1.9539437690509918E-3</v>
      </c>
      <c r="W58" s="8">
        <f t="shared" si="21"/>
        <v>1.0390243662173164E-2</v>
      </c>
      <c r="X58" s="8">
        <f t="shared" si="22"/>
        <v>-2.278878196441569E-3</v>
      </c>
      <c r="Y58" s="8">
        <f t="shared" si="23"/>
        <v>3.7694768647431394E-3</v>
      </c>
      <c r="Z58" s="8">
        <f t="shared" si="24"/>
        <v>4.0445203978791543E-3</v>
      </c>
      <c r="AA58" s="8">
        <f t="shared" si="25"/>
        <v>1.377781599640752E-3</v>
      </c>
      <c r="AB58" s="8">
        <f t="shared" si="26"/>
        <v>-4.9918152218884964E-3</v>
      </c>
      <c r="AC58" s="8">
        <f t="shared" si="27"/>
        <v>4.8016542555216167E-3</v>
      </c>
      <c r="AD58" s="8">
        <f t="shared" si="28"/>
        <v>1.1342762461666786E-2</v>
      </c>
      <c r="AE58" s="8">
        <f t="shared" si="29"/>
        <v>2.0305895681728983E-2</v>
      </c>
      <c r="AF58" s="8">
        <f t="shared" si="30"/>
        <v>3.5950521319931465E-3</v>
      </c>
      <c r="AG58" s="8">
        <f t="shared" si="31"/>
        <v>6.1917618163751416E-3</v>
      </c>
      <c r="AH58" s="8">
        <f t="shared" si="32"/>
        <v>4.3372199921721255E-3</v>
      </c>
      <c r="AI58" s="8">
        <f t="shared" si="33"/>
        <v>5.7083745041393748E-3</v>
      </c>
    </row>
    <row r="59" spans="1:35" x14ac:dyDescent="0.3">
      <c r="A59">
        <v>2040</v>
      </c>
      <c r="B59">
        <v>49.226500000000001</v>
      </c>
      <c r="C59">
        <v>1383.2</v>
      </c>
      <c r="D59">
        <v>112.666</v>
      </c>
      <c r="E59">
        <v>140.19</v>
      </c>
      <c r="F59">
        <v>4.1449199999999999</v>
      </c>
      <c r="G59">
        <v>26.0776</v>
      </c>
      <c r="H59">
        <v>408.15100000000001</v>
      </c>
      <c r="I59">
        <v>690.16899999999998</v>
      </c>
      <c r="J59">
        <v>524.74800000000005</v>
      </c>
      <c r="K59">
        <v>110.071</v>
      </c>
      <c r="L59">
        <v>159.167</v>
      </c>
      <c r="M59">
        <v>661.96799999999996</v>
      </c>
      <c r="N59">
        <v>1671.67</v>
      </c>
      <c r="O59">
        <v>134.756</v>
      </c>
      <c r="P59">
        <v>2159.9</v>
      </c>
      <c r="Q59">
        <v>664.89700000000005</v>
      </c>
      <c r="R59">
        <v>34.904699999999998</v>
      </c>
      <c r="S59" s="8">
        <f t="shared" si="34"/>
        <v>-4.1572260883638266E-3</v>
      </c>
      <c r="T59" s="8">
        <f t="shared" si="18"/>
        <v>-3.3433248789484903E-3</v>
      </c>
      <c r="U59" s="8">
        <f t="shared" si="19"/>
        <v>-5.9730199482985868E-3</v>
      </c>
      <c r="V59" s="8">
        <f t="shared" si="20"/>
        <v>-1.9648883003716947E-3</v>
      </c>
      <c r="W59" s="8">
        <f t="shared" si="21"/>
        <v>1.0283396665147286E-2</v>
      </c>
      <c r="X59" s="8">
        <f t="shared" si="22"/>
        <v>-2.2879092794233242E-3</v>
      </c>
      <c r="Y59" s="8">
        <f t="shared" si="23"/>
        <v>3.7577805485671497E-3</v>
      </c>
      <c r="Z59" s="8">
        <f t="shared" si="24"/>
        <v>4.0296829061432764E-3</v>
      </c>
      <c r="AA59" s="8">
        <f t="shared" si="25"/>
        <v>1.3777942315841079E-3</v>
      </c>
      <c r="AB59" s="8">
        <f t="shared" si="26"/>
        <v>-5.0258978368752424E-3</v>
      </c>
      <c r="AC59" s="8">
        <f t="shared" si="27"/>
        <v>4.7723958563483607E-3</v>
      </c>
      <c r="AD59" s="8">
        <f t="shared" si="28"/>
        <v>1.1214019586726501E-2</v>
      </c>
      <c r="AE59" s="8">
        <f t="shared" si="29"/>
        <v>1.9901772368140155E-2</v>
      </c>
      <c r="AF59" s="8">
        <f t="shared" si="30"/>
        <v>3.5747266823556684E-3</v>
      </c>
      <c r="AG59" s="8">
        <f t="shared" si="31"/>
        <v>6.1536598204678071E-3</v>
      </c>
      <c r="AH59" s="8">
        <f t="shared" si="32"/>
        <v>4.3200002416783553E-3</v>
      </c>
      <c r="AI59" s="8">
        <f t="shared" si="33"/>
        <v>5.6759739193318953E-3</v>
      </c>
    </row>
    <row r="60" spans="1:35" x14ac:dyDescent="0.3">
      <c r="A60">
        <v>2041</v>
      </c>
      <c r="B60">
        <v>48.965600000000002</v>
      </c>
      <c r="C60">
        <v>1377.12</v>
      </c>
      <c r="D60">
        <v>111.985</v>
      </c>
      <c r="E60">
        <v>140.01900000000001</v>
      </c>
      <c r="F60">
        <v>4.1871999999999998</v>
      </c>
      <c r="G60">
        <v>25.996500000000001</v>
      </c>
      <c r="H60">
        <v>409.55799999999999</v>
      </c>
      <c r="I60">
        <v>692.14700000000005</v>
      </c>
      <c r="J60">
        <v>525.42700000000002</v>
      </c>
      <c r="K60">
        <v>109.54300000000001</v>
      </c>
      <c r="L60">
        <v>159.81800000000001</v>
      </c>
      <c r="M60">
        <v>668.82600000000002</v>
      </c>
      <c r="N60">
        <v>1704.63</v>
      </c>
      <c r="O60">
        <v>135.07900000000001</v>
      </c>
      <c r="P60">
        <v>2170.2600000000002</v>
      </c>
      <c r="Q60">
        <v>666.93799999999999</v>
      </c>
      <c r="R60">
        <v>35.097900000000003</v>
      </c>
      <c r="S60" s="8">
        <f t="shared" si="34"/>
        <v>-5.2999908585822566E-3</v>
      </c>
      <c r="T60" s="8">
        <f t="shared" si="18"/>
        <v>-4.3956043956045075E-3</v>
      </c>
      <c r="U60" s="8">
        <f t="shared" si="19"/>
        <v>-6.0444144639908879E-3</v>
      </c>
      <c r="V60" s="8">
        <f t="shared" si="20"/>
        <v>-1.219773164990315E-3</v>
      </c>
      <c r="W60" s="8">
        <f t="shared" si="21"/>
        <v>1.0200438126670689E-2</v>
      </c>
      <c r="X60" s="8">
        <f t="shared" si="22"/>
        <v>-3.1099487682915332E-3</v>
      </c>
      <c r="Y60" s="8">
        <f t="shared" si="23"/>
        <v>3.4472535899703351E-3</v>
      </c>
      <c r="Z60" s="8">
        <f t="shared" si="24"/>
        <v>2.8659647129906812E-3</v>
      </c>
      <c r="AA60" s="8">
        <f t="shared" si="25"/>
        <v>1.2939544314603841E-3</v>
      </c>
      <c r="AB60" s="8">
        <f t="shared" si="26"/>
        <v>-4.7969038166273733E-3</v>
      </c>
      <c r="AC60" s="8">
        <f t="shared" si="27"/>
        <v>4.0900437904842742E-3</v>
      </c>
      <c r="AD60" s="8">
        <f t="shared" si="28"/>
        <v>1.0360017402653998E-2</v>
      </c>
      <c r="AE60" s="8">
        <f t="shared" si="29"/>
        <v>1.9716810135971832E-2</v>
      </c>
      <c r="AF60" s="8">
        <f t="shared" si="30"/>
        <v>2.3969248122533136E-3</v>
      </c>
      <c r="AG60" s="8">
        <f t="shared" si="31"/>
        <v>4.7965183573314167E-3</v>
      </c>
      <c r="AH60" s="8">
        <f t="shared" si="32"/>
        <v>3.0696483816289436E-3</v>
      </c>
      <c r="AI60" s="8">
        <f t="shared" si="33"/>
        <v>5.5350712081755323E-3</v>
      </c>
    </row>
    <row r="61" spans="1:35" x14ac:dyDescent="0.3">
      <c r="A61">
        <v>2042</v>
      </c>
      <c r="B61">
        <v>48.704599999999999</v>
      </c>
      <c r="C61">
        <v>1371.03</v>
      </c>
      <c r="D61">
        <v>111.30500000000001</v>
      </c>
      <c r="E61">
        <v>139.84700000000001</v>
      </c>
      <c r="F61">
        <v>4.2294799999999997</v>
      </c>
      <c r="G61">
        <v>25.915400000000002</v>
      </c>
      <c r="H61">
        <v>410.96499999999997</v>
      </c>
      <c r="I61">
        <v>694.125</v>
      </c>
      <c r="J61">
        <v>526.10500000000002</v>
      </c>
      <c r="K61">
        <v>109.015</v>
      </c>
      <c r="L61">
        <v>160.46799999999999</v>
      </c>
      <c r="M61">
        <v>675.68399999999997</v>
      </c>
      <c r="N61">
        <v>1737.59</v>
      </c>
      <c r="O61">
        <v>135.40100000000001</v>
      </c>
      <c r="P61">
        <v>2180.62</v>
      </c>
      <c r="Q61">
        <v>668.97900000000004</v>
      </c>
      <c r="R61">
        <v>35.2911</v>
      </c>
      <c r="S61" s="8">
        <f t="shared" si="34"/>
        <v>-5.3302726812293278E-3</v>
      </c>
      <c r="T61" s="8">
        <f t="shared" si="18"/>
        <v>-4.4222725688392575E-3</v>
      </c>
      <c r="U61" s="8">
        <f t="shared" si="19"/>
        <v>-6.0722418181005725E-3</v>
      </c>
      <c r="V61" s="8">
        <f t="shared" si="20"/>
        <v>-1.2284047165027391E-3</v>
      </c>
      <c r="W61" s="8">
        <f t="shared" si="21"/>
        <v>1.0097439816583845E-2</v>
      </c>
      <c r="X61" s="8">
        <f t="shared" si="22"/>
        <v>-3.1196507222125778E-3</v>
      </c>
      <c r="Y61" s="8">
        <f t="shared" si="23"/>
        <v>3.435410857558593E-3</v>
      </c>
      <c r="Z61" s="8">
        <f t="shared" si="24"/>
        <v>2.8577744323098299E-3</v>
      </c>
      <c r="AA61" s="8">
        <f t="shared" si="25"/>
        <v>1.2903790631238921E-3</v>
      </c>
      <c r="AB61" s="8">
        <f t="shared" si="26"/>
        <v>-4.8200250130086431E-3</v>
      </c>
      <c r="AC61" s="8">
        <f t="shared" si="27"/>
        <v>4.0671263562300696E-3</v>
      </c>
      <c r="AD61" s="8">
        <f t="shared" si="28"/>
        <v>1.0253787980730336E-2</v>
      </c>
      <c r="AE61" s="8">
        <f t="shared" si="29"/>
        <v>1.9335574288848491E-2</v>
      </c>
      <c r="AF61" s="8">
        <f t="shared" si="30"/>
        <v>2.3837902264600918E-3</v>
      </c>
      <c r="AG61" s="8">
        <f t="shared" si="31"/>
        <v>4.7736215937259456E-3</v>
      </c>
      <c r="AH61" s="8">
        <f t="shared" si="32"/>
        <v>3.0602544764281744E-3</v>
      </c>
      <c r="AI61" s="8">
        <f t="shared" si="33"/>
        <v>5.5046028394860474E-3</v>
      </c>
    </row>
    <row r="62" spans="1:35" x14ac:dyDescent="0.3">
      <c r="A62">
        <v>2043</v>
      </c>
      <c r="B62">
        <v>48.4437</v>
      </c>
      <c r="C62">
        <v>1364.95</v>
      </c>
      <c r="D62">
        <v>110.624</v>
      </c>
      <c r="E62">
        <v>139.67500000000001</v>
      </c>
      <c r="F62">
        <v>4.2717599999999996</v>
      </c>
      <c r="G62">
        <v>25.834399999999999</v>
      </c>
      <c r="H62">
        <v>412.37200000000001</v>
      </c>
      <c r="I62">
        <v>696.10400000000004</v>
      </c>
      <c r="J62">
        <v>526.78399999999999</v>
      </c>
      <c r="K62">
        <v>108.486</v>
      </c>
      <c r="L62">
        <v>161.119</v>
      </c>
      <c r="M62">
        <v>682.54200000000003</v>
      </c>
      <c r="N62">
        <v>1770.55</v>
      </c>
      <c r="O62">
        <v>135.72300000000001</v>
      </c>
      <c r="P62">
        <v>2190.9699999999998</v>
      </c>
      <c r="Q62">
        <v>671.02</v>
      </c>
      <c r="R62">
        <v>35.484299999999998</v>
      </c>
      <c r="S62" s="8">
        <f t="shared" si="34"/>
        <v>-5.3567835481658707E-3</v>
      </c>
      <c r="T62" s="8">
        <f t="shared" si="18"/>
        <v>-4.4346221453942852E-3</v>
      </c>
      <c r="U62" s="8">
        <f t="shared" si="19"/>
        <v>-6.1183235254481973E-3</v>
      </c>
      <c r="V62" s="8">
        <f t="shared" si="20"/>
        <v>-1.2299155505659544E-3</v>
      </c>
      <c r="W62" s="8">
        <f t="shared" si="21"/>
        <v>9.9965007518654486E-3</v>
      </c>
      <c r="X62" s="8">
        <f t="shared" si="22"/>
        <v>-3.1255546894897652E-3</v>
      </c>
      <c r="Y62" s="8">
        <f t="shared" si="23"/>
        <v>3.4236492158700601E-3</v>
      </c>
      <c r="Z62" s="8">
        <f t="shared" si="24"/>
        <v>2.851071492886788E-3</v>
      </c>
      <c r="AA62" s="8">
        <f t="shared" si="25"/>
        <v>1.2906168920652219E-3</v>
      </c>
      <c r="AB62" s="8">
        <f t="shared" si="26"/>
        <v>-4.8525432279961141E-3</v>
      </c>
      <c r="AC62" s="8">
        <f t="shared" si="27"/>
        <v>4.0568836154249478E-3</v>
      </c>
      <c r="AD62" s="8">
        <f t="shared" si="28"/>
        <v>1.0149714955511839E-2</v>
      </c>
      <c r="AE62" s="8">
        <f t="shared" si="29"/>
        <v>1.8968801616031421E-2</v>
      </c>
      <c r="AF62" s="8">
        <f t="shared" si="30"/>
        <v>2.3781212841855136E-3</v>
      </c>
      <c r="AG62" s="8">
        <f t="shared" si="31"/>
        <v>4.7463565408002815E-3</v>
      </c>
      <c r="AH62" s="8">
        <f t="shared" si="32"/>
        <v>3.0509178912939568E-3</v>
      </c>
      <c r="AI62" s="8">
        <f t="shared" si="33"/>
        <v>5.474468067019656E-3</v>
      </c>
    </row>
    <row r="63" spans="1:35" x14ac:dyDescent="0.3">
      <c r="A63">
        <v>2044</v>
      </c>
      <c r="B63">
        <v>48.182699999999997</v>
      </c>
      <c r="C63">
        <v>1358.87</v>
      </c>
      <c r="D63">
        <v>109.944</v>
      </c>
      <c r="E63">
        <v>139.50399999999999</v>
      </c>
      <c r="F63">
        <v>4.3140299999999998</v>
      </c>
      <c r="G63">
        <v>25.753299999999999</v>
      </c>
      <c r="H63">
        <v>413.77800000000002</v>
      </c>
      <c r="I63">
        <v>698.08199999999999</v>
      </c>
      <c r="J63">
        <v>527.46299999999997</v>
      </c>
      <c r="K63">
        <v>107.958</v>
      </c>
      <c r="L63">
        <v>161.76900000000001</v>
      </c>
      <c r="M63">
        <v>689.40099999999995</v>
      </c>
      <c r="N63">
        <v>1803.51</v>
      </c>
      <c r="O63">
        <v>136.04499999999999</v>
      </c>
      <c r="P63">
        <v>2201.33</v>
      </c>
      <c r="Q63">
        <v>673.06100000000004</v>
      </c>
      <c r="R63">
        <v>35.677500000000002</v>
      </c>
      <c r="S63" s="8">
        <f t="shared" si="34"/>
        <v>-5.3876974714978992E-3</v>
      </c>
      <c r="T63" s="8">
        <f t="shared" si="18"/>
        <v>-4.4543756181546247E-3</v>
      </c>
      <c r="U63" s="8">
        <f t="shared" si="19"/>
        <v>-6.1469482210008012E-3</v>
      </c>
      <c r="V63" s="8">
        <f t="shared" si="20"/>
        <v>-1.2242706282442862E-3</v>
      </c>
      <c r="W63" s="8">
        <f t="shared" si="21"/>
        <v>9.8952188325187405E-3</v>
      </c>
      <c r="X63" s="8">
        <f t="shared" si="22"/>
        <v>-3.1392252190877005E-3</v>
      </c>
      <c r="Y63" s="8">
        <f t="shared" si="23"/>
        <v>3.4095428399600505E-3</v>
      </c>
      <c r="Z63" s="8">
        <f t="shared" si="24"/>
        <v>2.8415294266373294E-3</v>
      </c>
      <c r="AA63" s="8">
        <f t="shared" si="25"/>
        <v>1.2889533471023677E-3</v>
      </c>
      <c r="AB63" s="8">
        <f t="shared" si="26"/>
        <v>-4.8669874453847115E-3</v>
      </c>
      <c r="AC63" s="8">
        <f t="shared" si="27"/>
        <v>4.0342852177583386E-3</v>
      </c>
      <c r="AD63" s="8">
        <f t="shared" si="28"/>
        <v>1.0049198437605192E-2</v>
      </c>
      <c r="AE63" s="8">
        <f t="shared" si="29"/>
        <v>1.8615684391855659E-2</v>
      </c>
      <c r="AF63" s="8">
        <f t="shared" si="30"/>
        <v>2.3724792408064536E-3</v>
      </c>
      <c r="AG63" s="8">
        <f t="shared" si="31"/>
        <v>4.7284992491910564E-3</v>
      </c>
      <c r="AH63" s="8">
        <f t="shared" si="32"/>
        <v>3.0416381031862743E-3</v>
      </c>
      <c r="AI63" s="8">
        <f t="shared" si="33"/>
        <v>5.4446614418208758E-3</v>
      </c>
    </row>
    <row r="64" spans="1:35" x14ac:dyDescent="0.3">
      <c r="A64">
        <v>2045</v>
      </c>
      <c r="B64">
        <v>47.921799999999998</v>
      </c>
      <c r="C64">
        <v>1352.78</v>
      </c>
      <c r="D64">
        <v>109.26300000000001</v>
      </c>
      <c r="E64">
        <v>139.33199999999999</v>
      </c>
      <c r="F64">
        <v>4.3563099999999997</v>
      </c>
      <c r="G64">
        <v>25.6723</v>
      </c>
      <c r="H64">
        <v>415.185</v>
      </c>
      <c r="I64">
        <v>700.06</v>
      </c>
      <c r="J64">
        <v>528.14200000000005</v>
      </c>
      <c r="K64">
        <v>107.43</v>
      </c>
      <c r="L64">
        <v>162.41999999999999</v>
      </c>
      <c r="M64">
        <v>696.25900000000001</v>
      </c>
      <c r="N64">
        <v>1836.48</v>
      </c>
      <c r="O64">
        <v>136.36799999999999</v>
      </c>
      <c r="P64">
        <v>2211.69</v>
      </c>
      <c r="Q64">
        <v>675.10199999999998</v>
      </c>
      <c r="R64">
        <v>35.870699999999999</v>
      </c>
      <c r="S64" s="8">
        <f t="shared" si="34"/>
        <v>-5.4148065592006982E-3</v>
      </c>
      <c r="T64" s="8">
        <f t="shared" si="18"/>
        <v>-4.4816649127583348E-3</v>
      </c>
      <c r="U64" s="8">
        <f t="shared" si="19"/>
        <v>-6.1940624317834295E-3</v>
      </c>
      <c r="V64" s="8">
        <f t="shared" si="20"/>
        <v>-1.2329395572886587E-3</v>
      </c>
      <c r="W64" s="8">
        <f t="shared" si="21"/>
        <v>9.8005808953576766E-3</v>
      </c>
      <c r="X64" s="8">
        <f t="shared" si="22"/>
        <v>-3.1452279901992954E-3</v>
      </c>
      <c r="Y64" s="8">
        <f t="shared" si="23"/>
        <v>3.4003741136551056E-3</v>
      </c>
      <c r="Z64" s="8">
        <f t="shared" si="24"/>
        <v>2.833478015476623E-3</v>
      </c>
      <c r="AA64" s="8">
        <f t="shared" si="25"/>
        <v>1.2872940850829108E-3</v>
      </c>
      <c r="AB64" s="8">
        <f t="shared" si="26"/>
        <v>-4.890790863113355E-3</v>
      </c>
      <c r="AC64" s="8">
        <f t="shared" si="27"/>
        <v>4.024256810637279E-3</v>
      </c>
      <c r="AD64" s="8">
        <f t="shared" si="28"/>
        <v>9.9477662492512501E-3</v>
      </c>
      <c r="AE64" s="8">
        <f t="shared" si="29"/>
        <v>1.8281018680240214E-2</v>
      </c>
      <c r="AF64" s="8">
        <f t="shared" si="30"/>
        <v>2.3742144143482488E-3</v>
      </c>
      <c r="AG64" s="8">
        <f t="shared" si="31"/>
        <v>4.7062457696029798E-3</v>
      </c>
      <c r="AH64" s="8">
        <f t="shared" si="32"/>
        <v>3.0324145954080534E-3</v>
      </c>
      <c r="AI64" s="8">
        <f t="shared" si="33"/>
        <v>5.4151776329618767E-3</v>
      </c>
    </row>
    <row r="65" spans="1:35" x14ac:dyDescent="0.3">
      <c r="A65">
        <v>2046</v>
      </c>
      <c r="B65">
        <v>47.630099999999999</v>
      </c>
      <c r="C65">
        <v>1344.92</v>
      </c>
      <c r="D65">
        <v>108.607</v>
      </c>
      <c r="E65">
        <v>139.21700000000001</v>
      </c>
      <c r="F65">
        <v>4.3974399999999996</v>
      </c>
      <c r="G65">
        <v>25.580100000000002</v>
      </c>
      <c r="H65">
        <v>416.51900000000001</v>
      </c>
      <c r="I65">
        <v>701.26499999999999</v>
      </c>
      <c r="J65">
        <v>528.73</v>
      </c>
      <c r="K65">
        <v>106.94</v>
      </c>
      <c r="L65">
        <v>162.94499999999999</v>
      </c>
      <c r="M65">
        <v>702.40499999999997</v>
      </c>
      <c r="N65">
        <v>1869.19</v>
      </c>
      <c r="O65">
        <v>136.55099999999999</v>
      </c>
      <c r="P65">
        <v>2219.3000000000002</v>
      </c>
      <c r="Q65">
        <v>676.35900000000004</v>
      </c>
      <c r="R65">
        <v>36.065300000000001</v>
      </c>
      <c r="S65" s="8">
        <f t="shared" si="34"/>
        <v>-6.0870000709488947E-3</v>
      </c>
      <c r="T65" s="8">
        <f t="shared" si="18"/>
        <v>-5.8102573958810008E-3</v>
      </c>
      <c r="U65" s="8">
        <f t="shared" si="19"/>
        <v>-6.0038622406487635E-3</v>
      </c>
      <c r="V65" s="8">
        <f t="shared" si="20"/>
        <v>-8.2536674992091325E-4</v>
      </c>
      <c r="W65" s="8">
        <f t="shared" si="21"/>
        <v>9.4414768462299271E-3</v>
      </c>
      <c r="X65" s="8">
        <f t="shared" si="22"/>
        <v>-3.5914195455801889E-3</v>
      </c>
      <c r="Y65" s="8">
        <f t="shared" si="23"/>
        <v>3.2130255187446635E-3</v>
      </c>
      <c r="Z65" s="8">
        <f t="shared" si="24"/>
        <v>1.7212810330543681E-3</v>
      </c>
      <c r="AA65" s="8">
        <f t="shared" si="25"/>
        <v>1.1133369434734701E-3</v>
      </c>
      <c r="AB65" s="8">
        <f t="shared" si="26"/>
        <v>-4.5611095597133857E-3</v>
      </c>
      <c r="AC65" s="8">
        <f t="shared" si="27"/>
        <v>3.2323605467307333E-3</v>
      </c>
      <c r="AD65" s="8">
        <f t="shared" si="28"/>
        <v>8.8271749449557683E-3</v>
      </c>
      <c r="AE65" s="8">
        <f t="shared" si="29"/>
        <v>1.7811247604112235E-2</v>
      </c>
      <c r="AF65" s="8">
        <f t="shared" si="30"/>
        <v>1.3419570573741106E-3</v>
      </c>
      <c r="AG65" s="8">
        <f t="shared" si="31"/>
        <v>3.4408077081327522E-3</v>
      </c>
      <c r="AH65" s="8">
        <f t="shared" si="32"/>
        <v>1.8619408622697932E-3</v>
      </c>
      <c r="AI65" s="8">
        <f t="shared" si="33"/>
        <v>5.4250404926583871E-3</v>
      </c>
    </row>
    <row r="66" spans="1:35" x14ac:dyDescent="0.3">
      <c r="A66">
        <v>2047</v>
      </c>
      <c r="B66">
        <v>47.3384</v>
      </c>
      <c r="C66">
        <v>1337.05</v>
      </c>
      <c r="D66">
        <v>107.95</v>
      </c>
      <c r="E66">
        <v>139.102</v>
      </c>
      <c r="F66">
        <v>4.4385700000000003</v>
      </c>
      <c r="G66">
        <v>25.4878</v>
      </c>
      <c r="H66">
        <v>417.85300000000001</v>
      </c>
      <c r="I66">
        <v>702.471</v>
      </c>
      <c r="J66">
        <v>529.31799999999998</v>
      </c>
      <c r="K66">
        <v>106.45</v>
      </c>
      <c r="L66">
        <v>163.47</v>
      </c>
      <c r="M66">
        <v>708.55100000000004</v>
      </c>
      <c r="N66">
        <v>1901.91</v>
      </c>
      <c r="O66">
        <v>136.73500000000001</v>
      </c>
      <c r="P66">
        <v>2226.92</v>
      </c>
      <c r="Q66">
        <v>677.61699999999996</v>
      </c>
      <c r="R66">
        <v>36.259900000000002</v>
      </c>
      <c r="S66" s="8">
        <f t="shared" si="34"/>
        <v>-6.1242785549473705E-3</v>
      </c>
      <c r="T66" s="8">
        <f t="shared" si="18"/>
        <v>-5.8516491687238782E-3</v>
      </c>
      <c r="U66" s="8">
        <f t="shared" si="19"/>
        <v>-6.0493338366771612E-3</v>
      </c>
      <c r="V66" s="8">
        <f t="shared" si="20"/>
        <v>-8.2604854292226586E-4</v>
      </c>
      <c r="W66" s="8">
        <f t="shared" si="21"/>
        <v>9.3531691165770949E-3</v>
      </c>
      <c r="X66" s="8">
        <f t="shared" si="22"/>
        <v>-3.6082736189460398E-3</v>
      </c>
      <c r="Y66" s="8">
        <f t="shared" si="23"/>
        <v>3.20273504930148E-3</v>
      </c>
      <c r="Z66" s="8">
        <f t="shared" si="24"/>
        <v>1.719749310175208E-3</v>
      </c>
      <c r="AA66" s="8">
        <f t="shared" si="25"/>
        <v>1.1120988027915296E-3</v>
      </c>
      <c r="AB66" s="8">
        <f t="shared" si="26"/>
        <v>-4.5820086029548799E-3</v>
      </c>
      <c r="AC66" s="8">
        <f t="shared" si="27"/>
        <v>3.2219460554175072E-3</v>
      </c>
      <c r="AD66" s="8">
        <f t="shared" si="28"/>
        <v>8.7499377139970136E-3</v>
      </c>
      <c r="AE66" s="8">
        <f t="shared" si="29"/>
        <v>1.750490854327277E-2</v>
      </c>
      <c r="AF66" s="8">
        <f t="shared" si="30"/>
        <v>1.3474818932122498E-3</v>
      </c>
      <c r="AG66" s="8">
        <f t="shared" si="31"/>
        <v>3.4335150723200517E-3</v>
      </c>
      <c r="AH66" s="8">
        <f t="shared" si="32"/>
        <v>1.8599589862778856E-3</v>
      </c>
      <c r="AI66" s="8">
        <f t="shared" si="33"/>
        <v>5.3957682315134278E-3</v>
      </c>
    </row>
    <row r="67" spans="1:35" x14ac:dyDescent="0.3">
      <c r="A67">
        <v>2048</v>
      </c>
      <c r="B67">
        <v>47.046700000000001</v>
      </c>
      <c r="C67">
        <v>1329.19</v>
      </c>
      <c r="D67">
        <v>107.294</v>
      </c>
      <c r="E67">
        <v>138.98699999999999</v>
      </c>
      <c r="F67">
        <v>4.4797000000000002</v>
      </c>
      <c r="G67">
        <v>25.395600000000002</v>
      </c>
      <c r="H67">
        <v>419.18799999999999</v>
      </c>
      <c r="I67">
        <v>703.67600000000004</v>
      </c>
      <c r="J67">
        <v>529.90499999999997</v>
      </c>
      <c r="K67">
        <v>105.96</v>
      </c>
      <c r="L67">
        <v>163.995</v>
      </c>
      <c r="M67">
        <v>714.69799999999998</v>
      </c>
      <c r="N67">
        <v>1934.62</v>
      </c>
      <c r="O67">
        <v>136.91900000000001</v>
      </c>
      <c r="P67">
        <v>2234.5300000000002</v>
      </c>
      <c r="Q67">
        <v>678.87400000000002</v>
      </c>
      <c r="R67">
        <v>36.454599999999999</v>
      </c>
      <c r="S67" s="8">
        <f t="shared" si="34"/>
        <v>-6.1620164602098661E-3</v>
      </c>
      <c r="T67" s="8">
        <f t="shared" si="18"/>
        <v>-5.8786133652443066E-3</v>
      </c>
      <c r="U67" s="8">
        <f t="shared" si="19"/>
        <v>-6.0768874478925976E-3</v>
      </c>
      <c r="V67" s="8">
        <f t="shared" si="20"/>
        <v>-8.2673146324286565E-4</v>
      </c>
      <c r="W67" s="8">
        <f t="shared" si="21"/>
        <v>9.2664979937231787E-3</v>
      </c>
      <c r="X67" s="8">
        <f t="shared" si="22"/>
        <v>-3.6174169602711213E-3</v>
      </c>
      <c r="Y67" s="8">
        <f t="shared" si="23"/>
        <v>3.1949034708377813E-3</v>
      </c>
      <c r="Z67" s="8">
        <f t="shared" si="24"/>
        <v>1.7153733036666865E-3</v>
      </c>
      <c r="AA67" s="8">
        <f t="shared" si="25"/>
        <v>1.1089741894286405E-3</v>
      </c>
      <c r="AB67" s="8">
        <f t="shared" si="26"/>
        <v>-4.6031000469704941E-3</v>
      </c>
      <c r="AC67" s="8">
        <f t="shared" si="27"/>
        <v>3.2115984584327748E-3</v>
      </c>
      <c r="AD67" s="8">
        <f t="shared" si="28"/>
        <v>8.675451731773625E-3</v>
      </c>
      <c r="AE67" s="8">
        <f t="shared" si="29"/>
        <v>1.7198500454805858E-2</v>
      </c>
      <c r="AF67" s="8">
        <f t="shared" si="30"/>
        <v>1.3456686291000656E-3</v>
      </c>
      <c r="AG67" s="8">
        <f t="shared" si="31"/>
        <v>3.4172758787922902E-3</v>
      </c>
      <c r="AH67" s="8">
        <f t="shared" si="32"/>
        <v>1.8550302014265609E-3</v>
      </c>
      <c r="AI67" s="8">
        <f t="shared" si="33"/>
        <v>5.3695680352123815E-3</v>
      </c>
    </row>
    <row r="68" spans="1:35" x14ac:dyDescent="0.3">
      <c r="A68">
        <v>2049</v>
      </c>
      <c r="B68">
        <v>46.755099999999999</v>
      </c>
      <c r="C68">
        <v>1321.32</v>
      </c>
      <c r="D68">
        <v>106.63800000000001</v>
      </c>
      <c r="E68">
        <v>138.87200000000001</v>
      </c>
      <c r="F68">
        <v>4.5208399999999997</v>
      </c>
      <c r="G68">
        <v>25.3034</v>
      </c>
      <c r="H68">
        <v>420.52199999999999</v>
      </c>
      <c r="I68">
        <v>704.88099999999997</v>
      </c>
      <c r="J68">
        <v>530.49300000000005</v>
      </c>
      <c r="K68">
        <v>105.47</v>
      </c>
      <c r="L68">
        <v>164.52</v>
      </c>
      <c r="M68">
        <v>720.84400000000005</v>
      </c>
      <c r="N68">
        <v>1967.34</v>
      </c>
      <c r="O68">
        <v>137.10300000000001</v>
      </c>
      <c r="P68">
        <v>2242.15</v>
      </c>
      <c r="Q68">
        <v>680.13099999999997</v>
      </c>
      <c r="R68">
        <v>36.6492</v>
      </c>
      <c r="S68" s="8">
        <f t="shared" si="34"/>
        <v>-6.1980967846842075E-3</v>
      </c>
      <c r="T68" s="8">
        <f t="shared" si="18"/>
        <v>-5.9208991942462088E-3</v>
      </c>
      <c r="U68" s="8">
        <f t="shared" si="19"/>
        <v>-6.1140417917124141E-3</v>
      </c>
      <c r="V68" s="8">
        <f t="shared" si="20"/>
        <v>-8.2741551368099658E-4</v>
      </c>
      <c r="W68" s="8">
        <f t="shared" si="21"/>
        <v>9.1836506908943693E-3</v>
      </c>
      <c r="X68" s="8">
        <f t="shared" si="22"/>
        <v>-3.6305501740459697E-3</v>
      </c>
      <c r="Y68" s="8">
        <f t="shared" si="23"/>
        <v>3.182343006002088E-3</v>
      </c>
      <c r="Z68" s="8">
        <f t="shared" si="24"/>
        <v>1.7124358369475826E-3</v>
      </c>
      <c r="AA68" s="8">
        <f t="shared" si="25"/>
        <v>1.1096328587201086E-3</v>
      </c>
      <c r="AB68" s="8">
        <f t="shared" si="26"/>
        <v>-4.6243865609663544E-3</v>
      </c>
      <c r="AC68" s="8">
        <f t="shared" si="27"/>
        <v>3.2013171133266605E-3</v>
      </c>
      <c r="AD68" s="8">
        <f t="shared" si="28"/>
        <v>8.5994364053069584E-3</v>
      </c>
      <c r="AE68" s="8">
        <f t="shared" si="29"/>
        <v>1.6912882116384628E-2</v>
      </c>
      <c r="AF68" s="8">
        <f t="shared" si="30"/>
        <v>1.3438602385351739E-3</v>
      </c>
      <c r="AG68" s="8">
        <f t="shared" si="31"/>
        <v>3.4101130886584159E-3</v>
      </c>
      <c r="AH68" s="8">
        <f t="shared" si="32"/>
        <v>1.8515954359718417E-3</v>
      </c>
      <c r="AI68" s="8">
        <f t="shared" si="33"/>
        <v>5.3381466262145578E-3</v>
      </c>
    </row>
    <row r="69" spans="1:35" x14ac:dyDescent="0.3">
      <c r="A69">
        <v>2050</v>
      </c>
      <c r="B69">
        <v>46.4634</v>
      </c>
      <c r="C69">
        <v>1313.46</v>
      </c>
      <c r="D69">
        <v>105.982</v>
      </c>
      <c r="E69">
        <v>138.756</v>
      </c>
      <c r="F69">
        <v>4.5619699999999996</v>
      </c>
      <c r="G69">
        <v>25.211200000000002</v>
      </c>
      <c r="H69">
        <v>421.85599999999999</v>
      </c>
      <c r="I69">
        <v>706.08600000000001</v>
      </c>
      <c r="J69">
        <v>531.08100000000002</v>
      </c>
      <c r="K69">
        <v>104.98</v>
      </c>
      <c r="L69">
        <v>165.04499999999999</v>
      </c>
      <c r="M69">
        <v>726.99</v>
      </c>
      <c r="N69">
        <v>2000.05</v>
      </c>
      <c r="O69">
        <v>137.286</v>
      </c>
      <c r="P69">
        <v>2249.7600000000002</v>
      </c>
      <c r="Q69">
        <v>681.38800000000003</v>
      </c>
      <c r="R69">
        <v>36.843800000000002</v>
      </c>
      <c r="S69" s="8">
        <f t="shared" si="34"/>
        <v>-6.2388915861584888E-3</v>
      </c>
      <c r="T69" s="8">
        <f t="shared" si="18"/>
        <v>-5.9485968576876913E-3</v>
      </c>
      <c r="U69" s="8">
        <f t="shared" si="19"/>
        <v>-6.1516532568128236E-3</v>
      </c>
      <c r="V69" s="8">
        <f t="shared" si="20"/>
        <v>-8.3530157267133667E-4</v>
      </c>
      <c r="W69" s="8">
        <f t="shared" si="21"/>
        <v>9.0978667681227143E-3</v>
      </c>
      <c r="X69" s="8">
        <f t="shared" si="22"/>
        <v>-3.6437790968801933E-3</v>
      </c>
      <c r="Y69" s="8">
        <f t="shared" si="23"/>
        <v>3.1722478253218694E-3</v>
      </c>
      <c r="Z69" s="8">
        <f t="shared" si="24"/>
        <v>1.7095084134769428E-3</v>
      </c>
      <c r="AA69" s="8">
        <f t="shared" si="25"/>
        <v>1.1084029383987449E-3</v>
      </c>
      <c r="AB69" s="8">
        <f t="shared" si="26"/>
        <v>-4.6458708637526777E-3</v>
      </c>
      <c r="AC69" s="8">
        <f t="shared" si="27"/>
        <v>3.1911013858496062E-3</v>
      </c>
      <c r="AD69" s="8">
        <f t="shared" si="28"/>
        <v>8.5261166077541858E-3</v>
      </c>
      <c r="AE69" s="8">
        <f t="shared" si="29"/>
        <v>1.6626510923378794E-2</v>
      </c>
      <c r="AF69" s="8">
        <f t="shared" si="30"/>
        <v>1.3347629154722559E-3</v>
      </c>
      <c r="AG69" s="8">
        <f t="shared" si="31"/>
        <v>3.3940637334701636E-3</v>
      </c>
      <c r="AH69" s="8">
        <f t="shared" si="32"/>
        <v>1.8481733666015252E-3</v>
      </c>
      <c r="AI69" s="8">
        <f t="shared" si="33"/>
        <v>5.3098021239208829E-3</v>
      </c>
    </row>
    <row r="71" spans="1:35" x14ac:dyDescent="0.3"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35" x14ac:dyDescent="0.3"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14</v>
      </c>
      <c r="M72" t="s">
        <v>10</v>
      </c>
      <c r="N72" t="s">
        <v>11</v>
      </c>
      <c r="O72" t="s">
        <v>15</v>
      </c>
      <c r="P72" t="s">
        <v>12</v>
      </c>
      <c r="Q72" t="s">
        <v>16</v>
      </c>
      <c r="R72" t="s">
        <v>17</v>
      </c>
      <c r="S72" t="s">
        <v>0</v>
      </c>
      <c r="T72" t="s">
        <v>1</v>
      </c>
      <c r="U72" t="s">
        <v>2</v>
      </c>
      <c r="V72" t="s">
        <v>3</v>
      </c>
      <c r="W72" t="s">
        <v>4</v>
      </c>
      <c r="X72" t="s">
        <v>5</v>
      </c>
      <c r="Y72" t="s">
        <v>6</v>
      </c>
      <c r="Z72" t="s">
        <v>7</v>
      </c>
      <c r="AA72" t="s">
        <v>8</v>
      </c>
      <c r="AB72" t="s">
        <v>9</v>
      </c>
      <c r="AC72" t="s">
        <v>14</v>
      </c>
      <c r="AD72" t="s">
        <v>10</v>
      </c>
      <c r="AE72" t="s">
        <v>11</v>
      </c>
      <c r="AF72" t="s">
        <v>15</v>
      </c>
      <c r="AG72" t="s">
        <v>12</v>
      </c>
      <c r="AH72" t="s">
        <v>16</v>
      </c>
      <c r="AI72" t="s">
        <v>17</v>
      </c>
    </row>
    <row r="73" spans="1:35" x14ac:dyDescent="0.3">
      <c r="A73">
        <v>2019</v>
      </c>
      <c r="B73">
        <v>580.68700000000001</v>
      </c>
      <c r="C73">
        <v>9607.2800000000007</v>
      </c>
      <c r="D73">
        <v>975.89400000000001</v>
      </c>
      <c r="E73">
        <v>1412.29</v>
      </c>
      <c r="F73">
        <v>21.686199999999999</v>
      </c>
      <c r="G73">
        <v>8.1253700000000002</v>
      </c>
      <c r="H73">
        <v>4753.71</v>
      </c>
      <c r="I73">
        <v>1376.36</v>
      </c>
      <c r="J73">
        <v>2425.29</v>
      </c>
      <c r="K73">
        <v>662.51700000000005</v>
      </c>
      <c r="L73">
        <v>570.81799999999998</v>
      </c>
      <c r="M73">
        <v>1945.03</v>
      </c>
      <c r="N73">
        <v>747.62800000000004</v>
      </c>
      <c r="O73">
        <v>306.86</v>
      </c>
      <c r="P73">
        <v>2459.65</v>
      </c>
      <c r="Q73">
        <v>1469.62</v>
      </c>
      <c r="R73">
        <v>408.029</v>
      </c>
      <c r="S73">
        <f>B73/B$73</f>
        <v>1</v>
      </c>
      <c r="T73">
        <f t="shared" ref="T73:AI73" si="35">C73/C$73</f>
        <v>1</v>
      </c>
      <c r="U73">
        <f t="shared" si="35"/>
        <v>1</v>
      </c>
      <c r="V73">
        <f t="shared" si="35"/>
        <v>1</v>
      </c>
      <c r="W73">
        <f t="shared" si="35"/>
        <v>1</v>
      </c>
      <c r="X73">
        <f t="shared" si="35"/>
        <v>1</v>
      </c>
      <c r="Y73">
        <f t="shared" si="35"/>
        <v>1</v>
      </c>
      <c r="Z73">
        <f t="shared" si="35"/>
        <v>1</v>
      </c>
      <c r="AA73">
        <f t="shared" si="35"/>
        <v>1</v>
      </c>
      <c r="AB73">
        <f t="shared" si="35"/>
        <v>1</v>
      </c>
      <c r="AC73">
        <f t="shared" si="35"/>
        <v>1</v>
      </c>
      <c r="AD73">
        <f t="shared" si="35"/>
        <v>1</v>
      </c>
      <c r="AE73">
        <f t="shared" si="35"/>
        <v>1</v>
      </c>
      <c r="AF73">
        <f t="shared" si="35"/>
        <v>1</v>
      </c>
      <c r="AG73">
        <f t="shared" si="35"/>
        <v>1</v>
      </c>
      <c r="AH73">
        <f t="shared" si="35"/>
        <v>1</v>
      </c>
      <c r="AI73">
        <f t="shared" si="35"/>
        <v>1</v>
      </c>
    </row>
    <row r="74" spans="1:35" x14ac:dyDescent="0.3">
      <c r="A74">
        <v>2020</v>
      </c>
      <c r="B74">
        <v>591.70600000000002</v>
      </c>
      <c r="C74">
        <v>10076.799999999999</v>
      </c>
      <c r="D74">
        <v>952.78399999999999</v>
      </c>
      <c r="E74">
        <v>1393.3</v>
      </c>
      <c r="F74">
        <v>20.898700000000002</v>
      </c>
      <c r="G74">
        <v>8.0748200000000008</v>
      </c>
      <c r="H74">
        <v>4751.46</v>
      </c>
      <c r="I74">
        <v>1311.64</v>
      </c>
      <c r="J74">
        <v>2338.16</v>
      </c>
      <c r="K74">
        <v>655.09699999999998</v>
      </c>
      <c r="L74">
        <v>570.14599999999996</v>
      </c>
      <c r="M74">
        <v>1925.74</v>
      </c>
      <c r="N74">
        <v>738.072</v>
      </c>
      <c r="O74">
        <v>310.82799999999997</v>
      </c>
      <c r="P74">
        <v>2408.61</v>
      </c>
      <c r="Q74">
        <v>1436.13</v>
      </c>
      <c r="R74">
        <v>415.39400000000001</v>
      </c>
      <c r="S74">
        <f>B74/B$73</f>
        <v>1.018975799354902</v>
      </c>
      <c r="T74">
        <f t="shared" ref="T74:AI89" si="36">C74/C$73</f>
        <v>1.0488712726182643</v>
      </c>
      <c r="U74">
        <f t="shared" si="36"/>
        <v>0.97631914941581766</v>
      </c>
      <c r="V74">
        <f t="shared" si="36"/>
        <v>0.98655375312435833</v>
      </c>
      <c r="W74">
        <f t="shared" si="36"/>
        <v>0.96368658409495445</v>
      </c>
      <c r="X74">
        <f t="shared" si="36"/>
        <v>0.99377874484485018</v>
      </c>
      <c r="Y74">
        <f t="shared" si="36"/>
        <v>0.99952668547303058</v>
      </c>
      <c r="Z74">
        <f t="shared" si="36"/>
        <v>0.95297741869859642</v>
      </c>
      <c r="AA74">
        <f t="shared" si="36"/>
        <v>0.9640743993501808</v>
      </c>
      <c r="AB74">
        <f t="shared" si="36"/>
        <v>0.98880028738885184</v>
      </c>
      <c r="AC74">
        <f t="shared" si="36"/>
        <v>0.99882274209993371</v>
      </c>
      <c r="AD74">
        <f t="shared" si="36"/>
        <v>0.99008241518125684</v>
      </c>
      <c r="AE74">
        <f t="shared" si="36"/>
        <v>0.98721824222741783</v>
      </c>
      <c r="AF74">
        <f t="shared" si="36"/>
        <v>1.0129309782962914</v>
      </c>
      <c r="AG74">
        <f t="shared" si="36"/>
        <v>0.9792490801536804</v>
      </c>
      <c r="AH74">
        <f t="shared" si="36"/>
        <v>0.97721179624664889</v>
      </c>
      <c r="AI74">
        <f t="shared" si="36"/>
        <v>1.0180501876092141</v>
      </c>
    </row>
    <row r="75" spans="1:35" x14ac:dyDescent="0.3">
      <c r="A75">
        <v>2021</v>
      </c>
      <c r="B75">
        <v>631.38400000000001</v>
      </c>
      <c r="C75">
        <v>11022.9</v>
      </c>
      <c r="D75">
        <v>991.09299999999996</v>
      </c>
      <c r="E75">
        <v>1479.73</v>
      </c>
      <c r="F75">
        <v>21.453800000000001</v>
      </c>
      <c r="G75">
        <v>8.2350200000000005</v>
      </c>
      <c r="H75">
        <v>5097.22</v>
      </c>
      <c r="I75">
        <v>1413.05</v>
      </c>
      <c r="J75">
        <v>2523.86</v>
      </c>
      <c r="K75">
        <v>706.08900000000006</v>
      </c>
      <c r="L75">
        <v>595.51800000000003</v>
      </c>
      <c r="M75">
        <v>2025.97</v>
      </c>
      <c r="N75">
        <v>771.649</v>
      </c>
      <c r="O75">
        <v>324.82799999999997</v>
      </c>
      <c r="P75">
        <v>2602.27</v>
      </c>
      <c r="Q75">
        <v>1514.56</v>
      </c>
      <c r="R75">
        <v>436</v>
      </c>
      <c r="S75">
        <f t="shared" ref="S75:S104" si="37">B75/B$73</f>
        <v>1.08730520917465</v>
      </c>
      <c r="T75">
        <f t="shared" si="36"/>
        <v>1.147348677253083</v>
      </c>
      <c r="U75">
        <f t="shared" si="36"/>
        <v>1.015574437387667</v>
      </c>
      <c r="V75">
        <f t="shared" si="36"/>
        <v>1.0477522321902726</v>
      </c>
      <c r="W75">
        <f t="shared" si="36"/>
        <v>0.98928350748402216</v>
      </c>
      <c r="X75">
        <f t="shared" si="36"/>
        <v>1.0134947700843162</v>
      </c>
      <c r="Y75">
        <f t="shared" si="36"/>
        <v>1.0722614547374578</v>
      </c>
      <c r="Z75">
        <f t="shared" si="36"/>
        <v>1.0266572699003169</v>
      </c>
      <c r="AA75">
        <f t="shared" si="36"/>
        <v>1.040642562332752</v>
      </c>
      <c r="AB75">
        <f t="shared" si="36"/>
        <v>1.0657673689882674</v>
      </c>
      <c r="AC75">
        <f t="shared" si="36"/>
        <v>1.043271235314934</v>
      </c>
      <c r="AD75">
        <f t="shared" si="36"/>
        <v>1.041613754029501</v>
      </c>
      <c r="AE75">
        <f t="shared" si="36"/>
        <v>1.0321296152632058</v>
      </c>
      <c r="AF75">
        <f t="shared" si="36"/>
        <v>1.0585543896239327</v>
      </c>
      <c r="AG75">
        <f t="shared" si="36"/>
        <v>1.0579838594922042</v>
      </c>
      <c r="AH75">
        <f t="shared" si="36"/>
        <v>1.0305793334331323</v>
      </c>
      <c r="AI75">
        <f t="shared" si="36"/>
        <v>1.0685515000159302</v>
      </c>
    </row>
    <row r="76" spans="1:35" x14ac:dyDescent="0.3">
      <c r="A76">
        <v>2022</v>
      </c>
      <c r="B76">
        <v>658.08</v>
      </c>
      <c r="C76">
        <v>11561.2</v>
      </c>
      <c r="D76">
        <v>1020.5</v>
      </c>
      <c r="E76">
        <v>1476.68</v>
      </c>
      <c r="F76">
        <v>22.4451</v>
      </c>
      <c r="G76">
        <v>8.4817300000000007</v>
      </c>
      <c r="H76">
        <v>5338.28</v>
      </c>
      <c r="I76">
        <v>1490.73</v>
      </c>
      <c r="J76">
        <v>2640.6</v>
      </c>
      <c r="K76">
        <v>738.43600000000004</v>
      </c>
      <c r="L76">
        <v>571.39200000000005</v>
      </c>
      <c r="M76">
        <v>2182.42</v>
      </c>
      <c r="N76">
        <v>813.351</v>
      </c>
      <c r="O76">
        <v>342.709</v>
      </c>
      <c r="P76">
        <v>2825.36</v>
      </c>
      <c r="Q76">
        <v>1618.89</v>
      </c>
      <c r="R76">
        <v>461.70800000000003</v>
      </c>
      <c r="S76">
        <f t="shared" si="37"/>
        <v>1.1332783409995402</v>
      </c>
      <c r="T76">
        <f t="shared" si="36"/>
        <v>1.2033791041793307</v>
      </c>
      <c r="U76">
        <f t="shared" si="36"/>
        <v>1.0457078330228489</v>
      </c>
      <c r="V76">
        <f t="shared" si="36"/>
        <v>1.045592619079651</v>
      </c>
      <c r="W76">
        <f t="shared" si="36"/>
        <v>1.0349946048639227</v>
      </c>
      <c r="X76">
        <f t="shared" si="36"/>
        <v>1.043857695095731</v>
      </c>
      <c r="Y76">
        <f t="shared" si="36"/>
        <v>1.1229713213469059</v>
      </c>
      <c r="Z76">
        <f t="shared" si="36"/>
        <v>1.0830959923275889</v>
      </c>
      <c r="AA76">
        <f t="shared" si="36"/>
        <v>1.0887770122335885</v>
      </c>
      <c r="AB76">
        <f t="shared" si="36"/>
        <v>1.1145917765129045</v>
      </c>
      <c r="AC76">
        <f t="shared" si="36"/>
        <v>1.0010055744563067</v>
      </c>
      <c r="AD76">
        <f t="shared" si="36"/>
        <v>1.1220495313696961</v>
      </c>
      <c r="AE76">
        <f t="shared" si="36"/>
        <v>1.087908692558331</v>
      </c>
      <c r="AF76">
        <f t="shared" si="36"/>
        <v>1.1168252623346151</v>
      </c>
      <c r="AG76">
        <f t="shared" si="36"/>
        <v>1.1486837558189174</v>
      </c>
      <c r="AH76">
        <f t="shared" si="36"/>
        <v>1.1015704740000818</v>
      </c>
      <c r="AI76">
        <f t="shared" si="36"/>
        <v>1.131556825617787</v>
      </c>
    </row>
    <row r="77" spans="1:35" x14ac:dyDescent="0.3">
      <c r="A77">
        <v>2023</v>
      </c>
      <c r="B77">
        <v>686.92200000000003</v>
      </c>
      <c r="C77">
        <v>12236.4</v>
      </c>
      <c r="D77">
        <v>1053.33</v>
      </c>
      <c r="E77">
        <v>1542.81</v>
      </c>
      <c r="F77">
        <v>24.142800000000001</v>
      </c>
      <c r="G77">
        <v>8.8157300000000003</v>
      </c>
      <c r="H77">
        <v>5537.78</v>
      </c>
      <c r="I77">
        <v>1538.3</v>
      </c>
      <c r="J77">
        <v>2714.1</v>
      </c>
      <c r="K77">
        <v>756.61699999999996</v>
      </c>
      <c r="L77">
        <v>604.28399999999999</v>
      </c>
      <c r="M77">
        <v>2217.66</v>
      </c>
      <c r="N77">
        <v>847.70699999999999</v>
      </c>
      <c r="O77">
        <v>358.84500000000003</v>
      </c>
      <c r="P77">
        <v>3007.78</v>
      </c>
      <c r="Q77">
        <v>1708.12</v>
      </c>
      <c r="R77">
        <v>483.404</v>
      </c>
      <c r="S77">
        <f t="shared" si="37"/>
        <v>1.1829470954231798</v>
      </c>
      <c r="T77">
        <f t="shared" si="36"/>
        <v>1.273659141817455</v>
      </c>
      <c r="U77">
        <f t="shared" si="36"/>
        <v>1.0793487817324421</v>
      </c>
      <c r="V77">
        <f t="shared" si="36"/>
        <v>1.0924172797371645</v>
      </c>
      <c r="W77">
        <f t="shared" si="36"/>
        <v>1.1132794127140764</v>
      </c>
      <c r="X77">
        <f t="shared" si="36"/>
        <v>1.0849635155076016</v>
      </c>
      <c r="Y77">
        <f t="shared" si="36"/>
        <v>1.1649385427381982</v>
      </c>
      <c r="Z77">
        <f t="shared" si="36"/>
        <v>1.1176581708273998</v>
      </c>
      <c r="AA77">
        <f t="shared" si="36"/>
        <v>1.1190826664027806</v>
      </c>
      <c r="AB77">
        <f t="shared" si="36"/>
        <v>1.1420340912006786</v>
      </c>
      <c r="AC77">
        <f t="shared" si="36"/>
        <v>1.0586281441720478</v>
      </c>
      <c r="AD77">
        <f t="shared" si="36"/>
        <v>1.1401675038431283</v>
      </c>
      <c r="AE77">
        <f t="shared" si="36"/>
        <v>1.1338620276394142</v>
      </c>
      <c r="AF77">
        <f t="shared" si="36"/>
        <v>1.1694095027048166</v>
      </c>
      <c r="AG77">
        <f t="shared" si="36"/>
        <v>1.2228487792978677</v>
      </c>
      <c r="AH77">
        <f t="shared" si="36"/>
        <v>1.1622868496618173</v>
      </c>
      <c r="AI77">
        <f t="shared" si="36"/>
        <v>1.1847295167745431</v>
      </c>
    </row>
    <row r="78" spans="1:35" x14ac:dyDescent="0.3">
      <c r="A78">
        <v>2024</v>
      </c>
      <c r="B78">
        <v>708.63400000000001</v>
      </c>
      <c r="C78">
        <v>12860.7</v>
      </c>
      <c r="D78">
        <v>1056.69</v>
      </c>
      <c r="E78">
        <v>1619.36</v>
      </c>
      <c r="F78">
        <v>25.443999999999999</v>
      </c>
      <c r="G78">
        <v>9.24681</v>
      </c>
      <c r="H78">
        <v>5727.46</v>
      </c>
      <c r="I78">
        <v>1586.3</v>
      </c>
      <c r="J78">
        <v>2753.16</v>
      </c>
      <c r="K78">
        <v>776.28099999999995</v>
      </c>
      <c r="L78">
        <v>617.14800000000002</v>
      </c>
      <c r="M78">
        <v>2278.44</v>
      </c>
      <c r="N78">
        <v>885.26499999999999</v>
      </c>
      <c r="O78">
        <v>376.05399999999997</v>
      </c>
      <c r="P78">
        <v>3208.82</v>
      </c>
      <c r="Q78">
        <v>1787.02</v>
      </c>
      <c r="R78">
        <v>493.78899999999999</v>
      </c>
      <c r="S78">
        <f t="shared" si="37"/>
        <v>1.220337290140816</v>
      </c>
      <c r="T78">
        <f t="shared" si="36"/>
        <v>1.3386411138220182</v>
      </c>
      <c r="U78">
        <f t="shared" si="36"/>
        <v>1.0827917786153005</v>
      </c>
      <c r="V78">
        <f t="shared" si="36"/>
        <v>1.1466200284644088</v>
      </c>
      <c r="W78">
        <f t="shared" si="36"/>
        <v>1.1732807038577528</v>
      </c>
      <c r="X78">
        <f t="shared" si="36"/>
        <v>1.138017099529006</v>
      </c>
      <c r="Y78">
        <f t="shared" si="36"/>
        <v>1.2048400091717837</v>
      </c>
      <c r="Z78">
        <f t="shared" si="36"/>
        <v>1.1525327675898749</v>
      </c>
      <c r="AA78">
        <f t="shared" si="36"/>
        <v>1.1351879569041228</v>
      </c>
      <c r="AB78">
        <f t="shared" si="36"/>
        <v>1.1717148390154515</v>
      </c>
      <c r="AC78">
        <f t="shared" si="36"/>
        <v>1.0811642239733155</v>
      </c>
      <c r="AD78">
        <f t="shared" si="36"/>
        <v>1.1714163791818122</v>
      </c>
      <c r="AE78">
        <f t="shared" si="36"/>
        <v>1.1840982413713772</v>
      </c>
      <c r="AF78">
        <f t="shared" si="36"/>
        <v>1.225490451671772</v>
      </c>
      <c r="AG78">
        <f t="shared" si="36"/>
        <v>1.3045839855263961</v>
      </c>
      <c r="AH78">
        <f t="shared" si="36"/>
        <v>1.2159741974115759</v>
      </c>
      <c r="AI78">
        <f t="shared" si="36"/>
        <v>1.2101811390857022</v>
      </c>
    </row>
    <row r="79" spans="1:35" x14ac:dyDescent="0.3">
      <c r="A79">
        <v>2025</v>
      </c>
      <c r="B79">
        <v>743.15300000000002</v>
      </c>
      <c r="C79">
        <v>13464.4</v>
      </c>
      <c r="D79">
        <v>1093.79</v>
      </c>
      <c r="E79">
        <v>1652.39</v>
      </c>
      <c r="F79">
        <v>26.601199999999999</v>
      </c>
      <c r="G79">
        <v>9.7222899999999992</v>
      </c>
      <c r="H79">
        <v>5954.43</v>
      </c>
      <c r="I79">
        <v>1653.08</v>
      </c>
      <c r="J79">
        <v>2877.23</v>
      </c>
      <c r="K79">
        <v>808.75900000000001</v>
      </c>
      <c r="L79">
        <v>629.86900000000003</v>
      </c>
      <c r="M79">
        <v>2364.04</v>
      </c>
      <c r="N79">
        <v>927.28399999999999</v>
      </c>
      <c r="O79">
        <v>395.471</v>
      </c>
      <c r="P79">
        <v>3378.83</v>
      </c>
      <c r="Q79">
        <v>1884.4</v>
      </c>
      <c r="R79">
        <v>517.29</v>
      </c>
      <c r="S79">
        <f t="shared" si="37"/>
        <v>1.2797823956796002</v>
      </c>
      <c r="T79">
        <f t="shared" si="36"/>
        <v>1.4014788785171244</v>
      </c>
      <c r="U79">
        <f t="shared" si="36"/>
        <v>1.1208082025301929</v>
      </c>
      <c r="V79">
        <f t="shared" si="36"/>
        <v>1.1700075763476341</v>
      </c>
      <c r="W79">
        <f t="shared" si="36"/>
        <v>1.2266418275216497</v>
      </c>
      <c r="X79">
        <f t="shared" si="36"/>
        <v>1.19653505009618</v>
      </c>
      <c r="Y79">
        <f t="shared" si="36"/>
        <v>1.2525858750323433</v>
      </c>
      <c r="Z79">
        <f t="shared" si="36"/>
        <v>1.2010520503356681</v>
      </c>
      <c r="AA79">
        <f t="shared" si="36"/>
        <v>1.1863447257853701</v>
      </c>
      <c r="AB79">
        <f t="shared" si="36"/>
        <v>1.220736977315299</v>
      </c>
      <c r="AC79">
        <f t="shared" si="36"/>
        <v>1.1034497860964441</v>
      </c>
      <c r="AD79">
        <f t="shared" si="36"/>
        <v>1.2154259831467895</v>
      </c>
      <c r="AE79">
        <f t="shared" si="36"/>
        <v>1.2403013263280669</v>
      </c>
      <c r="AF79">
        <f t="shared" si="36"/>
        <v>1.2887668643681156</v>
      </c>
      <c r="AG79">
        <f t="shared" si="36"/>
        <v>1.3737035757119915</v>
      </c>
      <c r="AH79">
        <f t="shared" si="36"/>
        <v>1.2822362243300991</v>
      </c>
      <c r="AI79">
        <f t="shared" si="36"/>
        <v>1.2677775354202765</v>
      </c>
    </row>
    <row r="80" spans="1:35" x14ac:dyDescent="0.3">
      <c r="A80">
        <v>2026</v>
      </c>
      <c r="B80">
        <v>759.78599999999994</v>
      </c>
      <c r="C80">
        <v>14030</v>
      </c>
      <c r="D80">
        <v>1112.99</v>
      </c>
      <c r="E80">
        <v>1679.85</v>
      </c>
      <c r="F80">
        <v>27.558199999999999</v>
      </c>
      <c r="G80">
        <v>10.3063</v>
      </c>
      <c r="H80">
        <v>6133.58</v>
      </c>
      <c r="I80">
        <v>1714.19</v>
      </c>
      <c r="J80">
        <v>2940.34</v>
      </c>
      <c r="K80">
        <v>832.37199999999996</v>
      </c>
      <c r="L80">
        <v>649.13599999999997</v>
      </c>
      <c r="M80">
        <v>2478.2199999999998</v>
      </c>
      <c r="N80">
        <v>971.59</v>
      </c>
      <c r="O80">
        <v>416.95699999999999</v>
      </c>
      <c r="P80">
        <v>3612.14</v>
      </c>
      <c r="Q80">
        <v>1971.71</v>
      </c>
      <c r="R80">
        <v>537.29100000000005</v>
      </c>
      <c r="S80">
        <f t="shared" si="37"/>
        <v>1.3084260539671113</v>
      </c>
      <c r="T80">
        <f t="shared" si="36"/>
        <v>1.4603509005670698</v>
      </c>
      <c r="U80">
        <f t="shared" si="36"/>
        <v>1.1404824704322396</v>
      </c>
      <c r="V80">
        <f t="shared" si="36"/>
        <v>1.1894511750419532</v>
      </c>
      <c r="W80">
        <f t="shared" si="36"/>
        <v>1.2707712738976862</v>
      </c>
      <c r="X80">
        <f t="shared" si="36"/>
        <v>1.2684099308708403</v>
      </c>
      <c r="Y80">
        <f t="shared" si="36"/>
        <v>1.2902722294797115</v>
      </c>
      <c r="Z80">
        <f t="shared" si="36"/>
        <v>1.245451771338894</v>
      </c>
      <c r="AA80">
        <f t="shared" si="36"/>
        <v>1.2123663561883322</v>
      </c>
      <c r="AB80">
        <f t="shared" si="36"/>
        <v>1.2563783268957625</v>
      </c>
      <c r="AC80">
        <f t="shared" si="36"/>
        <v>1.1372031015139676</v>
      </c>
      <c r="AD80">
        <f t="shared" si="36"/>
        <v>1.2741294478748399</v>
      </c>
      <c r="AE80">
        <f t="shared" si="36"/>
        <v>1.2995634192405849</v>
      </c>
      <c r="AF80">
        <f t="shared" si="36"/>
        <v>1.3587857654956657</v>
      </c>
      <c r="AG80">
        <f t="shared" si="36"/>
        <v>1.4685585347508792</v>
      </c>
      <c r="AH80">
        <f t="shared" si="36"/>
        <v>1.3416461398184567</v>
      </c>
      <c r="AI80">
        <f t="shared" si="36"/>
        <v>1.3167961100804111</v>
      </c>
    </row>
    <row r="81" spans="1:35" x14ac:dyDescent="0.3">
      <c r="A81">
        <v>2027</v>
      </c>
      <c r="B81">
        <v>788.85</v>
      </c>
      <c r="C81">
        <v>14588.5</v>
      </c>
      <c r="D81">
        <v>1144.33</v>
      </c>
      <c r="E81">
        <v>1708.07</v>
      </c>
      <c r="F81">
        <v>28.640999999999998</v>
      </c>
      <c r="G81">
        <v>10.9055</v>
      </c>
      <c r="H81">
        <v>6311.07</v>
      </c>
      <c r="I81">
        <v>1768.2</v>
      </c>
      <c r="J81">
        <v>3040.92</v>
      </c>
      <c r="K81">
        <v>863.63099999999997</v>
      </c>
      <c r="L81">
        <v>674.04499999999996</v>
      </c>
      <c r="M81">
        <v>2574.0300000000002</v>
      </c>
      <c r="N81">
        <v>1017.8</v>
      </c>
      <c r="O81">
        <v>440.649</v>
      </c>
      <c r="P81">
        <v>3793.43</v>
      </c>
      <c r="Q81">
        <v>2069.7199999999998</v>
      </c>
      <c r="R81">
        <v>559.35699999999997</v>
      </c>
      <c r="S81">
        <f t="shared" si="37"/>
        <v>1.3584771141768286</v>
      </c>
      <c r="T81">
        <f t="shared" si="36"/>
        <v>1.518483899709387</v>
      </c>
      <c r="U81">
        <f t="shared" si="36"/>
        <v>1.1725966139765178</v>
      </c>
      <c r="V81">
        <f t="shared" si="36"/>
        <v>1.2094329068392469</v>
      </c>
      <c r="W81">
        <f t="shared" si="36"/>
        <v>1.3207016443636967</v>
      </c>
      <c r="X81">
        <f t="shared" si="36"/>
        <v>1.3421542649750102</v>
      </c>
      <c r="Y81">
        <f t="shared" si="36"/>
        <v>1.3276093829871827</v>
      </c>
      <c r="Z81">
        <f t="shared" si="36"/>
        <v>1.2846929582376705</v>
      </c>
      <c r="AA81">
        <f t="shared" si="36"/>
        <v>1.2538376853902009</v>
      </c>
      <c r="AB81">
        <f t="shared" si="36"/>
        <v>1.3035605124094927</v>
      </c>
      <c r="AC81">
        <f t="shared" si="36"/>
        <v>1.1808404780507973</v>
      </c>
      <c r="AD81">
        <f t="shared" si="36"/>
        <v>1.3233883282005934</v>
      </c>
      <c r="AE81">
        <f t="shared" si="36"/>
        <v>1.3613722332496909</v>
      </c>
      <c r="AF81">
        <f t="shared" si="36"/>
        <v>1.435993612722414</v>
      </c>
      <c r="AG81">
        <f t="shared" si="36"/>
        <v>1.5422641432724167</v>
      </c>
      <c r="AH81">
        <f t="shared" si="36"/>
        <v>1.4083368489813692</v>
      </c>
      <c r="AI81">
        <f t="shared" si="36"/>
        <v>1.3708755995284649</v>
      </c>
    </row>
    <row r="82" spans="1:35" x14ac:dyDescent="0.3">
      <c r="A82">
        <v>2028</v>
      </c>
      <c r="B82">
        <v>808.92700000000002</v>
      </c>
      <c r="C82">
        <v>15078.2</v>
      </c>
      <c r="D82">
        <v>1158.94</v>
      </c>
      <c r="E82">
        <v>1738.51</v>
      </c>
      <c r="F82">
        <v>29.633700000000001</v>
      </c>
      <c r="G82">
        <v>11.5891</v>
      </c>
      <c r="H82">
        <v>6476.49</v>
      </c>
      <c r="I82">
        <v>1824.66</v>
      </c>
      <c r="J82">
        <v>3092.58</v>
      </c>
      <c r="K82">
        <v>885.83799999999997</v>
      </c>
      <c r="L82">
        <v>701.82399999999996</v>
      </c>
      <c r="M82">
        <v>2706.56</v>
      </c>
      <c r="N82">
        <v>1066.74</v>
      </c>
      <c r="O82">
        <v>464.57600000000002</v>
      </c>
      <c r="P82">
        <v>4042.23</v>
      </c>
      <c r="Q82">
        <v>2160.91</v>
      </c>
      <c r="R82">
        <v>579.41399999999999</v>
      </c>
      <c r="S82">
        <f t="shared" si="37"/>
        <v>1.3930516784429479</v>
      </c>
      <c r="T82">
        <f t="shared" si="36"/>
        <v>1.5694556627890517</v>
      </c>
      <c r="U82">
        <f t="shared" si="36"/>
        <v>1.1875675022082317</v>
      </c>
      <c r="V82">
        <f t="shared" si="36"/>
        <v>1.2309865537531244</v>
      </c>
      <c r="W82">
        <f t="shared" si="36"/>
        <v>1.3664772989274285</v>
      </c>
      <c r="X82">
        <f t="shared" si="36"/>
        <v>1.4262858183688867</v>
      </c>
      <c r="Y82">
        <f t="shared" si="36"/>
        <v>1.3624074670099775</v>
      </c>
      <c r="Z82">
        <f t="shared" si="36"/>
        <v>1.3257142026795317</v>
      </c>
      <c r="AA82">
        <f t="shared" si="36"/>
        <v>1.2751382308919759</v>
      </c>
      <c r="AB82">
        <f t="shared" si="36"/>
        <v>1.3370796522957145</v>
      </c>
      <c r="AC82">
        <f t="shared" si="36"/>
        <v>1.2295057268691596</v>
      </c>
      <c r="AD82">
        <f t="shared" si="36"/>
        <v>1.391526094713192</v>
      </c>
      <c r="AE82">
        <f t="shared" si="36"/>
        <v>1.4268325958899346</v>
      </c>
      <c r="AF82">
        <f t="shared" si="36"/>
        <v>1.513967281496448</v>
      </c>
      <c r="AG82">
        <f t="shared" si="36"/>
        <v>1.6434167462850404</v>
      </c>
      <c r="AH82">
        <f t="shared" si="36"/>
        <v>1.470386902736762</v>
      </c>
      <c r="AI82">
        <f t="shared" si="36"/>
        <v>1.4200314193353905</v>
      </c>
    </row>
    <row r="83" spans="1:35" x14ac:dyDescent="0.3">
      <c r="A83">
        <v>2029</v>
      </c>
      <c r="B83">
        <v>841.68799999999999</v>
      </c>
      <c r="C83">
        <v>15590.4</v>
      </c>
      <c r="D83">
        <v>1189.81</v>
      </c>
      <c r="E83">
        <v>1770.94</v>
      </c>
      <c r="F83">
        <v>30.791499999999999</v>
      </c>
      <c r="G83">
        <v>12.292400000000001</v>
      </c>
      <c r="H83">
        <v>6656.6</v>
      </c>
      <c r="I83">
        <v>1879.64</v>
      </c>
      <c r="J83">
        <v>3190.75</v>
      </c>
      <c r="K83">
        <v>915.72299999999996</v>
      </c>
      <c r="L83">
        <v>731.49300000000005</v>
      </c>
      <c r="M83">
        <v>2810.29</v>
      </c>
      <c r="N83">
        <v>1119.1199999999999</v>
      </c>
      <c r="O83">
        <v>489.11500000000001</v>
      </c>
      <c r="P83">
        <v>4242.45</v>
      </c>
      <c r="Q83">
        <v>2263.11</v>
      </c>
      <c r="R83">
        <v>602.04999999999995</v>
      </c>
      <c r="S83">
        <f t="shared" si="37"/>
        <v>1.4494693354595505</v>
      </c>
      <c r="T83">
        <f t="shared" si="36"/>
        <v>1.6227693998717638</v>
      </c>
      <c r="U83">
        <f t="shared" si="36"/>
        <v>1.219200036069491</v>
      </c>
      <c r="V83">
        <f t="shared" si="36"/>
        <v>1.2539492597129485</v>
      </c>
      <c r="W83">
        <f t="shared" si="36"/>
        <v>1.4198660899558244</v>
      </c>
      <c r="X83">
        <f t="shared" si="36"/>
        <v>1.5128418767391516</v>
      </c>
      <c r="Y83">
        <f t="shared" si="36"/>
        <v>1.4002957689888529</v>
      </c>
      <c r="Z83">
        <f t="shared" si="36"/>
        <v>1.3656601470545497</v>
      </c>
      <c r="AA83">
        <f t="shared" si="36"/>
        <v>1.3156158644945553</v>
      </c>
      <c r="AB83">
        <f t="shared" si="36"/>
        <v>1.3821879287625825</v>
      </c>
      <c r="AC83">
        <f t="shared" si="36"/>
        <v>1.2814820135314584</v>
      </c>
      <c r="AD83">
        <f t="shared" si="36"/>
        <v>1.4448568916674807</v>
      </c>
      <c r="AE83">
        <f t="shared" si="36"/>
        <v>1.4968941773181312</v>
      </c>
      <c r="AF83">
        <f t="shared" si="36"/>
        <v>1.5939353451085185</v>
      </c>
      <c r="AG83">
        <f t="shared" si="36"/>
        <v>1.7248185717480129</v>
      </c>
      <c r="AH83">
        <f t="shared" si="36"/>
        <v>1.5399286890488699</v>
      </c>
      <c r="AI83">
        <f t="shared" si="36"/>
        <v>1.4755078683132816</v>
      </c>
    </row>
    <row r="84" spans="1:35" x14ac:dyDescent="0.3">
      <c r="A84">
        <v>2030</v>
      </c>
      <c r="B84">
        <v>857.57399999999996</v>
      </c>
      <c r="C84">
        <v>16054</v>
      </c>
      <c r="D84">
        <v>1210.53</v>
      </c>
      <c r="E84">
        <v>1800.67</v>
      </c>
      <c r="F84">
        <v>31.763200000000001</v>
      </c>
      <c r="G84">
        <v>13.080500000000001</v>
      </c>
      <c r="H84">
        <v>6803.9</v>
      </c>
      <c r="I84">
        <v>1940.83</v>
      </c>
      <c r="J84">
        <v>3254.64</v>
      </c>
      <c r="K84">
        <v>938.28200000000004</v>
      </c>
      <c r="L84">
        <v>760.303</v>
      </c>
      <c r="M84">
        <v>2938.49</v>
      </c>
      <c r="N84">
        <v>1175.77</v>
      </c>
      <c r="O84">
        <v>512.02700000000004</v>
      </c>
      <c r="P84">
        <v>4489.07</v>
      </c>
      <c r="Q84">
        <v>2357.4699999999998</v>
      </c>
      <c r="R84">
        <v>622.721</v>
      </c>
      <c r="S84">
        <f t="shared" si="37"/>
        <v>1.4768265864398546</v>
      </c>
      <c r="T84">
        <f t="shared" si="36"/>
        <v>1.6710244731078931</v>
      </c>
      <c r="U84">
        <f t="shared" si="36"/>
        <v>1.2404318501804499</v>
      </c>
      <c r="V84">
        <f t="shared" si="36"/>
        <v>1.2750001770174682</v>
      </c>
      <c r="W84">
        <f t="shared" si="36"/>
        <v>1.4646733867620885</v>
      </c>
      <c r="X84">
        <f t="shared" si="36"/>
        <v>1.6098343829265622</v>
      </c>
      <c r="Y84">
        <f t="shared" si="36"/>
        <v>1.4312820933544537</v>
      </c>
      <c r="Z84">
        <f t="shared" si="36"/>
        <v>1.410117992385713</v>
      </c>
      <c r="AA84">
        <f t="shared" si="36"/>
        <v>1.3419591059213538</v>
      </c>
      <c r="AB84">
        <f t="shared" si="36"/>
        <v>1.4162383757699801</v>
      </c>
      <c r="AC84">
        <f t="shared" si="36"/>
        <v>1.3319534422530475</v>
      </c>
      <c r="AD84">
        <f t="shared" si="36"/>
        <v>1.5107684714374585</v>
      </c>
      <c r="AE84">
        <f t="shared" si="36"/>
        <v>1.5726671553232354</v>
      </c>
      <c r="AF84">
        <f t="shared" si="36"/>
        <v>1.6686013165612983</v>
      </c>
      <c r="AG84">
        <f t="shared" si="36"/>
        <v>1.8250848697985484</v>
      </c>
      <c r="AH84">
        <f t="shared" si="36"/>
        <v>1.6041357629863502</v>
      </c>
      <c r="AI84">
        <f t="shared" si="36"/>
        <v>1.5261684831225231</v>
      </c>
    </row>
    <row r="85" spans="1:35" x14ac:dyDescent="0.3">
      <c r="A85">
        <v>2031</v>
      </c>
      <c r="B85">
        <v>884.29399999999998</v>
      </c>
      <c r="C85">
        <v>16515.3</v>
      </c>
      <c r="D85">
        <v>1238.8900000000001</v>
      </c>
      <c r="E85">
        <v>1835.8</v>
      </c>
      <c r="F85">
        <v>32.911900000000003</v>
      </c>
      <c r="G85">
        <v>13.896699999999999</v>
      </c>
      <c r="H85">
        <v>6956.03</v>
      </c>
      <c r="I85">
        <v>2002.21</v>
      </c>
      <c r="J85">
        <v>3343.47</v>
      </c>
      <c r="K85">
        <v>963.86500000000001</v>
      </c>
      <c r="L85">
        <v>788.64800000000002</v>
      </c>
      <c r="M85">
        <v>3051.01</v>
      </c>
      <c r="N85">
        <v>1236.05</v>
      </c>
      <c r="O85">
        <v>534.56500000000005</v>
      </c>
      <c r="P85">
        <v>4686.46</v>
      </c>
      <c r="Q85">
        <v>2454.13</v>
      </c>
      <c r="R85">
        <v>644.08900000000006</v>
      </c>
      <c r="S85">
        <f t="shared" si="37"/>
        <v>1.5228410486199966</v>
      </c>
      <c r="T85">
        <f t="shared" si="36"/>
        <v>1.719040144557044</v>
      </c>
      <c r="U85">
        <f t="shared" si="36"/>
        <v>1.2694923833940983</v>
      </c>
      <c r="V85">
        <f t="shared" si="36"/>
        <v>1.2998746716325966</v>
      </c>
      <c r="W85">
        <f t="shared" si="36"/>
        <v>1.5176425560955817</v>
      </c>
      <c r="X85">
        <f t="shared" si="36"/>
        <v>1.7102851931665879</v>
      </c>
      <c r="Y85">
        <f t="shared" si="36"/>
        <v>1.4632844662379487</v>
      </c>
      <c r="Z85">
        <f t="shared" si="36"/>
        <v>1.454713882995728</v>
      </c>
      <c r="AA85">
        <f t="shared" si="36"/>
        <v>1.3785856536744059</v>
      </c>
      <c r="AB85">
        <f t="shared" si="36"/>
        <v>1.4548532339547513</v>
      </c>
      <c r="AC85">
        <f t="shared" si="36"/>
        <v>1.3816102505527157</v>
      </c>
      <c r="AD85">
        <f t="shared" si="36"/>
        <v>1.5686184788923565</v>
      </c>
      <c r="AE85">
        <f t="shared" si="36"/>
        <v>1.6532954892005114</v>
      </c>
      <c r="AF85">
        <f t="shared" si="36"/>
        <v>1.7420484911686112</v>
      </c>
      <c r="AG85">
        <f t="shared" si="36"/>
        <v>1.9053361250584433</v>
      </c>
      <c r="AH85">
        <f t="shared" si="36"/>
        <v>1.6699078673398569</v>
      </c>
      <c r="AI85">
        <f t="shared" si="36"/>
        <v>1.5785373098480746</v>
      </c>
    </row>
    <row r="86" spans="1:35" x14ac:dyDescent="0.3">
      <c r="A86">
        <v>2032</v>
      </c>
      <c r="B86">
        <v>904.76099999999997</v>
      </c>
      <c r="C86">
        <v>16916.599999999999</v>
      </c>
      <c r="D86">
        <v>1257.5899999999999</v>
      </c>
      <c r="E86">
        <v>1873.74</v>
      </c>
      <c r="F86">
        <v>33.999099999999999</v>
      </c>
      <c r="G86">
        <v>14.794</v>
      </c>
      <c r="H86">
        <v>7100.32</v>
      </c>
      <c r="I86">
        <v>2066.9499999999998</v>
      </c>
      <c r="J86">
        <v>3403.44</v>
      </c>
      <c r="K86">
        <v>983.125</v>
      </c>
      <c r="L86">
        <v>816.76300000000003</v>
      </c>
      <c r="M86">
        <v>3187.77</v>
      </c>
      <c r="N86">
        <v>1301.29</v>
      </c>
      <c r="O86">
        <v>556.53399999999999</v>
      </c>
      <c r="P86">
        <v>4942.66</v>
      </c>
      <c r="Q86">
        <v>2546.17</v>
      </c>
      <c r="R86">
        <v>664.91899999999998</v>
      </c>
      <c r="S86">
        <f t="shared" si="37"/>
        <v>1.5580872311589546</v>
      </c>
      <c r="T86">
        <f t="shared" si="36"/>
        <v>1.7608105519980679</v>
      </c>
      <c r="U86">
        <f t="shared" si="36"/>
        <v>1.288654300569529</v>
      </c>
      <c r="V86">
        <f t="shared" si="36"/>
        <v>1.3267388425889868</v>
      </c>
      <c r="W86">
        <f t="shared" si="36"/>
        <v>1.5677758205679186</v>
      </c>
      <c r="X86">
        <f t="shared" si="36"/>
        <v>1.8207170873449456</v>
      </c>
      <c r="Y86">
        <f t="shared" si="36"/>
        <v>1.4936376009474703</v>
      </c>
      <c r="Z86">
        <f t="shared" si="36"/>
        <v>1.5017509953791159</v>
      </c>
      <c r="AA86">
        <f t="shared" si="36"/>
        <v>1.4033125935455142</v>
      </c>
      <c r="AB86">
        <f t="shared" si="36"/>
        <v>1.4839241860963566</v>
      </c>
      <c r="AC86">
        <f t="shared" si="36"/>
        <v>1.4308641283211112</v>
      </c>
      <c r="AD86">
        <f t="shared" si="36"/>
        <v>1.638931019058832</v>
      </c>
      <c r="AE86">
        <f t="shared" si="36"/>
        <v>1.7405581385394875</v>
      </c>
      <c r="AF86">
        <f t="shared" si="36"/>
        <v>1.8136413999869647</v>
      </c>
      <c r="AG86">
        <f t="shared" si="36"/>
        <v>2.0094972861992559</v>
      </c>
      <c r="AH86">
        <f t="shared" si="36"/>
        <v>1.7325363019011719</v>
      </c>
      <c r="AI86">
        <f t="shared" si="36"/>
        <v>1.6295876028419549</v>
      </c>
    </row>
    <row r="87" spans="1:35" x14ac:dyDescent="0.3">
      <c r="A87">
        <v>2033</v>
      </c>
      <c r="B87">
        <v>930.08299999999997</v>
      </c>
      <c r="C87">
        <v>17343.8</v>
      </c>
      <c r="D87">
        <v>1288.6099999999999</v>
      </c>
      <c r="E87">
        <v>1913.71</v>
      </c>
      <c r="F87">
        <v>35.215899999999998</v>
      </c>
      <c r="G87">
        <v>15.745100000000001</v>
      </c>
      <c r="H87">
        <v>7245.98</v>
      </c>
      <c r="I87">
        <v>2133.46</v>
      </c>
      <c r="J87">
        <v>3498.96</v>
      </c>
      <c r="K87">
        <v>1008.22</v>
      </c>
      <c r="L87">
        <v>846.64</v>
      </c>
      <c r="M87">
        <v>3302.73</v>
      </c>
      <c r="N87">
        <v>1371.83</v>
      </c>
      <c r="O87">
        <v>578.96600000000001</v>
      </c>
      <c r="P87">
        <v>5143.8500000000004</v>
      </c>
      <c r="Q87">
        <v>2645.47</v>
      </c>
      <c r="R87">
        <v>686.51</v>
      </c>
      <c r="S87">
        <f t="shared" si="37"/>
        <v>1.6016942001456895</v>
      </c>
      <c r="T87">
        <f t="shared" si="36"/>
        <v>1.8052768317359333</v>
      </c>
      <c r="U87">
        <f t="shared" si="36"/>
        <v>1.3204405396487733</v>
      </c>
      <c r="V87">
        <f t="shared" si="36"/>
        <v>1.3550403953862167</v>
      </c>
      <c r="W87">
        <f t="shared" si="36"/>
        <v>1.6238852357720577</v>
      </c>
      <c r="X87">
        <f t="shared" si="36"/>
        <v>1.9377702184638976</v>
      </c>
      <c r="Y87">
        <f t="shared" si="36"/>
        <v>1.5242789316134133</v>
      </c>
      <c r="Z87">
        <f t="shared" si="36"/>
        <v>1.5500741085181204</v>
      </c>
      <c r="AA87">
        <f t="shared" si="36"/>
        <v>1.4426975743107011</v>
      </c>
      <c r="AB87">
        <f t="shared" si="36"/>
        <v>1.5218024594085886</v>
      </c>
      <c r="AC87">
        <f t="shared" si="36"/>
        <v>1.4832048043334303</v>
      </c>
      <c r="AD87">
        <f t="shared" si="36"/>
        <v>1.6980355058790868</v>
      </c>
      <c r="AE87">
        <f t="shared" si="36"/>
        <v>1.8349098749645543</v>
      </c>
      <c r="AF87">
        <f t="shared" si="36"/>
        <v>1.8867431401942254</v>
      </c>
      <c r="AG87">
        <f t="shared" si="36"/>
        <v>2.0912934767141667</v>
      </c>
      <c r="AH87">
        <f t="shared" si="36"/>
        <v>1.800104788993073</v>
      </c>
      <c r="AI87">
        <f t="shared" si="36"/>
        <v>1.6825029593484777</v>
      </c>
    </row>
    <row r="88" spans="1:35" x14ac:dyDescent="0.3">
      <c r="A88">
        <v>2034</v>
      </c>
      <c r="B88">
        <v>950.15800000000002</v>
      </c>
      <c r="C88">
        <v>17684.3</v>
      </c>
      <c r="D88">
        <v>1307.6300000000001</v>
      </c>
      <c r="E88">
        <v>1953.59</v>
      </c>
      <c r="F88">
        <v>36.302900000000001</v>
      </c>
      <c r="G88">
        <v>16.78</v>
      </c>
      <c r="H88">
        <v>7383.21</v>
      </c>
      <c r="I88">
        <v>2203.46</v>
      </c>
      <c r="J88">
        <v>3559.7</v>
      </c>
      <c r="K88">
        <v>1025.72</v>
      </c>
      <c r="L88">
        <v>875.41399999999999</v>
      </c>
      <c r="M88">
        <v>3446.98</v>
      </c>
      <c r="N88">
        <v>1444.92</v>
      </c>
      <c r="O88">
        <v>599.60500000000002</v>
      </c>
      <c r="P88">
        <v>5405.91</v>
      </c>
      <c r="Q88">
        <v>2736.53</v>
      </c>
      <c r="R88">
        <v>707.36099999999999</v>
      </c>
      <c r="S88">
        <f t="shared" si="37"/>
        <v>1.6362653202155377</v>
      </c>
      <c r="T88">
        <f t="shared" si="36"/>
        <v>1.840718704982055</v>
      </c>
      <c r="U88">
        <f t="shared" si="36"/>
        <v>1.3399303612892386</v>
      </c>
      <c r="V88">
        <f t="shared" si="36"/>
        <v>1.3832782218949367</v>
      </c>
      <c r="W88">
        <f t="shared" si="36"/>
        <v>1.6740092777895621</v>
      </c>
      <c r="X88">
        <f t="shared" si="36"/>
        <v>2.0651367260813971</v>
      </c>
      <c r="Y88">
        <f t="shared" si="36"/>
        <v>1.5531469105183109</v>
      </c>
      <c r="Z88">
        <f t="shared" si="36"/>
        <v>1.6009328954633963</v>
      </c>
      <c r="AA88">
        <f t="shared" si="36"/>
        <v>1.4677420019873912</v>
      </c>
      <c r="AB88">
        <f t="shared" si="36"/>
        <v>1.5482168759443153</v>
      </c>
      <c r="AC88">
        <f t="shared" si="36"/>
        <v>1.5336131656675158</v>
      </c>
      <c r="AD88">
        <f t="shared" si="36"/>
        <v>1.7721988863924978</v>
      </c>
      <c r="AE88">
        <f t="shared" si="36"/>
        <v>1.932672398572552</v>
      </c>
      <c r="AF88">
        <f t="shared" si="36"/>
        <v>1.954001824936453</v>
      </c>
      <c r="AG88">
        <f t="shared" si="36"/>
        <v>2.1978370906429774</v>
      </c>
      <c r="AH88">
        <f t="shared" si="36"/>
        <v>1.86206638450756</v>
      </c>
      <c r="AI88">
        <f t="shared" si="36"/>
        <v>1.7336047192724047</v>
      </c>
    </row>
    <row r="89" spans="1:35" x14ac:dyDescent="0.3">
      <c r="A89">
        <v>2035</v>
      </c>
      <c r="B89">
        <v>973.82100000000003</v>
      </c>
      <c r="C89">
        <v>18038.2</v>
      </c>
      <c r="D89">
        <v>1338.98</v>
      </c>
      <c r="E89">
        <v>1993.49</v>
      </c>
      <c r="F89">
        <v>37.497500000000002</v>
      </c>
      <c r="G89">
        <v>17.860399999999998</v>
      </c>
      <c r="H89">
        <v>7524.66</v>
      </c>
      <c r="I89">
        <v>2272.8200000000002</v>
      </c>
      <c r="J89">
        <v>3656.92</v>
      </c>
      <c r="K89">
        <v>1048.8599999999999</v>
      </c>
      <c r="L89">
        <v>905.21900000000005</v>
      </c>
      <c r="M89">
        <v>3568.05</v>
      </c>
      <c r="N89">
        <v>1520.87</v>
      </c>
      <c r="O89">
        <v>619.99699999999996</v>
      </c>
      <c r="P89">
        <v>5612.91</v>
      </c>
      <c r="Q89">
        <v>2834.35</v>
      </c>
      <c r="R89">
        <v>728.92700000000002</v>
      </c>
      <c r="S89">
        <f t="shared" si="37"/>
        <v>1.677015328395504</v>
      </c>
      <c r="T89">
        <f t="shared" si="36"/>
        <v>1.8775553538566587</v>
      </c>
      <c r="U89">
        <f t="shared" si="36"/>
        <v>1.372054751848049</v>
      </c>
      <c r="V89">
        <f t="shared" si="36"/>
        <v>1.4115302098011031</v>
      </c>
      <c r="W89">
        <f t="shared" si="36"/>
        <v>1.7290950005072352</v>
      </c>
      <c r="X89">
        <f t="shared" si="36"/>
        <v>2.1981029786951236</v>
      </c>
      <c r="Y89">
        <f t="shared" si="36"/>
        <v>1.582902617113791</v>
      </c>
      <c r="Z89">
        <f t="shared" si="36"/>
        <v>1.6513266877851727</v>
      </c>
      <c r="AA89">
        <f t="shared" si="36"/>
        <v>1.507827929855811</v>
      </c>
      <c r="AB89">
        <f t="shared" si="36"/>
        <v>1.5831442815806989</v>
      </c>
      <c r="AC89">
        <f t="shared" si="36"/>
        <v>1.5858277069048279</v>
      </c>
      <c r="AD89">
        <f t="shared" si="36"/>
        <v>1.8344447129350192</v>
      </c>
      <c r="AE89">
        <f t="shared" si="36"/>
        <v>2.0342603540798363</v>
      </c>
      <c r="AF89">
        <f t="shared" si="36"/>
        <v>2.020455582350257</v>
      </c>
      <c r="AG89">
        <f t="shared" si="36"/>
        <v>2.2819954058504259</v>
      </c>
      <c r="AH89">
        <f t="shared" si="36"/>
        <v>1.9286278085491488</v>
      </c>
      <c r="AI89">
        <f t="shared" ref="AI89:AI104" si="38">R89/R$73</f>
        <v>1.7864588056241102</v>
      </c>
    </row>
    <row r="90" spans="1:35" x14ac:dyDescent="0.3">
      <c r="A90">
        <v>2036</v>
      </c>
      <c r="B90">
        <v>994.88300000000004</v>
      </c>
      <c r="C90">
        <v>18298</v>
      </c>
      <c r="D90">
        <v>1359.58</v>
      </c>
      <c r="E90">
        <v>2031.89</v>
      </c>
      <c r="F90">
        <v>38.5426</v>
      </c>
      <c r="G90">
        <v>19.039000000000001</v>
      </c>
      <c r="H90">
        <v>7660.06</v>
      </c>
      <c r="I90">
        <v>2345.16</v>
      </c>
      <c r="J90">
        <v>3720.13</v>
      </c>
      <c r="K90">
        <v>1064.8399999999999</v>
      </c>
      <c r="L90">
        <v>933.58500000000004</v>
      </c>
      <c r="M90">
        <v>3716.71</v>
      </c>
      <c r="N90">
        <v>1598.39</v>
      </c>
      <c r="O90">
        <v>638.29999999999995</v>
      </c>
      <c r="P90">
        <v>5877.52</v>
      </c>
      <c r="Q90">
        <v>2922.64</v>
      </c>
      <c r="R90">
        <v>749.79</v>
      </c>
      <c r="S90">
        <f t="shared" si="37"/>
        <v>1.7132861593250752</v>
      </c>
      <c r="T90">
        <f t="shared" ref="T90:T104" si="39">C90/C$73</f>
        <v>1.9045973470118491</v>
      </c>
      <c r="U90">
        <f t="shared" ref="U90:U104" si="40">D90/D$73</f>
        <v>1.3931636017846201</v>
      </c>
      <c r="V90">
        <f t="shared" ref="V90:V104" si="41">E90/E$73</f>
        <v>1.4387200928987673</v>
      </c>
      <c r="W90">
        <f t="shared" ref="W90:W104" si="42">F90/F$73</f>
        <v>1.7772869382372201</v>
      </c>
      <c r="X90">
        <f t="shared" ref="X90:X104" si="43">G90/G$73</f>
        <v>2.3431548347952158</v>
      </c>
      <c r="Y90">
        <f t="shared" ref="Y90:Y104" si="44">H90/H$73</f>
        <v>1.6113856335367536</v>
      </c>
      <c r="Z90">
        <f t="shared" ref="Z90:Z104" si="45">I90/I$73</f>
        <v>1.7038856113226191</v>
      </c>
      <c r="AA90">
        <f t="shared" ref="AA90:AA104" si="46">J90/J$73</f>
        <v>1.5338907924413163</v>
      </c>
      <c r="AB90">
        <f t="shared" ref="AB90:AB104" si="47">K90/K$73</f>
        <v>1.6072644173658936</v>
      </c>
      <c r="AC90">
        <f t="shared" ref="AC90:AC104" si="48">L90/L$73</f>
        <v>1.6355213045138732</v>
      </c>
      <c r="AD90">
        <f t="shared" ref="AD90:AD104" si="49">M90/M$73</f>
        <v>1.9108754106620465</v>
      </c>
      <c r="AE90">
        <f t="shared" ref="AE90:AE104" si="50">N90/N$73</f>
        <v>2.1379482844409252</v>
      </c>
      <c r="AF90">
        <f t="shared" ref="AF90:AF104" si="51">O90/O$73</f>
        <v>2.0801016750309587</v>
      </c>
      <c r="AG90">
        <f t="shared" ref="AG90:AG104" si="52">P90/P$73</f>
        <v>2.3895757526477346</v>
      </c>
      <c r="AH90">
        <f t="shared" ref="AH90:AH104" si="53">Q90/Q$73</f>
        <v>1.9887045630843347</v>
      </c>
      <c r="AI90">
        <f t="shared" si="38"/>
        <v>1.8375899752223492</v>
      </c>
    </row>
    <row r="91" spans="1:35" x14ac:dyDescent="0.3">
      <c r="A91">
        <v>2037</v>
      </c>
      <c r="B91">
        <v>1017.22</v>
      </c>
      <c r="C91">
        <v>18573.5</v>
      </c>
      <c r="D91">
        <v>1391.03</v>
      </c>
      <c r="E91">
        <v>2071.3000000000002</v>
      </c>
      <c r="F91">
        <v>39.706299999999999</v>
      </c>
      <c r="G91">
        <v>20.286200000000001</v>
      </c>
      <c r="H91">
        <v>7798.04</v>
      </c>
      <c r="I91">
        <v>2418.16</v>
      </c>
      <c r="J91">
        <v>3816.24</v>
      </c>
      <c r="K91">
        <v>1086.1199999999999</v>
      </c>
      <c r="L91">
        <v>963.32</v>
      </c>
      <c r="M91">
        <v>3845.77</v>
      </c>
      <c r="N91">
        <v>1680.13</v>
      </c>
      <c r="O91">
        <v>656.91099999999994</v>
      </c>
      <c r="P91">
        <v>6091.46</v>
      </c>
      <c r="Q91">
        <v>3018</v>
      </c>
      <c r="R91">
        <v>771.67899999999997</v>
      </c>
      <c r="S91">
        <f t="shared" si="37"/>
        <v>1.7517526653773892</v>
      </c>
      <c r="T91">
        <f t="shared" si="39"/>
        <v>1.9332735175824998</v>
      </c>
      <c r="U91">
        <f t="shared" si="40"/>
        <v>1.4253904624887539</v>
      </c>
      <c r="V91">
        <f t="shared" si="41"/>
        <v>1.4666251265674899</v>
      </c>
      <c r="W91">
        <f t="shared" si="42"/>
        <v>1.8309477916831902</v>
      </c>
      <c r="X91">
        <f t="shared" si="43"/>
        <v>2.496649383351158</v>
      </c>
      <c r="Y91">
        <f t="shared" si="44"/>
        <v>1.6404113839506407</v>
      </c>
      <c r="Z91">
        <f t="shared" si="45"/>
        <v>1.7569240605655498</v>
      </c>
      <c r="AA91">
        <f t="shared" si="46"/>
        <v>1.5735190430835075</v>
      </c>
      <c r="AB91">
        <f t="shared" si="47"/>
        <v>1.6393843478733372</v>
      </c>
      <c r="AC91">
        <f t="shared" si="48"/>
        <v>1.6876132147199283</v>
      </c>
      <c r="AD91">
        <f t="shared" si="49"/>
        <v>1.9772291429952238</v>
      </c>
      <c r="AE91">
        <f t="shared" si="50"/>
        <v>2.2472807331988638</v>
      </c>
      <c r="AF91">
        <f t="shared" si="51"/>
        <v>2.140751482760868</v>
      </c>
      <c r="AG91">
        <f t="shared" si="52"/>
        <v>2.4765556075051327</v>
      </c>
      <c r="AH91">
        <f t="shared" si="53"/>
        <v>2.0535920850287832</v>
      </c>
      <c r="AI91">
        <f t="shared" si="38"/>
        <v>1.891235671974296</v>
      </c>
    </row>
    <row r="92" spans="1:35" x14ac:dyDescent="0.3">
      <c r="A92">
        <v>2038</v>
      </c>
      <c r="B92">
        <v>1038.46</v>
      </c>
      <c r="C92">
        <v>18774.5</v>
      </c>
      <c r="D92">
        <v>1413.08</v>
      </c>
      <c r="E92">
        <v>2110.23</v>
      </c>
      <c r="F92">
        <v>40.748800000000003</v>
      </c>
      <c r="G92">
        <v>21.634499999999999</v>
      </c>
      <c r="H92">
        <v>7929.1</v>
      </c>
      <c r="I92">
        <v>2493.92</v>
      </c>
      <c r="J92">
        <v>3882.22</v>
      </c>
      <c r="K92">
        <v>1100.8699999999999</v>
      </c>
      <c r="L92">
        <v>991.88300000000004</v>
      </c>
      <c r="M92">
        <v>3999.46</v>
      </c>
      <c r="N92">
        <v>1764.45</v>
      </c>
      <c r="O92">
        <v>673.99800000000005</v>
      </c>
      <c r="P92">
        <v>6362.01</v>
      </c>
      <c r="Q92">
        <v>3104.23</v>
      </c>
      <c r="R92">
        <v>793.06500000000005</v>
      </c>
      <c r="S92">
        <f t="shared" si="37"/>
        <v>1.7883300297750768</v>
      </c>
      <c r="T92">
        <f t="shared" si="39"/>
        <v>1.9541951520097258</v>
      </c>
      <c r="U92">
        <f t="shared" si="40"/>
        <v>1.4479851295325106</v>
      </c>
      <c r="V92">
        <f t="shared" si="41"/>
        <v>1.4941902866974914</v>
      </c>
      <c r="W92">
        <f t="shared" si="42"/>
        <v>1.879019837500346</v>
      </c>
      <c r="X92">
        <f t="shared" si="43"/>
        <v>2.6625864422174006</v>
      </c>
      <c r="Y92">
        <f t="shared" si="44"/>
        <v>1.667981429241582</v>
      </c>
      <c r="Z92">
        <f t="shared" si="45"/>
        <v>1.8119677991223229</v>
      </c>
      <c r="AA92">
        <f t="shared" si="46"/>
        <v>1.6007240371254572</v>
      </c>
      <c r="AB92">
        <f t="shared" si="47"/>
        <v>1.6616479275248783</v>
      </c>
      <c r="AC92">
        <f t="shared" si="48"/>
        <v>1.737651931088368</v>
      </c>
      <c r="AD92">
        <f t="shared" si="49"/>
        <v>2.0562459190860811</v>
      </c>
      <c r="AE92">
        <f t="shared" si="50"/>
        <v>2.360064096047767</v>
      </c>
      <c r="AF92">
        <f t="shared" si="51"/>
        <v>2.1964348562862543</v>
      </c>
      <c r="AG92">
        <f t="shared" si="52"/>
        <v>2.5865509320431768</v>
      </c>
      <c r="AH92">
        <f t="shared" si="53"/>
        <v>2.1122671166696154</v>
      </c>
      <c r="AI92">
        <f t="shared" si="38"/>
        <v>1.943648613211316</v>
      </c>
    </row>
    <row r="93" spans="1:35" x14ac:dyDescent="0.3">
      <c r="A93">
        <v>2039</v>
      </c>
      <c r="B93">
        <v>1059.3800000000001</v>
      </c>
      <c r="C93">
        <v>19005.3</v>
      </c>
      <c r="D93">
        <v>1443.72</v>
      </c>
      <c r="E93">
        <v>2149.94</v>
      </c>
      <c r="F93">
        <v>41.907800000000002</v>
      </c>
      <c r="G93">
        <v>23.0427</v>
      </c>
      <c r="H93">
        <v>8061.5</v>
      </c>
      <c r="I93">
        <v>2570.52</v>
      </c>
      <c r="J93">
        <v>3977.11</v>
      </c>
      <c r="K93">
        <v>1120</v>
      </c>
      <c r="L93">
        <v>1021.69</v>
      </c>
      <c r="M93">
        <v>4135.6899999999996</v>
      </c>
      <c r="N93">
        <v>1853.44</v>
      </c>
      <c r="O93">
        <v>691.75400000000002</v>
      </c>
      <c r="P93">
        <v>6585.49</v>
      </c>
      <c r="Q93">
        <v>3197.82</v>
      </c>
      <c r="R93">
        <v>815.279</v>
      </c>
      <c r="S93">
        <f t="shared" si="37"/>
        <v>1.8243563227694095</v>
      </c>
      <c r="T93">
        <f t="shared" si="39"/>
        <v>1.9782186008943217</v>
      </c>
      <c r="U93">
        <f t="shared" si="40"/>
        <v>1.4793819820595269</v>
      </c>
      <c r="V93">
        <f t="shared" si="41"/>
        <v>1.5223077413279142</v>
      </c>
      <c r="W93">
        <f t="shared" si="42"/>
        <v>1.9324639632577401</v>
      </c>
      <c r="X93">
        <f t="shared" si="43"/>
        <v>2.835895473067688</v>
      </c>
      <c r="Y93">
        <f t="shared" si="44"/>
        <v>1.6958333596285848</v>
      </c>
      <c r="Z93">
        <f t="shared" si="45"/>
        <v>1.867621843122439</v>
      </c>
      <c r="AA93">
        <f t="shared" si="46"/>
        <v>1.6398492551406225</v>
      </c>
      <c r="AB93">
        <f t="shared" si="47"/>
        <v>1.6905226582865043</v>
      </c>
      <c r="AC93">
        <f t="shared" si="48"/>
        <v>1.7898699760694303</v>
      </c>
      <c r="AD93">
        <f t="shared" si="49"/>
        <v>2.1262859698822125</v>
      </c>
      <c r="AE93">
        <f t="shared" si="50"/>
        <v>2.4790938809140375</v>
      </c>
      <c r="AF93">
        <f t="shared" si="51"/>
        <v>2.2542983771100826</v>
      </c>
      <c r="AG93">
        <f t="shared" si="52"/>
        <v>2.6774093875144835</v>
      </c>
      <c r="AH93">
        <f t="shared" si="53"/>
        <v>2.1759502456417308</v>
      </c>
      <c r="AI93">
        <f t="shared" si="38"/>
        <v>1.9980908219758891</v>
      </c>
    </row>
    <row r="94" spans="1:35" x14ac:dyDescent="0.3">
      <c r="A94">
        <v>2040</v>
      </c>
      <c r="B94">
        <v>1080.05</v>
      </c>
      <c r="C94">
        <v>19182.7</v>
      </c>
      <c r="D94">
        <v>1465.01</v>
      </c>
      <c r="E94">
        <v>2188.96</v>
      </c>
      <c r="F94">
        <v>42.959299999999999</v>
      </c>
      <c r="G94">
        <v>24.541699999999999</v>
      </c>
      <c r="H94">
        <v>8188.92</v>
      </c>
      <c r="I94">
        <v>2648.93</v>
      </c>
      <c r="J94">
        <v>4045.03</v>
      </c>
      <c r="K94">
        <v>1133.01</v>
      </c>
      <c r="L94">
        <v>1050.26</v>
      </c>
      <c r="M94">
        <v>4292.8</v>
      </c>
      <c r="N94">
        <v>1945.07</v>
      </c>
      <c r="O94">
        <v>708.274</v>
      </c>
      <c r="P94">
        <v>6861.59</v>
      </c>
      <c r="Q94">
        <v>3282.65</v>
      </c>
      <c r="R94">
        <v>836.99599999999998</v>
      </c>
      <c r="S94">
        <f t="shared" si="37"/>
        <v>1.8599520912298708</v>
      </c>
      <c r="T94">
        <f t="shared" si="39"/>
        <v>1.9966837648116844</v>
      </c>
      <c r="U94">
        <f t="shared" si="40"/>
        <v>1.5011978759988278</v>
      </c>
      <c r="V94">
        <f t="shared" si="41"/>
        <v>1.5499366277464262</v>
      </c>
      <c r="W94">
        <f t="shared" si="42"/>
        <v>1.9809510195423818</v>
      </c>
      <c r="X94">
        <f t="shared" si="43"/>
        <v>3.0203793796467111</v>
      </c>
      <c r="Y94">
        <f t="shared" si="44"/>
        <v>1.7226376871958955</v>
      </c>
      <c r="Z94">
        <f t="shared" si="45"/>
        <v>1.9245909500421401</v>
      </c>
      <c r="AA94">
        <f t="shared" si="46"/>
        <v>1.6678541535239086</v>
      </c>
      <c r="AB94">
        <f t="shared" si="47"/>
        <v>1.7101598902367787</v>
      </c>
      <c r="AC94">
        <f t="shared" si="48"/>
        <v>1.8399209555409957</v>
      </c>
      <c r="AD94">
        <f t="shared" si="49"/>
        <v>2.2070610736081191</v>
      </c>
      <c r="AE94">
        <f t="shared" si="50"/>
        <v>2.6016548336873417</v>
      </c>
      <c r="AF94">
        <f t="shared" si="51"/>
        <v>2.3081340024766992</v>
      </c>
      <c r="AG94">
        <f t="shared" si="52"/>
        <v>2.7896611306486694</v>
      </c>
      <c r="AH94">
        <f t="shared" si="53"/>
        <v>2.2336726500728084</v>
      </c>
      <c r="AI94">
        <f t="shared" si="38"/>
        <v>2.0513149800626915</v>
      </c>
    </row>
    <row r="95" spans="1:35" x14ac:dyDescent="0.3">
      <c r="A95">
        <v>2041</v>
      </c>
      <c r="B95">
        <v>1099.8900000000001</v>
      </c>
      <c r="C95">
        <v>19392.099999999999</v>
      </c>
      <c r="D95">
        <v>1493.83</v>
      </c>
      <c r="E95">
        <v>2228.58</v>
      </c>
      <c r="F95">
        <v>44.121699999999997</v>
      </c>
      <c r="G95">
        <v>26.106200000000001</v>
      </c>
      <c r="H95">
        <v>8317.23</v>
      </c>
      <c r="I95">
        <v>2728.6</v>
      </c>
      <c r="J95">
        <v>4137.72</v>
      </c>
      <c r="K95">
        <v>1149.51</v>
      </c>
      <c r="L95">
        <v>1079.75</v>
      </c>
      <c r="M95">
        <v>4435.3100000000004</v>
      </c>
      <c r="N95">
        <v>2041.92</v>
      </c>
      <c r="O95">
        <v>725.47500000000002</v>
      </c>
      <c r="P95">
        <v>7095.72</v>
      </c>
      <c r="Q95">
        <v>3374.43</v>
      </c>
      <c r="R95">
        <v>859.601</v>
      </c>
      <c r="S95">
        <f t="shared" si="37"/>
        <v>1.8941185182378804</v>
      </c>
      <c r="T95">
        <f t="shared" si="39"/>
        <v>2.0184797362000482</v>
      </c>
      <c r="U95">
        <f t="shared" si="40"/>
        <v>1.5307297718809625</v>
      </c>
      <c r="V95">
        <f t="shared" si="41"/>
        <v>1.5779903560883388</v>
      </c>
      <c r="W95">
        <f t="shared" si="42"/>
        <v>2.0345519270319374</v>
      </c>
      <c r="X95">
        <f t="shared" si="43"/>
        <v>3.2129244575939313</v>
      </c>
      <c r="Y95">
        <f t="shared" si="44"/>
        <v>1.7496292369538737</v>
      </c>
      <c r="Z95">
        <f t="shared" si="45"/>
        <v>1.9824755151268565</v>
      </c>
      <c r="AA95">
        <f t="shared" si="46"/>
        <v>1.7060722635231251</v>
      </c>
      <c r="AB95">
        <f t="shared" si="47"/>
        <v>1.7350649115418924</v>
      </c>
      <c r="AC95">
        <f t="shared" si="48"/>
        <v>1.8915836571376516</v>
      </c>
      <c r="AD95">
        <f t="shared" si="49"/>
        <v>2.2803298663773828</v>
      </c>
      <c r="AE95">
        <f t="shared" si="50"/>
        <v>2.7311978684586453</v>
      </c>
      <c r="AF95">
        <f t="shared" si="51"/>
        <v>2.3641888809228964</v>
      </c>
      <c r="AG95">
        <f t="shared" si="52"/>
        <v>2.8848494704531134</v>
      </c>
      <c r="AH95">
        <f t="shared" si="53"/>
        <v>2.2961241681523115</v>
      </c>
      <c r="AI95">
        <f t="shared" si="38"/>
        <v>2.1067154540486093</v>
      </c>
    </row>
    <row r="96" spans="1:35" x14ac:dyDescent="0.3">
      <c r="A96">
        <v>2042</v>
      </c>
      <c r="B96">
        <v>1119.8699999999999</v>
      </c>
      <c r="C96">
        <v>19553.599999999999</v>
      </c>
      <c r="D96">
        <v>1515.06</v>
      </c>
      <c r="E96">
        <v>2267.7199999999998</v>
      </c>
      <c r="F96">
        <v>45.185400000000001</v>
      </c>
      <c r="G96">
        <v>27.785599999999999</v>
      </c>
      <c r="H96">
        <v>8441.59</v>
      </c>
      <c r="I96">
        <v>2810.29</v>
      </c>
      <c r="J96">
        <v>4208.16</v>
      </c>
      <c r="K96">
        <v>1161</v>
      </c>
      <c r="L96">
        <v>1108.18</v>
      </c>
      <c r="M96">
        <v>4595.54</v>
      </c>
      <c r="N96">
        <v>2142.2199999999998</v>
      </c>
      <c r="O96">
        <v>741.62599999999998</v>
      </c>
      <c r="P96">
        <v>7376.77</v>
      </c>
      <c r="Q96">
        <v>3458.07</v>
      </c>
      <c r="R96">
        <v>881.86699999999996</v>
      </c>
      <c r="S96">
        <f t="shared" si="37"/>
        <v>1.9285260389848573</v>
      </c>
      <c r="T96">
        <f t="shared" si="39"/>
        <v>2.0352899051552571</v>
      </c>
      <c r="U96">
        <f t="shared" si="40"/>
        <v>1.5524841837330694</v>
      </c>
      <c r="V96">
        <f t="shared" si="41"/>
        <v>1.6057042108915307</v>
      </c>
      <c r="W96">
        <f t="shared" si="42"/>
        <v>2.0836015530613938</v>
      </c>
      <c r="X96">
        <f t="shared" si="43"/>
        <v>3.4196104300481083</v>
      </c>
      <c r="Y96">
        <f t="shared" si="44"/>
        <v>1.7757898567645061</v>
      </c>
      <c r="Z96">
        <f t="shared" si="45"/>
        <v>2.0418277194919936</v>
      </c>
      <c r="AA96">
        <f t="shared" si="46"/>
        <v>1.7351162129064976</v>
      </c>
      <c r="AB96">
        <f t="shared" si="47"/>
        <v>1.7524078627416351</v>
      </c>
      <c r="AC96">
        <f t="shared" si="48"/>
        <v>1.9413893745467032</v>
      </c>
      <c r="AD96">
        <f t="shared" si="49"/>
        <v>2.362709058472106</v>
      </c>
      <c r="AE96">
        <f t="shared" si="50"/>
        <v>2.8653554976539128</v>
      </c>
      <c r="AF96">
        <f t="shared" si="51"/>
        <v>2.41682200351952</v>
      </c>
      <c r="AG96">
        <f t="shared" si="52"/>
        <v>2.999113695037912</v>
      </c>
      <c r="AH96">
        <f t="shared" si="53"/>
        <v>2.3530368394550973</v>
      </c>
      <c r="AI96">
        <f t="shared" si="38"/>
        <v>2.1612851047352026</v>
      </c>
    </row>
    <row r="97" spans="1:35" x14ac:dyDescent="0.3">
      <c r="A97">
        <v>2043</v>
      </c>
      <c r="B97">
        <v>1139.07</v>
      </c>
      <c r="C97">
        <v>19734.099999999999</v>
      </c>
      <c r="D97">
        <v>1542.6</v>
      </c>
      <c r="E97">
        <v>2307.4899999999998</v>
      </c>
      <c r="F97">
        <v>46.3536</v>
      </c>
      <c r="G97">
        <v>29.535299999999999</v>
      </c>
      <c r="H97">
        <v>8566.2000000000007</v>
      </c>
      <c r="I97">
        <v>2893.69</v>
      </c>
      <c r="J97">
        <v>4298.95</v>
      </c>
      <c r="K97">
        <v>1175.44</v>
      </c>
      <c r="L97">
        <v>1137.53</v>
      </c>
      <c r="M97">
        <v>4744.95</v>
      </c>
      <c r="N97">
        <v>2248.12</v>
      </c>
      <c r="O97">
        <v>758.452</v>
      </c>
      <c r="P97">
        <v>7623.16</v>
      </c>
      <c r="Q97">
        <v>3548.08</v>
      </c>
      <c r="R97">
        <v>904.97400000000005</v>
      </c>
      <c r="S97">
        <f t="shared" si="37"/>
        <v>1.9615903231861569</v>
      </c>
      <c r="T97">
        <f t="shared" si="39"/>
        <v>2.0540777410463731</v>
      </c>
      <c r="U97">
        <f t="shared" si="40"/>
        <v>1.5807044617550676</v>
      </c>
      <c r="V97">
        <f t="shared" si="41"/>
        <v>1.6338641497142936</v>
      </c>
      <c r="W97">
        <f t="shared" si="42"/>
        <v>2.1374699117411073</v>
      </c>
      <c r="X97">
        <f t="shared" si="43"/>
        <v>3.6349483161997544</v>
      </c>
      <c r="Y97">
        <f t="shared" si="44"/>
        <v>1.8020030670781348</v>
      </c>
      <c r="Z97">
        <f t="shared" si="45"/>
        <v>2.1024223313667938</v>
      </c>
      <c r="AA97">
        <f t="shared" si="46"/>
        <v>1.772550911437395</v>
      </c>
      <c r="AB97">
        <f t="shared" si="47"/>
        <v>1.7742035298716863</v>
      </c>
      <c r="AC97">
        <f t="shared" si="48"/>
        <v>1.9928068140808455</v>
      </c>
      <c r="AD97">
        <f t="shared" si="49"/>
        <v>2.4395253543647142</v>
      </c>
      <c r="AE97">
        <f t="shared" si="50"/>
        <v>3.0070034830156169</v>
      </c>
      <c r="AF97">
        <f t="shared" si="51"/>
        <v>2.4716548263051554</v>
      </c>
      <c r="AG97">
        <f t="shared" si="52"/>
        <v>3.0992864838493279</v>
      </c>
      <c r="AH97">
        <f t="shared" si="53"/>
        <v>2.414283964562268</v>
      </c>
      <c r="AI97">
        <f t="shared" si="38"/>
        <v>2.2179158834298542</v>
      </c>
    </row>
    <row r="98" spans="1:35" x14ac:dyDescent="0.3">
      <c r="A98">
        <v>2044</v>
      </c>
      <c r="B98">
        <v>1158.1600000000001</v>
      </c>
      <c r="C98">
        <v>19869.599999999999</v>
      </c>
      <c r="D98">
        <v>1564.19</v>
      </c>
      <c r="E98">
        <v>2346.83</v>
      </c>
      <c r="F98">
        <v>47.439599999999999</v>
      </c>
      <c r="G98">
        <v>31.3809</v>
      </c>
      <c r="H98">
        <v>8688.3799999999992</v>
      </c>
      <c r="I98">
        <v>2978.56</v>
      </c>
      <c r="J98">
        <v>4372.0600000000004</v>
      </c>
      <c r="K98">
        <v>1186.06</v>
      </c>
      <c r="L98">
        <v>1166.21</v>
      </c>
      <c r="M98">
        <v>4908.7</v>
      </c>
      <c r="N98">
        <v>2357.41</v>
      </c>
      <c r="O98">
        <v>774.41499999999996</v>
      </c>
      <c r="P98">
        <v>7908.31</v>
      </c>
      <c r="Q98">
        <v>3631.26</v>
      </c>
      <c r="R98">
        <v>927.71400000000006</v>
      </c>
      <c r="S98">
        <f t="shared" si="37"/>
        <v>1.9944651765925534</v>
      </c>
      <c r="T98">
        <f t="shared" si="39"/>
        <v>2.0681816289313932</v>
      </c>
      <c r="U98">
        <f t="shared" si="40"/>
        <v>1.6028277661303381</v>
      </c>
      <c r="V98">
        <f t="shared" si="41"/>
        <v>1.6617196184919527</v>
      </c>
      <c r="W98">
        <f t="shared" si="42"/>
        <v>2.1875478414844465</v>
      </c>
      <c r="X98">
        <f t="shared" si="43"/>
        <v>3.8620887418049885</v>
      </c>
      <c r="Y98">
        <f t="shared" si="44"/>
        <v>1.8277050977026363</v>
      </c>
      <c r="Z98">
        <f t="shared" si="45"/>
        <v>2.1640849777674447</v>
      </c>
      <c r="AA98">
        <f t="shared" si="46"/>
        <v>1.8026957600946694</v>
      </c>
      <c r="AB98">
        <f t="shared" si="47"/>
        <v>1.7902333072207957</v>
      </c>
      <c r="AC98">
        <f t="shared" si="48"/>
        <v>2.0430504994586718</v>
      </c>
      <c r="AD98">
        <f t="shared" si="49"/>
        <v>2.523714287183231</v>
      </c>
      <c r="AE98">
        <f t="shared" si="50"/>
        <v>3.1531858089852167</v>
      </c>
      <c r="AF98">
        <f t="shared" si="51"/>
        <v>2.5236752916639507</v>
      </c>
      <c r="AG98">
        <f t="shared" si="52"/>
        <v>3.2152176122619074</v>
      </c>
      <c r="AH98">
        <f t="shared" si="53"/>
        <v>2.4708836297818486</v>
      </c>
      <c r="AI98">
        <f t="shared" si="38"/>
        <v>2.2736472162517862</v>
      </c>
    </row>
    <row r="99" spans="1:35" x14ac:dyDescent="0.3">
      <c r="A99">
        <v>2045</v>
      </c>
      <c r="B99">
        <v>1142.26</v>
      </c>
      <c r="C99">
        <v>19518</v>
      </c>
      <c r="D99">
        <v>1547.83</v>
      </c>
      <c r="E99">
        <v>2386.67</v>
      </c>
      <c r="F99">
        <v>48.630499999999998</v>
      </c>
      <c r="G99">
        <v>33.2883</v>
      </c>
      <c r="H99">
        <v>8641.35</v>
      </c>
      <c r="I99">
        <v>3064.87</v>
      </c>
      <c r="J99">
        <v>4401.6899999999996</v>
      </c>
      <c r="K99">
        <v>1199.02</v>
      </c>
      <c r="L99">
        <v>1195.8599999999999</v>
      </c>
      <c r="M99">
        <v>5064.95</v>
      </c>
      <c r="N99">
        <v>2472.14</v>
      </c>
      <c r="O99">
        <v>790.99</v>
      </c>
      <c r="P99">
        <v>8166.59</v>
      </c>
      <c r="Q99">
        <v>3719.78</v>
      </c>
      <c r="R99">
        <v>926.98500000000001</v>
      </c>
      <c r="S99">
        <f t="shared" si="37"/>
        <v>1.9670838162383522</v>
      </c>
      <c r="T99">
        <f t="shared" si="39"/>
        <v>2.0315843818437682</v>
      </c>
      <c r="U99">
        <f t="shared" si="40"/>
        <v>1.5860636503554688</v>
      </c>
      <c r="V99">
        <f t="shared" si="41"/>
        <v>1.6899291222057793</v>
      </c>
      <c r="W99">
        <f t="shared" si="42"/>
        <v>2.2424629487877081</v>
      </c>
      <c r="X99">
        <f t="shared" si="43"/>
        <v>4.096834974899604</v>
      </c>
      <c r="Y99">
        <f t="shared" si="44"/>
        <v>1.8178117722789149</v>
      </c>
      <c r="Z99">
        <f t="shared" si="45"/>
        <v>2.22679386207097</v>
      </c>
      <c r="AA99">
        <f t="shared" si="46"/>
        <v>1.814912855782195</v>
      </c>
      <c r="AB99">
        <f t="shared" si="47"/>
        <v>1.8097950694095395</v>
      </c>
      <c r="AC99">
        <f t="shared" si="48"/>
        <v>2.0949935005553431</v>
      </c>
      <c r="AD99">
        <f t="shared" si="49"/>
        <v>2.6040472383459381</v>
      </c>
      <c r="AE99">
        <f t="shared" si="50"/>
        <v>3.3066444809450686</v>
      </c>
      <c r="AF99">
        <f t="shared" si="51"/>
        <v>2.5776901518607835</v>
      </c>
      <c r="AG99">
        <f t="shared" si="52"/>
        <v>3.3202244221738866</v>
      </c>
      <c r="AH99">
        <f t="shared" si="53"/>
        <v>2.5311168873586372</v>
      </c>
      <c r="AI99">
        <f t="shared" si="38"/>
        <v>2.2718605785373098</v>
      </c>
    </row>
    <row r="100" spans="1:35" x14ac:dyDescent="0.3">
      <c r="A100">
        <v>2046</v>
      </c>
      <c r="B100">
        <v>1126.78</v>
      </c>
      <c r="C100">
        <v>19158.7</v>
      </c>
      <c r="D100">
        <v>1527.95</v>
      </c>
      <c r="E100">
        <v>2426.1799999999998</v>
      </c>
      <c r="F100">
        <v>49.753300000000003</v>
      </c>
      <c r="G100">
        <v>35.290100000000002</v>
      </c>
      <c r="H100">
        <v>8597.48</v>
      </c>
      <c r="I100">
        <v>3152.43</v>
      </c>
      <c r="J100">
        <v>4419.95</v>
      </c>
      <c r="K100">
        <v>1209.19</v>
      </c>
      <c r="L100">
        <v>1225.18</v>
      </c>
      <c r="M100">
        <v>5232.42</v>
      </c>
      <c r="N100">
        <v>2591.02</v>
      </c>
      <c r="O100">
        <v>806.92399999999998</v>
      </c>
      <c r="P100">
        <v>8455.52</v>
      </c>
      <c r="Q100">
        <v>3802.73</v>
      </c>
      <c r="R100">
        <v>926.00900000000001</v>
      </c>
      <c r="S100">
        <f t="shared" si="37"/>
        <v>1.9404257371010543</v>
      </c>
      <c r="T100">
        <f t="shared" si="39"/>
        <v>1.9941856592084335</v>
      </c>
      <c r="U100">
        <f t="shared" si="40"/>
        <v>1.5656925854652248</v>
      </c>
      <c r="V100">
        <f t="shared" si="41"/>
        <v>1.7179049628617351</v>
      </c>
      <c r="W100">
        <f t="shared" si="42"/>
        <v>2.2942378102203245</v>
      </c>
      <c r="X100">
        <f t="shared" si="43"/>
        <v>4.3431991404699115</v>
      </c>
      <c r="Y100">
        <f t="shared" si="44"/>
        <v>1.8085831908130701</v>
      </c>
      <c r="Z100">
        <f t="shared" si="45"/>
        <v>2.2904109389985177</v>
      </c>
      <c r="AA100">
        <f t="shared" si="46"/>
        <v>1.8224418523145685</v>
      </c>
      <c r="AB100">
        <f t="shared" si="47"/>
        <v>1.8251456189048734</v>
      </c>
      <c r="AC100">
        <f t="shared" si="48"/>
        <v>2.146358383933233</v>
      </c>
      <c r="AD100">
        <f t="shared" si="49"/>
        <v>2.6901487380657367</v>
      </c>
      <c r="AE100">
        <f t="shared" si="50"/>
        <v>3.4656540418496897</v>
      </c>
      <c r="AF100">
        <f t="shared" si="51"/>
        <v>2.6296161115818286</v>
      </c>
      <c r="AG100">
        <f t="shared" si="52"/>
        <v>3.4376923546032971</v>
      </c>
      <c r="AH100">
        <f t="shared" si="53"/>
        <v>2.5875600495366151</v>
      </c>
      <c r="AI100">
        <f t="shared" si="38"/>
        <v>2.2694685916932373</v>
      </c>
    </row>
    <row r="101" spans="1:35" x14ac:dyDescent="0.3">
      <c r="A101">
        <v>2047</v>
      </c>
      <c r="B101">
        <v>1111.52</v>
      </c>
      <c r="C101">
        <v>18834.5</v>
      </c>
      <c r="D101">
        <v>1512.33</v>
      </c>
      <c r="E101">
        <v>2466.14</v>
      </c>
      <c r="F101">
        <v>50.970399999999998</v>
      </c>
      <c r="G101">
        <v>37.3688</v>
      </c>
      <c r="H101">
        <v>8557.65</v>
      </c>
      <c r="I101">
        <v>3241.72</v>
      </c>
      <c r="J101">
        <v>4451.3599999999997</v>
      </c>
      <c r="K101">
        <v>1220.92</v>
      </c>
      <c r="L101">
        <v>1255.19</v>
      </c>
      <c r="M101">
        <v>5395.5</v>
      </c>
      <c r="N101">
        <v>2716.36</v>
      </c>
      <c r="O101">
        <v>823.327</v>
      </c>
      <c r="P101">
        <v>8726.41</v>
      </c>
      <c r="Q101">
        <v>3889.53</v>
      </c>
      <c r="R101">
        <v>925.71400000000006</v>
      </c>
      <c r="S101">
        <f t="shared" si="37"/>
        <v>1.9141465195535632</v>
      </c>
      <c r="T101">
        <f t="shared" si="39"/>
        <v>1.960440416017853</v>
      </c>
      <c r="U101">
        <f t="shared" si="40"/>
        <v>1.5496867487657471</v>
      </c>
      <c r="V101">
        <f t="shared" si="41"/>
        <v>1.7461994349602419</v>
      </c>
      <c r="W101">
        <f t="shared" si="42"/>
        <v>2.3503610591067128</v>
      </c>
      <c r="X101">
        <f t="shared" si="43"/>
        <v>4.5990274904404354</v>
      </c>
      <c r="Y101">
        <f t="shared" si="44"/>
        <v>1.8002044718756507</v>
      </c>
      <c r="Z101">
        <f t="shared" si="45"/>
        <v>2.3552849545177135</v>
      </c>
      <c r="AA101">
        <f t="shared" si="46"/>
        <v>1.835392880851362</v>
      </c>
      <c r="AB101">
        <f t="shared" si="47"/>
        <v>1.8428508249599633</v>
      </c>
      <c r="AC101">
        <f t="shared" si="48"/>
        <v>2.1989320589049401</v>
      </c>
      <c r="AD101">
        <f t="shared" si="49"/>
        <v>2.7739932031896681</v>
      </c>
      <c r="AE101">
        <f t="shared" si="50"/>
        <v>3.6333042636177351</v>
      </c>
      <c r="AF101">
        <f t="shared" si="51"/>
        <v>2.6830704555823499</v>
      </c>
      <c r="AG101">
        <f t="shared" si="52"/>
        <v>3.5478259101904741</v>
      </c>
      <c r="AH101">
        <f t="shared" si="53"/>
        <v>2.6466229365414193</v>
      </c>
      <c r="AI101">
        <f t="shared" si="38"/>
        <v>2.268745603866392</v>
      </c>
    </row>
    <row r="102" spans="1:35" x14ac:dyDescent="0.3">
      <c r="A102">
        <v>2048</v>
      </c>
      <c r="B102">
        <v>1096.67</v>
      </c>
      <c r="C102">
        <v>18511.599999999999</v>
      </c>
      <c r="D102">
        <v>1494.72</v>
      </c>
      <c r="E102">
        <v>2505.94</v>
      </c>
      <c r="F102">
        <v>52.126300000000001</v>
      </c>
      <c r="G102">
        <v>39.540100000000002</v>
      </c>
      <c r="H102">
        <v>8521.4699999999993</v>
      </c>
      <c r="I102">
        <v>3332.49</v>
      </c>
      <c r="J102">
        <v>4475.6499999999996</v>
      </c>
      <c r="K102">
        <v>1230.55</v>
      </c>
      <c r="L102">
        <v>1284.99</v>
      </c>
      <c r="M102">
        <v>5566.95</v>
      </c>
      <c r="N102">
        <v>2846.28</v>
      </c>
      <c r="O102">
        <v>839.26800000000003</v>
      </c>
      <c r="P102">
        <v>9019.77</v>
      </c>
      <c r="Q102">
        <v>3972.02</v>
      </c>
      <c r="R102">
        <v>925.38599999999997</v>
      </c>
      <c r="S102">
        <f t="shared" si="37"/>
        <v>1.8885733622416208</v>
      </c>
      <c r="T102">
        <f t="shared" si="39"/>
        <v>1.9268304868807817</v>
      </c>
      <c r="U102">
        <f t="shared" si="40"/>
        <v>1.5316417561743387</v>
      </c>
      <c r="V102">
        <f t="shared" si="41"/>
        <v>1.7743806158791751</v>
      </c>
      <c r="W102">
        <f t="shared" si="42"/>
        <v>2.4036622368141951</v>
      </c>
      <c r="X102">
        <f t="shared" si="43"/>
        <v>4.8662522445131735</v>
      </c>
      <c r="Y102">
        <f t="shared" si="44"/>
        <v>1.7925935742819816</v>
      </c>
      <c r="Z102">
        <f t="shared" si="45"/>
        <v>2.4212342701037519</v>
      </c>
      <c r="AA102">
        <f t="shared" si="46"/>
        <v>1.8454081779910856</v>
      </c>
      <c r="AB102">
        <f t="shared" si="47"/>
        <v>1.8573863010307659</v>
      </c>
      <c r="AC102">
        <f t="shared" si="48"/>
        <v>2.2511378407828766</v>
      </c>
      <c r="AD102">
        <f t="shared" si="49"/>
        <v>2.8621409438414833</v>
      </c>
      <c r="AE102">
        <f t="shared" si="50"/>
        <v>3.8070805266790435</v>
      </c>
      <c r="AF102">
        <f t="shared" si="51"/>
        <v>2.7350192270090594</v>
      </c>
      <c r="AG102">
        <f t="shared" si="52"/>
        <v>3.6670949118777063</v>
      </c>
      <c r="AH102">
        <f t="shared" si="53"/>
        <v>2.702753092636192</v>
      </c>
      <c r="AI102">
        <f t="shared" si="38"/>
        <v>2.2679417394351873</v>
      </c>
    </row>
    <row r="103" spans="1:35" x14ac:dyDescent="0.3">
      <c r="A103">
        <v>2049</v>
      </c>
      <c r="B103">
        <v>1082.0899999999999</v>
      </c>
      <c r="C103">
        <v>18218.599999999999</v>
      </c>
      <c r="D103">
        <v>1480.18</v>
      </c>
      <c r="E103">
        <v>2546.1</v>
      </c>
      <c r="F103">
        <v>53.364600000000003</v>
      </c>
      <c r="G103">
        <v>41.779000000000003</v>
      </c>
      <c r="H103">
        <v>8488.9599999999991</v>
      </c>
      <c r="I103">
        <v>3424.9</v>
      </c>
      <c r="J103">
        <v>4509.18</v>
      </c>
      <c r="K103">
        <v>1241</v>
      </c>
      <c r="L103">
        <v>1315.31</v>
      </c>
      <c r="M103">
        <v>5736.31</v>
      </c>
      <c r="N103">
        <v>2981.88</v>
      </c>
      <c r="O103">
        <v>855.52200000000005</v>
      </c>
      <c r="P103">
        <v>9302.2800000000007</v>
      </c>
      <c r="Q103">
        <v>4056.91</v>
      </c>
      <c r="R103">
        <v>925.65499999999997</v>
      </c>
      <c r="S103">
        <f t="shared" si="37"/>
        <v>1.8634651714262587</v>
      </c>
      <c r="T103">
        <f t="shared" si="39"/>
        <v>1.8963327809744275</v>
      </c>
      <c r="U103">
        <f t="shared" si="40"/>
        <v>1.5167425970443511</v>
      </c>
      <c r="V103">
        <f t="shared" si="41"/>
        <v>1.8028167019521486</v>
      </c>
      <c r="W103">
        <f t="shared" si="42"/>
        <v>2.460763065912885</v>
      </c>
      <c r="X103">
        <f t="shared" si="43"/>
        <v>5.1417966197231637</v>
      </c>
      <c r="Y103">
        <f t="shared" si="44"/>
        <v>1.7857547052723028</v>
      </c>
      <c r="Z103">
        <f t="shared" si="45"/>
        <v>2.4883751344125087</v>
      </c>
      <c r="AA103">
        <f t="shared" si="46"/>
        <v>1.8592333287977933</v>
      </c>
      <c r="AB103">
        <f t="shared" si="47"/>
        <v>1.8731594811906711</v>
      </c>
      <c r="AC103">
        <f t="shared" si="48"/>
        <v>2.3042545960358645</v>
      </c>
      <c r="AD103">
        <f t="shared" si="49"/>
        <v>2.9492141509385461</v>
      </c>
      <c r="AE103">
        <f t="shared" si="50"/>
        <v>3.9884541509948797</v>
      </c>
      <c r="AF103">
        <f t="shared" si="51"/>
        <v>2.7879880075604508</v>
      </c>
      <c r="AG103">
        <f t="shared" si="52"/>
        <v>3.7819527168499585</v>
      </c>
      <c r="AH103">
        <f t="shared" si="53"/>
        <v>2.7605163239476873</v>
      </c>
      <c r="AI103">
        <f t="shared" si="38"/>
        <v>2.2686010063010227</v>
      </c>
    </row>
    <row r="104" spans="1:35" x14ac:dyDescent="0.3">
      <c r="A104">
        <v>2050</v>
      </c>
      <c r="B104">
        <v>1067.82</v>
      </c>
      <c r="C104">
        <v>17933.099999999999</v>
      </c>
      <c r="D104">
        <v>1464.81</v>
      </c>
      <c r="E104">
        <v>2586.1999999999998</v>
      </c>
      <c r="F104">
        <v>54.545699999999997</v>
      </c>
      <c r="G104">
        <v>44.095100000000002</v>
      </c>
      <c r="H104">
        <v>8460.31</v>
      </c>
      <c r="I104">
        <v>3518.76</v>
      </c>
      <c r="J104">
        <v>4538.91</v>
      </c>
      <c r="K104">
        <v>1249.96</v>
      </c>
      <c r="L104">
        <v>1345.58</v>
      </c>
      <c r="M104">
        <v>5911.55</v>
      </c>
      <c r="N104">
        <v>3121.65</v>
      </c>
      <c r="O104">
        <v>871.46199999999999</v>
      </c>
      <c r="P104">
        <v>9599.5499999999993</v>
      </c>
      <c r="Q104">
        <v>4138.62</v>
      </c>
      <c r="R104">
        <v>926.01199999999994</v>
      </c>
      <c r="S104">
        <f t="shared" si="37"/>
        <v>1.8388908310328971</v>
      </c>
      <c r="T104">
        <f t="shared" si="39"/>
        <v>1.8666157330690889</v>
      </c>
      <c r="U104">
        <f t="shared" si="40"/>
        <v>1.5009929357081813</v>
      </c>
      <c r="V104">
        <f t="shared" si="41"/>
        <v>1.831210303832782</v>
      </c>
      <c r="W104">
        <f t="shared" si="42"/>
        <v>2.5152262729293282</v>
      </c>
      <c r="X104">
        <f t="shared" si="43"/>
        <v>5.4268421007289511</v>
      </c>
      <c r="Y104">
        <f t="shared" si="44"/>
        <v>1.7797278336288918</v>
      </c>
      <c r="Z104">
        <f t="shared" si="45"/>
        <v>2.5565695021651313</v>
      </c>
      <c r="AA104">
        <f t="shared" si="46"/>
        <v>1.8714916566678623</v>
      </c>
      <c r="AB104">
        <f t="shared" si="47"/>
        <v>1.8866836624569632</v>
      </c>
      <c r="AC104">
        <f t="shared" si="48"/>
        <v>2.3572837576950971</v>
      </c>
      <c r="AD104">
        <f t="shared" si="49"/>
        <v>3.0393104476537638</v>
      </c>
      <c r="AE104">
        <f t="shared" si="50"/>
        <v>4.175405415527508</v>
      </c>
      <c r="AF104">
        <f t="shared" si="51"/>
        <v>2.8399335201720652</v>
      </c>
      <c r="AG104">
        <f t="shared" si="52"/>
        <v>3.9028113756022194</v>
      </c>
      <c r="AH104">
        <f t="shared" si="53"/>
        <v>2.816115730597025</v>
      </c>
      <c r="AI104">
        <f t="shared" si="38"/>
        <v>2.2694759441118153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2584-4448-48C8-9C05-B1894FDE4C51}">
  <dimension ref="A1:BR63"/>
  <sheetViews>
    <sheetView zoomScale="40" zoomScaleNormal="40" workbookViewId="0">
      <selection activeCell="H20" sqref="H20"/>
    </sheetView>
  </sheetViews>
  <sheetFormatPr defaultRowHeight="14.4" x14ac:dyDescent="0.3"/>
  <cols>
    <col min="1" max="1" width="11" style="9" bestFit="1" customWidth="1"/>
    <col min="2" max="2" width="6.21875" style="1" bestFit="1" customWidth="1"/>
    <col min="3" max="3" width="12.21875" customWidth="1"/>
    <col min="4" max="4" width="15" customWidth="1"/>
    <col min="5" max="6" width="13.77734375" customWidth="1"/>
    <col min="7" max="7" width="11.109375" customWidth="1"/>
    <col min="8" max="8" width="12.21875" customWidth="1"/>
    <col min="9" max="14" width="13.77734375" customWidth="1"/>
    <col min="15" max="16" width="12.21875" customWidth="1"/>
    <col min="17" max="18" width="13.77734375" customWidth="1"/>
    <col min="19" max="19" width="12.21875" customWidth="1"/>
    <col min="20" max="20" width="15" customWidth="1"/>
    <col min="21" max="21" width="17.77734375" customWidth="1"/>
    <col min="22" max="23" width="16.109375" customWidth="1"/>
    <col min="24" max="24" width="13.77734375" customWidth="1"/>
    <col min="25" max="25" width="15" customWidth="1"/>
    <col min="26" max="31" width="16.109375" customWidth="1"/>
    <col min="32" max="32" width="17.77734375" customWidth="1"/>
    <col min="33" max="33" width="15" customWidth="1"/>
    <col min="34" max="34" width="17.77734375" customWidth="1"/>
    <col min="35" max="35" width="16.109375" customWidth="1"/>
    <col min="36" max="36" width="15" customWidth="1"/>
    <col min="37" max="37" width="21.6640625" bestFit="1" customWidth="1"/>
    <col min="38" max="38" width="22.77734375" bestFit="1" customWidth="1"/>
    <col min="39" max="40" width="21.6640625" bestFit="1" customWidth="1"/>
    <col min="41" max="42" width="18.88671875" bestFit="1" customWidth="1"/>
    <col min="43" max="45" width="22.77734375" bestFit="1" customWidth="1"/>
    <col min="46" max="49" width="21.6640625" bestFit="1" customWidth="1"/>
    <col min="50" max="50" width="18.21875" bestFit="1" customWidth="1"/>
    <col min="51" max="51" width="21.21875" bestFit="1" customWidth="1"/>
    <col min="52" max="52" width="21" bestFit="1" customWidth="1"/>
    <col min="53" max="53" width="20.109375" bestFit="1" customWidth="1"/>
  </cols>
  <sheetData>
    <row r="1" spans="1:70" x14ac:dyDescent="0.3">
      <c r="B1" s="3"/>
      <c r="C1" s="26" t="s">
        <v>21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 t="s">
        <v>22</v>
      </c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 t="s">
        <v>23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 t="s">
        <v>20</v>
      </c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</row>
    <row r="2" spans="1:70" x14ac:dyDescent="0.3">
      <c r="B2" s="4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14</v>
      </c>
      <c r="N2" s="5" t="s">
        <v>10</v>
      </c>
      <c r="O2" s="5" t="s">
        <v>11</v>
      </c>
      <c r="P2" s="5" t="s">
        <v>15</v>
      </c>
      <c r="Q2" s="5" t="s">
        <v>12</v>
      </c>
      <c r="R2" s="5" t="s">
        <v>16</v>
      </c>
      <c r="S2" s="5" t="s">
        <v>17</v>
      </c>
      <c r="T2" s="5" t="s">
        <v>0</v>
      </c>
      <c r="U2" s="5" t="s">
        <v>1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8</v>
      </c>
      <c r="AC2" s="5" t="s">
        <v>9</v>
      </c>
      <c r="AD2" s="5" t="s">
        <v>14</v>
      </c>
      <c r="AE2" s="5" t="s">
        <v>10</v>
      </c>
      <c r="AF2" s="5" t="s">
        <v>11</v>
      </c>
      <c r="AG2" s="5" t="s">
        <v>15</v>
      </c>
      <c r="AH2" s="5" t="s">
        <v>12</v>
      </c>
      <c r="AI2" s="5" t="s">
        <v>16</v>
      </c>
      <c r="AJ2" s="5" t="s">
        <v>17</v>
      </c>
      <c r="AK2" s="5" t="s">
        <v>0</v>
      </c>
      <c r="AL2" s="5" t="s">
        <v>1</v>
      </c>
      <c r="AM2" s="5" t="s">
        <v>2</v>
      </c>
      <c r="AN2" s="5" t="s">
        <v>3</v>
      </c>
      <c r="AO2" s="5" t="s">
        <v>4</v>
      </c>
      <c r="AP2" s="5" t="s">
        <v>5</v>
      </c>
      <c r="AQ2" s="5" t="s">
        <v>6</v>
      </c>
      <c r="AR2" s="5" t="s">
        <v>7</v>
      </c>
      <c r="AS2" s="5" t="s">
        <v>8</v>
      </c>
      <c r="AT2" s="5" t="s">
        <v>9</v>
      </c>
      <c r="AU2" s="5" t="s">
        <v>14</v>
      </c>
      <c r="AV2" s="5" t="s">
        <v>10</v>
      </c>
      <c r="AW2" s="5" t="s">
        <v>11</v>
      </c>
      <c r="AX2" s="5" t="s">
        <v>15</v>
      </c>
      <c r="AY2" s="5" t="s">
        <v>12</v>
      </c>
      <c r="AZ2" s="5" t="s">
        <v>16</v>
      </c>
      <c r="BA2" s="5" t="s">
        <v>17</v>
      </c>
      <c r="BB2" s="5" t="s">
        <v>0</v>
      </c>
      <c r="BC2" s="5" t="s">
        <v>1</v>
      </c>
      <c r="BD2" s="5" t="s">
        <v>2</v>
      </c>
      <c r="BE2" s="5" t="s">
        <v>3</v>
      </c>
      <c r="BF2" s="5" t="s">
        <v>4</v>
      </c>
      <c r="BG2" s="5" t="s">
        <v>5</v>
      </c>
      <c r="BH2" s="5" t="s">
        <v>6</v>
      </c>
      <c r="BI2" s="5" t="s">
        <v>7</v>
      </c>
      <c r="BJ2" s="5" t="s">
        <v>8</v>
      </c>
      <c r="BK2" s="5" t="s">
        <v>9</v>
      </c>
      <c r="BL2" s="5" t="s">
        <v>14</v>
      </c>
      <c r="BM2" s="5" t="s">
        <v>10</v>
      </c>
      <c r="BN2" s="5" t="s">
        <v>11</v>
      </c>
      <c r="BO2" s="5" t="s">
        <v>15</v>
      </c>
      <c r="BP2" s="5" t="s">
        <v>12</v>
      </c>
      <c r="BQ2" s="5" t="s">
        <v>16</v>
      </c>
      <c r="BR2" s="5" t="s">
        <v>17</v>
      </c>
    </row>
    <row r="3" spans="1:70" x14ac:dyDescent="0.3">
      <c r="A3" s="27" t="s">
        <v>13</v>
      </c>
      <c r="B3" s="3">
        <v>1990</v>
      </c>
      <c r="C3" s="6">
        <v>260232.55642396596</v>
      </c>
      <c r="D3" s="6">
        <v>2449320.5072107152</v>
      </c>
      <c r="E3" s="6">
        <v>1162286.2551307005</v>
      </c>
      <c r="F3" s="6">
        <v>2436269.5414054999</v>
      </c>
      <c r="G3" s="6">
        <v>13147.884609649998</v>
      </c>
      <c r="H3" s="6">
        <v>131964.51319481601</v>
      </c>
      <c r="I3" s="6">
        <v>5443214.6994715119</v>
      </c>
      <c r="J3" s="6">
        <v>950935.01724872121</v>
      </c>
      <c r="K3" s="6">
        <v>3555586.5817636098</v>
      </c>
      <c r="L3" s="6">
        <v>1179817.0313260867</v>
      </c>
      <c r="M3" s="6">
        <v>1492441.4543889724</v>
      </c>
      <c r="N3" s="6">
        <v>917112.56296051317</v>
      </c>
      <c r="O3" s="6">
        <v>477656.37652241683</v>
      </c>
      <c r="P3" s="6">
        <v>21263.408524213992</v>
      </c>
      <c r="Q3" s="6">
        <v>689599.67953420291</v>
      </c>
      <c r="R3" s="6">
        <v>544604.01383672806</v>
      </c>
      <c r="S3" s="6">
        <v>302698.52989109809</v>
      </c>
      <c r="T3" s="6">
        <v>42869283</v>
      </c>
      <c r="U3" s="6">
        <v>1140889500</v>
      </c>
      <c r="V3" s="6">
        <v>123478000</v>
      </c>
      <c r="W3" s="6">
        <v>147969406</v>
      </c>
      <c r="X3" s="6">
        <v>2098710</v>
      </c>
      <c r="Y3" s="6">
        <v>21112137</v>
      </c>
      <c r="Z3" s="6">
        <v>277759852</v>
      </c>
      <c r="AA3" s="6">
        <v>437248525</v>
      </c>
      <c r="AB3" s="6">
        <v>434508762</v>
      </c>
      <c r="AC3" s="6">
        <v>131020110</v>
      </c>
      <c r="AD3" s="6">
        <v>143965916</v>
      </c>
      <c r="AE3" s="6">
        <v>280903196</v>
      </c>
      <c r="AF3" s="6">
        <v>488052325</v>
      </c>
      <c r="AG3" s="6">
        <v>11686707</v>
      </c>
      <c r="AH3" s="6">
        <v>1129452594</v>
      </c>
      <c r="AI3" s="6">
        <v>369194554</v>
      </c>
      <c r="AJ3" s="6">
        <v>20394928</v>
      </c>
      <c r="AK3" s="6">
        <v>616369574721.63696</v>
      </c>
      <c r="AL3" s="6">
        <v>2072526471159.45</v>
      </c>
      <c r="AM3" s="6">
        <v>4355367751167.1602</v>
      </c>
      <c r="AN3" s="6">
        <v>4386345138351.7798</v>
      </c>
      <c r="AO3" s="6">
        <v>13930857674.500299</v>
      </c>
      <c r="AP3" s="6">
        <v>19573105635.9632</v>
      </c>
      <c r="AQ3" s="6">
        <v>12198702226127.4</v>
      </c>
      <c r="AR3" s="6">
        <v>5030829002858.25</v>
      </c>
      <c r="AS3" s="6">
        <v>15393166346394.301</v>
      </c>
      <c r="AT3" s="6">
        <v>1970810201448.8601</v>
      </c>
      <c r="AU3" s="6">
        <v>1976205210649.1499</v>
      </c>
      <c r="AV3" s="6">
        <v>3152661561292.6699</v>
      </c>
      <c r="AW3" s="6">
        <v>1880972472792.52</v>
      </c>
      <c r="AX3" s="6">
        <v>28161944314.958801</v>
      </c>
      <c r="AY3" s="6">
        <v>2622304508950.71</v>
      </c>
      <c r="AZ3" s="6">
        <v>2109169328349.6201</v>
      </c>
      <c r="BA3" s="6">
        <v>721123410624.00195</v>
      </c>
      <c r="BB3" s="2">
        <v>89512.002999999997</v>
      </c>
      <c r="BC3" s="2">
        <v>887159.23899999994</v>
      </c>
      <c r="BD3" s="2">
        <v>436913.56199999998</v>
      </c>
      <c r="BE3" s="2">
        <v>879334.56799999997</v>
      </c>
      <c r="BF3" s="2">
        <v>3493.9520000000002</v>
      </c>
      <c r="BG3" s="2">
        <v>33221.982000000004</v>
      </c>
      <c r="BH3" s="2">
        <v>2126074.6349999998</v>
      </c>
      <c r="BI3" s="2">
        <v>459016.55699999997</v>
      </c>
      <c r="BJ3" s="2">
        <v>1403150.0859999999</v>
      </c>
      <c r="BK3" s="2">
        <v>374610.728</v>
      </c>
      <c r="BL3" s="2">
        <v>501235.34</v>
      </c>
      <c r="BM3" s="2">
        <v>312863.28100000002</v>
      </c>
      <c r="BN3" s="2">
        <v>239635.33299999899</v>
      </c>
      <c r="BO3" s="2">
        <v>17868.358</v>
      </c>
      <c r="BP3" s="2">
        <v>347037.51899999997</v>
      </c>
      <c r="BQ3" s="2">
        <v>249694.68599999999</v>
      </c>
      <c r="BR3" s="2">
        <v>99108.106999999902</v>
      </c>
    </row>
    <row r="4" spans="1:70" x14ac:dyDescent="0.3">
      <c r="A4" s="27"/>
      <c r="B4" s="3">
        <v>1991</v>
      </c>
      <c r="C4" s="6">
        <v>292360.92776459106</v>
      </c>
      <c r="D4" s="6">
        <v>2588695.3769451738</v>
      </c>
      <c r="E4" s="6">
        <v>1172036.7936685996</v>
      </c>
      <c r="F4" s="6">
        <v>2393540.4935129001</v>
      </c>
      <c r="G4" s="6">
        <v>14858.263055650001</v>
      </c>
      <c r="H4" s="6">
        <v>126915.60665708099</v>
      </c>
      <c r="I4" s="6">
        <v>5393199.5801253002</v>
      </c>
      <c r="J4" s="6">
        <v>979649.49793473375</v>
      </c>
      <c r="K4" s="6">
        <v>3601521.5978613622</v>
      </c>
      <c r="L4" s="6">
        <v>1072019.673881165</v>
      </c>
      <c r="M4" s="6">
        <v>1431030.7347127427</v>
      </c>
      <c r="N4" s="6">
        <v>959075.29058560485</v>
      </c>
      <c r="O4" s="6">
        <v>476328.84166825179</v>
      </c>
      <c r="P4" s="6">
        <v>21507.377260689995</v>
      </c>
      <c r="Q4" s="6">
        <v>737460.84283235099</v>
      </c>
      <c r="R4" s="6">
        <v>589575.18834594183</v>
      </c>
      <c r="S4" s="6">
        <v>305394.5139218499</v>
      </c>
      <c r="T4" s="6">
        <v>43295704</v>
      </c>
      <c r="U4" s="6">
        <v>1156532000</v>
      </c>
      <c r="V4" s="6">
        <v>123964000</v>
      </c>
      <c r="W4" s="6">
        <v>148394216</v>
      </c>
      <c r="X4" s="6">
        <v>2165342</v>
      </c>
      <c r="Y4" s="6">
        <v>21428638</v>
      </c>
      <c r="Z4" s="6">
        <v>281470059</v>
      </c>
      <c r="AA4" s="6">
        <v>445392924</v>
      </c>
      <c r="AB4" s="6">
        <v>437283653</v>
      </c>
      <c r="AC4" s="6">
        <v>130458697</v>
      </c>
      <c r="AD4" s="6">
        <v>145408876</v>
      </c>
      <c r="AE4" s="6">
        <v>288264778</v>
      </c>
      <c r="AF4" s="6">
        <v>502131649</v>
      </c>
      <c r="AG4" s="6">
        <v>12121968</v>
      </c>
      <c r="AH4" s="6">
        <v>1155118555</v>
      </c>
      <c r="AI4" s="6">
        <v>376274496</v>
      </c>
      <c r="AJ4" s="6">
        <v>20779136</v>
      </c>
      <c r="AK4" s="6">
        <v>683399605271.32703</v>
      </c>
      <c r="AL4" s="6">
        <v>2259953370946.8101</v>
      </c>
      <c r="AM4" s="6">
        <v>4508822915962.0498</v>
      </c>
      <c r="AN4" s="6">
        <v>4164968955088.6602</v>
      </c>
      <c r="AO4" s="6">
        <v>12719772331.1187</v>
      </c>
      <c r="AP4" s="6">
        <v>18708527010.9678</v>
      </c>
      <c r="AQ4" s="6">
        <v>12163266847258.6</v>
      </c>
      <c r="AR4" s="6">
        <v>5198435172265.8799</v>
      </c>
      <c r="AS4" s="6">
        <v>15693738611764</v>
      </c>
      <c r="AT4" s="6">
        <v>1754847812862.9099</v>
      </c>
      <c r="AU4" s="6">
        <v>1810317196545.0601</v>
      </c>
      <c r="AV4" s="6">
        <v>3195040455664.3999</v>
      </c>
      <c r="AW4" s="6">
        <v>1885757669769.21</v>
      </c>
      <c r="AX4" s="6">
        <v>30014885051.415199</v>
      </c>
      <c r="AY4" s="6">
        <v>2675009553987.79</v>
      </c>
      <c r="AZ4" s="6">
        <v>2242876211952.6899</v>
      </c>
      <c r="BA4" s="6">
        <v>717627977462.26294</v>
      </c>
      <c r="BB4" s="2">
        <v>97845.604999999996</v>
      </c>
      <c r="BC4" s="2">
        <v>862048.70900000003</v>
      </c>
      <c r="BD4" s="2">
        <v>441422.93699999998</v>
      </c>
      <c r="BE4" s="2">
        <v>871370.01399999997</v>
      </c>
      <c r="BF4" s="2">
        <v>3824.1610000000001</v>
      </c>
      <c r="BG4" s="2">
        <v>31703.718000000001</v>
      </c>
      <c r="BH4" s="2">
        <v>2141300.1889999998</v>
      </c>
      <c r="BI4" s="2">
        <v>470032.88500000001</v>
      </c>
      <c r="BJ4" s="2">
        <v>1433702.1469999901</v>
      </c>
      <c r="BK4" s="2">
        <v>341425.10399999999</v>
      </c>
      <c r="BL4" s="2">
        <v>495502.66099999897</v>
      </c>
      <c r="BM4" s="2">
        <v>328284.00699999998</v>
      </c>
      <c r="BN4" s="2">
        <v>247089.62700000001</v>
      </c>
      <c r="BO4" s="2">
        <v>18110.887999999999</v>
      </c>
      <c r="BP4" s="2">
        <v>361011.07299999997</v>
      </c>
      <c r="BQ4" s="2">
        <v>269522.07399999897</v>
      </c>
      <c r="BR4" s="2">
        <v>98405.337</v>
      </c>
    </row>
    <row r="5" spans="1:70" x14ac:dyDescent="0.3">
      <c r="A5" s="27"/>
      <c r="B5" s="3">
        <v>1992</v>
      </c>
      <c r="C5" s="6">
        <v>321092.18870631704</v>
      </c>
      <c r="D5" s="6">
        <v>2713280.8260958404</v>
      </c>
      <c r="E5" s="6">
        <v>1177372.0676768001</v>
      </c>
      <c r="F5" s="6">
        <v>2205465.0503112003</v>
      </c>
      <c r="G5" s="6">
        <v>12957.341083609002</v>
      </c>
      <c r="H5" s="6">
        <v>112244.28550481802</v>
      </c>
      <c r="I5" s="6">
        <v>5484641.9326276723</v>
      </c>
      <c r="J5" s="6">
        <v>996489.83691906859</v>
      </c>
      <c r="K5" s="6">
        <v>3526821.2937485077</v>
      </c>
      <c r="L5" s="6">
        <v>985980.64460233413</v>
      </c>
      <c r="M5" s="6">
        <v>1275412.214370107</v>
      </c>
      <c r="N5" s="6">
        <v>1020478.7262494948</v>
      </c>
      <c r="O5" s="6">
        <v>478803.52604773961</v>
      </c>
      <c r="P5" s="6">
        <v>22566.565129474995</v>
      </c>
      <c r="Q5" s="6">
        <v>769328.16160703485</v>
      </c>
      <c r="R5" s="6">
        <v>624591.45730218478</v>
      </c>
      <c r="S5" s="6">
        <v>310412.8825892898</v>
      </c>
      <c r="T5" s="6">
        <v>43747962</v>
      </c>
      <c r="U5" s="6">
        <v>1170770500</v>
      </c>
      <c r="V5" s="6">
        <v>124425000</v>
      </c>
      <c r="W5" s="6">
        <v>148538197</v>
      </c>
      <c r="X5" s="6">
        <v>2167790</v>
      </c>
      <c r="Y5" s="6">
        <v>21750911</v>
      </c>
      <c r="Z5" s="6">
        <v>285342295</v>
      </c>
      <c r="AA5" s="6">
        <v>453484566</v>
      </c>
      <c r="AB5" s="6">
        <v>440113356</v>
      </c>
      <c r="AC5" s="6">
        <v>129877934</v>
      </c>
      <c r="AD5" s="6">
        <v>147554695</v>
      </c>
      <c r="AE5" s="6">
        <v>295864932</v>
      </c>
      <c r="AF5" s="6">
        <v>516567881</v>
      </c>
      <c r="AG5" s="6">
        <v>12672729</v>
      </c>
      <c r="AH5" s="6">
        <v>1180621418</v>
      </c>
      <c r="AI5" s="6">
        <v>383346097</v>
      </c>
      <c r="AJ5" s="6">
        <v>21010335</v>
      </c>
      <c r="AK5" s="6">
        <v>726806359900.87598</v>
      </c>
      <c r="AL5" s="6">
        <v>2567752072339.0298</v>
      </c>
      <c r="AM5" s="6">
        <v>4549428746903.5703</v>
      </c>
      <c r="AN5" s="6">
        <v>3559754243605.25</v>
      </c>
      <c r="AO5" s="6">
        <v>11542370967.683599</v>
      </c>
      <c r="AP5" s="6">
        <v>17383216046.058399</v>
      </c>
      <c r="AQ5" s="6">
        <v>12562834582326.301</v>
      </c>
      <c r="AR5" s="6">
        <v>5345851476526.0996</v>
      </c>
      <c r="AS5" s="6">
        <v>15929652962935.4</v>
      </c>
      <c r="AT5" s="6">
        <v>1665822919412.47</v>
      </c>
      <c r="AU5" s="6">
        <v>1595111031388.3501</v>
      </c>
      <c r="AV5" s="6">
        <v>3381853682717.5</v>
      </c>
      <c r="AW5" s="6">
        <v>1876814065697.71</v>
      </c>
      <c r="AX5" s="6">
        <v>31989720309.6035</v>
      </c>
      <c r="AY5" s="6">
        <v>2828896832965</v>
      </c>
      <c r="AZ5" s="6">
        <v>2385792564809.8398</v>
      </c>
      <c r="BA5" s="6">
        <v>721403782715.97803</v>
      </c>
      <c r="BB5" s="2">
        <v>111375.974</v>
      </c>
      <c r="BC5" s="2">
        <v>893025.12399999995</v>
      </c>
      <c r="BD5" s="2">
        <v>451223.41100000002</v>
      </c>
      <c r="BE5" s="2">
        <v>795730.56200000003</v>
      </c>
      <c r="BF5" s="2">
        <v>3342.886</v>
      </c>
      <c r="BG5" s="2">
        <v>27712.95</v>
      </c>
      <c r="BH5" s="2">
        <v>2185011.43599999</v>
      </c>
      <c r="BI5" s="2">
        <v>482108.20500000002</v>
      </c>
      <c r="BJ5" s="2">
        <v>1422061.7509999999</v>
      </c>
      <c r="BK5" s="2">
        <v>312242.26199999999</v>
      </c>
      <c r="BL5" s="2">
        <v>437820.09499999997</v>
      </c>
      <c r="BM5" s="2">
        <v>359486.93799999898</v>
      </c>
      <c r="BN5" s="2">
        <v>248067.41099999999</v>
      </c>
      <c r="BO5" s="2">
        <v>18903.571</v>
      </c>
      <c r="BP5" s="2">
        <v>375614.44199999998</v>
      </c>
      <c r="BQ5" s="2">
        <v>285360.18099999998</v>
      </c>
      <c r="BR5" s="2">
        <v>100283.667</v>
      </c>
    </row>
    <row r="6" spans="1:70" x14ac:dyDescent="0.3">
      <c r="A6" s="27"/>
      <c r="B6" s="3">
        <v>1993</v>
      </c>
      <c r="C6" s="6">
        <v>349635.312394323</v>
      </c>
      <c r="D6" s="6">
        <v>2934645.1603470109</v>
      </c>
      <c r="E6" s="6">
        <v>1169827.6179620996</v>
      </c>
      <c r="F6" s="6">
        <v>2012962.4902572003</v>
      </c>
      <c r="G6" s="6">
        <v>11937.255400437001</v>
      </c>
      <c r="H6" s="6">
        <v>104007.01992451299</v>
      </c>
      <c r="I6" s="6">
        <v>5603056.8096259395</v>
      </c>
      <c r="J6" s="6">
        <v>1029878.1006014002</v>
      </c>
      <c r="K6" s="6">
        <v>3471941.2250395268</v>
      </c>
      <c r="L6" s="6">
        <v>955970.86946763122</v>
      </c>
      <c r="M6" s="6">
        <v>1114426.1510702651</v>
      </c>
      <c r="N6" s="6">
        <v>1074708.4173423341</v>
      </c>
      <c r="O6" s="6">
        <v>478621.92433880758</v>
      </c>
      <c r="P6" s="6">
        <v>26303.315289373277</v>
      </c>
      <c r="Q6" s="6">
        <v>809046.76559936628</v>
      </c>
      <c r="R6" s="6">
        <v>677597.99247088702</v>
      </c>
      <c r="S6" s="6">
        <v>314345.14024335978</v>
      </c>
      <c r="T6" s="6">
        <v>44194628</v>
      </c>
      <c r="U6" s="6">
        <v>1184341000</v>
      </c>
      <c r="V6" s="6">
        <v>124829000</v>
      </c>
      <c r="W6" s="6">
        <v>148458777</v>
      </c>
      <c r="X6" s="6">
        <v>2165130</v>
      </c>
      <c r="Y6" s="6">
        <v>22073352</v>
      </c>
      <c r="Z6" s="6">
        <v>289066123</v>
      </c>
      <c r="AA6" s="6">
        <v>461533132</v>
      </c>
      <c r="AB6" s="6">
        <v>442800797</v>
      </c>
      <c r="AC6" s="6">
        <v>129477709</v>
      </c>
      <c r="AD6" s="6">
        <v>149904165</v>
      </c>
      <c r="AE6" s="6">
        <v>302603096</v>
      </c>
      <c r="AF6" s="6">
        <v>531102032</v>
      </c>
      <c r="AG6" s="6">
        <v>13301441</v>
      </c>
      <c r="AH6" s="6">
        <v>1206276498</v>
      </c>
      <c r="AI6" s="6">
        <v>390445055</v>
      </c>
      <c r="AJ6" s="6">
        <v>21207008</v>
      </c>
      <c r="AK6" s="6">
        <v>777644414581.85095</v>
      </c>
      <c r="AL6" s="6">
        <v>2909773891317.5498</v>
      </c>
      <c r="AM6" s="6">
        <v>4528536873121.0195</v>
      </c>
      <c r="AN6" s="6">
        <v>3251175510900.7598</v>
      </c>
      <c r="AO6" s="6">
        <v>11176617291.757799</v>
      </c>
      <c r="AP6" s="6">
        <v>16604637065.824499</v>
      </c>
      <c r="AQ6" s="6">
        <v>12907496451553.9</v>
      </c>
      <c r="AR6" s="6">
        <v>5597628965190.4697</v>
      </c>
      <c r="AS6" s="6">
        <v>15972131985504.199</v>
      </c>
      <c r="AT6" s="6">
        <v>1669082017550.26</v>
      </c>
      <c r="AU6" s="6">
        <v>1395377663399.9399</v>
      </c>
      <c r="AV6" s="6">
        <v>3461177646453.6299</v>
      </c>
      <c r="AW6" s="6">
        <v>1849311525643.5701</v>
      </c>
      <c r="AX6" s="6">
        <v>33473499620.378799</v>
      </c>
      <c r="AY6" s="6">
        <v>2951962957790.7002</v>
      </c>
      <c r="AZ6" s="6">
        <v>2553838184339.5098</v>
      </c>
      <c r="BA6" s="6">
        <v>752987896383.25806</v>
      </c>
      <c r="BB6" s="2">
        <v>124844.00599999999</v>
      </c>
      <c r="BC6" s="2">
        <v>944793.29700000002</v>
      </c>
      <c r="BD6" s="2">
        <v>453936.86499999999</v>
      </c>
      <c r="BE6" s="2">
        <v>751218.69099999999</v>
      </c>
      <c r="BF6" s="2">
        <v>3123.808</v>
      </c>
      <c r="BG6" s="2">
        <v>25488.827000000001</v>
      </c>
      <c r="BH6" s="2">
        <v>2226733.557</v>
      </c>
      <c r="BI6" s="2">
        <v>485746.45799999998</v>
      </c>
      <c r="BJ6" s="2">
        <v>1426881.1359999999</v>
      </c>
      <c r="BK6" s="2">
        <v>308299.30200000003</v>
      </c>
      <c r="BL6" s="2">
        <v>388385.59100000001</v>
      </c>
      <c r="BM6" s="2">
        <v>383542.34899999999</v>
      </c>
      <c r="BN6" s="2">
        <v>256661.84699999899</v>
      </c>
      <c r="BO6" s="2">
        <v>20510.416000000001</v>
      </c>
      <c r="BP6" s="2">
        <v>388030.30499999999</v>
      </c>
      <c r="BQ6" s="2">
        <v>306769.641</v>
      </c>
      <c r="BR6" s="2">
        <v>105514.72</v>
      </c>
    </row>
    <row r="7" spans="1:70" x14ac:dyDescent="0.3">
      <c r="A7" s="27"/>
      <c r="B7" s="3">
        <v>1994</v>
      </c>
      <c r="C7" s="6">
        <v>377449.76610086701</v>
      </c>
      <c r="D7" s="6">
        <v>3085058.8514091549</v>
      </c>
      <c r="E7" s="6">
        <v>1223346.4208354002</v>
      </c>
      <c r="F7" s="6">
        <v>1814911.8665441999</v>
      </c>
      <c r="G7" s="6">
        <v>10406.290506082998</v>
      </c>
      <c r="H7" s="6">
        <v>95190.123471344035</v>
      </c>
      <c r="I7" s="6">
        <v>5703237.0550328065</v>
      </c>
      <c r="J7" s="6">
        <v>1093035.9005035067</v>
      </c>
      <c r="K7" s="6">
        <v>3476457.8363585398</v>
      </c>
      <c r="L7" s="6">
        <v>919653.7545534469</v>
      </c>
      <c r="M7" s="6">
        <v>962199.14094608999</v>
      </c>
      <c r="N7" s="6">
        <v>1161081.1988364104</v>
      </c>
      <c r="O7" s="6">
        <v>481841.50763703627</v>
      </c>
      <c r="P7" s="6">
        <v>30821.812239519986</v>
      </c>
      <c r="Q7" s="6">
        <v>857759.75831333699</v>
      </c>
      <c r="R7" s="6">
        <v>731162.66123095911</v>
      </c>
      <c r="S7" s="6">
        <v>320281.20333359001</v>
      </c>
      <c r="T7" s="6">
        <v>44641540</v>
      </c>
      <c r="U7" s="6">
        <v>1197870400</v>
      </c>
      <c r="V7" s="6">
        <v>125178000</v>
      </c>
      <c r="W7" s="6">
        <v>148407912</v>
      </c>
      <c r="X7" s="6">
        <v>2189395</v>
      </c>
      <c r="Y7" s="6">
        <v>22393975</v>
      </c>
      <c r="Z7" s="6">
        <v>292594524</v>
      </c>
      <c r="AA7" s="6">
        <v>469500872</v>
      </c>
      <c r="AB7" s="6">
        <v>445145911</v>
      </c>
      <c r="AC7" s="6">
        <v>129286564</v>
      </c>
      <c r="AD7" s="6">
        <v>151281889</v>
      </c>
      <c r="AE7" s="6">
        <v>309232193</v>
      </c>
      <c r="AF7" s="6">
        <v>545286694</v>
      </c>
      <c r="AG7" s="6">
        <v>14048382</v>
      </c>
      <c r="AH7" s="6">
        <v>1232053600</v>
      </c>
      <c r="AI7" s="6">
        <v>397464561</v>
      </c>
      <c r="AJ7" s="6">
        <v>21425468</v>
      </c>
      <c r="AK7" s="6">
        <v>850523972035.44397</v>
      </c>
      <c r="AL7" s="6">
        <v>3275033836176.98</v>
      </c>
      <c r="AM7" s="6">
        <v>4577598279647.3203</v>
      </c>
      <c r="AN7" s="6">
        <v>2842510682692.02</v>
      </c>
      <c r="AO7" s="6">
        <v>11415169077.0896</v>
      </c>
      <c r="AP7" s="6">
        <v>16254156382.2735</v>
      </c>
      <c r="AQ7" s="6">
        <v>13432827730166.301</v>
      </c>
      <c r="AR7" s="6">
        <v>5898075898695.4404</v>
      </c>
      <c r="AS7" s="6">
        <v>16375676789964.699</v>
      </c>
      <c r="AT7" s="6">
        <v>1730170845331</v>
      </c>
      <c r="AU7" s="6">
        <v>1130002556504.8</v>
      </c>
      <c r="AV7" s="6">
        <v>3554480870005.7402</v>
      </c>
      <c r="AW7" s="6">
        <v>1864973720375.8701</v>
      </c>
      <c r="AX7" s="6">
        <v>26154493109.0079</v>
      </c>
      <c r="AY7" s="6">
        <v>3128417904079.9199</v>
      </c>
      <c r="AZ7" s="6">
        <v>2747664152839.8999</v>
      </c>
      <c r="BA7" s="6">
        <v>784188106730.30896</v>
      </c>
      <c r="BB7" s="2">
        <v>132540.663</v>
      </c>
      <c r="BC7" s="2">
        <v>990029.38500000001</v>
      </c>
      <c r="BD7" s="2">
        <v>478664.54700000002</v>
      </c>
      <c r="BE7" s="2">
        <v>657041.37100000004</v>
      </c>
      <c r="BF7" s="2">
        <v>2695.9780000000001</v>
      </c>
      <c r="BG7" s="2">
        <v>23308.618999999999</v>
      </c>
      <c r="BH7" s="2">
        <v>2271729.8309999998</v>
      </c>
      <c r="BI7" s="2">
        <v>512782.70699999999</v>
      </c>
      <c r="BJ7" s="2">
        <v>1430967.7339999999</v>
      </c>
      <c r="BK7" s="2">
        <v>293212.26299999998</v>
      </c>
      <c r="BL7" s="2">
        <v>341578.25900000002</v>
      </c>
      <c r="BM7" s="2">
        <v>410723.52899999998</v>
      </c>
      <c r="BN7" s="2">
        <v>261528.91</v>
      </c>
      <c r="BO7" s="2">
        <v>20524.894</v>
      </c>
      <c r="BP7" s="2">
        <v>405621.413</v>
      </c>
      <c r="BQ7" s="2">
        <v>322156.56800000003</v>
      </c>
      <c r="BR7" s="2">
        <v>106114.507</v>
      </c>
    </row>
    <row r="8" spans="1:70" x14ac:dyDescent="0.3">
      <c r="A8" s="27"/>
      <c r="B8" s="3">
        <v>1995</v>
      </c>
      <c r="C8" s="6">
        <v>407088.32865010411</v>
      </c>
      <c r="D8" s="6">
        <v>3404402.5325543024</v>
      </c>
      <c r="E8" s="6">
        <v>1233224.2879424</v>
      </c>
      <c r="F8" s="6">
        <v>1768562.1502159999</v>
      </c>
      <c r="G8" s="6">
        <v>10343.856822975999</v>
      </c>
      <c r="H8" s="6">
        <v>89100.934482063007</v>
      </c>
      <c r="I8" s="6">
        <v>5769303.0087698111</v>
      </c>
      <c r="J8" s="6">
        <v>1110071.3267776107</v>
      </c>
      <c r="K8" s="6">
        <v>3531993.7262651348</v>
      </c>
      <c r="L8" s="6">
        <v>930359.48030135396</v>
      </c>
      <c r="M8" s="6">
        <v>910528.40689613705</v>
      </c>
      <c r="N8" s="6">
        <v>1194933.8941411446</v>
      </c>
      <c r="O8" s="6">
        <v>512119.89899110317</v>
      </c>
      <c r="P8" s="6">
        <v>36266.532295608005</v>
      </c>
      <c r="Q8" s="6">
        <v>920512.06693008402</v>
      </c>
      <c r="R8" s="6">
        <v>800344.77001825883</v>
      </c>
      <c r="S8" s="6">
        <v>331507.60563975986</v>
      </c>
      <c r="T8" s="6">
        <v>45092991</v>
      </c>
      <c r="U8" s="6">
        <v>1211011100</v>
      </c>
      <c r="V8" s="6">
        <v>125472000</v>
      </c>
      <c r="W8" s="6">
        <v>148375787</v>
      </c>
      <c r="X8" s="6">
        <v>2224945</v>
      </c>
      <c r="Y8" s="6">
        <v>22669304</v>
      </c>
      <c r="Z8" s="6">
        <v>296054001</v>
      </c>
      <c r="AA8" s="6">
        <v>477446311</v>
      </c>
      <c r="AB8" s="6">
        <v>447323255</v>
      </c>
      <c r="AC8" s="6">
        <v>129143618</v>
      </c>
      <c r="AD8" s="6">
        <v>151876925</v>
      </c>
      <c r="AE8" s="6">
        <v>316208257</v>
      </c>
      <c r="AF8" s="6">
        <v>559832338</v>
      </c>
      <c r="AG8" s="6">
        <v>14947906</v>
      </c>
      <c r="AH8" s="6">
        <v>1258097812</v>
      </c>
      <c r="AI8" s="6">
        <v>404530176</v>
      </c>
      <c r="AJ8" s="6">
        <v>21678282</v>
      </c>
      <c r="AK8" s="6">
        <v>933330082275.69495</v>
      </c>
      <c r="AL8" s="6">
        <v>3616624820017.5601</v>
      </c>
      <c r="AM8" s="6">
        <v>4698034872826.1104</v>
      </c>
      <c r="AN8" s="6">
        <v>2724730445132.1299</v>
      </c>
      <c r="AO8" s="6">
        <v>12143048987.256701</v>
      </c>
      <c r="AP8" s="6">
        <v>15543136577.1726</v>
      </c>
      <c r="AQ8" s="6">
        <v>13793397715737.1</v>
      </c>
      <c r="AR8" s="6">
        <v>5946430693318.3398</v>
      </c>
      <c r="AS8" s="6">
        <v>16841670302318.6</v>
      </c>
      <c r="AT8" s="6">
        <v>1901774928220.77</v>
      </c>
      <c r="AU8" s="6">
        <v>1018273838596.9399</v>
      </c>
      <c r="AV8" s="6">
        <v>3657494059076.3901</v>
      </c>
      <c r="AW8" s="6">
        <v>1922889671660.5801</v>
      </c>
      <c r="AX8" s="6">
        <v>28431443916.111599</v>
      </c>
      <c r="AY8" s="6">
        <v>3343466665167.8799</v>
      </c>
      <c r="AZ8" s="6">
        <v>2958478504836.4102</v>
      </c>
      <c r="BA8" s="6">
        <v>815645237413.67297</v>
      </c>
      <c r="BB8" s="2">
        <v>145844.16699999999</v>
      </c>
      <c r="BC8" s="2">
        <v>1062594.3770000001</v>
      </c>
      <c r="BD8" s="2">
        <v>491307.96299999999</v>
      </c>
      <c r="BE8" s="2">
        <v>636759.66899999999</v>
      </c>
      <c r="BF8" s="2">
        <v>2680.4360000000001</v>
      </c>
      <c r="BG8" s="2">
        <v>21984.934000000001</v>
      </c>
      <c r="BH8" s="2">
        <v>2300833.318</v>
      </c>
      <c r="BI8" s="2">
        <v>516587.14600000001</v>
      </c>
      <c r="BJ8" s="2">
        <v>1471349.7620000001</v>
      </c>
      <c r="BK8" s="2">
        <v>306055.2</v>
      </c>
      <c r="BL8" s="2">
        <v>322310.58999999898</v>
      </c>
      <c r="BM8" s="2">
        <v>422901.14500000002</v>
      </c>
      <c r="BN8" s="2">
        <v>272921.75199999998</v>
      </c>
      <c r="BO8" s="2">
        <v>24736.14</v>
      </c>
      <c r="BP8" s="2">
        <v>429329.83299999998</v>
      </c>
      <c r="BQ8" s="2">
        <v>344323.38500000001</v>
      </c>
      <c r="BR8" s="2">
        <v>107543.27499999999</v>
      </c>
    </row>
    <row r="9" spans="1:70" x14ac:dyDescent="0.3">
      <c r="A9" s="27"/>
      <c r="B9" s="3">
        <v>1996</v>
      </c>
      <c r="C9" s="6">
        <v>436496.61968338996</v>
      </c>
      <c r="D9" s="6">
        <v>3376352.721545619</v>
      </c>
      <c r="E9" s="6">
        <v>1246029.0392773005</v>
      </c>
      <c r="F9" s="6">
        <v>1727191.3837546001</v>
      </c>
      <c r="G9" s="6">
        <v>8742.7978769540005</v>
      </c>
      <c r="H9" s="6">
        <v>79057.979687368992</v>
      </c>
      <c r="I9" s="6">
        <v>5938551.0536294542</v>
      </c>
      <c r="J9" s="6">
        <v>1185727.6757260952</v>
      </c>
      <c r="K9" s="6">
        <v>3640655.2406890048</v>
      </c>
      <c r="L9" s="6">
        <v>968421.90152690595</v>
      </c>
      <c r="M9" s="6">
        <v>813741.6148070459</v>
      </c>
      <c r="N9" s="6">
        <v>1231365.3230477062</v>
      </c>
      <c r="O9" s="6">
        <v>546038.70025465393</v>
      </c>
      <c r="P9" s="6">
        <v>40833.908541843979</v>
      </c>
      <c r="Q9" s="6">
        <v>964846.4118190041</v>
      </c>
      <c r="R9" s="6">
        <v>860502.66366652492</v>
      </c>
      <c r="S9" s="6">
        <v>342482.0817876599</v>
      </c>
      <c r="T9" s="6">
        <v>45524681</v>
      </c>
      <c r="U9" s="6">
        <v>1223985500</v>
      </c>
      <c r="V9" s="6">
        <v>125757000</v>
      </c>
      <c r="W9" s="6">
        <v>148160129</v>
      </c>
      <c r="X9" s="6">
        <v>2259507</v>
      </c>
      <c r="Y9" s="6">
        <v>22895746</v>
      </c>
      <c r="Z9" s="6">
        <v>299485254</v>
      </c>
      <c r="AA9" s="6">
        <v>485330003</v>
      </c>
      <c r="AB9" s="6">
        <v>449387090</v>
      </c>
      <c r="AC9" s="6">
        <v>129083967</v>
      </c>
      <c r="AD9" s="6">
        <v>152356459</v>
      </c>
      <c r="AE9" s="6">
        <v>323099229</v>
      </c>
      <c r="AF9" s="6">
        <v>575059391</v>
      </c>
      <c r="AG9" s="6">
        <v>15846948</v>
      </c>
      <c r="AH9" s="6">
        <v>1284555740</v>
      </c>
      <c r="AI9" s="6">
        <v>411766189</v>
      </c>
      <c r="AJ9" s="6">
        <v>21956767</v>
      </c>
      <c r="AK9" s="6">
        <v>1007907167538.05</v>
      </c>
      <c r="AL9" s="6">
        <v>3964084087028.2998</v>
      </c>
      <c r="AM9" s="6">
        <v>4845265224933.8398</v>
      </c>
      <c r="AN9" s="6">
        <v>2622414924909.29</v>
      </c>
      <c r="AO9" s="6">
        <v>12414457527.570299</v>
      </c>
      <c r="AP9" s="6">
        <v>15022053609.3538</v>
      </c>
      <c r="AQ9" s="6">
        <v>14288379271470.1</v>
      </c>
      <c r="AR9" s="6">
        <v>6185211724211</v>
      </c>
      <c r="AS9" s="6">
        <v>17198055827354.1</v>
      </c>
      <c r="AT9" s="6">
        <v>1993686671216.4299</v>
      </c>
      <c r="AU9" s="6">
        <v>968642866629.93298</v>
      </c>
      <c r="AV9" s="6">
        <v>3851820957195.04</v>
      </c>
      <c r="AW9" s="6">
        <v>2021929965084.79</v>
      </c>
      <c r="AX9" s="6">
        <v>30228518452.595501</v>
      </c>
      <c r="AY9" s="6">
        <v>3569874473627.7202</v>
      </c>
      <c r="AZ9" s="6">
        <v>3169499704069.5698</v>
      </c>
      <c r="BA9" s="6">
        <v>846871644971.82495</v>
      </c>
      <c r="BB9" s="2">
        <v>157557.375</v>
      </c>
      <c r="BC9" s="2">
        <v>1088325.6340000001</v>
      </c>
      <c r="BD9" s="2">
        <v>501830.04</v>
      </c>
      <c r="BE9" s="2">
        <v>630361.04700000002</v>
      </c>
      <c r="BF9" s="2">
        <v>2255.473</v>
      </c>
      <c r="BG9" s="2">
        <v>19330.780999999999</v>
      </c>
      <c r="BH9" s="2">
        <v>2351460.801</v>
      </c>
      <c r="BI9" s="2">
        <v>539954.86199999996</v>
      </c>
      <c r="BJ9" s="2">
        <v>1525014.3640000001</v>
      </c>
      <c r="BK9" s="2">
        <v>318750.74400000001</v>
      </c>
      <c r="BL9" s="2">
        <v>299759.56999999902</v>
      </c>
      <c r="BM9" s="2">
        <v>430846.54099999898</v>
      </c>
      <c r="BN9" s="2">
        <v>282353.34600000002</v>
      </c>
      <c r="BO9" s="2">
        <v>26027.8479999999</v>
      </c>
      <c r="BP9" s="2">
        <v>445743.16</v>
      </c>
      <c r="BQ9" s="2">
        <v>365032.43400000001</v>
      </c>
      <c r="BR9" s="2">
        <v>114534.609</v>
      </c>
    </row>
    <row r="10" spans="1:70" x14ac:dyDescent="0.3">
      <c r="A10" s="27"/>
      <c r="B10" s="3">
        <v>1997</v>
      </c>
      <c r="C10" s="6">
        <v>458862.69405728002</v>
      </c>
      <c r="D10" s="6">
        <v>3471729.4627687992</v>
      </c>
      <c r="E10" s="6">
        <v>1231696.7640262002</v>
      </c>
      <c r="F10" s="6">
        <v>1607381.1016698</v>
      </c>
      <c r="G10" s="6">
        <v>8569.3156928569988</v>
      </c>
      <c r="H10" s="6">
        <v>76671.965872618006</v>
      </c>
      <c r="I10" s="6">
        <v>6227975.9007020602</v>
      </c>
      <c r="J10" s="6">
        <v>1252429.9233571531</v>
      </c>
      <c r="K10" s="6">
        <v>3588436.1971742194</v>
      </c>
      <c r="L10" s="6">
        <v>946912.80198108731</v>
      </c>
      <c r="M10" s="6">
        <v>776129.94874603022</v>
      </c>
      <c r="N10" s="6">
        <v>1288349.1946268308</v>
      </c>
      <c r="O10" s="6">
        <v>561018.3269646524</v>
      </c>
      <c r="P10" s="6">
        <v>46932.465554187002</v>
      </c>
      <c r="Q10" s="6">
        <v>1014005.0890316919</v>
      </c>
      <c r="R10" s="6">
        <v>920270.39020338585</v>
      </c>
      <c r="S10" s="6">
        <v>353715.19606985996</v>
      </c>
      <c r="T10" s="6">
        <v>45953580</v>
      </c>
      <c r="U10" s="6">
        <v>1236564300</v>
      </c>
      <c r="V10" s="6">
        <v>126057000</v>
      </c>
      <c r="W10" s="6">
        <v>147915361</v>
      </c>
      <c r="X10" s="6">
        <v>2291750</v>
      </c>
      <c r="Y10" s="6">
        <v>23110830</v>
      </c>
      <c r="Z10" s="6">
        <v>303052655</v>
      </c>
      <c r="AA10" s="6">
        <v>493156466</v>
      </c>
      <c r="AB10" s="6">
        <v>451331585</v>
      </c>
      <c r="AC10" s="6">
        <v>128990732</v>
      </c>
      <c r="AD10" s="6">
        <v>152702465</v>
      </c>
      <c r="AE10" s="6">
        <v>330134532</v>
      </c>
      <c r="AF10" s="6">
        <v>590392154</v>
      </c>
      <c r="AG10" s="6">
        <v>16722993</v>
      </c>
      <c r="AH10" s="6">
        <v>1311157702</v>
      </c>
      <c r="AI10" s="6">
        <v>419070574</v>
      </c>
      <c r="AJ10" s="6">
        <v>22204337</v>
      </c>
      <c r="AK10" s="6">
        <v>1071225837574.1801</v>
      </c>
      <c r="AL10" s="6">
        <v>4322065647798.5698</v>
      </c>
      <c r="AM10" s="6">
        <v>4892808359476.5898</v>
      </c>
      <c r="AN10" s="6">
        <v>2659126525923.5498</v>
      </c>
      <c r="AO10" s="6">
        <v>12898213380.3997</v>
      </c>
      <c r="AP10" s="6">
        <v>14048117411.3811</v>
      </c>
      <c r="AQ10" s="6">
        <v>14921731305904.4</v>
      </c>
      <c r="AR10" s="6">
        <v>6524808831128.5498</v>
      </c>
      <c r="AS10" s="6">
        <v>17756941214893.602</v>
      </c>
      <c r="AT10" s="6">
        <v>2043474328619.6001</v>
      </c>
      <c r="AU10" s="6">
        <v>973602269948.896</v>
      </c>
      <c r="AV10" s="6">
        <v>4027941298708.3301</v>
      </c>
      <c r="AW10" s="6">
        <v>2092010906976.1499</v>
      </c>
      <c r="AX10" s="6">
        <v>31797324659.2729</v>
      </c>
      <c r="AY10" s="6">
        <v>3703958926634.8198</v>
      </c>
      <c r="AZ10" s="6">
        <v>3279604885738.6201</v>
      </c>
      <c r="BA10" s="6">
        <v>877771388480.15601</v>
      </c>
      <c r="BB10" s="2">
        <v>168900.93799999999</v>
      </c>
      <c r="BC10" s="2">
        <v>1088457.264</v>
      </c>
      <c r="BD10" s="2">
        <v>507012.49599999998</v>
      </c>
      <c r="BE10" s="2">
        <v>602112.91500000004</v>
      </c>
      <c r="BF10" s="2">
        <v>2205.9540000000002</v>
      </c>
      <c r="BG10" s="2">
        <v>18414.923999999999</v>
      </c>
      <c r="BH10" s="2">
        <v>2374931.6009999998</v>
      </c>
      <c r="BI10" s="2">
        <v>563156.27500000002</v>
      </c>
      <c r="BJ10" s="2">
        <v>1520153.29699999</v>
      </c>
      <c r="BK10" s="2">
        <v>313134.93900000001</v>
      </c>
      <c r="BL10" s="2">
        <v>286973.36099999998</v>
      </c>
      <c r="BM10" s="2">
        <v>455996.40899999999</v>
      </c>
      <c r="BN10" s="2">
        <v>291153.79399999999</v>
      </c>
      <c r="BO10" s="2">
        <v>27904.304</v>
      </c>
      <c r="BP10" s="2">
        <v>463989.99800000002</v>
      </c>
      <c r="BQ10" s="2">
        <v>384893.826</v>
      </c>
      <c r="BR10" s="2">
        <v>117562.027</v>
      </c>
    </row>
    <row r="11" spans="1:70" x14ac:dyDescent="0.3">
      <c r="A11" s="27"/>
      <c r="B11" s="3">
        <v>1998</v>
      </c>
      <c r="C11" s="6">
        <v>393614.14552949008</v>
      </c>
      <c r="D11" s="6">
        <v>3564606.2480604448</v>
      </c>
      <c r="E11" s="6">
        <v>1184390.3865181003</v>
      </c>
      <c r="F11" s="6">
        <v>1613220.9352161998</v>
      </c>
      <c r="G11" s="6">
        <v>8596.3138291959986</v>
      </c>
      <c r="H11" s="6">
        <v>62868.572259763998</v>
      </c>
      <c r="I11" s="6">
        <v>6281934.6318257675</v>
      </c>
      <c r="J11" s="6">
        <v>1304115.2138315032</v>
      </c>
      <c r="K11" s="6">
        <v>3640966.7824457912</v>
      </c>
      <c r="L11" s="6">
        <v>895788.72777180118</v>
      </c>
      <c r="M11" s="6">
        <v>777044.59385427507</v>
      </c>
      <c r="N11" s="6">
        <v>1300422.1685783791</v>
      </c>
      <c r="O11" s="6">
        <v>564772.5721720641</v>
      </c>
      <c r="P11" s="6">
        <v>52432.275273541003</v>
      </c>
      <c r="Q11" s="6">
        <v>1038921.3619443866</v>
      </c>
      <c r="R11" s="6">
        <v>908266.20110252884</v>
      </c>
      <c r="S11" s="6">
        <v>372570.49844133999</v>
      </c>
      <c r="T11" s="6">
        <v>46286503</v>
      </c>
      <c r="U11" s="6">
        <v>1248478700</v>
      </c>
      <c r="V11" s="6">
        <v>126400000</v>
      </c>
      <c r="W11" s="6">
        <v>147670784</v>
      </c>
      <c r="X11" s="6">
        <v>2323809</v>
      </c>
      <c r="Y11" s="6">
        <v>23311564</v>
      </c>
      <c r="Z11" s="6">
        <v>306507357</v>
      </c>
      <c r="AA11" s="6">
        <v>500989840</v>
      </c>
      <c r="AB11" s="6">
        <v>453192778</v>
      </c>
      <c r="AC11" s="6">
        <v>128718120</v>
      </c>
      <c r="AD11" s="6">
        <v>153050558</v>
      </c>
      <c r="AE11" s="6">
        <v>337359109</v>
      </c>
      <c r="AF11" s="6">
        <v>606268459</v>
      </c>
      <c r="AG11" s="6">
        <v>17306439</v>
      </c>
      <c r="AH11" s="6">
        <v>1337928286</v>
      </c>
      <c r="AI11" s="6">
        <v>426507563</v>
      </c>
      <c r="AJ11" s="6">
        <v>22422584</v>
      </c>
      <c r="AK11" s="6">
        <v>1018318746032.03</v>
      </c>
      <c r="AL11" s="6">
        <v>4629112746651.9805</v>
      </c>
      <c r="AM11" s="6">
        <v>4830653522840.8398</v>
      </c>
      <c r="AN11" s="6">
        <v>2518193840446.2202</v>
      </c>
      <c r="AO11" s="6">
        <v>13329005529.754999</v>
      </c>
      <c r="AP11" s="6">
        <v>13921101691.709499</v>
      </c>
      <c r="AQ11" s="6">
        <v>15583059522611.9</v>
      </c>
      <c r="AR11" s="6">
        <v>6719084020758.7002</v>
      </c>
      <c r="AS11" s="6">
        <v>18284271965148.898</v>
      </c>
      <c r="AT11" s="6">
        <v>2100929484509.55</v>
      </c>
      <c r="AU11" s="6">
        <v>977725249400.66602</v>
      </c>
      <c r="AV11" s="6">
        <v>4221803212361.71</v>
      </c>
      <c r="AW11" s="6">
        <v>2145349480454.52</v>
      </c>
      <c r="AX11" s="6">
        <v>33190710284.715099</v>
      </c>
      <c r="AY11" s="6">
        <v>3908769128073.2002</v>
      </c>
      <c r="AZ11" s="6">
        <v>2999585583495.2998</v>
      </c>
      <c r="BA11" s="6">
        <v>913989075916.93701</v>
      </c>
      <c r="BB11" s="2">
        <v>156186.821</v>
      </c>
      <c r="BC11" s="2">
        <v>1096599.6029999999</v>
      </c>
      <c r="BD11" s="2">
        <v>497798.96600000001</v>
      </c>
      <c r="BE11" s="2">
        <v>588064.34299999999</v>
      </c>
      <c r="BF11" s="2">
        <v>2223.701</v>
      </c>
      <c r="BG11" s="2">
        <v>17184.524000000001</v>
      </c>
      <c r="BH11" s="2">
        <v>2391914.361</v>
      </c>
      <c r="BI11" s="2">
        <v>583720.46699999995</v>
      </c>
      <c r="BJ11" s="2">
        <v>1546380.118</v>
      </c>
      <c r="BK11" s="2">
        <v>300277.97399999999</v>
      </c>
      <c r="BL11" s="2">
        <v>280947.75</v>
      </c>
      <c r="BM11" s="2">
        <v>465015.52100000001</v>
      </c>
      <c r="BN11" s="2">
        <v>293401.51500000001</v>
      </c>
      <c r="BO11" s="2">
        <v>29779.884999999998</v>
      </c>
      <c r="BP11" s="2">
        <v>475371.53700000001</v>
      </c>
      <c r="BQ11" s="2">
        <v>378779.38899999898</v>
      </c>
      <c r="BR11" s="2">
        <v>119961.117</v>
      </c>
    </row>
    <row r="12" spans="1:70" x14ac:dyDescent="0.3">
      <c r="A12" s="27"/>
      <c r="B12" s="3">
        <v>1999</v>
      </c>
      <c r="C12" s="6">
        <v>430610.17626598</v>
      </c>
      <c r="D12" s="6">
        <v>3493310.8724653432</v>
      </c>
      <c r="E12" s="6">
        <v>1225171.5740601998</v>
      </c>
      <c r="F12" s="6">
        <v>1660911.2380100002</v>
      </c>
      <c r="G12" s="6">
        <v>8653.9361370000988</v>
      </c>
      <c r="H12" s="6">
        <v>68566.356122568992</v>
      </c>
      <c r="I12" s="6">
        <v>6310487.9560503131</v>
      </c>
      <c r="J12" s="6">
        <v>1293950.8186340218</v>
      </c>
      <c r="K12" s="6">
        <v>3618063.5416742959</v>
      </c>
      <c r="L12" s="6">
        <v>833794.8898191757</v>
      </c>
      <c r="M12" s="6">
        <v>765713.39856588782</v>
      </c>
      <c r="N12" s="6">
        <v>1346078.3666115154</v>
      </c>
      <c r="O12" s="6">
        <v>553427.82187205693</v>
      </c>
      <c r="P12" s="6">
        <v>53574.996124938902</v>
      </c>
      <c r="Q12" s="6">
        <v>1112775.8769083116</v>
      </c>
      <c r="R12" s="6">
        <v>951144.80479120696</v>
      </c>
      <c r="S12" s="6">
        <v>380162.1502200198</v>
      </c>
      <c r="T12" s="6">
        <v>46616677</v>
      </c>
      <c r="U12" s="6">
        <v>1259341500</v>
      </c>
      <c r="V12" s="6">
        <v>126631000</v>
      </c>
      <c r="W12" s="6">
        <v>147214776</v>
      </c>
      <c r="X12" s="6">
        <v>2356813</v>
      </c>
      <c r="Y12" s="6">
        <v>23497599</v>
      </c>
      <c r="Z12" s="6">
        <v>309947562</v>
      </c>
      <c r="AA12" s="6">
        <v>508748419</v>
      </c>
      <c r="AB12" s="6">
        <v>455199408</v>
      </c>
      <c r="AC12" s="6">
        <v>128335102</v>
      </c>
      <c r="AD12" s="6">
        <v>153601663</v>
      </c>
      <c r="AE12" s="6">
        <v>344767792</v>
      </c>
      <c r="AF12" s="6">
        <v>622587149</v>
      </c>
      <c r="AG12" s="6">
        <v>17606515</v>
      </c>
      <c r="AH12" s="6">
        <v>1364829186</v>
      </c>
      <c r="AI12" s="6">
        <v>433639198</v>
      </c>
      <c r="AJ12" s="6">
        <v>22647364</v>
      </c>
      <c r="AK12" s="6">
        <v>1136619512488.3999</v>
      </c>
      <c r="AL12" s="6">
        <v>4974680572165.9102</v>
      </c>
      <c r="AM12" s="6">
        <v>4814522523575.9805</v>
      </c>
      <c r="AN12" s="6">
        <v>2679356097999.8999</v>
      </c>
      <c r="AO12" s="6">
        <v>13738255184.9967</v>
      </c>
      <c r="AP12" s="6">
        <v>14767239847.0763</v>
      </c>
      <c r="AQ12" s="6">
        <v>16333979582060.4</v>
      </c>
      <c r="AR12" s="6">
        <v>6751585816163.5098</v>
      </c>
      <c r="AS12" s="6">
        <v>18774505642267.801</v>
      </c>
      <c r="AT12" s="6">
        <v>2129183330280.49</v>
      </c>
      <c r="AU12" s="6">
        <v>995738959083.34497</v>
      </c>
      <c r="AV12" s="6">
        <v>4345544444958.8198</v>
      </c>
      <c r="AW12" s="6">
        <v>2189380217134.76</v>
      </c>
      <c r="AX12" s="6">
        <v>36658934440.340202</v>
      </c>
      <c r="AY12" s="6">
        <v>4206940510975.02</v>
      </c>
      <c r="AZ12" s="6">
        <v>3094099309389.2998</v>
      </c>
      <c r="BA12" s="6">
        <v>960392731403.26294</v>
      </c>
      <c r="BB12" s="2">
        <v>170887.448</v>
      </c>
      <c r="BC12" s="2">
        <v>1119133.33699999</v>
      </c>
      <c r="BD12" s="2">
        <v>505792.56099999999</v>
      </c>
      <c r="BE12" s="2">
        <v>609137.51899999997</v>
      </c>
      <c r="BF12" s="2">
        <v>2226.752</v>
      </c>
      <c r="BG12" s="2">
        <v>18408.718000000001</v>
      </c>
      <c r="BH12" s="2">
        <v>2456798.2089999998</v>
      </c>
      <c r="BI12" s="2">
        <v>599353.94499999995</v>
      </c>
      <c r="BJ12" s="2">
        <v>1546612.584</v>
      </c>
      <c r="BK12" s="2">
        <v>281921.75599999999</v>
      </c>
      <c r="BL12" s="2">
        <v>278517.83500000002</v>
      </c>
      <c r="BM12" s="2">
        <v>482482.07299999997</v>
      </c>
      <c r="BN12" s="2">
        <v>297761.64899999998</v>
      </c>
      <c r="BO12" s="2">
        <v>30646.21</v>
      </c>
      <c r="BP12" s="2">
        <v>502890.826</v>
      </c>
      <c r="BQ12" s="2">
        <v>392231.84299999999</v>
      </c>
      <c r="BR12" s="2">
        <v>122794.227</v>
      </c>
    </row>
    <row r="13" spans="1:70" x14ac:dyDescent="0.3">
      <c r="A13" s="27"/>
      <c r="B13" s="3">
        <v>2000</v>
      </c>
      <c r="C13" s="6">
        <v>466403.11451197596</v>
      </c>
      <c r="D13" s="6">
        <v>3689778.2690802519</v>
      </c>
      <c r="E13" s="6">
        <v>1243576.7602013</v>
      </c>
      <c r="F13" s="6">
        <v>1681152.0951439</v>
      </c>
      <c r="G13" s="6">
        <v>9040.4927864619021</v>
      </c>
      <c r="H13" s="6">
        <v>73806.33290264399</v>
      </c>
      <c r="I13" s="6">
        <v>6497070.9808827555</v>
      </c>
      <c r="J13" s="6">
        <v>1333142.4197998734</v>
      </c>
      <c r="K13" s="6">
        <v>3664962.9851661101</v>
      </c>
      <c r="L13" s="6">
        <v>840541.73694853159</v>
      </c>
      <c r="M13" s="6">
        <v>772428.62269534182</v>
      </c>
      <c r="N13" s="6">
        <v>1407109.2219788793</v>
      </c>
      <c r="O13" s="6">
        <v>568324.42548670794</v>
      </c>
      <c r="P13" s="6">
        <v>59471.517720845914</v>
      </c>
      <c r="Q13" s="6">
        <v>1152686.6445321976</v>
      </c>
      <c r="R13" s="6">
        <v>989752.35586244694</v>
      </c>
      <c r="S13" s="6">
        <v>386893.79343244992</v>
      </c>
      <c r="T13" s="6">
        <v>47008111</v>
      </c>
      <c r="U13" s="6">
        <v>1269310000</v>
      </c>
      <c r="V13" s="6">
        <v>126843000</v>
      </c>
      <c r="W13" s="6">
        <v>146596869</v>
      </c>
      <c r="X13" s="6">
        <v>2388299</v>
      </c>
      <c r="Y13" s="6">
        <v>23665910</v>
      </c>
      <c r="Z13" s="6">
        <v>313359794</v>
      </c>
      <c r="AA13" s="6">
        <v>516277627</v>
      </c>
      <c r="AB13" s="6">
        <v>457445232</v>
      </c>
      <c r="AC13" s="6">
        <v>127646761</v>
      </c>
      <c r="AD13" s="6">
        <v>153992027</v>
      </c>
      <c r="AE13" s="6">
        <v>352552470</v>
      </c>
      <c r="AF13" s="6">
        <v>639184700</v>
      </c>
      <c r="AG13" s="6">
        <v>17893548</v>
      </c>
      <c r="AH13" s="6">
        <v>1392064609</v>
      </c>
      <c r="AI13" s="6">
        <v>440542431</v>
      </c>
      <c r="AJ13" s="6">
        <v>22886502</v>
      </c>
      <c r="AK13" s="6">
        <v>1241209630438.5</v>
      </c>
      <c r="AL13" s="6">
        <v>5399551228927.2803</v>
      </c>
      <c r="AM13" s="6">
        <v>4947627102634.0801</v>
      </c>
      <c r="AN13" s="6">
        <v>2947293497975.54</v>
      </c>
      <c r="AO13" s="6">
        <v>13895704125.968901</v>
      </c>
      <c r="AP13" s="6">
        <v>14828093396.879999</v>
      </c>
      <c r="AQ13" s="6">
        <v>17014998443529.9</v>
      </c>
      <c r="AR13" s="6">
        <v>6998646247281.8301</v>
      </c>
      <c r="AS13" s="6">
        <v>19553439273111.699</v>
      </c>
      <c r="AT13" s="6">
        <v>2215513684039.6602</v>
      </c>
      <c r="AU13" s="6">
        <v>1092991129118.5</v>
      </c>
      <c r="AV13" s="6">
        <v>4617157586037.6299</v>
      </c>
      <c r="AW13" s="6">
        <v>2260975381652.5801</v>
      </c>
      <c r="AX13" s="6">
        <v>39698196123.048798</v>
      </c>
      <c r="AY13" s="6">
        <v>4379549928430.2598</v>
      </c>
      <c r="AZ13" s="6">
        <v>3270244985108.48</v>
      </c>
      <c r="BA13" s="6">
        <v>996594842795.00305</v>
      </c>
      <c r="BB13" s="2">
        <v>185793.13500000001</v>
      </c>
      <c r="BC13" s="2">
        <v>1148088.1509999901</v>
      </c>
      <c r="BD13" s="2">
        <v>515874.98</v>
      </c>
      <c r="BE13" s="2">
        <v>619370.25</v>
      </c>
      <c r="BF13" s="2">
        <v>2394.2330000000002</v>
      </c>
      <c r="BG13" s="2">
        <v>19716.932000000001</v>
      </c>
      <c r="BH13" s="2">
        <v>2525241.68599999</v>
      </c>
      <c r="BI13" s="2">
        <v>603797.84600000002</v>
      </c>
      <c r="BJ13" s="2">
        <v>1566683.3859999999</v>
      </c>
      <c r="BK13" s="2">
        <v>282194.80599999998</v>
      </c>
      <c r="BL13" s="2">
        <v>278949.49900000001</v>
      </c>
      <c r="BM13" s="2">
        <v>495982.80499999999</v>
      </c>
      <c r="BN13" s="2">
        <v>293612.18300000002</v>
      </c>
      <c r="BO13" s="2">
        <v>33754.646000000001</v>
      </c>
      <c r="BP13" s="2">
        <v>516264.12900000002</v>
      </c>
      <c r="BQ13" s="2">
        <v>410656.05800000002</v>
      </c>
      <c r="BR13" s="2">
        <v>125340.18</v>
      </c>
    </row>
    <row r="14" spans="1:70" x14ac:dyDescent="0.3">
      <c r="A14" s="27"/>
      <c r="B14" s="3">
        <v>2001</v>
      </c>
      <c r="C14" s="6">
        <v>477110.97354202496</v>
      </c>
      <c r="D14" s="6">
        <v>3866914.7698392915</v>
      </c>
      <c r="E14" s="6">
        <v>1229989.4626205</v>
      </c>
      <c r="F14" s="6">
        <v>1684276.7952804998</v>
      </c>
      <c r="G14" s="6">
        <v>9012.3217267930995</v>
      </c>
      <c r="H14" s="6">
        <v>76673.024275567004</v>
      </c>
      <c r="I14" s="6">
        <v>6436885.7259263229</v>
      </c>
      <c r="J14" s="6">
        <v>1335077.6332571332</v>
      </c>
      <c r="K14" s="6">
        <v>3697764.2814055849</v>
      </c>
      <c r="L14" s="6">
        <v>856791.11179762613</v>
      </c>
      <c r="M14" s="6">
        <v>767748.95682981564</v>
      </c>
      <c r="N14" s="6">
        <v>1480690.3668242476</v>
      </c>
      <c r="O14" s="6">
        <v>588570.50154325482</v>
      </c>
      <c r="P14" s="6">
        <v>65308.369648517</v>
      </c>
      <c r="Q14" s="6">
        <v>1176570.9189771877</v>
      </c>
      <c r="R14" s="6">
        <v>1029906.3698209197</v>
      </c>
      <c r="S14" s="6">
        <v>395335.91023659002</v>
      </c>
      <c r="T14" s="6">
        <v>47370164</v>
      </c>
      <c r="U14" s="6">
        <v>1278564300</v>
      </c>
      <c r="V14" s="6">
        <v>127149000</v>
      </c>
      <c r="W14" s="6">
        <v>145976482</v>
      </c>
      <c r="X14" s="6">
        <v>2417751</v>
      </c>
      <c r="Y14" s="6">
        <v>23815358</v>
      </c>
      <c r="Z14" s="6">
        <v>316502971</v>
      </c>
      <c r="AA14" s="6">
        <v>523568696</v>
      </c>
      <c r="AB14" s="6">
        <v>459924387</v>
      </c>
      <c r="AC14" s="6">
        <v>126865365</v>
      </c>
      <c r="AD14" s="6">
        <v>154268911</v>
      </c>
      <c r="AE14" s="6">
        <v>360583862</v>
      </c>
      <c r="AF14" s="6">
        <v>656336244</v>
      </c>
      <c r="AG14" s="6">
        <v>18179966</v>
      </c>
      <c r="AH14" s="6">
        <v>1419419963</v>
      </c>
      <c r="AI14" s="6">
        <v>447435050</v>
      </c>
      <c r="AJ14" s="6">
        <v>23155201</v>
      </c>
      <c r="AK14" s="6">
        <v>1299868398274.03</v>
      </c>
      <c r="AL14" s="6">
        <v>5827808411223.8701</v>
      </c>
      <c r="AM14" s="6">
        <v>4966730060390.0801</v>
      </c>
      <c r="AN14" s="6">
        <v>3097606976144.77</v>
      </c>
      <c r="AO14" s="6">
        <v>14306004046.7735</v>
      </c>
      <c r="AP14" s="6">
        <v>15385051460.177601</v>
      </c>
      <c r="AQ14" s="6">
        <v>17191240286105.4</v>
      </c>
      <c r="AR14" s="6">
        <v>7017981046910.0703</v>
      </c>
      <c r="AS14" s="6">
        <v>19901016248976.301</v>
      </c>
      <c r="AT14" s="6">
        <v>2286211199563.0601</v>
      </c>
      <c r="AU14" s="6">
        <v>1181835451908.3501</v>
      </c>
      <c r="AV14" s="6">
        <v>4719198649807.4297</v>
      </c>
      <c r="AW14" s="6">
        <v>2357414902937.6699</v>
      </c>
      <c r="AX14" s="6">
        <v>42373824850.977898</v>
      </c>
      <c r="AY14" s="6">
        <v>4577154238990.8896</v>
      </c>
      <c r="AZ14" s="6">
        <v>3362639506758.71</v>
      </c>
      <c r="BA14" s="6">
        <v>1018749717779.65</v>
      </c>
      <c r="BB14" s="2">
        <v>185836.992</v>
      </c>
      <c r="BC14" s="2">
        <v>1185975.129</v>
      </c>
      <c r="BD14" s="2">
        <v>507338.00199999998</v>
      </c>
      <c r="BE14" s="2">
        <v>625933.772</v>
      </c>
      <c r="BF14" s="2">
        <v>2412.0349999999999</v>
      </c>
      <c r="BG14" s="2">
        <v>20369.48</v>
      </c>
      <c r="BH14" s="2">
        <v>2478366.017</v>
      </c>
      <c r="BI14" s="2">
        <v>604943.18099999998</v>
      </c>
      <c r="BJ14" s="2">
        <v>1595655.4720000001</v>
      </c>
      <c r="BK14" s="2">
        <v>290522.03200000001</v>
      </c>
      <c r="BL14" s="2">
        <v>276283.80200000003</v>
      </c>
      <c r="BM14" s="2">
        <v>537791.09600000002</v>
      </c>
      <c r="BN14" s="2">
        <v>296775.29399999999</v>
      </c>
      <c r="BO14" s="2">
        <v>35829.362999999998</v>
      </c>
      <c r="BP14" s="2">
        <v>525722.07799999998</v>
      </c>
      <c r="BQ14" s="2">
        <v>422438.74400000001</v>
      </c>
      <c r="BR14" s="2">
        <v>122819.516</v>
      </c>
    </row>
    <row r="15" spans="1:70" x14ac:dyDescent="0.3">
      <c r="A15" s="27"/>
      <c r="B15" s="3">
        <v>2002</v>
      </c>
      <c r="C15" s="6">
        <v>494470.37924260192</v>
      </c>
      <c r="D15" s="6">
        <v>4174024.3063440905</v>
      </c>
      <c r="E15" s="6">
        <v>1264500.8542479002</v>
      </c>
      <c r="F15" s="6">
        <v>1675294.6977253901</v>
      </c>
      <c r="G15" s="6">
        <v>9658.0318206360025</v>
      </c>
      <c r="H15" s="6">
        <v>73443.085852088974</v>
      </c>
      <c r="I15" s="6">
        <v>6300956.4443065161</v>
      </c>
      <c r="J15" s="6">
        <v>1340822.2933148351</v>
      </c>
      <c r="K15" s="6">
        <v>3696516.5328535992</v>
      </c>
      <c r="L15" s="6">
        <v>844662.49906196026</v>
      </c>
      <c r="M15" s="6">
        <v>790664.74983322085</v>
      </c>
      <c r="N15" s="6">
        <v>1535742.0689589237</v>
      </c>
      <c r="O15" s="6">
        <v>591070.90041995479</v>
      </c>
      <c r="P15" s="6">
        <v>76484.170552010022</v>
      </c>
      <c r="Q15" s="6">
        <v>1215732.0750960417</v>
      </c>
      <c r="R15" s="6">
        <v>1062324.3020551957</v>
      </c>
      <c r="S15" s="6">
        <v>403644.39849490998</v>
      </c>
      <c r="T15" s="6">
        <v>47644736</v>
      </c>
      <c r="U15" s="6">
        <v>1287144100</v>
      </c>
      <c r="V15" s="6">
        <v>127445000</v>
      </c>
      <c r="W15" s="6">
        <v>145306497</v>
      </c>
      <c r="X15" s="6">
        <v>2449027</v>
      </c>
      <c r="Y15" s="6">
        <v>23943973</v>
      </c>
      <c r="Z15" s="6">
        <v>319497793</v>
      </c>
      <c r="AA15" s="6">
        <v>530681757</v>
      </c>
      <c r="AB15" s="6">
        <v>462778793</v>
      </c>
      <c r="AC15" s="6">
        <v>126158241</v>
      </c>
      <c r="AD15" s="6">
        <v>155531091</v>
      </c>
      <c r="AE15" s="6">
        <v>368226417</v>
      </c>
      <c r="AF15" s="6">
        <v>674082131</v>
      </c>
      <c r="AG15" s="6">
        <v>18466130</v>
      </c>
      <c r="AH15" s="6">
        <v>1445807345</v>
      </c>
      <c r="AI15" s="6">
        <v>454091846</v>
      </c>
      <c r="AJ15" s="6">
        <v>23443710</v>
      </c>
      <c r="AK15" s="6">
        <v>1400530193429.29</v>
      </c>
      <c r="AL15" s="6">
        <v>6346233047551.0596</v>
      </c>
      <c r="AM15" s="6">
        <v>4968814224456.2197</v>
      </c>
      <c r="AN15" s="6">
        <v>3243194253400.6201</v>
      </c>
      <c r="AO15" s="6">
        <v>14983104137.638201</v>
      </c>
      <c r="AP15" s="6">
        <v>15569847318.0481</v>
      </c>
      <c r="AQ15" s="6">
        <v>17509111405202.301</v>
      </c>
      <c r="AR15" s="6">
        <v>7053628635170.7002</v>
      </c>
      <c r="AS15" s="6">
        <v>20152676623424.102</v>
      </c>
      <c r="AT15" s="6">
        <v>2372087286565.9102</v>
      </c>
      <c r="AU15" s="6">
        <v>1262466300697.4099</v>
      </c>
      <c r="AV15" s="6">
        <v>4827507995197.2998</v>
      </c>
      <c r="AW15" s="6">
        <v>2516882202715</v>
      </c>
      <c r="AX15" s="6">
        <v>44970909393.796204</v>
      </c>
      <c r="AY15" s="6">
        <v>4742856180959.3799</v>
      </c>
      <c r="AZ15" s="6">
        <v>3530247495611.6401</v>
      </c>
      <c r="BA15" s="6">
        <v>1060081429126.71</v>
      </c>
      <c r="BB15" s="2">
        <v>195032.603</v>
      </c>
      <c r="BC15" s="2">
        <v>1262919.2720000001</v>
      </c>
      <c r="BD15" s="2">
        <v>508877.70500000002</v>
      </c>
      <c r="BE15" s="2">
        <v>623283.446</v>
      </c>
      <c r="BF15" s="2">
        <v>2582.5390000000002</v>
      </c>
      <c r="BG15" s="2">
        <v>19565.580999999998</v>
      </c>
      <c r="BH15" s="2">
        <v>2504214.2310000001</v>
      </c>
      <c r="BI15" s="2">
        <v>627231.46799999999</v>
      </c>
      <c r="BJ15" s="2">
        <v>1595308.0689999999</v>
      </c>
      <c r="BK15" s="2">
        <v>292717.73100000003</v>
      </c>
      <c r="BL15" s="2">
        <v>283376.86799999903</v>
      </c>
      <c r="BM15" s="2">
        <v>562124.78399999999</v>
      </c>
      <c r="BN15" s="2">
        <v>298303.61900000001</v>
      </c>
      <c r="BO15" s="2">
        <v>38675.962999999902</v>
      </c>
      <c r="BP15" s="2">
        <v>539355.49</v>
      </c>
      <c r="BQ15" s="2">
        <v>442213.25099999999</v>
      </c>
      <c r="BR15" s="2">
        <v>123920.44</v>
      </c>
    </row>
    <row r="16" spans="1:70" x14ac:dyDescent="0.3">
      <c r="A16" s="27"/>
      <c r="B16" s="3">
        <v>2003</v>
      </c>
      <c r="C16" s="6">
        <v>502986.01964319695</v>
      </c>
      <c r="D16" s="6">
        <v>4817625.6012606192</v>
      </c>
      <c r="E16" s="6">
        <v>1271926.7493026003</v>
      </c>
      <c r="F16" s="6">
        <v>1737252.3741505994</v>
      </c>
      <c r="G16" s="6">
        <v>9362.4745304560001</v>
      </c>
      <c r="H16" s="6">
        <v>74982.051558282998</v>
      </c>
      <c r="I16" s="6">
        <v>6392763.7894853093</v>
      </c>
      <c r="J16" s="6">
        <v>1366984.7290049002</v>
      </c>
      <c r="K16" s="6">
        <v>3792622.3085155985</v>
      </c>
      <c r="L16" s="6">
        <v>882975.30312557716</v>
      </c>
      <c r="M16" s="6">
        <v>841640.2732685752</v>
      </c>
      <c r="N16" s="6">
        <v>1591083.5523418987</v>
      </c>
      <c r="O16" s="6">
        <v>626835.4704276165</v>
      </c>
      <c r="P16" s="6">
        <v>81264.463305059995</v>
      </c>
      <c r="Q16" s="6">
        <v>1254838.3297621512</v>
      </c>
      <c r="R16" s="6">
        <v>1122544.4021390148</v>
      </c>
      <c r="S16" s="6">
        <v>404062.37281040999</v>
      </c>
      <c r="T16" s="6">
        <v>47892330</v>
      </c>
      <c r="U16" s="6">
        <v>1295130800</v>
      </c>
      <c r="V16" s="6">
        <v>127718000</v>
      </c>
      <c r="W16" s="6">
        <v>144648618</v>
      </c>
      <c r="X16" s="6">
        <v>2480374</v>
      </c>
      <c r="Y16" s="6">
        <v>24090380</v>
      </c>
      <c r="Z16" s="6">
        <v>322263565</v>
      </c>
      <c r="AA16" s="6">
        <v>537630194</v>
      </c>
      <c r="AB16" s="6">
        <v>465851296</v>
      </c>
      <c r="AC16" s="6">
        <v>125784323</v>
      </c>
      <c r="AD16" s="6">
        <v>157140855</v>
      </c>
      <c r="AE16" s="6">
        <v>376082752</v>
      </c>
      <c r="AF16" s="6">
        <v>692421331</v>
      </c>
      <c r="AG16" s="6">
        <v>18748913</v>
      </c>
      <c r="AH16" s="6">
        <v>1471458038</v>
      </c>
      <c r="AI16" s="6">
        <v>460549648</v>
      </c>
      <c r="AJ16" s="6">
        <v>23747937</v>
      </c>
      <c r="AK16" s="6">
        <v>1443592668083.5601</v>
      </c>
      <c r="AL16" s="6">
        <v>6969183824807.7803</v>
      </c>
      <c r="AM16" s="6">
        <v>5045091758636.9805</v>
      </c>
      <c r="AN16" s="6">
        <v>3479945888363.7798</v>
      </c>
      <c r="AO16" s="6">
        <v>16032615830.299</v>
      </c>
      <c r="AP16" s="6">
        <v>15852936467.099199</v>
      </c>
      <c r="AQ16" s="6">
        <v>17982993140904.102</v>
      </c>
      <c r="AR16" s="6">
        <v>7233397511655.75</v>
      </c>
      <c r="AS16" s="6">
        <v>20410551596187.898</v>
      </c>
      <c r="AT16" s="6">
        <v>2465655137110.8501</v>
      </c>
      <c r="AU16" s="6">
        <v>1373129938522.79</v>
      </c>
      <c r="AV16" s="6">
        <v>5031741237966.96</v>
      </c>
      <c r="AW16" s="6">
        <v>2620882679163.9902</v>
      </c>
      <c r="AX16" s="6">
        <v>48851909211.594498</v>
      </c>
      <c r="AY16" s="6">
        <v>5084364777293.4102</v>
      </c>
      <c r="AZ16" s="6">
        <v>3730870216523.96</v>
      </c>
      <c r="BA16" s="6">
        <v>1095304716593.95</v>
      </c>
      <c r="BB16" s="2">
        <v>198161.54199999999</v>
      </c>
      <c r="BC16" s="2">
        <v>1437505.058</v>
      </c>
      <c r="BD16" s="2">
        <v>505367.41899999999</v>
      </c>
      <c r="BE16" s="2">
        <v>645397.821</v>
      </c>
      <c r="BF16" s="2">
        <v>2522.3009999999999</v>
      </c>
      <c r="BG16" s="2">
        <v>20028.875</v>
      </c>
      <c r="BH16" s="2">
        <v>2523060.1140000001</v>
      </c>
      <c r="BI16" s="2">
        <v>645460.56199999899</v>
      </c>
      <c r="BJ16" s="2">
        <v>1633394.801</v>
      </c>
      <c r="BK16" s="2">
        <v>302335.20799999998</v>
      </c>
      <c r="BL16" s="2">
        <v>296453.42</v>
      </c>
      <c r="BM16" s="2">
        <v>573018.15500000003</v>
      </c>
      <c r="BN16" s="2">
        <v>317527.44799999997</v>
      </c>
      <c r="BO16" s="2">
        <v>40500.146000000001</v>
      </c>
      <c r="BP16" s="2">
        <v>554364.89899999998</v>
      </c>
      <c r="BQ16" s="2">
        <v>462324.04499999998</v>
      </c>
      <c r="BR16" s="2">
        <v>127580.12699999999</v>
      </c>
    </row>
    <row r="17" spans="1:70" x14ac:dyDescent="0.3">
      <c r="A17" s="27"/>
      <c r="B17" s="3">
        <v>2004</v>
      </c>
      <c r="C17" s="6">
        <v>519470.59949667094</v>
      </c>
      <c r="D17" s="6">
        <v>5537013.6406955747</v>
      </c>
      <c r="E17" s="6">
        <v>1267044.9355865999</v>
      </c>
      <c r="F17" s="6">
        <v>1738870.4120480004</v>
      </c>
      <c r="G17" s="6">
        <v>9577.0001772880005</v>
      </c>
      <c r="H17" s="6">
        <v>76524.566541194028</v>
      </c>
      <c r="I17" s="6">
        <v>6465940.3859225102</v>
      </c>
      <c r="J17" s="6">
        <v>1430754.459754559</v>
      </c>
      <c r="K17" s="6">
        <v>3810482.6430847486</v>
      </c>
      <c r="L17" s="6">
        <v>886134.00979453605</v>
      </c>
      <c r="M17" s="6">
        <v>840458.04106138099</v>
      </c>
      <c r="N17" s="6">
        <v>1682786.9980123865</v>
      </c>
      <c r="O17" s="6">
        <v>661445.26690882409</v>
      </c>
      <c r="P17" s="6">
        <v>95604.870493906987</v>
      </c>
      <c r="Q17" s="6">
        <v>1355754.255904631</v>
      </c>
      <c r="R17" s="6">
        <v>1174851.9624657037</v>
      </c>
      <c r="S17" s="6">
        <v>417500.58945860976</v>
      </c>
      <c r="T17" s="6">
        <v>48082519</v>
      </c>
      <c r="U17" s="6">
        <v>1302858500</v>
      </c>
      <c r="V17" s="6">
        <v>127761000</v>
      </c>
      <c r="W17" s="6">
        <v>144067316</v>
      </c>
      <c r="X17" s="6">
        <v>2508412</v>
      </c>
      <c r="Y17" s="6">
        <v>24254943</v>
      </c>
      <c r="Z17" s="6">
        <v>325256590</v>
      </c>
      <c r="AA17" s="6">
        <v>544440733</v>
      </c>
      <c r="AB17" s="6">
        <v>469013375</v>
      </c>
      <c r="AC17" s="6">
        <v>125415111</v>
      </c>
      <c r="AD17" s="6">
        <v>158297932</v>
      </c>
      <c r="AE17" s="6">
        <v>384802144</v>
      </c>
      <c r="AF17" s="6">
        <v>711408592</v>
      </c>
      <c r="AG17" s="6">
        <v>19026357</v>
      </c>
      <c r="AH17" s="6">
        <v>1497236587</v>
      </c>
      <c r="AI17" s="6">
        <v>466972145</v>
      </c>
      <c r="AJ17" s="6">
        <v>24020222</v>
      </c>
      <c r="AK17" s="6">
        <v>1518423269730.75</v>
      </c>
      <c r="AL17" s="6">
        <v>7671255386265.8896</v>
      </c>
      <c r="AM17" s="6">
        <v>5155383301369.0801</v>
      </c>
      <c r="AN17" s="6">
        <v>3730500178214.4702</v>
      </c>
      <c r="AO17" s="6">
        <v>17736146348.2644</v>
      </c>
      <c r="AP17" s="6">
        <v>16182070910.0499</v>
      </c>
      <c r="AQ17" s="6">
        <v>18662919791709.398</v>
      </c>
      <c r="AR17" s="6">
        <v>7617076516255.1797</v>
      </c>
      <c r="AS17" s="6">
        <v>20970503668055.398</v>
      </c>
      <c r="AT17" s="6">
        <v>2615646129005.6401</v>
      </c>
      <c r="AU17" s="6">
        <v>1512944141215.0601</v>
      </c>
      <c r="AV17" s="6">
        <v>5431696495932.75</v>
      </c>
      <c r="AW17" s="6">
        <v>2803150838376.7002</v>
      </c>
      <c r="AX17" s="6">
        <v>52892279442.2584</v>
      </c>
      <c r="AY17" s="6">
        <v>5469875221235.0303</v>
      </c>
      <c r="AZ17" s="6">
        <v>3970391059694.9399</v>
      </c>
      <c r="BA17" s="6">
        <v>1141309390392.8501</v>
      </c>
      <c r="BB17" s="2">
        <v>204600.75099999999</v>
      </c>
      <c r="BC17" s="2">
        <v>1631221.287</v>
      </c>
      <c r="BD17" s="2">
        <v>521966.54</v>
      </c>
      <c r="BE17" s="2">
        <v>647510.78399999999</v>
      </c>
      <c r="BF17" s="2">
        <v>2597.3919999999998</v>
      </c>
      <c r="BG17" s="2">
        <v>20497.347000000002</v>
      </c>
      <c r="BH17" s="2">
        <v>2574237.9019999998</v>
      </c>
      <c r="BI17" s="2">
        <v>669297.08900000004</v>
      </c>
      <c r="BJ17" s="2">
        <v>1653341.7209999999</v>
      </c>
      <c r="BK17" s="2">
        <v>304655.69900000002</v>
      </c>
      <c r="BL17" s="2">
        <v>310367.73</v>
      </c>
      <c r="BM17" s="2">
        <v>604463.61899999995</v>
      </c>
      <c r="BN17" s="2">
        <v>335791.99900000001</v>
      </c>
      <c r="BO17" s="2">
        <v>44542.8109999999</v>
      </c>
      <c r="BP17" s="2">
        <v>585601.71499999997</v>
      </c>
      <c r="BQ17" s="2">
        <v>494365.55599999998</v>
      </c>
      <c r="BR17" s="2">
        <v>129931.52899999999</v>
      </c>
    </row>
    <row r="18" spans="1:70" x14ac:dyDescent="0.3">
      <c r="A18" s="27"/>
      <c r="B18" s="3">
        <v>2005</v>
      </c>
      <c r="C18" s="6">
        <v>515979.59275975003</v>
      </c>
      <c r="D18" s="6">
        <v>6278690.626974728</v>
      </c>
      <c r="E18" s="6">
        <v>1278684.9382310002</v>
      </c>
      <c r="F18" s="6">
        <v>1739302.0661222003</v>
      </c>
      <c r="G18" s="6">
        <v>11129.106805102003</v>
      </c>
      <c r="H18" s="6">
        <v>79737.424912707997</v>
      </c>
      <c r="I18" s="6">
        <v>6496809.0408679498</v>
      </c>
      <c r="J18" s="6">
        <v>1477158.4271702077</v>
      </c>
      <c r="K18" s="6">
        <v>3796756.988270835</v>
      </c>
      <c r="L18" s="6">
        <v>881375.35624478769</v>
      </c>
      <c r="M18" s="6">
        <v>840933.65886276658</v>
      </c>
      <c r="N18" s="6">
        <v>1798621.6737719758</v>
      </c>
      <c r="O18" s="6">
        <v>675515.82841174654</v>
      </c>
      <c r="P18" s="6">
        <v>104553.37490390689</v>
      </c>
      <c r="Q18" s="6">
        <v>1412241.5395958968</v>
      </c>
      <c r="R18" s="6">
        <v>1206559.5567359473</v>
      </c>
      <c r="S18" s="6">
        <v>420314.85688505007</v>
      </c>
      <c r="T18" s="6">
        <v>48184561</v>
      </c>
      <c r="U18" s="6">
        <v>1310533200</v>
      </c>
      <c r="V18" s="6">
        <v>127773000</v>
      </c>
      <c r="W18" s="6">
        <v>143518814</v>
      </c>
      <c r="X18" s="6">
        <v>2536407</v>
      </c>
      <c r="Y18" s="6">
        <v>24396433</v>
      </c>
      <c r="Z18" s="6">
        <v>328270766</v>
      </c>
      <c r="AA18" s="6">
        <v>551110600</v>
      </c>
      <c r="AB18" s="6">
        <v>472137226</v>
      </c>
      <c r="AC18" s="6">
        <v>125028605</v>
      </c>
      <c r="AD18" s="6">
        <v>159448451</v>
      </c>
      <c r="AE18" s="6">
        <v>393962018</v>
      </c>
      <c r="AF18" s="6">
        <v>731007465</v>
      </c>
      <c r="AG18" s="6">
        <v>19308725</v>
      </c>
      <c r="AH18" s="6">
        <v>1522339596</v>
      </c>
      <c r="AI18" s="6">
        <v>473435779</v>
      </c>
      <c r="AJ18" s="6">
        <v>24310744</v>
      </c>
      <c r="AK18" s="6">
        <v>1584599749529.1599</v>
      </c>
      <c r="AL18" s="6">
        <v>8537867214544.9697</v>
      </c>
      <c r="AM18" s="6">
        <v>5248381305705.5801</v>
      </c>
      <c r="AN18" s="6">
        <v>3969250900657.5801</v>
      </c>
      <c r="AO18" s="6">
        <v>19022667065.954498</v>
      </c>
      <c r="AP18" s="6">
        <v>16790662288.336901</v>
      </c>
      <c r="AQ18" s="6">
        <v>19308585256097.898</v>
      </c>
      <c r="AR18" s="6">
        <v>7925573729611.54</v>
      </c>
      <c r="AS18" s="6">
        <v>21454964581691.102</v>
      </c>
      <c r="AT18" s="6">
        <v>2743974871900.0498</v>
      </c>
      <c r="AU18" s="6">
        <v>1620183145597.04</v>
      </c>
      <c r="AV18" s="6">
        <v>5698046392160.9805</v>
      </c>
      <c r="AW18" s="6">
        <v>2973703213757.21</v>
      </c>
      <c r="AX18" s="6">
        <v>58696033842.292397</v>
      </c>
      <c r="AY18" s="6">
        <v>5886648786125.2598</v>
      </c>
      <c r="AZ18" s="6">
        <v>4189113187446.5098</v>
      </c>
      <c r="BA18" s="6">
        <v>1177645790810.9299</v>
      </c>
      <c r="BB18" s="2">
        <v>208374.587</v>
      </c>
      <c r="BC18" s="2">
        <v>1798529.845</v>
      </c>
      <c r="BD18" s="2">
        <v>519581.51500000001</v>
      </c>
      <c r="BE18" s="2">
        <v>651748.89</v>
      </c>
      <c r="BF18" s="2">
        <v>2992.4450000000002</v>
      </c>
      <c r="BG18" s="2">
        <v>21335.850999999999</v>
      </c>
      <c r="BH18" s="2">
        <v>2587722.61499999</v>
      </c>
      <c r="BI18" s="2">
        <v>693563.23400000005</v>
      </c>
      <c r="BJ18" s="2">
        <v>1660059.26599999</v>
      </c>
      <c r="BK18" s="2">
        <v>307947.761</v>
      </c>
      <c r="BL18" s="2">
        <v>307890.647</v>
      </c>
      <c r="BM18" s="2">
        <v>651868.13100000005</v>
      </c>
      <c r="BN18" s="2">
        <v>340821.47499999998</v>
      </c>
      <c r="BO18" s="2">
        <v>47049.4909999999</v>
      </c>
      <c r="BP18" s="2">
        <v>608942.59900000005</v>
      </c>
      <c r="BQ18" s="2">
        <v>497516.33</v>
      </c>
      <c r="BR18" s="2">
        <v>130326.73299999999</v>
      </c>
    </row>
    <row r="19" spans="1:70" x14ac:dyDescent="0.3">
      <c r="A19" s="27"/>
      <c r="B19" s="3">
        <v>2006</v>
      </c>
      <c r="C19" s="6">
        <v>523700.88963600999</v>
      </c>
      <c r="D19" s="6">
        <v>6965306.3154996652</v>
      </c>
      <c r="E19" s="6">
        <v>1256038.30561586</v>
      </c>
      <c r="F19" s="6">
        <v>1776196.8520944996</v>
      </c>
      <c r="G19" s="6">
        <v>12717.367885005995</v>
      </c>
      <c r="H19" s="6">
        <v>81248.530407483981</v>
      </c>
      <c r="I19" s="6">
        <v>6381699.5525947828</v>
      </c>
      <c r="J19" s="6">
        <v>1522967.2823275814</v>
      </c>
      <c r="K19" s="6">
        <v>3818382.1156715136</v>
      </c>
      <c r="L19" s="6">
        <v>909208.29079037404</v>
      </c>
      <c r="M19" s="6">
        <v>877675.26585897803</v>
      </c>
      <c r="N19" s="6">
        <v>1902616.2733374457</v>
      </c>
      <c r="O19" s="6">
        <v>674913.64046510519</v>
      </c>
      <c r="P19" s="6">
        <v>107876.51887877897</v>
      </c>
      <c r="Q19" s="6">
        <v>1507212.620610385</v>
      </c>
      <c r="R19" s="6">
        <v>1239291.9718403942</v>
      </c>
      <c r="S19" s="6">
        <v>426494.7231344388</v>
      </c>
      <c r="T19" s="6">
        <v>48438292</v>
      </c>
      <c r="U19" s="6">
        <v>1317877100</v>
      </c>
      <c r="V19" s="6">
        <v>127854000</v>
      </c>
      <c r="W19" s="6">
        <v>143049637</v>
      </c>
      <c r="X19" s="6">
        <v>2567168</v>
      </c>
      <c r="Y19" s="6">
        <v>24524507</v>
      </c>
      <c r="Z19" s="6">
        <v>331460978</v>
      </c>
      <c r="AA19" s="6">
        <v>557757189</v>
      </c>
      <c r="AB19" s="6">
        <v>475137376</v>
      </c>
      <c r="AC19" s="6">
        <v>124662260</v>
      </c>
      <c r="AD19" s="6">
        <v>160906479</v>
      </c>
      <c r="AE19" s="6">
        <v>403499604</v>
      </c>
      <c r="AF19" s="6">
        <v>751180669</v>
      </c>
      <c r="AG19" s="6">
        <v>19602228</v>
      </c>
      <c r="AH19" s="6">
        <v>1546870039</v>
      </c>
      <c r="AI19" s="6">
        <v>479925649</v>
      </c>
      <c r="AJ19" s="6">
        <v>24635566</v>
      </c>
      <c r="AK19" s="6">
        <v>1667712093636.9199</v>
      </c>
      <c r="AL19" s="6">
        <v>9601586408068.2891</v>
      </c>
      <c r="AM19" s="6">
        <v>5320407473250.4805</v>
      </c>
      <c r="AN19" s="6">
        <v>4294732183706.3599</v>
      </c>
      <c r="AO19" s="6">
        <v>20650291128.505901</v>
      </c>
      <c r="AP19" s="6">
        <v>16618439477.950199</v>
      </c>
      <c r="AQ19" s="6">
        <v>19843810945576.699</v>
      </c>
      <c r="AR19" s="6">
        <v>8343728082990.7197</v>
      </c>
      <c r="AS19" s="6">
        <v>22175646055966.398</v>
      </c>
      <c r="AT19" s="6">
        <v>2922855241102.4702</v>
      </c>
      <c r="AU19" s="6">
        <v>1779973910472.5801</v>
      </c>
      <c r="AV19" s="6">
        <v>6026713183840.0303</v>
      </c>
      <c r="AW19" s="6">
        <v>3154013526236.8301</v>
      </c>
      <c r="AX19" s="6">
        <v>64624095943.527199</v>
      </c>
      <c r="AY19" s="6">
        <v>6337188314599.6904</v>
      </c>
      <c r="AZ19" s="6">
        <v>4436847221311.2598</v>
      </c>
      <c r="BA19" s="6">
        <v>1210292438077.75</v>
      </c>
      <c r="BB19" s="2">
        <v>210103.565</v>
      </c>
      <c r="BC19" s="2">
        <v>1966689.0009999999</v>
      </c>
      <c r="BD19" s="2">
        <v>519644.745</v>
      </c>
      <c r="BE19" s="2">
        <v>670781.36399999994</v>
      </c>
      <c r="BF19" s="2">
        <v>3415.0880000000002</v>
      </c>
      <c r="BG19" s="2">
        <v>21549.743999999999</v>
      </c>
      <c r="BH19" s="2">
        <v>2570348.2050000001</v>
      </c>
      <c r="BI19" s="2">
        <v>715395.04599999997</v>
      </c>
      <c r="BJ19" s="2">
        <v>1672410.567</v>
      </c>
      <c r="BK19" s="2">
        <v>316411.87900000002</v>
      </c>
      <c r="BL19" s="2">
        <v>315848.07400000002</v>
      </c>
      <c r="BM19" s="2">
        <v>685196.196</v>
      </c>
      <c r="BN19" s="2">
        <v>348430.30099999998</v>
      </c>
      <c r="BO19" s="2">
        <v>48357.680999999997</v>
      </c>
      <c r="BP19" s="2">
        <v>640789.62</v>
      </c>
      <c r="BQ19" s="2">
        <v>508451.103</v>
      </c>
      <c r="BR19" s="2">
        <v>134990.59400000001</v>
      </c>
    </row>
    <row r="20" spans="1:70" x14ac:dyDescent="0.3">
      <c r="A20" s="27"/>
      <c r="B20" s="3">
        <v>2007</v>
      </c>
      <c r="C20" s="6">
        <v>541002.78570118977</v>
      </c>
      <c r="D20" s="6">
        <v>7566434.3616921846</v>
      </c>
      <c r="E20" s="6">
        <v>1291735.2110711003</v>
      </c>
      <c r="F20" s="6">
        <v>1779045.9896598994</v>
      </c>
      <c r="G20" s="6">
        <v>13210.391703480997</v>
      </c>
      <c r="H20" s="6">
        <v>67985.648690639995</v>
      </c>
      <c r="I20" s="6">
        <v>6485334.5392699363</v>
      </c>
      <c r="J20" s="6">
        <v>1576571.4107726803</v>
      </c>
      <c r="K20" s="6">
        <v>3791741.4809645037</v>
      </c>
      <c r="L20" s="6">
        <v>914982.47295589524</v>
      </c>
      <c r="M20" s="6">
        <v>900037.35066919297</v>
      </c>
      <c r="N20" s="6">
        <v>1991108.4514941669</v>
      </c>
      <c r="O20" s="6">
        <v>691971.43144024443</v>
      </c>
      <c r="P20" s="6">
        <v>119817.31896302792</v>
      </c>
      <c r="Q20" s="6">
        <v>1643884.6759854055</v>
      </c>
      <c r="R20" s="6">
        <v>1291645.2759510684</v>
      </c>
      <c r="S20" s="6">
        <v>435790.89991861</v>
      </c>
      <c r="T20" s="6">
        <v>48683638</v>
      </c>
      <c r="U20" s="6">
        <v>1324801300</v>
      </c>
      <c r="V20" s="6">
        <v>128001000</v>
      </c>
      <c r="W20" s="6">
        <v>142805114</v>
      </c>
      <c r="X20" s="6">
        <v>2601850</v>
      </c>
      <c r="Y20" s="6">
        <v>24646383</v>
      </c>
      <c r="Z20" s="6">
        <v>334628316</v>
      </c>
      <c r="AA20" s="6">
        <v>564371870</v>
      </c>
      <c r="AB20" s="6">
        <v>477779378</v>
      </c>
      <c r="AC20" s="6">
        <v>124149670</v>
      </c>
      <c r="AD20" s="6">
        <v>161996890</v>
      </c>
      <c r="AE20" s="6">
        <v>413212416</v>
      </c>
      <c r="AF20" s="6">
        <v>771963906</v>
      </c>
      <c r="AG20" s="6">
        <v>19898006</v>
      </c>
      <c r="AH20" s="6">
        <v>1571442687</v>
      </c>
      <c r="AI20" s="6">
        <v>486547346</v>
      </c>
      <c r="AJ20" s="6">
        <v>25051422</v>
      </c>
      <c r="AK20" s="6">
        <v>1765139223629</v>
      </c>
      <c r="AL20" s="6">
        <v>10933343092649.801</v>
      </c>
      <c r="AM20" s="6">
        <v>5399360692724.6504</v>
      </c>
      <c r="AN20" s="6">
        <v>4659783464566.5801</v>
      </c>
      <c r="AO20" s="6">
        <v>22766536341.537498</v>
      </c>
      <c r="AP20" s="6">
        <v>16421238213.238701</v>
      </c>
      <c r="AQ20" s="6">
        <v>20242380908545.398</v>
      </c>
      <c r="AR20" s="6">
        <v>8790488234961.1504</v>
      </c>
      <c r="AS20" s="6">
        <v>22844760695660</v>
      </c>
      <c r="AT20" s="6">
        <v>3109528211489.1099</v>
      </c>
      <c r="AU20" s="6">
        <v>1956063764969.8401</v>
      </c>
      <c r="AV20" s="6">
        <v>6349790766382.6504</v>
      </c>
      <c r="AW20" s="6">
        <v>3349783564030.73</v>
      </c>
      <c r="AX20" s="6">
        <v>70695529617.874802</v>
      </c>
      <c r="AY20" s="6">
        <v>6791469288844.3604</v>
      </c>
      <c r="AZ20" s="6">
        <v>4726874320633.7002</v>
      </c>
      <c r="BA20" s="6">
        <v>1254883855012.25</v>
      </c>
      <c r="BB20" s="2">
        <v>218491.272</v>
      </c>
      <c r="BC20" s="2">
        <v>2116791.3709999998</v>
      </c>
      <c r="BD20" s="2">
        <v>514667.12300000002</v>
      </c>
      <c r="BE20" s="2">
        <v>672679.87300000002</v>
      </c>
      <c r="BF20" s="2">
        <v>3566.9209999999998</v>
      </c>
      <c r="BG20" s="2">
        <v>18306.080999999998</v>
      </c>
      <c r="BH20" s="2">
        <v>2611183.156</v>
      </c>
      <c r="BI20" s="2">
        <v>738357.50399999996</v>
      </c>
      <c r="BJ20" s="2">
        <v>1646596.3049999999</v>
      </c>
      <c r="BK20" s="2">
        <v>315833.30599999998</v>
      </c>
      <c r="BL20" s="2">
        <v>323837.83100000001</v>
      </c>
      <c r="BM20" s="2">
        <v>718000.62199999997</v>
      </c>
      <c r="BN20" s="2">
        <v>362623.527</v>
      </c>
      <c r="BO20" s="2">
        <v>51966.688999999998</v>
      </c>
      <c r="BP20" s="2">
        <v>677822.44799999997</v>
      </c>
      <c r="BQ20" s="2">
        <v>520526.99</v>
      </c>
      <c r="BR20" s="2">
        <v>139056.636</v>
      </c>
    </row>
    <row r="21" spans="1:70" x14ac:dyDescent="0.3">
      <c r="A21" s="27"/>
      <c r="B21" s="3">
        <v>2008</v>
      </c>
      <c r="C21" s="6">
        <v>552369.20878666011</v>
      </c>
      <c r="D21" s="6">
        <v>7795354.180955993</v>
      </c>
      <c r="E21" s="6">
        <v>1220765.2931136999</v>
      </c>
      <c r="F21" s="6">
        <v>1764355.5275254298</v>
      </c>
      <c r="G21" s="6">
        <v>13205.999923864001</v>
      </c>
      <c r="H21" s="6">
        <v>74478.636033917021</v>
      </c>
      <c r="I21" s="6">
        <v>6280108.5213092063</v>
      </c>
      <c r="J21" s="6">
        <v>1618200.1386970044</v>
      </c>
      <c r="K21" s="6">
        <v>3710371.588351815</v>
      </c>
      <c r="L21" s="6">
        <v>896326.90943316487</v>
      </c>
      <c r="M21" s="6">
        <v>927761.49733277783</v>
      </c>
      <c r="N21" s="6">
        <v>2110370.5088550313</v>
      </c>
      <c r="O21" s="6">
        <v>731201.24473234452</v>
      </c>
      <c r="P21" s="6">
        <v>131998.59859181399</v>
      </c>
      <c r="Q21" s="6">
        <v>1749305.7637979414</v>
      </c>
      <c r="R21" s="6">
        <v>1284377.7129560518</v>
      </c>
      <c r="S21" s="6">
        <v>440520.75909928989</v>
      </c>
      <c r="T21" s="6">
        <v>49054708</v>
      </c>
      <c r="U21" s="6">
        <v>1331612800</v>
      </c>
      <c r="V21" s="6">
        <v>128063000</v>
      </c>
      <c r="W21" s="6">
        <v>142742366</v>
      </c>
      <c r="X21" s="6">
        <v>2643201</v>
      </c>
      <c r="Y21" s="6">
        <v>24764618</v>
      </c>
      <c r="Z21" s="6">
        <v>337847960</v>
      </c>
      <c r="AA21" s="6">
        <v>570956677</v>
      </c>
      <c r="AB21" s="6">
        <v>481173852</v>
      </c>
      <c r="AC21" s="6">
        <v>123636283</v>
      </c>
      <c r="AD21" s="6">
        <v>163321024</v>
      </c>
      <c r="AE21" s="6">
        <v>422956876</v>
      </c>
      <c r="AF21" s="6">
        <v>793444895</v>
      </c>
      <c r="AG21" s="6">
        <v>20202448</v>
      </c>
      <c r="AH21" s="6">
        <v>1595546277</v>
      </c>
      <c r="AI21" s="6">
        <v>493173943</v>
      </c>
      <c r="AJ21" s="6">
        <v>25508999</v>
      </c>
      <c r="AK21" s="6">
        <v>1818171146191.4399</v>
      </c>
      <c r="AL21" s="6">
        <v>11962552649737.199</v>
      </c>
      <c r="AM21" s="6">
        <v>5333256913659.9805</v>
      </c>
      <c r="AN21" s="6">
        <v>4902090772495.3096</v>
      </c>
      <c r="AO21" s="6">
        <v>24792841843.281898</v>
      </c>
      <c r="AP21" s="6">
        <v>16930027534.6385</v>
      </c>
      <c r="AQ21" s="6">
        <v>20281040335221.199</v>
      </c>
      <c r="AR21" s="6">
        <v>9124264447980.4805</v>
      </c>
      <c r="AS21" s="6">
        <v>22928275013151.699</v>
      </c>
      <c r="AT21" s="6">
        <v>3258219957792.5298</v>
      </c>
      <c r="AU21" s="6">
        <v>2050977892553.8701</v>
      </c>
      <c r="AV21" s="6">
        <v>6645789979819.6396</v>
      </c>
      <c r="AW21" s="6">
        <v>3531860149031.0498</v>
      </c>
      <c r="AX21" s="6">
        <v>76067788483.983307</v>
      </c>
      <c r="AY21" s="6">
        <v>7016708156312.3701</v>
      </c>
      <c r="AZ21" s="6">
        <v>4931901976037.2402</v>
      </c>
      <c r="BA21" s="6">
        <v>1292059657925.1101</v>
      </c>
      <c r="BB21" s="2">
        <v>221382.39799999999</v>
      </c>
      <c r="BC21" s="2">
        <v>2172971.29</v>
      </c>
      <c r="BD21" s="2">
        <v>495236.99900000001</v>
      </c>
      <c r="BE21" s="2">
        <v>688358.13</v>
      </c>
      <c r="BF21" s="2">
        <v>3581.1570000000002</v>
      </c>
      <c r="BG21" s="2">
        <v>20170.013999999999</v>
      </c>
      <c r="BH21" s="2">
        <v>2545340.824</v>
      </c>
      <c r="BI21" s="2">
        <v>756241.196</v>
      </c>
      <c r="BJ21" s="2">
        <v>1643275.142</v>
      </c>
      <c r="BK21" s="2">
        <v>316411.61200000002</v>
      </c>
      <c r="BL21" s="2">
        <v>329710.55900000001</v>
      </c>
      <c r="BM21" s="2">
        <v>769176.95299999998</v>
      </c>
      <c r="BN21" s="2">
        <v>380847.34700000001</v>
      </c>
      <c r="BO21" s="2">
        <v>55395.341</v>
      </c>
      <c r="BP21" s="2">
        <v>710300.54399999999</v>
      </c>
      <c r="BQ21" s="2">
        <v>530322.728</v>
      </c>
      <c r="BR21" s="2">
        <v>143926.50700000001</v>
      </c>
    </row>
    <row r="22" spans="1:70" x14ac:dyDescent="0.3">
      <c r="A22" s="27"/>
      <c r="B22" s="3">
        <v>2009</v>
      </c>
      <c r="C22" s="6">
        <v>556373.91676296003</v>
      </c>
      <c r="D22" s="6">
        <v>8364309.3313967437</v>
      </c>
      <c r="E22" s="6">
        <v>1157494.9523125996</v>
      </c>
      <c r="F22" s="6">
        <v>1662101.6698878997</v>
      </c>
      <c r="G22" s="6">
        <v>13928.652316498999</v>
      </c>
      <c r="H22" s="6">
        <v>71671.174726786994</v>
      </c>
      <c r="I22" s="6">
        <v>5829911.9904442513</v>
      </c>
      <c r="J22" s="6">
        <v>1571763.4595089022</v>
      </c>
      <c r="K22" s="6">
        <v>3451534.4596290551</v>
      </c>
      <c r="L22" s="6">
        <v>823169.45480821584</v>
      </c>
      <c r="M22" s="6">
        <v>814319.63979274186</v>
      </c>
      <c r="N22" s="6">
        <v>2180392.7322780974</v>
      </c>
      <c r="O22" s="6">
        <v>696507.77137708163</v>
      </c>
      <c r="P22" s="6">
        <v>148342.88014473702</v>
      </c>
      <c r="Q22" s="6">
        <v>1861177.1730364014</v>
      </c>
      <c r="R22" s="6">
        <v>1260582.4752165969</v>
      </c>
      <c r="S22" s="6">
        <v>443717.82079208991</v>
      </c>
      <c r="T22" s="6">
        <v>49307835</v>
      </c>
      <c r="U22" s="6">
        <v>1338232800</v>
      </c>
      <c r="V22" s="6">
        <v>128047000</v>
      </c>
      <c r="W22" s="6">
        <v>142785348</v>
      </c>
      <c r="X22" s="6">
        <v>2691115</v>
      </c>
      <c r="Y22" s="6">
        <v>24878332</v>
      </c>
      <c r="Z22" s="6">
        <v>340906916</v>
      </c>
      <c r="AA22" s="6">
        <v>577455897</v>
      </c>
      <c r="AB22" s="6">
        <v>484111420</v>
      </c>
      <c r="AC22" s="6">
        <v>123300352</v>
      </c>
      <c r="AD22" s="6">
        <v>165177929</v>
      </c>
      <c r="AE22" s="6">
        <v>432774531</v>
      </c>
      <c r="AF22" s="6">
        <v>815484949</v>
      </c>
      <c r="AG22" s="6">
        <v>20518452</v>
      </c>
      <c r="AH22" s="6">
        <v>1619746734</v>
      </c>
      <c r="AI22" s="6">
        <v>499672527</v>
      </c>
      <c r="AJ22" s="6">
        <v>25994253</v>
      </c>
      <c r="AK22" s="6">
        <v>1833077636085.29</v>
      </c>
      <c r="AL22" s="6">
        <v>13042267795275.699</v>
      </c>
      <c r="AM22" s="6">
        <v>5029621991936.4805</v>
      </c>
      <c r="AN22" s="6">
        <v>4519727990645.0195</v>
      </c>
      <c r="AO22" s="6">
        <v>24478320115.4333</v>
      </c>
      <c r="AP22" s="6">
        <v>16776189313.679199</v>
      </c>
      <c r="AQ22" s="6">
        <v>19752178263164.602</v>
      </c>
      <c r="AR22" s="6">
        <v>8918206658499.6504</v>
      </c>
      <c r="AS22" s="6">
        <v>21933369094124.898</v>
      </c>
      <c r="AT22" s="6">
        <v>3147290452171.9702</v>
      </c>
      <c r="AU22" s="6">
        <v>1956694422467.3799</v>
      </c>
      <c r="AV22" s="6">
        <v>6725549488331.6104</v>
      </c>
      <c r="AW22" s="6">
        <v>3669872540341.96</v>
      </c>
      <c r="AX22" s="6">
        <v>80087652544.076202</v>
      </c>
      <c r="AY22" s="6">
        <v>7505684968248.9404</v>
      </c>
      <c r="AZ22" s="6">
        <v>5032807728272.7598</v>
      </c>
      <c r="BA22" s="6">
        <v>1313790224046.01</v>
      </c>
      <c r="BB22" s="2">
        <v>224730.201</v>
      </c>
      <c r="BC22" s="2">
        <v>2315485.281</v>
      </c>
      <c r="BD22" s="2">
        <v>474929.32400000002</v>
      </c>
      <c r="BE22" s="2">
        <v>646703.85900000005</v>
      </c>
      <c r="BF22" s="2">
        <v>3721.7869999999998</v>
      </c>
      <c r="BG22" s="2">
        <v>19363.690999999999</v>
      </c>
      <c r="BH22" s="2">
        <v>2422597.8280000002</v>
      </c>
      <c r="BI22" s="2">
        <v>737636.97199999995</v>
      </c>
      <c r="BJ22" s="2">
        <v>1559535.7719999901</v>
      </c>
      <c r="BK22" s="2">
        <v>295091.038</v>
      </c>
      <c r="BL22" s="2">
        <v>292312.239</v>
      </c>
      <c r="BM22" s="2">
        <v>794326.46699999995</v>
      </c>
      <c r="BN22" s="2">
        <v>388399.42699999898</v>
      </c>
      <c r="BO22" s="2">
        <v>60255.12</v>
      </c>
      <c r="BP22" s="2">
        <v>755947.39199999999</v>
      </c>
      <c r="BQ22" s="2">
        <v>535808.52899999998</v>
      </c>
      <c r="BR22" s="2">
        <v>144289.245999999</v>
      </c>
    </row>
    <row r="23" spans="1:70" x14ac:dyDescent="0.3">
      <c r="A23" s="27"/>
      <c r="B23" s="3">
        <v>2010</v>
      </c>
      <c r="C23" s="6">
        <v>612937.22387306008</v>
      </c>
      <c r="D23" s="6">
        <v>9148232.850141108</v>
      </c>
      <c r="E23" s="6">
        <v>1217064.0641959999</v>
      </c>
      <c r="F23" s="6">
        <v>1746896.7614407002</v>
      </c>
      <c r="G23" s="6">
        <v>14905.670804279001</v>
      </c>
      <c r="H23" s="6">
        <v>69042.618007525016</v>
      </c>
      <c r="I23" s="6">
        <v>6097079.4355673091</v>
      </c>
      <c r="J23" s="6">
        <v>1684626.2334968678</v>
      </c>
      <c r="K23" s="6">
        <v>3562819.5327998614</v>
      </c>
      <c r="L23" s="6">
        <v>855582.8910265452</v>
      </c>
      <c r="M23" s="6">
        <v>877111.34033484478</v>
      </c>
      <c r="N23" s="6">
        <v>2279647.389216492</v>
      </c>
      <c r="O23" s="6">
        <v>728979.80298690568</v>
      </c>
      <c r="P23" s="6">
        <v>164904.63557148792</v>
      </c>
      <c r="Q23" s="6">
        <v>1974610.5718642387</v>
      </c>
      <c r="R23" s="6">
        <v>1355055.2042969738</v>
      </c>
      <c r="S23" s="6">
        <v>448764.02273256902</v>
      </c>
      <c r="T23" s="6">
        <v>49554112</v>
      </c>
      <c r="U23" s="6">
        <v>1344729200</v>
      </c>
      <c r="V23" s="6">
        <v>128070000</v>
      </c>
      <c r="W23" s="6">
        <v>142849468</v>
      </c>
      <c r="X23" s="6">
        <v>2738622</v>
      </c>
      <c r="Y23" s="6">
        <v>24987258</v>
      </c>
      <c r="Z23" s="6">
        <v>343888586</v>
      </c>
      <c r="AA23" s="6">
        <v>583835981</v>
      </c>
      <c r="AB23" s="6">
        <v>486923271</v>
      </c>
      <c r="AC23" s="6">
        <v>122791845</v>
      </c>
      <c r="AD23" s="6">
        <v>166877981</v>
      </c>
      <c r="AE23" s="6">
        <v>441121121</v>
      </c>
      <c r="AF23" s="6">
        <v>838174800</v>
      </c>
      <c r="AG23" s="6">
        <v>20834920</v>
      </c>
      <c r="AH23" s="6">
        <v>1644206057</v>
      </c>
      <c r="AI23" s="6">
        <v>506447879</v>
      </c>
      <c r="AJ23" s="6">
        <v>26382450</v>
      </c>
      <c r="AK23" s="6">
        <v>1961056909625.6499</v>
      </c>
      <c r="AL23" s="6">
        <v>14410067113130.1</v>
      </c>
      <c r="AM23" s="6">
        <v>5235731772823.7305</v>
      </c>
      <c r="AN23" s="6">
        <v>4723115750188.2002</v>
      </c>
      <c r="AO23" s="6">
        <v>26036404766.9935</v>
      </c>
      <c r="AP23" s="6">
        <v>16696951174.4482</v>
      </c>
      <c r="AQ23" s="6">
        <v>20291262308857.602</v>
      </c>
      <c r="AR23" s="6">
        <v>9506771276385.5293</v>
      </c>
      <c r="AS23" s="6">
        <v>22491700512588.699</v>
      </c>
      <c r="AT23" s="6">
        <v>3188980143653.5298</v>
      </c>
      <c r="AU23" s="6">
        <v>2074090083337.1001</v>
      </c>
      <c r="AV23" s="6">
        <v>7062663600365.1396</v>
      </c>
      <c r="AW23" s="6">
        <v>3905876328803.79</v>
      </c>
      <c r="AX23" s="6">
        <v>85149581058.220993</v>
      </c>
      <c r="AY23" s="6">
        <v>8064254657475.2305</v>
      </c>
      <c r="AZ23" s="6">
        <v>5424742484798.8096</v>
      </c>
      <c r="BA23" s="6">
        <v>1341495799855.51</v>
      </c>
      <c r="BB23" s="2">
        <v>243823.16500000001</v>
      </c>
      <c r="BC23" s="2">
        <v>2554876.827</v>
      </c>
      <c r="BD23" s="2">
        <v>499500.18</v>
      </c>
      <c r="BE23" s="2">
        <v>693300.97</v>
      </c>
      <c r="BF23" s="2">
        <v>3942.502</v>
      </c>
      <c r="BG23" s="2">
        <v>18799.562000000002</v>
      </c>
      <c r="BH23" s="2">
        <v>2476450.807</v>
      </c>
      <c r="BI23" s="2">
        <v>785360.745999999</v>
      </c>
      <c r="BJ23" s="2">
        <v>1622392.49</v>
      </c>
      <c r="BK23" s="2">
        <v>308252.69400000002</v>
      </c>
      <c r="BL23" s="2">
        <v>323038.08299999998</v>
      </c>
      <c r="BM23" s="2">
        <v>828231.56900000002</v>
      </c>
      <c r="BN23" s="2">
        <v>398138.65700000001</v>
      </c>
      <c r="BO23" s="2">
        <v>65986.264999999999</v>
      </c>
      <c r="BP23" s="2">
        <v>796648.33199999901</v>
      </c>
      <c r="BQ23" s="2">
        <v>557958.37699999998</v>
      </c>
      <c r="BR23" s="2">
        <v>145011.44</v>
      </c>
    </row>
    <row r="24" spans="1:70" x14ac:dyDescent="0.3">
      <c r="A24" s="27"/>
      <c r="B24" s="3">
        <v>2011</v>
      </c>
      <c r="C24" s="6">
        <v>647691.55605754</v>
      </c>
      <c r="D24" s="6">
        <v>10000930.412095455</v>
      </c>
      <c r="E24" s="6">
        <v>1269889.6561140998</v>
      </c>
      <c r="F24" s="6">
        <v>1832612.3125258998</v>
      </c>
      <c r="G24" s="6">
        <v>16235.978551163998</v>
      </c>
      <c r="H24" s="6">
        <v>50811.542817759007</v>
      </c>
      <c r="I24" s="6">
        <v>5895106.9576515779</v>
      </c>
      <c r="J24" s="6">
        <v>1743927.5721644624</v>
      </c>
      <c r="K24" s="6">
        <v>3438724.5870537017</v>
      </c>
      <c r="L24" s="6">
        <v>866201.07457000588</v>
      </c>
      <c r="M24" s="6">
        <v>925193.19429456082</v>
      </c>
      <c r="N24" s="6">
        <v>2334258.6488044462</v>
      </c>
      <c r="O24" s="6">
        <v>733256.31208390964</v>
      </c>
      <c r="P24" s="6">
        <v>165257.76025404298</v>
      </c>
      <c r="Q24" s="6">
        <v>2101232.6558121573</v>
      </c>
      <c r="R24" s="6">
        <v>1424288.5572679352</v>
      </c>
      <c r="S24" s="6">
        <v>445572.664736579</v>
      </c>
      <c r="T24" s="6">
        <v>49936638</v>
      </c>
      <c r="U24" s="6">
        <v>1352106600</v>
      </c>
      <c r="V24" s="6">
        <v>127833000</v>
      </c>
      <c r="W24" s="6">
        <v>143018195</v>
      </c>
      <c r="X24" s="6">
        <v>2786317</v>
      </c>
      <c r="Y24" s="6">
        <v>25097874</v>
      </c>
      <c r="Z24" s="6">
        <v>346682641</v>
      </c>
      <c r="AA24" s="6">
        <v>590201120</v>
      </c>
      <c r="AB24" s="6">
        <v>488220565</v>
      </c>
      <c r="AC24" s="6">
        <v>122407242</v>
      </c>
      <c r="AD24" s="6">
        <v>168879313</v>
      </c>
      <c r="AE24" s="6">
        <v>451024186</v>
      </c>
      <c r="AF24" s="6">
        <v>861698939</v>
      </c>
      <c r="AG24" s="6">
        <v>21149174</v>
      </c>
      <c r="AH24" s="6">
        <v>1668118688</v>
      </c>
      <c r="AI24" s="6">
        <v>513269112</v>
      </c>
      <c r="AJ24" s="6">
        <v>26724024</v>
      </c>
      <c r="AK24" s="6">
        <v>2033381317173.28</v>
      </c>
      <c r="AL24" s="6">
        <v>15755058204362.801</v>
      </c>
      <c r="AM24" s="6">
        <v>5236978375626.2598</v>
      </c>
      <c r="AN24" s="6">
        <v>4926211105919.6201</v>
      </c>
      <c r="AO24" s="6">
        <v>30538301606.893902</v>
      </c>
      <c r="AP24" s="6">
        <v>16830025749.7391</v>
      </c>
      <c r="AQ24" s="6">
        <v>20636183197989</v>
      </c>
      <c r="AR24" s="6">
        <v>9946070425161.1504</v>
      </c>
      <c r="AS24" s="6">
        <v>22975666639677</v>
      </c>
      <c r="AT24" s="6">
        <v>3299559285772.3999</v>
      </c>
      <c r="AU24" s="6">
        <v>2188631124945.3101</v>
      </c>
      <c r="AV24" s="6">
        <v>7359484246808.8604</v>
      </c>
      <c r="AW24" s="6">
        <v>4105155154175.0601</v>
      </c>
      <c r="AX24" s="6">
        <v>91589736763.117996</v>
      </c>
      <c r="AY24" s="6">
        <v>8478975962803.5195</v>
      </c>
      <c r="AZ24" s="6">
        <v>5685840818723.4697</v>
      </c>
      <c r="BA24" s="6">
        <v>1373080172025.98</v>
      </c>
      <c r="BB24" s="2">
        <v>255424.06899999999</v>
      </c>
      <c r="BC24" s="2">
        <v>2741423.3849999998</v>
      </c>
      <c r="BD24" s="2">
        <v>462778.49699999997</v>
      </c>
      <c r="BE24" s="2">
        <v>715696.58900000004</v>
      </c>
      <c r="BF24" s="2">
        <v>4315.1390000000001</v>
      </c>
      <c r="BG24" s="2">
        <v>14134.767</v>
      </c>
      <c r="BH24" s="2">
        <v>2450854.23699999</v>
      </c>
      <c r="BI24" s="2">
        <v>800687.78500000003</v>
      </c>
      <c r="BJ24" s="2">
        <v>1562302.889</v>
      </c>
      <c r="BK24" s="2">
        <v>309352.81599999999</v>
      </c>
      <c r="BL24" s="2">
        <v>332246.94400000002</v>
      </c>
      <c r="BM24" s="2">
        <v>849836.19499999995</v>
      </c>
      <c r="BN24" s="2">
        <v>419428.11499999999</v>
      </c>
      <c r="BO24" s="2">
        <v>66217.459000000003</v>
      </c>
      <c r="BP24" s="2">
        <v>826889.755</v>
      </c>
      <c r="BQ24" s="2">
        <v>559220.71199999901</v>
      </c>
      <c r="BR24" s="2">
        <v>145318.769</v>
      </c>
    </row>
    <row r="25" spans="1:70" x14ac:dyDescent="0.3">
      <c r="A25" s="27"/>
      <c r="B25" s="3">
        <v>2012</v>
      </c>
      <c r="C25" s="6">
        <v>645211.52812753979</v>
      </c>
      <c r="D25" s="6">
        <v>10315387.936116679</v>
      </c>
      <c r="E25" s="6">
        <v>1308401.6345976</v>
      </c>
      <c r="F25" s="6">
        <v>1819801.9768655698</v>
      </c>
      <c r="G25" s="6">
        <v>17659.486240462997</v>
      </c>
      <c r="H25" s="6">
        <v>49021.69011142799</v>
      </c>
      <c r="I25" s="6">
        <v>5666261.3656159583</v>
      </c>
      <c r="J25" s="6">
        <v>1827890.0691337599</v>
      </c>
      <c r="K25" s="6">
        <v>3434613.0330374502</v>
      </c>
      <c r="L25" s="6">
        <v>828615.83594094601</v>
      </c>
      <c r="M25" s="6">
        <v>907999.07104319078</v>
      </c>
      <c r="N25" s="6">
        <v>2466260.8554778346</v>
      </c>
      <c r="O25" s="6">
        <v>755394.99671070208</v>
      </c>
      <c r="P25" s="6">
        <v>165192.99011903291</v>
      </c>
      <c r="Q25" s="6">
        <v>2278770.5287655098</v>
      </c>
      <c r="R25" s="6">
        <v>1452436.5904246531</v>
      </c>
      <c r="S25" s="6">
        <v>448159.43503364001</v>
      </c>
      <c r="T25" s="6">
        <v>50199853</v>
      </c>
      <c r="U25" s="6">
        <v>1361340100</v>
      </c>
      <c r="V25" s="6">
        <v>127629000</v>
      </c>
      <c r="W25" s="6">
        <v>143378447</v>
      </c>
      <c r="X25" s="6">
        <v>2839705</v>
      </c>
      <c r="Y25" s="6">
        <v>25211728</v>
      </c>
      <c r="Z25" s="6">
        <v>349555192</v>
      </c>
      <c r="AA25" s="6">
        <v>596566774</v>
      </c>
      <c r="AB25" s="6">
        <v>490677619</v>
      </c>
      <c r="AC25" s="6">
        <v>122020177</v>
      </c>
      <c r="AD25" s="6">
        <v>171168723</v>
      </c>
      <c r="AE25" s="6">
        <v>461338926</v>
      </c>
      <c r="AF25" s="6">
        <v>885796479</v>
      </c>
      <c r="AG25" s="6">
        <v>21464063</v>
      </c>
      <c r="AH25" s="6">
        <v>1691220198</v>
      </c>
      <c r="AI25" s="6">
        <v>520209222</v>
      </c>
      <c r="AJ25" s="6">
        <v>27141565</v>
      </c>
      <c r="AK25" s="6">
        <v>2085185071589.8999</v>
      </c>
      <c r="AL25" s="6">
        <v>16967261672772.1</v>
      </c>
      <c r="AM25" s="6">
        <v>5308973788165.3496</v>
      </c>
      <c r="AN25" s="6">
        <v>5124446085120.6396</v>
      </c>
      <c r="AO25" s="6">
        <v>34300565349.930599</v>
      </c>
      <c r="AP25" s="6">
        <v>17050236689.621099</v>
      </c>
      <c r="AQ25" s="6">
        <v>21097727094379.898</v>
      </c>
      <c r="AR25" s="6">
        <v>10214051152120.5</v>
      </c>
      <c r="AS25" s="6">
        <v>22935444289903.5</v>
      </c>
      <c r="AT25" s="6">
        <v>3326211623934.4199</v>
      </c>
      <c r="AU25" s="6">
        <v>2256611028683.6299</v>
      </c>
      <c r="AV25" s="6">
        <v>7551363292723.3799</v>
      </c>
      <c r="AW25" s="6">
        <v>4313405990861.7402</v>
      </c>
      <c r="AX25" s="6">
        <v>98723801838.932602</v>
      </c>
      <c r="AY25" s="6">
        <v>8933904709794.1699</v>
      </c>
      <c r="AZ25" s="6">
        <v>6038409865179.4297</v>
      </c>
      <c r="BA25" s="6">
        <v>1424443071878.0701</v>
      </c>
      <c r="BB25" s="2">
        <v>257170.943</v>
      </c>
      <c r="BC25" s="2">
        <v>2837689.284</v>
      </c>
      <c r="BD25" s="2">
        <v>451385.82400000002</v>
      </c>
      <c r="BE25" s="2">
        <v>724933.37399999995</v>
      </c>
      <c r="BF25" s="2">
        <v>4486.4129999999996</v>
      </c>
      <c r="BG25" s="2">
        <v>13864.114</v>
      </c>
      <c r="BH25" s="2">
        <v>2409070.9130000002</v>
      </c>
      <c r="BI25" s="2">
        <v>825526.79499999899</v>
      </c>
      <c r="BJ25" s="2">
        <v>1564059.0349999999</v>
      </c>
      <c r="BK25" s="2">
        <v>298340.72899999999</v>
      </c>
      <c r="BL25" s="2">
        <v>322987.48100000003</v>
      </c>
      <c r="BM25" s="2">
        <v>887910.24399999995</v>
      </c>
      <c r="BN25" s="2">
        <v>426069.32</v>
      </c>
      <c r="BO25" s="2">
        <v>67264.654999999999</v>
      </c>
      <c r="BP25" s="2">
        <v>871325.55900000001</v>
      </c>
      <c r="BQ25" s="2">
        <v>581237.29299999995</v>
      </c>
      <c r="BR25" s="2">
        <v>144669.859</v>
      </c>
    </row>
    <row r="26" spans="1:70" x14ac:dyDescent="0.3">
      <c r="A26" s="27"/>
      <c r="B26" s="3">
        <v>2013</v>
      </c>
      <c r="C26" s="6">
        <v>642047.1855874171</v>
      </c>
      <c r="D26" s="6">
        <v>10806615.836231431</v>
      </c>
      <c r="E26" s="6">
        <v>1323489.9326440995</v>
      </c>
      <c r="F26" s="6">
        <v>1764247.1865535399</v>
      </c>
      <c r="G26" s="6">
        <v>19179.129263466002</v>
      </c>
      <c r="H26" s="6">
        <v>37908.409327216999</v>
      </c>
      <c r="I26" s="6">
        <v>5810895.6275613587</v>
      </c>
      <c r="J26" s="6">
        <v>1862742.9616270484</v>
      </c>
      <c r="K26" s="6">
        <v>3354829.7508598734</v>
      </c>
      <c r="L26" s="6">
        <v>804217.75575364765</v>
      </c>
      <c r="M26" s="6">
        <v>911139.21995999501</v>
      </c>
      <c r="N26" s="6">
        <v>2515201.6040618834</v>
      </c>
      <c r="O26" s="6">
        <v>796707.19073967589</v>
      </c>
      <c r="P26" s="6">
        <v>172799.332025171</v>
      </c>
      <c r="Q26" s="6">
        <v>2337794.1689249156</v>
      </c>
      <c r="R26" s="6">
        <v>1468671.2834681417</v>
      </c>
      <c r="S26" s="6">
        <v>440323.04868845985</v>
      </c>
      <c r="T26" s="6">
        <v>50428893</v>
      </c>
      <c r="U26" s="6">
        <v>1370418900</v>
      </c>
      <c r="V26" s="6">
        <v>127445000</v>
      </c>
      <c r="W26" s="6">
        <v>143805638</v>
      </c>
      <c r="X26" s="6">
        <v>2899011</v>
      </c>
      <c r="Y26" s="6">
        <v>25329451</v>
      </c>
      <c r="Z26" s="6">
        <v>352308102</v>
      </c>
      <c r="AA26" s="6">
        <v>602859351</v>
      </c>
      <c r="AB26" s="6">
        <v>492948089</v>
      </c>
      <c r="AC26" s="6">
        <v>121527798</v>
      </c>
      <c r="AD26" s="6">
        <v>173422494</v>
      </c>
      <c r="AE26" s="6">
        <v>472309814</v>
      </c>
      <c r="AF26" s="6">
        <v>910396012</v>
      </c>
      <c r="AG26" s="6">
        <v>21781593</v>
      </c>
      <c r="AH26" s="6">
        <v>1712735969</v>
      </c>
      <c r="AI26" s="6">
        <v>527008978</v>
      </c>
      <c r="AJ26" s="6">
        <v>27570229</v>
      </c>
      <c r="AK26" s="6">
        <v>2153816768676.79</v>
      </c>
      <c r="AL26" s="6">
        <v>18267361971949.301</v>
      </c>
      <c r="AM26" s="6">
        <v>5415424030978.7598</v>
      </c>
      <c r="AN26" s="6">
        <v>5214401746699.2402</v>
      </c>
      <c r="AO26" s="6">
        <v>38296209459.517303</v>
      </c>
      <c r="AP26" s="6">
        <v>17232981009.7757</v>
      </c>
      <c r="AQ26" s="6">
        <v>21548020292609.199</v>
      </c>
      <c r="AR26" s="6">
        <v>10512354113922.6</v>
      </c>
      <c r="AS26" s="6">
        <v>23114904080255.199</v>
      </c>
      <c r="AT26" s="6">
        <v>3350423491517.27</v>
      </c>
      <c r="AU26" s="6">
        <v>2336279505183.21</v>
      </c>
      <c r="AV26" s="6">
        <v>7679256741185.2695</v>
      </c>
      <c r="AW26" s="6">
        <v>4547242217831.2695</v>
      </c>
      <c r="AX26" s="6">
        <v>106542745796.026</v>
      </c>
      <c r="AY26" s="6">
        <v>9475181306003.7891</v>
      </c>
      <c r="AZ26" s="6">
        <v>6343403542041.04</v>
      </c>
      <c r="BA26" s="6">
        <v>1462132435761.6001</v>
      </c>
      <c r="BB26" s="2">
        <v>257602.71</v>
      </c>
      <c r="BC26" s="2">
        <v>2927381.4269999899</v>
      </c>
      <c r="BD26" s="2">
        <v>454639.39</v>
      </c>
      <c r="BE26" s="2">
        <v>707509.18900000001</v>
      </c>
      <c r="BF26" s="2">
        <v>5132.6099999999997</v>
      </c>
      <c r="BG26" s="2">
        <v>11140.106</v>
      </c>
      <c r="BH26" s="2">
        <v>2450760.3930000002</v>
      </c>
      <c r="BI26" s="2">
        <v>859131.10600000003</v>
      </c>
      <c r="BJ26" s="2">
        <v>1550689.9580000001</v>
      </c>
      <c r="BK26" s="2">
        <v>293311.875</v>
      </c>
      <c r="BL26" s="2">
        <v>319355</v>
      </c>
      <c r="BM26" s="2">
        <v>896829.36699999997</v>
      </c>
      <c r="BN26" s="2">
        <v>436570.35200000001</v>
      </c>
      <c r="BO26" s="2">
        <v>69181.369000000006</v>
      </c>
      <c r="BP26" s="2">
        <v>891754.36399999994</v>
      </c>
      <c r="BQ26" s="2">
        <v>613433.76800000004</v>
      </c>
      <c r="BR26" s="2">
        <v>147072.11499999999</v>
      </c>
    </row>
    <row r="27" spans="1:70" x14ac:dyDescent="0.3">
      <c r="A27" s="27"/>
      <c r="B27" s="3">
        <v>2014</v>
      </c>
      <c r="C27" s="6">
        <v>630586.54857635999</v>
      </c>
      <c r="D27" s="6">
        <v>10928658.563677955</v>
      </c>
      <c r="E27" s="6">
        <v>1273569.786515</v>
      </c>
      <c r="F27" s="6">
        <v>1750198.9144907701</v>
      </c>
      <c r="G27" s="6">
        <v>19530.335690942</v>
      </c>
      <c r="H27" s="6">
        <v>41610.538572242993</v>
      </c>
      <c r="I27" s="6">
        <v>5835640.9223101316</v>
      </c>
      <c r="J27" s="6">
        <v>1869895.7583041221</v>
      </c>
      <c r="K27" s="6">
        <v>3210040.9836581983</v>
      </c>
      <c r="L27" s="6">
        <v>774614.54073534126</v>
      </c>
      <c r="M27" s="6">
        <v>815766.91710253293</v>
      </c>
      <c r="N27" s="6">
        <v>2604716.732283656</v>
      </c>
      <c r="O27" s="6">
        <v>828978.03643427847</v>
      </c>
      <c r="P27" s="6">
        <v>190362.98447044994</v>
      </c>
      <c r="Q27" s="6">
        <v>2520035.6547609139</v>
      </c>
      <c r="R27" s="6">
        <v>1527061.2682614708</v>
      </c>
      <c r="S27" s="6">
        <v>431733.1349187101</v>
      </c>
      <c r="T27" s="6">
        <v>50746659</v>
      </c>
      <c r="U27" s="6">
        <v>1379089500</v>
      </c>
      <c r="V27" s="6">
        <v>127276000</v>
      </c>
      <c r="W27" s="6">
        <v>144237223</v>
      </c>
      <c r="X27" s="6">
        <v>2963113</v>
      </c>
      <c r="Y27" s="6">
        <v>25451262</v>
      </c>
      <c r="Z27" s="6">
        <v>355190462</v>
      </c>
      <c r="AA27" s="6">
        <v>609071963</v>
      </c>
      <c r="AB27" s="6">
        <v>495407580</v>
      </c>
      <c r="AC27" s="6">
        <v>121104950</v>
      </c>
      <c r="AD27" s="6">
        <v>175785488</v>
      </c>
      <c r="AE27" s="6">
        <v>482281601</v>
      </c>
      <c r="AF27" s="6">
        <v>935565872</v>
      </c>
      <c r="AG27" s="6">
        <v>22099944</v>
      </c>
      <c r="AH27" s="6">
        <v>1734103893</v>
      </c>
      <c r="AI27" s="6">
        <v>533424134</v>
      </c>
      <c r="AJ27" s="6">
        <v>27992186</v>
      </c>
      <c r="AK27" s="6">
        <v>2223055089815.4702</v>
      </c>
      <c r="AL27" s="6">
        <v>19610009109223.301</v>
      </c>
      <c r="AM27" s="6">
        <v>5431464815572.6904</v>
      </c>
      <c r="AN27" s="6">
        <v>5252793677571.3701</v>
      </c>
      <c r="AO27" s="6">
        <v>41315951926.477501</v>
      </c>
      <c r="AP27" s="6">
        <v>17412750187.851299</v>
      </c>
      <c r="AQ27" s="6">
        <v>22098362163574.301</v>
      </c>
      <c r="AR27" s="6">
        <v>10671595198334.699</v>
      </c>
      <c r="AS27" s="6">
        <v>23564894516100.5</v>
      </c>
      <c r="AT27" s="6">
        <v>3452685399339.8398</v>
      </c>
      <c r="AU27" s="6">
        <v>2316288622202.77</v>
      </c>
      <c r="AV27" s="6">
        <v>7919786459322.7305</v>
      </c>
      <c r="AW27" s="6">
        <v>4774062764472.2695</v>
      </c>
      <c r="AX27" s="6">
        <v>114913107819.65401</v>
      </c>
      <c r="AY27" s="6">
        <v>10132471518467.9</v>
      </c>
      <c r="AZ27" s="6">
        <v>6620946465256.4902</v>
      </c>
      <c r="BA27" s="6">
        <v>1502523943431.3601</v>
      </c>
      <c r="BB27" s="2">
        <v>260684.851</v>
      </c>
      <c r="BC27" s="2">
        <v>3001059.753</v>
      </c>
      <c r="BD27" s="2">
        <v>438569.734</v>
      </c>
      <c r="BE27" s="2">
        <v>709035.20799999998</v>
      </c>
      <c r="BF27" s="2">
        <v>5284.4750000000004</v>
      </c>
      <c r="BG27" s="2">
        <v>11991.887000000001</v>
      </c>
      <c r="BH27" s="2">
        <v>2483553.1569999899</v>
      </c>
      <c r="BI27" s="2">
        <v>857049.16500000004</v>
      </c>
      <c r="BJ27" s="2">
        <v>1493035.5859999999</v>
      </c>
      <c r="BK27" s="2">
        <v>284307.43799999898</v>
      </c>
      <c r="BL27" s="2">
        <v>291994.89600000001</v>
      </c>
      <c r="BM27" s="2">
        <v>946541.83199999901</v>
      </c>
      <c r="BN27" s="2">
        <v>452477.06900000002</v>
      </c>
      <c r="BO27" s="2">
        <v>76973.05</v>
      </c>
      <c r="BP27" s="2">
        <v>950827.08600000001</v>
      </c>
      <c r="BQ27" s="2">
        <v>625516.81499999994</v>
      </c>
      <c r="BR27" s="2">
        <v>147162.85699999999</v>
      </c>
    </row>
    <row r="28" spans="1:70" x14ac:dyDescent="0.3">
      <c r="A28" s="27"/>
      <c r="B28" s="3">
        <v>2015</v>
      </c>
      <c r="C28" s="6">
        <v>643799.39822141896</v>
      </c>
      <c r="D28" s="6">
        <v>10794142.078822259</v>
      </c>
      <c r="E28" s="6">
        <v>1232576.2244020004</v>
      </c>
      <c r="F28" s="6">
        <v>1757113.9179390999</v>
      </c>
      <c r="G28" s="6">
        <v>18025.909963842001</v>
      </c>
      <c r="H28" s="6">
        <v>32654.126324968995</v>
      </c>
      <c r="I28" s="6">
        <v>5719498.7526079826</v>
      </c>
      <c r="J28" s="6">
        <v>1859542.676894452</v>
      </c>
      <c r="K28" s="6">
        <v>3257729.572209565</v>
      </c>
      <c r="L28" s="6">
        <v>792550.65729857807</v>
      </c>
      <c r="M28" s="6">
        <v>737984.5888090916</v>
      </c>
      <c r="N28" s="6">
        <v>2643217.0970746628</v>
      </c>
      <c r="O28" s="6">
        <v>815140.02264052886</v>
      </c>
      <c r="P28" s="6">
        <v>218265.34402809292</v>
      </c>
      <c r="Q28" s="6">
        <v>2580317.2587528792</v>
      </c>
      <c r="R28" s="6">
        <v>1557203.2337952813</v>
      </c>
      <c r="S28" s="6">
        <v>436020.28117610991</v>
      </c>
      <c r="T28" s="6">
        <v>51014947</v>
      </c>
      <c r="U28" s="6">
        <v>1387151300</v>
      </c>
      <c r="V28" s="6">
        <v>127141000</v>
      </c>
      <c r="W28" s="6">
        <v>144640716</v>
      </c>
      <c r="X28" s="6">
        <v>3026864</v>
      </c>
      <c r="Y28" s="6">
        <v>25575350</v>
      </c>
      <c r="Z28" s="6">
        <v>358016206</v>
      </c>
      <c r="AA28" s="6">
        <v>615141127</v>
      </c>
      <c r="AB28" s="6">
        <v>498240162</v>
      </c>
      <c r="AC28" s="6">
        <v>120643739</v>
      </c>
      <c r="AD28" s="6">
        <v>178026092</v>
      </c>
      <c r="AE28" s="6">
        <v>492777785</v>
      </c>
      <c r="AF28" s="6">
        <v>961332472</v>
      </c>
      <c r="AG28" s="6">
        <v>22424896</v>
      </c>
      <c r="AH28" s="6">
        <v>1754660961</v>
      </c>
      <c r="AI28" s="6">
        <v>539530404</v>
      </c>
      <c r="AJ28" s="6">
        <v>28425395</v>
      </c>
      <c r="AK28" s="6">
        <v>2287974804720.3799</v>
      </c>
      <c r="AL28" s="6">
        <v>20958023479876</v>
      </c>
      <c r="AM28" s="6">
        <v>5516229705512.2402</v>
      </c>
      <c r="AN28" s="6">
        <v>5149170806802.0898</v>
      </c>
      <c r="AO28" s="6">
        <v>42299203744.5578</v>
      </c>
      <c r="AP28" s="6">
        <v>17213819077.747799</v>
      </c>
      <c r="AQ28" s="6">
        <v>22703798304497.398</v>
      </c>
      <c r="AR28" s="6">
        <v>10727451814439.699</v>
      </c>
      <c r="AS28" s="6">
        <v>24137724756751.5</v>
      </c>
      <c r="AT28" s="6">
        <v>3585657924975.1099</v>
      </c>
      <c r="AU28" s="6">
        <v>2270505173029.2598</v>
      </c>
      <c r="AV28" s="6">
        <v>8156442276552.4902</v>
      </c>
      <c r="AW28" s="6">
        <v>4921868292649.5898</v>
      </c>
      <c r="AX28" s="6">
        <v>123221727560.541</v>
      </c>
      <c r="AY28" s="6">
        <v>10879905422007.9</v>
      </c>
      <c r="AZ28" s="6">
        <v>6900165421779.0703</v>
      </c>
      <c r="BA28" s="6">
        <v>1538093998570.8601</v>
      </c>
      <c r="BB28" s="2">
        <v>267267.49800000002</v>
      </c>
      <c r="BC28" s="2">
        <v>3016211.2069999999</v>
      </c>
      <c r="BD28" s="2">
        <v>432354.76299999998</v>
      </c>
      <c r="BE28" s="2">
        <v>694887.3</v>
      </c>
      <c r="BF28" s="2">
        <v>4647.8320000000003</v>
      </c>
      <c r="BG28" s="2">
        <v>9534.4509999999991</v>
      </c>
      <c r="BH28" s="2">
        <v>2459593.3679999998</v>
      </c>
      <c r="BI28" s="2">
        <v>851748.44900000002</v>
      </c>
      <c r="BJ28" s="2">
        <v>1514458.371</v>
      </c>
      <c r="BK28" s="2">
        <v>289645.91800000001</v>
      </c>
      <c r="BL28" s="2">
        <v>265184.53100000002</v>
      </c>
      <c r="BM28" s="2">
        <v>956529.55200000003</v>
      </c>
      <c r="BN28" s="2">
        <v>451867.55200000003</v>
      </c>
      <c r="BO28" s="2">
        <v>73098.514999999999</v>
      </c>
      <c r="BP28" s="2">
        <v>981664.125999999</v>
      </c>
      <c r="BQ28" s="2">
        <v>627776.23899999994</v>
      </c>
      <c r="BR28" s="2">
        <v>147055.56200000001</v>
      </c>
    </row>
    <row r="29" spans="1:70" x14ac:dyDescent="0.3">
      <c r="A29" s="27"/>
      <c r="B29" s="3">
        <v>2016</v>
      </c>
      <c r="C29" s="6">
        <v>648815.83675828506</v>
      </c>
      <c r="D29" s="6">
        <v>10818805.227687428</v>
      </c>
      <c r="E29" s="6">
        <v>1228653.7196605003</v>
      </c>
      <c r="F29" s="6">
        <v>1734638.2443525996</v>
      </c>
      <c r="G29" s="6">
        <v>19116.819168114002</v>
      </c>
      <c r="H29" s="6">
        <v>36027.056849278008</v>
      </c>
      <c r="I29" s="6">
        <v>5614440.9588420093</v>
      </c>
      <c r="J29" s="6">
        <v>1823090.1188806985</v>
      </c>
      <c r="K29" s="6">
        <v>3254554.5087913335</v>
      </c>
      <c r="L29" s="6">
        <v>806591.07045113901</v>
      </c>
      <c r="M29" s="6">
        <v>758427.20103358955</v>
      </c>
      <c r="N29" s="6">
        <v>2680061.0132742757</v>
      </c>
      <c r="O29" s="6">
        <v>827914.53539473086</v>
      </c>
      <c r="P29" s="6">
        <v>250272.18032619395</v>
      </c>
      <c r="Q29" s="6">
        <v>2647787.1053137099</v>
      </c>
      <c r="R29" s="6">
        <v>1557727.2240750948</v>
      </c>
      <c r="S29" s="6">
        <v>443355.78800436592</v>
      </c>
      <c r="T29" s="6">
        <v>51217803</v>
      </c>
      <c r="U29" s="6">
        <v>1395126600</v>
      </c>
      <c r="V29" s="6">
        <v>127076000</v>
      </c>
      <c r="W29" s="6">
        <v>145015460</v>
      </c>
      <c r="X29" s="6">
        <v>3088856</v>
      </c>
      <c r="Y29" s="6">
        <v>25698326</v>
      </c>
      <c r="Z29" s="6">
        <v>360958545</v>
      </c>
      <c r="AA29" s="6">
        <v>621065588</v>
      </c>
      <c r="AB29" s="6">
        <v>501170175</v>
      </c>
      <c r="AC29" s="6">
        <v>120177967</v>
      </c>
      <c r="AD29" s="6">
        <v>180116804</v>
      </c>
      <c r="AE29" s="6">
        <v>502781880</v>
      </c>
      <c r="AF29" s="6">
        <v>987423063</v>
      </c>
      <c r="AG29" s="6">
        <v>22761605</v>
      </c>
      <c r="AH29" s="6">
        <v>1775250733</v>
      </c>
      <c r="AI29" s="6">
        <v>545426131</v>
      </c>
      <c r="AJ29" s="6">
        <v>28905007</v>
      </c>
      <c r="AK29" s="6">
        <v>2360538554612.6899</v>
      </c>
      <c r="AL29" s="6">
        <v>22356989124038.5</v>
      </c>
      <c r="AM29" s="6">
        <v>5557812520391.5596</v>
      </c>
      <c r="AN29" s="6">
        <v>5159144239407.1104</v>
      </c>
      <c r="AO29" s="6">
        <v>42929370719.982399</v>
      </c>
      <c r="AP29" s="6">
        <v>17879746641.750301</v>
      </c>
      <c r="AQ29" s="6">
        <v>23101353660033.301</v>
      </c>
      <c r="AR29" s="6">
        <v>10708028631609.699</v>
      </c>
      <c r="AS29" s="6">
        <v>24620937168449.801</v>
      </c>
      <c r="AT29" s="6">
        <v>3688256883122.2798</v>
      </c>
      <c r="AU29" s="6">
        <v>2308637601048.4902</v>
      </c>
      <c r="AV29" s="6">
        <v>8530986638430.1104</v>
      </c>
      <c r="AW29" s="6">
        <v>4981738323251.3398</v>
      </c>
      <c r="AX29" s="6">
        <v>132560558641.304</v>
      </c>
      <c r="AY29" s="6">
        <v>11734215285935.801</v>
      </c>
      <c r="AZ29" s="6">
        <v>7225521082970.5801</v>
      </c>
      <c r="BA29" s="6">
        <v>1582599548183.9299</v>
      </c>
      <c r="BB29" s="2">
        <v>276107.011</v>
      </c>
      <c r="BC29" s="2">
        <v>2997917.5019999999</v>
      </c>
      <c r="BD29" s="2">
        <v>428358.94500000001</v>
      </c>
      <c r="BE29" s="2">
        <v>715802.51100000006</v>
      </c>
      <c r="BF29" s="2">
        <v>4962.107</v>
      </c>
      <c r="BG29" s="2">
        <v>10520.9</v>
      </c>
      <c r="BH29" s="2">
        <v>2448209.8640000001</v>
      </c>
      <c r="BI29" s="2">
        <v>842812.46699999995</v>
      </c>
      <c r="BJ29" s="2">
        <v>1525415.1580000001</v>
      </c>
      <c r="BK29" s="2">
        <v>296444.23300000001</v>
      </c>
      <c r="BL29" s="2">
        <v>272543.929</v>
      </c>
      <c r="BM29" s="2">
        <v>989836.09699999995</v>
      </c>
      <c r="BN29" s="2">
        <v>466838.31900000002</v>
      </c>
      <c r="BO29" s="2">
        <v>81208.554999999993</v>
      </c>
      <c r="BP29" s="2">
        <v>1006926.143</v>
      </c>
      <c r="BQ29" s="2">
        <v>649629.402999999</v>
      </c>
      <c r="BR29" s="2">
        <v>146313.764</v>
      </c>
    </row>
    <row r="30" spans="1:70" x14ac:dyDescent="0.3">
      <c r="A30" s="27"/>
      <c r="B30" s="3">
        <v>2017</v>
      </c>
      <c r="C30" s="6">
        <v>665287.9512951998</v>
      </c>
      <c r="D30" s="6">
        <v>11043553.635596819</v>
      </c>
      <c r="E30" s="6">
        <v>1212942.3327829998</v>
      </c>
      <c r="F30" s="6">
        <v>1763240.1319565002</v>
      </c>
      <c r="G30" s="6">
        <v>21075.325461041</v>
      </c>
      <c r="H30" s="6">
        <v>73542.726472114999</v>
      </c>
      <c r="I30" s="6">
        <v>5563018.5958724981</v>
      </c>
      <c r="J30" s="6">
        <v>1809384.0659038778</v>
      </c>
      <c r="K30" s="6">
        <v>3282284.1802985747</v>
      </c>
      <c r="L30" s="6">
        <v>835265.0100973068</v>
      </c>
      <c r="M30" s="6">
        <v>758654.56631852733</v>
      </c>
      <c r="N30" s="6">
        <v>2734194.2550738212</v>
      </c>
      <c r="O30" s="6">
        <v>833679.91891765327</v>
      </c>
      <c r="P30" s="6">
        <v>260326.09461660884</v>
      </c>
      <c r="Q30" s="6">
        <v>2805628.2982747802</v>
      </c>
      <c r="R30" s="6">
        <v>1613481.8620895226</v>
      </c>
      <c r="S30" s="6">
        <v>447477.71408451372</v>
      </c>
      <c r="T30" s="6">
        <v>51361911</v>
      </c>
      <c r="U30" s="6">
        <v>1403608200</v>
      </c>
      <c r="V30" s="6">
        <v>126972000</v>
      </c>
      <c r="W30" s="6">
        <v>145293260</v>
      </c>
      <c r="X30" s="6">
        <v>3148917</v>
      </c>
      <c r="Y30" s="6">
        <v>25817709</v>
      </c>
      <c r="Z30" s="6">
        <v>363645750</v>
      </c>
      <c r="AA30" s="6">
        <v>626812981</v>
      </c>
      <c r="AB30" s="6">
        <v>503651482</v>
      </c>
      <c r="AC30" s="6">
        <v>119750984</v>
      </c>
      <c r="AD30" s="6">
        <v>182271403</v>
      </c>
      <c r="AE30" s="6">
        <v>511376355</v>
      </c>
      <c r="AF30" s="6">
        <v>1014106399</v>
      </c>
      <c r="AG30" s="6">
        <v>23091519</v>
      </c>
      <c r="AH30" s="6">
        <v>1795794394</v>
      </c>
      <c r="AI30" s="6">
        <v>551074594</v>
      </c>
      <c r="AJ30" s="6">
        <v>29406188</v>
      </c>
      <c r="AK30" s="6">
        <v>2441580369855.04</v>
      </c>
      <c r="AL30" s="6">
        <v>23883192632915.801</v>
      </c>
      <c r="AM30" s="6">
        <v>5650924318247.5</v>
      </c>
      <c r="AN30" s="6">
        <v>5253339382318.5801</v>
      </c>
      <c r="AO30" s="6">
        <v>45349246281.1623</v>
      </c>
      <c r="AP30" s="6">
        <v>17257084703.2183</v>
      </c>
      <c r="AQ30" s="6">
        <v>23680518590292.398</v>
      </c>
      <c r="AR30" s="6">
        <v>10925157596506.301</v>
      </c>
      <c r="AS30" s="6">
        <v>25368436688553</v>
      </c>
      <c r="AT30" s="6">
        <v>3873693164204.71</v>
      </c>
      <c r="AU30" s="6">
        <v>2384384815410.0898</v>
      </c>
      <c r="AV30" s="6">
        <v>8694814783579.7002</v>
      </c>
      <c r="AW30" s="6">
        <v>5111861240598.25</v>
      </c>
      <c r="AX30" s="6">
        <v>142687827774.33099</v>
      </c>
      <c r="AY30" s="6">
        <v>12505164212350.6</v>
      </c>
      <c r="AZ30" s="6">
        <v>7603231808722.8799</v>
      </c>
      <c r="BA30" s="6">
        <v>1621228086943.1201</v>
      </c>
      <c r="BB30" s="2">
        <v>280837.8</v>
      </c>
      <c r="BC30" s="2">
        <v>3107700.102</v>
      </c>
      <c r="BD30" s="2">
        <v>430568.47700000001</v>
      </c>
      <c r="BE30" s="2">
        <v>729193.97699999996</v>
      </c>
      <c r="BF30" s="2">
        <v>5107.8739999999998</v>
      </c>
      <c r="BG30" s="2">
        <v>19841.78</v>
      </c>
      <c r="BH30" s="2">
        <v>2451386.4449999998</v>
      </c>
      <c r="BI30" s="2">
        <v>840077.103</v>
      </c>
      <c r="BJ30" s="2">
        <v>1549481.507</v>
      </c>
      <c r="BK30" s="2">
        <v>308169.21399999998</v>
      </c>
      <c r="BL30" s="2">
        <v>274938.783</v>
      </c>
      <c r="BM30" s="2">
        <v>1026230.463</v>
      </c>
      <c r="BN30" s="2">
        <v>470463.62300000002</v>
      </c>
      <c r="BO30" s="2">
        <v>84527.245999999999</v>
      </c>
      <c r="BP30" s="2">
        <v>1050337.4439999999</v>
      </c>
      <c r="BQ30" s="2">
        <v>667916.15700000001</v>
      </c>
      <c r="BR30" s="2">
        <v>147178.804</v>
      </c>
    </row>
    <row r="31" spans="1:70" x14ac:dyDescent="0.3">
      <c r="A31" s="27"/>
      <c r="B31" s="3">
        <v>2018</v>
      </c>
      <c r="C31" s="6">
        <v>680496.01195379684</v>
      </c>
      <c r="D31" s="6">
        <v>11571570.806444393</v>
      </c>
      <c r="E31" s="6">
        <v>1163127.7647893999</v>
      </c>
      <c r="F31" s="6">
        <v>1831132.7549142994</v>
      </c>
      <c r="G31" s="6">
        <v>22956.680500436996</v>
      </c>
      <c r="H31" s="6">
        <v>66396.486535342992</v>
      </c>
      <c r="I31" s="6">
        <v>5744702.2768264748</v>
      </c>
      <c r="J31" s="6">
        <v>1758009.888855583</v>
      </c>
      <c r="K31" s="6">
        <v>3205712.830158479</v>
      </c>
      <c r="L31" s="6">
        <v>831688.42484742519</v>
      </c>
      <c r="M31" s="6">
        <v>778547.8283281849</v>
      </c>
      <c r="N31" s="6">
        <v>2711649.0144765358</v>
      </c>
      <c r="O31" s="6">
        <v>855375.03679822572</v>
      </c>
      <c r="P31" s="6">
        <v>314272.07426963787</v>
      </c>
      <c r="Q31" s="6">
        <v>2916069.2272708104</v>
      </c>
      <c r="R31" s="6">
        <v>1683619.8100426146</v>
      </c>
      <c r="S31" s="6">
        <v>444881.10041042994</v>
      </c>
      <c r="T31" s="6">
        <v>51585058</v>
      </c>
      <c r="U31" s="6">
        <v>1410212600</v>
      </c>
      <c r="V31" s="6">
        <v>126811000</v>
      </c>
      <c r="W31" s="6">
        <v>145398106</v>
      </c>
      <c r="X31" s="6">
        <v>3208189</v>
      </c>
      <c r="Y31" s="6">
        <v>25931147</v>
      </c>
      <c r="Z31" s="6">
        <v>366091716</v>
      </c>
      <c r="AA31" s="6">
        <v>632297370</v>
      </c>
      <c r="AB31" s="6">
        <v>506451744</v>
      </c>
      <c r="AC31" s="6">
        <v>119364113</v>
      </c>
      <c r="AD31" s="6">
        <v>184446407</v>
      </c>
      <c r="AE31" s="6">
        <v>519488191</v>
      </c>
      <c r="AF31" s="6">
        <v>1041262822</v>
      </c>
      <c r="AG31" s="6">
        <v>23402567</v>
      </c>
      <c r="AH31" s="6">
        <v>1816093606</v>
      </c>
      <c r="AI31" s="6">
        <v>556487649</v>
      </c>
      <c r="AJ31" s="6">
        <v>29863858</v>
      </c>
      <c r="AK31" s="6">
        <v>2519127786865.1001</v>
      </c>
      <c r="AL31" s="6">
        <v>25477932315773.5</v>
      </c>
      <c r="AM31" s="6">
        <v>5687281858057.7598</v>
      </c>
      <c r="AN31" s="6">
        <v>5400813511031.75</v>
      </c>
      <c r="AO31" s="6">
        <v>48861491267.8209</v>
      </c>
      <c r="AP31" s="6">
        <v>16541285689.8151</v>
      </c>
      <c r="AQ31" s="6">
        <v>24378326995016</v>
      </c>
      <c r="AR31" s="6">
        <v>11113901267832.9</v>
      </c>
      <c r="AS31" s="6">
        <v>25843024302010</v>
      </c>
      <c r="AT31" s="6">
        <v>4063866584207.2598</v>
      </c>
      <c r="AU31" s="6">
        <v>2475690282065.27</v>
      </c>
      <c r="AV31" s="6">
        <v>8859913940507.9492</v>
      </c>
      <c r="AW31" s="6">
        <v>5269562854956.5703</v>
      </c>
      <c r="AX31" s="6">
        <v>153891635498.01999</v>
      </c>
      <c r="AY31" s="6">
        <v>13305537818544.301</v>
      </c>
      <c r="AZ31" s="6">
        <v>7979226691555.71</v>
      </c>
      <c r="BA31" s="6">
        <v>1669151101807.77</v>
      </c>
      <c r="BB31" s="2">
        <v>285357.18900000001</v>
      </c>
      <c r="BC31" s="2">
        <v>3255740.2479999899</v>
      </c>
      <c r="BD31" s="2">
        <v>423936.05599999998</v>
      </c>
      <c r="BE31" s="2">
        <v>767570.30599999998</v>
      </c>
      <c r="BF31" s="2">
        <v>5726.9809999999998</v>
      </c>
      <c r="BG31" s="2">
        <v>18165.124</v>
      </c>
      <c r="BH31" s="2">
        <v>2516300.4739999999</v>
      </c>
      <c r="BI31" s="2">
        <v>823563.05900000001</v>
      </c>
      <c r="BJ31" s="2">
        <v>1529195.8130000001</v>
      </c>
      <c r="BK31" s="2">
        <v>313354.875</v>
      </c>
      <c r="BL31" s="2">
        <v>291260.02399999998</v>
      </c>
      <c r="BM31" s="2">
        <v>1023884.363</v>
      </c>
      <c r="BN31" s="2">
        <v>471770.163</v>
      </c>
      <c r="BO31" s="2">
        <v>98252.112999999998</v>
      </c>
      <c r="BP31" s="2">
        <v>1089535.4240000001</v>
      </c>
      <c r="BQ31" s="2">
        <v>697907.22100000002</v>
      </c>
      <c r="BR31" s="2">
        <v>147110.133</v>
      </c>
    </row>
    <row r="32" spans="1:70" x14ac:dyDescent="0.3">
      <c r="A32" s="27"/>
      <c r="B32" s="3">
        <v>2019</v>
      </c>
      <c r="C32" s="6">
        <v>654990.08643719018</v>
      </c>
      <c r="D32" s="6">
        <v>11856566.398923337</v>
      </c>
      <c r="E32" s="6">
        <v>1123812.9657778998</v>
      </c>
      <c r="F32" s="6">
        <v>1858002.0311127</v>
      </c>
      <c r="G32" s="6">
        <v>25335.529056799005</v>
      </c>
      <c r="H32" s="6">
        <v>73411.126972741011</v>
      </c>
      <c r="I32" s="6">
        <v>5589649.2596156877</v>
      </c>
      <c r="J32" s="6">
        <v>1761515.5367244955</v>
      </c>
      <c r="K32" s="6">
        <v>3071622.0919556739</v>
      </c>
      <c r="L32" s="6">
        <v>793810.9140163759</v>
      </c>
      <c r="M32" s="6">
        <v>760046.34131409507</v>
      </c>
      <c r="N32" s="6">
        <v>2783929.179446118</v>
      </c>
      <c r="O32" s="6">
        <v>874436.7995548019</v>
      </c>
      <c r="P32" s="6">
        <v>371609.68592596595</v>
      </c>
      <c r="Q32" s="6">
        <v>2912508.466030193</v>
      </c>
      <c r="R32" s="6">
        <v>1734161.257268959</v>
      </c>
      <c r="S32" s="6">
        <v>445153.87604490976</v>
      </c>
      <c r="T32" s="6">
        <v>51764822</v>
      </c>
      <c r="U32" s="6">
        <v>1415252900</v>
      </c>
      <c r="V32" s="6">
        <v>126633000</v>
      </c>
      <c r="W32" s="6">
        <v>145453291</v>
      </c>
      <c r="X32" s="6">
        <v>3267673</v>
      </c>
      <c r="Y32" s="6">
        <v>26037632</v>
      </c>
      <c r="Z32" s="6">
        <v>368331869</v>
      </c>
      <c r="AA32" s="6">
        <v>637471793</v>
      </c>
      <c r="AB32" s="6">
        <v>508863916</v>
      </c>
      <c r="AC32" s="6">
        <v>119014749</v>
      </c>
      <c r="AD32" s="6">
        <v>186702882</v>
      </c>
      <c r="AE32" s="6">
        <v>528436381</v>
      </c>
      <c r="AF32" s="6">
        <v>1068401797</v>
      </c>
      <c r="AG32" s="6">
        <v>23718940</v>
      </c>
      <c r="AH32" s="6">
        <v>1836213885</v>
      </c>
      <c r="AI32" s="6">
        <v>561757144</v>
      </c>
      <c r="AJ32" s="6">
        <v>30305126</v>
      </c>
      <c r="AK32" s="6">
        <v>2577415418649.2798</v>
      </c>
      <c r="AL32" s="6">
        <v>26985412288717.801</v>
      </c>
      <c r="AM32" s="6">
        <v>5664409362056.5596</v>
      </c>
      <c r="AN32" s="6">
        <v>5519527481141.0703</v>
      </c>
      <c r="AO32" s="6">
        <v>51598831338.492203</v>
      </c>
      <c r="AP32" s="6">
        <v>16599729582.4911</v>
      </c>
      <c r="AQ32" s="6">
        <v>24993879226960.898</v>
      </c>
      <c r="AR32" s="6">
        <v>11196053195756</v>
      </c>
      <c r="AS32" s="6">
        <v>26234492585892.301</v>
      </c>
      <c r="AT32" s="6">
        <v>4228567758051.9399</v>
      </c>
      <c r="AU32" s="6">
        <v>2575938003484.79</v>
      </c>
      <c r="AV32" s="6">
        <v>9003858530529.0391</v>
      </c>
      <c r="AW32" s="6">
        <v>5418965891512.2305</v>
      </c>
      <c r="AX32" s="6">
        <v>164731928108.42599</v>
      </c>
      <c r="AY32" s="6">
        <v>13837027368296.6</v>
      </c>
      <c r="AZ32" s="6">
        <v>8313902003466.8701</v>
      </c>
      <c r="BA32" s="6">
        <v>1706056596668.6499</v>
      </c>
      <c r="BB32" s="2">
        <v>276148.45199999999</v>
      </c>
      <c r="BC32" s="2">
        <v>3389743.5520000001</v>
      </c>
      <c r="BD32" s="2">
        <v>413028.77500000002</v>
      </c>
      <c r="BE32" s="2">
        <v>739299.80799999996</v>
      </c>
      <c r="BF32" s="2">
        <v>6651.7830000000004</v>
      </c>
      <c r="BG32" s="2">
        <v>19884.237000000001</v>
      </c>
      <c r="BH32" s="2">
        <v>2518495.102</v>
      </c>
      <c r="BI32" s="2">
        <v>833716.08499999996</v>
      </c>
      <c r="BJ32" s="2">
        <v>1505710.689</v>
      </c>
      <c r="BK32" s="2">
        <v>306401.90000000002</v>
      </c>
      <c r="BL32" s="2">
        <v>289413.15600000002</v>
      </c>
      <c r="BM32" s="2">
        <v>1053937.9650000001</v>
      </c>
      <c r="BN32" s="2">
        <v>493564.17800000001</v>
      </c>
      <c r="BO32" s="2">
        <v>109835.917999999</v>
      </c>
      <c r="BP32" s="2">
        <v>1097030.8119999999</v>
      </c>
      <c r="BQ32" s="2">
        <v>707920.62199999997</v>
      </c>
      <c r="BR32" s="2">
        <v>153271.19899999999</v>
      </c>
    </row>
    <row r="33" spans="1:70" x14ac:dyDescent="0.3">
      <c r="A33" s="27"/>
      <c r="B33" s="3">
        <v>2020</v>
      </c>
      <c r="C33" s="6">
        <v>617340.76360012777</v>
      </c>
      <c r="D33" s="6">
        <v>11998190.412577732</v>
      </c>
      <c r="E33" s="6">
        <v>1060226.9232821998</v>
      </c>
      <c r="F33" s="6">
        <v>1784199.1488612001</v>
      </c>
      <c r="G33" s="6">
        <v>22515.519167894006</v>
      </c>
      <c r="H33" s="6">
        <v>69045.008425627995</v>
      </c>
      <c r="I33" s="6">
        <v>5027820.6554803103</v>
      </c>
      <c r="J33" s="6">
        <v>1575906.1320678825</v>
      </c>
      <c r="K33" s="6">
        <v>2811537.023431859</v>
      </c>
      <c r="L33" s="6">
        <v>747275.05060840782</v>
      </c>
      <c r="M33" s="6">
        <v>764730.28270885989</v>
      </c>
      <c r="N33" s="6">
        <v>2749051.1036235364</v>
      </c>
      <c r="O33" s="6">
        <v>831844.69301787135</v>
      </c>
      <c r="P33" s="6">
        <v>386402.52117248788</v>
      </c>
      <c r="Q33" s="6">
        <v>2737516.8762698648</v>
      </c>
      <c r="R33" s="6">
        <v>1667656.9351061468</v>
      </c>
      <c r="S33" s="6">
        <v>427215.68461900001</v>
      </c>
      <c r="T33" s="6">
        <v>51836239</v>
      </c>
      <c r="U33" s="6">
        <v>1418581000</v>
      </c>
      <c r="V33" s="6">
        <v>126261000</v>
      </c>
      <c r="W33" s="6">
        <v>145245148</v>
      </c>
      <c r="X33" s="6">
        <v>3327204</v>
      </c>
      <c r="Y33" s="6">
        <v>26136312</v>
      </c>
      <c r="Z33" s="6">
        <v>370092844</v>
      </c>
      <c r="AA33" s="6">
        <v>642031650</v>
      </c>
      <c r="AB33" s="6">
        <v>510493711</v>
      </c>
      <c r="AC33" s="6">
        <v>118215583</v>
      </c>
      <c r="AD33" s="6">
        <v>189035719</v>
      </c>
      <c r="AE33" s="6">
        <v>538201576</v>
      </c>
      <c r="AF33" s="6">
        <v>1095981750</v>
      </c>
      <c r="AG33" s="6">
        <v>24072007</v>
      </c>
      <c r="AH33" s="6">
        <v>1856075163</v>
      </c>
      <c r="AI33" s="6">
        <v>566563011</v>
      </c>
      <c r="AJ33" s="6">
        <v>30721648</v>
      </c>
      <c r="AK33" s="6">
        <v>2559367265189.04</v>
      </c>
      <c r="AL33" s="6">
        <v>27573302773762.398</v>
      </c>
      <c r="AM33" s="6">
        <v>5428273471388.2598</v>
      </c>
      <c r="AN33" s="6">
        <v>5373058291702.3096</v>
      </c>
      <c r="AO33" s="6">
        <v>49247084583.654602</v>
      </c>
      <c r="AP33" s="6">
        <v>15847371619.8307</v>
      </c>
      <c r="AQ33" s="6">
        <v>24390997832885.602</v>
      </c>
      <c r="AR33" s="6">
        <v>10451452824187.301</v>
      </c>
      <c r="AS33" s="6">
        <v>24737422741365</v>
      </c>
      <c r="AT33" s="6">
        <v>4090370030011.2202</v>
      </c>
      <c r="AU33" s="6">
        <v>2517395867861.0298</v>
      </c>
      <c r="AV33" s="6">
        <v>8742517366513.4404</v>
      </c>
      <c r="AW33" s="6">
        <v>5245211644032.9004</v>
      </c>
      <c r="AX33" s="6">
        <v>161246694023.48001</v>
      </c>
      <c r="AY33" s="6">
        <v>13201407636598.6</v>
      </c>
      <c r="AZ33" s="6">
        <v>7886020090575.5703</v>
      </c>
      <c r="BA33" s="6">
        <v>1703369533136.72</v>
      </c>
      <c r="BB33" s="2">
        <v>269336.46000000002</v>
      </c>
      <c r="BC33" s="2">
        <v>3492055.8229999999</v>
      </c>
      <c r="BD33" s="2">
        <v>384698.94400000002</v>
      </c>
      <c r="BE33" s="2">
        <v>736158.42099999997</v>
      </c>
      <c r="BF33" s="2">
        <v>5966.5929999999998</v>
      </c>
      <c r="BG33" s="2">
        <v>18999.221000000001</v>
      </c>
      <c r="BH33" s="2">
        <v>2321422.5959999999</v>
      </c>
      <c r="BI33" s="2">
        <v>779387.22400000005</v>
      </c>
      <c r="BJ33" s="2">
        <v>1404525.9950000001</v>
      </c>
      <c r="BK33" s="2">
        <v>296684.64600000001</v>
      </c>
      <c r="BL33" s="2">
        <v>281816.59999999998</v>
      </c>
      <c r="BM33" s="2">
        <v>1025647.763</v>
      </c>
      <c r="BN33" s="2">
        <v>493128.60399999999</v>
      </c>
      <c r="BO33" s="2">
        <v>111154.81299999999</v>
      </c>
      <c r="BP33" s="2">
        <v>1066292.8999999999</v>
      </c>
      <c r="BQ33" s="2">
        <v>694602.23099999898</v>
      </c>
      <c r="BR33" s="2">
        <v>151918.02399999899</v>
      </c>
    </row>
    <row r="34" spans="1:70" x14ac:dyDescent="0.3">
      <c r="A34" s="27"/>
      <c r="B34" s="3">
        <v>2021</v>
      </c>
      <c r="C34" s="6">
        <v>638770.19776422996</v>
      </c>
      <c r="D34" s="6">
        <v>12586401.855185142</v>
      </c>
      <c r="E34" s="6">
        <v>1080205.9879127999</v>
      </c>
      <c r="F34" s="6">
        <v>1938459.5531066998</v>
      </c>
      <c r="G34" s="6">
        <v>24888.666368096994</v>
      </c>
      <c r="H34" s="6">
        <v>57290.629617697014</v>
      </c>
      <c r="I34" s="6">
        <v>5328809.1133200536</v>
      </c>
      <c r="J34" s="6">
        <v>1708816.5992223653</v>
      </c>
      <c r="K34" s="6">
        <v>2999409.4546087971</v>
      </c>
      <c r="L34" s="6">
        <v>797731.98308526888</v>
      </c>
      <c r="M34" s="6">
        <v>811304.58878378116</v>
      </c>
      <c r="N34" s="6">
        <v>2889133.8052163273</v>
      </c>
      <c r="O34" s="6">
        <v>866967.22120039561</v>
      </c>
      <c r="P34" s="6">
        <v>378469.54222479207</v>
      </c>
      <c r="Q34" s="6">
        <v>3000753.4201970957</v>
      </c>
      <c r="R34" s="6">
        <v>1709431.802147561</v>
      </c>
      <c r="S34" s="6">
        <v>419444.03080859984</v>
      </c>
      <c r="T34" s="6">
        <v>51769539</v>
      </c>
      <c r="U34" s="6">
        <v>1419773100</v>
      </c>
      <c r="V34" s="6">
        <v>125681593</v>
      </c>
      <c r="W34" s="6">
        <v>144746762</v>
      </c>
      <c r="X34" s="6">
        <v>3383741</v>
      </c>
      <c r="Y34" s="6">
        <v>26232534</v>
      </c>
      <c r="Z34" s="6">
        <v>370826729</v>
      </c>
      <c r="AA34" s="6">
        <v>645790767</v>
      </c>
      <c r="AB34" s="6">
        <v>511966057</v>
      </c>
      <c r="AC34" s="6">
        <v>117022973</v>
      </c>
      <c r="AD34" s="6">
        <v>190903580</v>
      </c>
      <c r="AE34" s="6">
        <v>545393544</v>
      </c>
      <c r="AF34" s="6">
        <v>1123929038</v>
      </c>
      <c r="AG34" s="6">
        <v>24427499</v>
      </c>
      <c r="AH34" s="6">
        <v>1874263157</v>
      </c>
      <c r="AI34" s="6">
        <v>570397157</v>
      </c>
      <c r="AJ34" s="6">
        <v>30770012</v>
      </c>
      <c r="AK34" s="6">
        <v>2677430056971.27</v>
      </c>
      <c r="AL34" s="6">
        <v>29926651760985.801</v>
      </c>
      <c r="AM34" s="6">
        <v>5574650884739.54</v>
      </c>
      <c r="AN34" s="6">
        <v>5688268314339.54</v>
      </c>
      <c r="AO34" s="6">
        <v>50053145881.859901</v>
      </c>
      <c r="AP34" s="6">
        <v>15838593001.7883</v>
      </c>
      <c r="AQ34" s="6">
        <v>25865621168782.5</v>
      </c>
      <c r="AR34" s="6">
        <v>11233487574968.801</v>
      </c>
      <c r="AS34" s="6">
        <v>26497281298187.199</v>
      </c>
      <c r="AT34" s="6">
        <v>4362722418834</v>
      </c>
      <c r="AU34" s="6">
        <v>2613724969651.8599</v>
      </c>
      <c r="AV34" s="6">
        <v>9135509267452.5391</v>
      </c>
      <c r="AW34" s="6">
        <v>5441043065651.6104</v>
      </c>
      <c r="AX34" s="6">
        <v>165899143697.35199</v>
      </c>
      <c r="AY34" s="6">
        <v>14388730719617.9</v>
      </c>
      <c r="AZ34" s="6">
        <v>8156172691080.1602</v>
      </c>
      <c r="BA34" s="6">
        <v>1743489106939.4399</v>
      </c>
      <c r="BB34" s="2">
        <v>285438.01699999999</v>
      </c>
      <c r="BC34" s="2">
        <v>3718127.9010000001</v>
      </c>
      <c r="BD34" s="2">
        <v>401683.38400000002</v>
      </c>
      <c r="BE34" s="2">
        <v>826584.03500000003</v>
      </c>
      <c r="BF34" s="2">
        <v>6579.79</v>
      </c>
      <c r="BG34" s="2">
        <v>16247.253000000001</v>
      </c>
      <c r="BH34" s="2">
        <v>2428409.7420000001</v>
      </c>
      <c r="BI34" s="2">
        <v>832001.30500000005</v>
      </c>
      <c r="BJ34" s="2">
        <v>1482795.4569999999</v>
      </c>
      <c r="BK34" s="2">
        <v>313645.62300000002</v>
      </c>
      <c r="BL34" s="2">
        <v>313858.31199999998</v>
      </c>
      <c r="BM34" s="2">
        <v>1071012.2179999901</v>
      </c>
      <c r="BN34" s="2">
        <v>517893.69299999898</v>
      </c>
      <c r="BO34" s="2">
        <v>109250.74</v>
      </c>
      <c r="BP34" s="2">
        <v>1146009.915</v>
      </c>
      <c r="BQ34" s="2">
        <v>716648.18299999996</v>
      </c>
      <c r="BR34" s="2">
        <v>148461.41899999999</v>
      </c>
    </row>
    <row r="35" spans="1:70" x14ac:dyDescent="0.3">
      <c r="A35" s="27"/>
      <c r="B35" s="3">
        <v>2022</v>
      </c>
      <c r="C35" s="6">
        <v>613546.70921691018</v>
      </c>
      <c r="D35" s="6">
        <v>12550816.592827979</v>
      </c>
      <c r="E35" s="6">
        <v>1050503.2369010001</v>
      </c>
      <c r="F35" s="6">
        <v>1895472.8804899</v>
      </c>
      <c r="G35" s="6">
        <v>24955.332479761004</v>
      </c>
      <c r="H35" s="6">
        <v>59803.620062326001</v>
      </c>
      <c r="I35" s="6">
        <v>5405548.6635778397</v>
      </c>
      <c r="J35" s="6">
        <v>1716086.4124693191</v>
      </c>
      <c r="K35" s="6">
        <v>2922891.4018823826</v>
      </c>
      <c r="L35" s="6">
        <v>771359.72343627701</v>
      </c>
      <c r="M35" s="6">
        <v>741207.18498841894</v>
      </c>
      <c r="N35" s="6">
        <v>2954914.86254685</v>
      </c>
      <c r="O35" s="6">
        <v>859947.64791076141</v>
      </c>
      <c r="P35" s="6">
        <v>386416.27412189607</v>
      </c>
      <c r="Q35" s="6">
        <v>3213765.7798536164</v>
      </c>
      <c r="R35" s="6">
        <v>1839924.0274892407</v>
      </c>
      <c r="S35" s="6">
        <v>410189.64342049992</v>
      </c>
      <c r="T35" s="6">
        <v>51672569</v>
      </c>
      <c r="U35" s="6">
        <v>1419521100</v>
      </c>
      <c r="V35" s="6">
        <v>125124989</v>
      </c>
      <c r="W35" s="6">
        <v>144236933</v>
      </c>
      <c r="X35" s="6">
        <v>3433748</v>
      </c>
      <c r="Y35" s="6">
        <v>26328845</v>
      </c>
      <c r="Z35" s="6">
        <v>373439678</v>
      </c>
      <c r="AA35" s="6">
        <v>649706991</v>
      </c>
      <c r="AB35" s="6">
        <v>514660861</v>
      </c>
      <c r="AC35" s="6">
        <v>116616157</v>
      </c>
      <c r="AD35" s="6">
        <v>189568990</v>
      </c>
      <c r="AE35" s="6">
        <v>556806171</v>
      </c>
      <c r="AF35" s="6">
        <v>1152139249</v>
      </c>
      <c r="AG35" s="6">
        <v>24760731</v>
      </c>
      <c r="AH35" s="6">
        <v>1891710232</v>
      </c>
      <c r="AI35" s="6">
        <v>574548182</v>
      </c>
      <c r="AJ35" s="6">
        <v>31100421</v>
      </c>
      <c r="AK35" s="6">
        <v>2750458690513.8301</v>
      </c>
      <c r="AL35" s="6">
        <v>30831309777007.199</v>
      </c>
      <c r="AM35" s="6">
        <v>5627164027811.25</v>
      </c>
      <c r="AN35" s="6">
        <v>5606591485618.3896</v>
      </c>
      <c r="AO35" s="6">
        <v>52572175378.104103</v>
      </c>
      <c r="AP35" s="6">
        <v>15814497524.1222</v>
      </c>
      <c r="AQ35" s="6">
        <v>26551815407123.102</v>
      </c>
      <c r="AR35" s="6">
        <v>11699589522582.6</v>
      </c>
      <c r="AS35" s="6">
        <v>27552363746962</v>
      </c>
      <c r="AT35" s="6">
        <v>4540934755927.0195</v>
      </c>
      <c r="AU35" s="6">
        <v>2456851887087.5698</v>
      </c>
      <c r="AV35" s="6">
        <v>9736943599683.6895</v>
      </c>
      <c r="AW35" s="6">
        <v>5675950261611.21</v>
      </c>
      <c r="AX35" s="6">
        <v>172950669091.89001</v>
      </c>
      <c r="AY35" s="6">
        <v>15391137571284.4</v>
      </c>
      <c r="AZ35" s="6">
        <v>8582190739915.7598</v>
      </c>
      <c r="BA35" s="6">
        <v>1815784217279.1799</v>
      </c>
      <c r="BB35" s="2">
        <v>279650.65100000001</v>
      </c>
      <c r="BC35" s="2">
        <v>3791158.3059999999</v>
      </c>
      <c r="BD35" s="2">
        <v>391598.51699999999</v>
      </c>
      <c r="BE35" s="2">
        <v>823182.86800000002</v>
      </c>
      <c r="BF35" s="2">
        <v>6572.9610000000002</v>
      </c>
      <c r="BG35" s="2">
        <v>16864.261999999999</v>
      </c>
      <c r="BH35" s="2">
        <v>2470074.0669999998</v>
      </c>
      <c r="BI35" s="2">
        <v>843586.12399999995</v>
      </c>
      <c r="BJ35" s="2">
        <v>1401970.476</v>
      </c>
      <c r="BK35" s="2">
        <v>300627.75699999998</v>
      </c>
      <c r="BL35" s="2">
        <v>279693.12199999997</v>
      </c>
      <c r="BM35" s="2">
        <v>1102994.4790000001</v>
      </c>
      <c r="BN35" s="2">
        <v>523680.93</v>
      </c>
      <c r="BO35" s="2">
        <v>116954.149</v>
      </c>
      <c r="BP35" s="2">
        <v>1214802.514</v>
      </c>
      <c r="BQ35" s="2">
        <v>744880.70299999998</v>
      </c>
      <c r="BR35" s="2">
        <v>147718.902</v>
      </c>
    </row>
    <row r="36" spans="1:70" x14ac:dyDescent="0.3">
      <c r="A36" s="27"/>
      <c r="B36" s="3">
        <v>2023</v>
      </c>
      <c r="C36" s="6">
        <v>590364.98780552589</v>
      </c>
      <c r="D36" s="6">
        <v>13055361.364117401</v>
      </c>
      <c r="E36" s="6">
        <v>1002438.1935555001</v>
      </c>
      <c r="F36" s="6">
        <v>1948302.3699143003</v>
      </c>
      <c r="G36" s="6">
        <v>27152.554038172999</v>
      </c>
      <c r="H36" s="6">
        <v>65658.792360701002</v>
      </c>
      <c r="I36" s="6">
        <v>5200023.6096046651</v>
      </c>
      <c r="J36" s="6">
        <v>1738813.3526305002</v>
      </c>
      <c r="K36" s="6">
        <v>2730381.0634566238</v>
      </c>
      <c r="L36" s="6">
        <v>700085.58818117494</v>
      </c>
      <c r="M36" s="6">
        <v>748868.07484550599</v>
      </c>
      <c r="N36" s="6">
        <v>3041205.6266857334</v>
      </c>
      <c r="O36" s="6">
        <v>852828.67238791671</v>
      </c>
      <c r="P36" s="6">
        <v>435385.16395935114</v>
      </c>
      <c r="Q36" s="6">
        <v>3394417.1551743518</v>
      </c>
      <c r="R36" s="6">
        <v>1889024.1302442625</v>
      </c>
      <c r="S36" s="6">
        <v>409271.66956799896</v>
      </c>
      <c r="T36" s="6">
        <v>51712619</v>
      </c>
      <c r="U36" s="6">
        <v>1418246100</v>
      </c>
      <c r="V36" s="6">
        <v>124516650</v>
      </c>
      <c r="W36" s="6">
        <v>143826130</v>
      </c>
      <c r="X36" s="6">
        <v>3481145</v>
      </c>
      <c r="Y36" s="6">
        <v>26418204</v>
      </c>
      <c r="Z36" s="6">
        <v>377375365</v>
      </c>
      <c r="AA36" s="6">
        <v>654233535</v>
      </c>
      <c r="AB36" s="6">
        <v>517657986</v>
      </c>
      <c r="AC36" s="6">
        <v>116540071</v>
      </c>
      <c r="AD36" s="6">
        <v>188493817</v>
      </c>
      <c r="AE36" s="6">
        <v>568662672</v>
      </c>
      <c r="AF36" s="6">
        <v>1181158123</v>
      </c>
      <c r="AG36" s="6">
        <v>25088873</v>
      </c>
      <c r="AH36" s="6">
        <v>1910085074</v>
      </c>
      <c r="AI36" s="6">
        <v>579133327</v>
      </c>
      <c r="AJ36" s="6">
        <v>31859922</v>
      </c>
      <c r="AK36" s="6">
        <v>2793998855187.9702</v>
      </c>
      <c r="AL36" s="6">
        <v>32490470073995.301</v>
      </c>
      <c r="AM36" s="6">
        <v>5710166656067.3096</v>
      </c>
      <c r="AN36" s="6">
        <v>5835481974159.4697</v>
      </c>
      <c r="AO36" s="6">
        <v>56474141515.841904</v>
      </c>
      <c r="AP36" s="6">
        <v>16297778736.409201</v>
      </c>
      <c r="AQ36" s="6">
        <v>27282617284297.102</v>
      </c>
      <c r="AR36" s="6">
        <v>11967382359680.4</v>
      </c>
      <c r="AS36" s="6">
        <v>27812607226944.301</v>
      </c>
      <c r="AT36" s="6">
        <v>4585497223920.6699</v>
      </c>
      <c r="AU36" s="6">
        <v>2582649863140.9102</v>
      </c>
      <c r="AV36" s="6">
        <v>9848711535356.2695</v>
      </c>
      <c r="AW36" s="6">
        <v>5884581893267.6104</v>
      </c>
      <c r="AX36" s="6">
        <v>180830479972.67801</v>
      </c>
      <c r="AY36" s="6">
        <v>16585660813278.699</v>
      </c>
      <c r="AZ36" s="6">
        <v>8947948887648.6797</v>
      </c>
      <c r="BA36" s="6">
        <v>1875299292615.05</v>
      </c>
      <c r="BB36" s="2">
        <v>275986.37699999998</v>
      </c>
      <c r="BC36" s="2">
        <v>4033290.47299999</v>
      </c>
      <c r="BD36" s="2">
        <v>378423.69500000001</v>
      </c>
      <c r="BE36" s="2">
        <v>790799.98</v>
      </c>
      <c r="BF36" s="2">
        <v>7575.884</v>
      </c>
      <c r="BG36" s="2">
        <v>17564.580999999998</v>
      </c>
      <c r="BH36" s="2">
        <v>2437321.6579999998</v>
      </c>
      <c r="BI36" s="2">
        <v>861869.23699999996</v>
      </c>
      <c r="BJ36" s="2">
        <v>1354085.585</v>
      </c>
      <c r="BK36" s="2">
        <v>284265.451</v>
      </c>
      <c r="BL36" s="2">
        <v>279216.32500000001</v>
      </c>
      <c r="BM36" s="2">
        <v>1149380.2960000001</v>
      </c>
      <c r="BN36" s="2">
        <v>533450.56499999994</v>
      </c>
      <c r="BO36" s="2">
        <v>118583.927</v>
      </c>
      <c r="BP36" s="2">
        <v>1273003.784</v>
      </c>
      <c r="BQ36" s="2">
        <v>749319.78599999996</v>
      </c>
      <c r="BR36" s="2">
        <v>150405.90299999999</v>
      </c>
    </row>
    <row r="37" spans="1:70" x14ac:dyDescent="0.3">
      <c r="A37" s="27"/>
      <c r="B37" s="3">
        <v>2024</v>
      </c>
      <c r="C37" s="6">
        <v>588008.8981076068</v>
      </c>
      <c r="D37" s="6">
        <v>13159344.15797399</v>
      </c>
      <c r="E37" s="6">
        <v>972266.97299709986</v>
      </c>
      <c r="F37" s="6">
        <v>2009154.0965495</v>
      </c>
      <c r="G37" s="6">
        <v>27657.810406726003</v>
      </c>
      <c r="H37" s="6">
        <v>66239.386072005</v>
      </c>
      <c r="I37" s="6">
        <v>5225596.6944670081</v>
      </c>
      <c r="J37" s="6">
        <v>1761432.3974687012</v>
      </c>
      <c r="K37" s="6">
        <v>2699253.5300638601</v>
      </c>
      <c r="L37" s="6">
        <v>681371.72326634382</v>
      </c>
      <c r="M37" s="6">
        <v>750015.57896820572</v>
      </c>
      <c r="N37" s="6">
        <v>3109592.3746487657</v>
      </c>
      <c r="O37" s="6">
        <v>878058.07927866047</v>
      </c>
      <c r="P37" s="6">
        <v>476321.17392282205</v>
      </c>
      <c r="Q37" s="6">
        <v>3536777.3417914729</v>
      </c>
      <c r="R37" s="6">
        <v>1964318.0073446713</v>
      </c>
      <c r="S37" s="6">
        <v>415217.70770882</v>
      </c>
      <c r="T37" s="6">
        <v>51751065</v>
      </c>
      <c r="U37" s="6">
        <v>1416499100</v>
      </c>
      <c r="V37" s="6">
        <v>123975371</v>
      </c>
      <c r="W37" s="6">
        <v>143533851</v>
      </c>
      <c r="X37" s="6">
        <v>3524788</v>
      </c>
      <c r="Y37" s="6">
        <v>26498823</v>
      </c>
      <c r="Z37" s="6">
        <v>381884256</v>
      </c>
      <c r="AA37" s="6">
        <v>658805744</v>
      </c>
      <c r="AB37" s="6">
        <v>520209090</v>
      </c>
      <c r="AC37" s="6">
        <v>116232057</v>
      </c>
      <c r="AD37" s="6">
        <v>191240258</v>
      </c>
      <c r="AE37" s="6">
        <v>579884282</v>
      </c>
      <c r="AF37" s="6">
        <v>1210812164</v>
      </c>
      <c r="AG37" s="6">
        <v>25408620</v>
      </c>
      <c r="AH37" s="6">
        <v>1928653696</v>
      </c>
      <c r="AI37" s="6">
        <v>583518010</v>
      </c>
      <c r="AJ37" s="6">
        <v>32484312</v>
      </c>
      <c r="AK37" s="6">
        <v>2849979724104.21</v>
      </c>
      <c r="AL37" s="6">
        <v>34095631168196.5</v>
      </c>
      <c r="AM37" s="6">
        <v>5716122875047.8799</v>
      </c>
      <c r="AN37" s="6">
        <v>6088997179872.4902</v>
      </c>
      <c r="AO37" s="6">
        <v>59366772678.588799</v>
      </c>
      <c r="AP37" s="6">
        <v>16901308727.1486</v>
      </c>
      <c r="AQ37" s="6">
        <v>28016074298660.5</v>
      </c>
      <c r="AR37" s="6">
        <v>12234872446897</v>
      </c>
      <c r="AS37" s="6">
        <v>28168209523913.801</v>
      </c>
      <c r="AT37" s="6">
        <v>4685922216416.79</v>
      </c>
      <c r="AU37" s="6">
        <v>2622238289472.1802</v>
      </c>
      <c r="AV37" s="6">
        <v>9983403798530.7598</v>
      </c>
      <c r="AW37" s="6">
        <v>6127898772094.2402</v>
      </c>
      <c r="AX37" s="6">
        <v>190451369465.36899</v>
      </c>
      <c r="AY37" s="6">
        <v>17563605941133.301</v>
      </c>
      <c r="AZ37" s="6">
        <v>9345506238466.2891</v>
      </c>
      <c r="BA37" s="6">
        <v>1900836518163.0601</v>
      </c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x14ac:dyDescent="0.3">
      <c r="A38" s="27" t="s">
        <v>19</v>
      </c>
      <c r="B38" s="3">
        <v>2025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0">
        <f>T37+T37*CGE_Frozen!S44</f>
        <v>51679316.742272936</v>
      </c>
      <c r="U38" s="10">
        <f>U37+U37*CGE_Frozen!T44</f>
        <v>1416973430.4995711</v>
      </c>
      <c r="V38" s="10">
        <f>V37+V37*CGE_Frozen!U44</f>
        <v>123356939.50200264</v>
      </c>
      <c r="W38" s="10">
        <f>W37+W37*CGE_Frozen!V44</f>
        <v>143455891.20495844</v>
      </c>
      <c r="X38" s="10">
        <f>X37+X37*CGE_Frozen!W44</f>
        <v>3573939.810464242</v>
      </c>
      <c r="Y38" s="10">
        <f>Y37+Y37*CGE_Frozen!X44</f>
        <v>26616890.856344365</v>
      </c>
      <c r="Z38" s="10">
        <f>Z37+Z37*CGE_Frozen!Y44</f>
        <v>383349636.14990318</v>
      </c>
      <c r="AA38" s="10">
        <f>AA37+AA37*CGE_Frozen!Z44</f>
        <v>663222824.55608559</v>
      </c>
      <c r="AB38" s="10">
        <f>AB37+AB37*CGE_Frozen!AA44</f>
        <v>521415701.67140788</v>
      </c>
      <c r="AC38" s="10">
        <f>AC37+AC37*CGE_Frozen!AB44</f>
        <v>116035060.1581952</v>
      </c>
      <c r="AD38" s="10">
        <f>AD37+AD37*CGE_Frozen!AC44</f>
        <v>190653575.20295277</v>
      </c>
      <c r="AE38" s="10">
        <f>AE37+AE37*CGE_Frozen!AD44</f>
        <v>588853131.30510616</v>
      </c>
      <c r="AF38" s="10">
        <f>AF37+AF37*CGE_Frozen!AE44</f>
        <v>1240088480.7463462</v>
      </c>
      <c r="AG38" s="10">
        <f>AG37+AG37*CGE_Frozen!AF44</f>
        <v>25618284.760966633</v>
      </c>
      <c r="AH38" s="10">
        <f>AH37+AH37*CGE_Frozen!AG44</f>
        <v>1946960528.9794891</v>
      </c>
      <c r="AI38" s="10">
        <f>AI37+AI37*CGE_Frozen!AH44</f>
        <v>588099260.83542645</v>
      </c>
      <c r="AJ38" s="10">
        <f>AJ37+AJ37*CGE_Frozen!AI44</f>
        <v>32726670.694034543</v>
      </c>
      <c r="AK38" s="10">
        <f>AK37+AK37*CGE_Frozen!S9</f>
        <v>2934278745901.3613</v>
      </c>
      <c r="AL38" s="10">
        <f>AL37+AL37*CGE_Frozen!T9</f>
        <v>35679245949462.813</v>
      </c>
      <c r="AM38" s="10">
        <f>AM37+AM37*CGE_Frozen!U9</f>
        <v>5818844762755.4131</v>
      </c>
      <c r="AN38" s="10">
        <f>AN37+AN37*CGE_Frozen!V9</f>
        <v>6148974679092.7168</v>
      </c>
      <c r="AO38" s="10">
        <f>AO37+AO37*CGE_Frozen!W9</f>
        <v>61762266346.908981</v>
      </c>
      <c r="AP38" s="10">
        <f>AP37+AP37*CGE_Frozen!X9</f>
        <v>17676872566.871014</v>
      </c>
      <c r="AQ38" s="10">
        <f>AQ37+AQ37*CGE_Frozen!Y9</f>
        <v>28747017932371.266</v>
      </c>
      <c r="AR38" s="10">
        <f>AR37+AR37*CGE_Frozen!Z9</f>
        <v>12644591221069.148</v>
      </c>
      <c r="AS38" s="10">
        <f>AS37+AS37*CGE_Frozen!AA9</f>
        <v>29019076010875.09</v>
      </c>
      <c r="AT38" s="10">
        <f>AT37+AT37*CGE_Frozen!AB9</f>
        <v>4846780429763.2314</v>
      </c>
      <c r="AU38" s="10">
        <f>AU37+AU37*CGE_Frozen!AC9</f>
        <v>2655691653182.7075</v>
      </c>
      <c r="AV38" s="10">
        <f>AV37+AV37*CGE_Frozen!AD9</f>
        <v>10236090874131.627</v>
      </c>
      <c r="AW38" s="10">
        <f>AW37+AW37*CGE_Frozen!AE9</f>
        <v>6358809984278.0059</v>
      </c>
      <c r="AX38" s="10">
        <f>AX37+AX37*CGE_Frozen!AF9</f>
        <v>199521010426.07611</v>
      </c>
      <c r="AY38" s="10">
        <f>AY37+AY37*CGE_Frozen!AG9</f>
        <v>18713862440552.938</v>
      </c>
      <c r="AZ38" s="10">
        <f>AZ37+AZ37*CGE_Frozen!AH9</f>
        <v>9757109222904.0449</v>
      </c>
      <c r="BA38" s="10">
        <f>BA37+BA37*CGE_Frozen!AI9</f>
        <v>1958141492521.2957</v>
      </c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x14ac:dyDescent="0.3">
      <c r="A39" s="27"/>
      <c r="B39" s="3">
        <v>2026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0">
        <f>T38+T38*CGE_Frozen!S45</f>
        <v>51575156.334551692</v>
      </c>
      <c r="U39" s="10">
        <f>U38+U38*CGE_Frozen!T45</f>
        <v>1414977289.6472099</v>
      </c>
      <c r="V39" s="10">
        <f>V38+V38*CGE_Frozen!U45</f>
        <v>122727428.61234736</v>
      </c>
      <c r="W39" s="10">
        <f>W38+W38*CGE_Frozen!V45</f>
        <v>143067079.06259924</v>
      </c>
      <c r="X39" s="10">
        <f>X38+X38*CGE_Frozen!W45</f>
        <v>3617997.1132103829</v>
      </c>
      <c r="Y39" s="10">
        <f>Y38+Y38*CGE_Frozen!X45</f>
        <v>26643811.537509132</v>
      </c>
      <c r="Z39" s="10">
        <f>Z38+Z38*CGE_Frozen!Y45</f>
        <v>385014659.37200016</v>
      </c>
      <c r="AA39" s="10">
        <f>AA38+AA38*CGE_Frozen!Z45</f>
        <v>667634702.42600381</v>
      </c>
      <c r="AB39" s="10">
        <f>AB38+AB38*CGE_Frozen!AA45</f>
        <v>522240422.78014779</v>
      </c>
      <c r="AC39" s="10">
        <f>AC38+AC38*CGE_Frozen!AB45</f>
        <v>115502874.66018517</v>
      </c>
      <c r="AD39" s="10">
        <f>AD38+AD38*CGE_Frozen!AC45</f>
        <v>192070518.92260709</v>
      </c>
      <c r="AE39" s="10">
        <f>AE38+AE38*CGE_Frozen!AD45</f>
        <v>597564403.70755422</v>
      </c>
      <c r="AF39" s="10">
        <f>AF38+AF38*CGE_Frozen!AE45</f>
        <v>1271486269.7206888</v>
      </c>
      <c r="AG39" s="10">
        <f>AG38+AG38*CGE_Frozen!AF45</f>
        <v>25792458.324626777</v>
      </c>
      <c r="AH39" s="10">
        <f>AH38+AH38*CGE_Frozen!AG45</f>
        <v>1965338201.0031219</v>
      </c>
      <c r="AI39" s="10">
        <f>AI38+AI38*CGE_Frozen!AH45</f>
        <v>592434467.23887455</v>
      </c>
      <c r="AJ39" s="10">
        <f>AJ38+AJ38*CGE_Frozen!AI45</f>
        <v>32959236.076315243</v>
      </c>
      <c r="AK39" s="10">
        <f>AK38+AK38*CGE_Frozen!S10</f>
        <v>3001187140284.0176</v>
      </c>
      <c r="AL39" s="10">
        <f>AL38+AL38*CGE_Frozen!T10</f>
        <v>37132404439596.227</v>
      </c>
      <c r="AM39" s="10">
        <f>AM38+AM38*CGE_Frozen!U10</f>
        <v>5886647090290.0752</v>
      </c>
      <c r="AN39" s="10">
        <f>AN38+AN38*CGE_Frozen!V10</f>
        <v>6252046635583.9941</v>
      </c>
      <c r="AO39" s="10">
        <f>AO38+AO38*CGE_Frozen!W10</f>
        <v>63642666817.118858</v>
      </c>
      <c r="AP39" s="10">
        <f>AP38+AP38*CGE_Frozen!X10</f>
        <v>18475984279.235508</v>
      </c>
      <c r="AQ39" s="10">
        <f>AQ38+AQ38*CGE_Frozen!Y10</f>
        <v>29373617646539.691</v>
      </c>
      <c r="AR39" s="10">
        <f>AR38+AR38*CGE_Frozen!Z10</f>
        <v>13008017014083.887</v>
      </c>
      <c r="AS39" s="10">
        <f>AS38+AS38*CGE_Frozen!AA10</f>
        <v>29662578100772.105</v>
      </c>
      <c r="AT39" s="10">
        <f>AT38+AT38*CGE_Frozen!AB10</f>
        <v>4985467639179.1367</v>
      </c>
      <c r="AU39" s="10">
        <f>AU38+AU38*CGE_Frozen!AC10</f>
        <v>2730312332706.4243</v>
      </c>
      <c r="AV39" s="10">
        <f>AV38+AV38*CGE_Frozen!AD10</f>
        <v>10671576644677.346</v>
      </c>
      <c r="AW39" s="10">
        <f>AW38+AW38*CGE_Frozen!AE10</f>
        <v>6641268711137.8555</v>
      </c>
      <c r="AX39" s="10">
        <f>AX38+AX38*CGE_Frozen!AF10</f>
        <v>209552557151.35828</v>
      </c>
      <c r="AY39" s="10">
        <f>AY38+AY38*CGE_Frozen!AG10</f>
        <v>19777492216363.574</v>
      </c>
      <c r="AZ39" s="10">
        <f>AZ38+AZ38*CGE_Frozen!AH10</f>
        <v>10140842378577.217</v>
      </c>
      <c r="BA39" s="10">
        <f>BA38+BA38*CGE_Frozen!AI10</f>
        <v>2008417595465.3923</v>
      </c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x14ac:dyDescent="0.3">
      <c r="A40" s="27"/>
      <c r="B40" s="3">
        <v>2027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0">
        <f>T39+T39*CGE_Frozen!S46</f>
        <v>51470995.926830448</v>
      </c>
      <c r="U40" s="10">
        <f>U39+U39*CGE_Frozen!T46</f>
        <v>1412981148.7948484</v>
      </c>
      <c r="V40" s="10">
        <f>V39+V39*CGE_Frozen!U46</f>
        <v>122097917.72269209</v>
      </c>
      <c r="W40" s="10">
        <f>W39+W39*CGE_Frozen!V46</f>
        <v>142678266.92024004</v>
      </c>
      <c r="X40" s="10">
        <f>X39+X39*CGE_Frozen!W46</f>
        <v>3662054.4159565242</v>
      </c>
      <c r="Y40" s="10">
        <f>Y39+Y39*CGE_Frozen!X46</f>
        <v>26670631.392152686</v>
      </c>
      <c r="Z40" s="10">
        <f>Z39+Z39*CGE_Frozen!Y46</f>
        <v>386678684.37873626</v>
      </c>
      <c r="AA40" s="10">
        <f>AA39+AA39*CGE_Frozen!Z46</f>
        <v>672046580.29592204</v>
      </c>
      <c r="AB40" s="10">
        <f>AB39+AB39*CGE_Frozen!AA46</f>
        <v>523065143.88888782</v>
      </c>
      <c r="AC40" s="10">
        <f>AC39+AC39*CGE_Frozen!AB46</f>
        <v>114971669.24596524</v>
      </c>
      <c r="AD40" s="10">
        <f>AD39+AD39*CGE_Frozen!AC46</f>
        <v>193487462.64226142</v>
      </c>
      <c r="AE40" s="10">
        <f>AE39+AE39*CGE_Frozen!AD46</f>
        <v>606275676.11000228</v>
      </c>
      <c r="AF40" s="10">
        <f>AF39+AF39*CGE_Frozen!AE46</f>
        <v>1302884058.6950312</v>
      </c>
      <c r="AG40" s="10">
        <f>AG39+AG39*CGE_Frozen!AF46</f>
        <v>25966631.888286922</v>
      </c>
      <c r="AH40" s="10">
        <f>AH39+AH39*CGE_Frozen!AG46</f>
        <v>1983715873.0267549</v>
      </c>
      <c r="AI40" s="10">
        <f>AI39+AI39*CGE_Frozen!AH46</f>
        <v>596769673.64232254</v>
      </c>
      <c r="AJ40" s="10">
        <f>AJ39+AJ39*CGE_Frozen!AI46</f>
        <v>33191698.371103797</v>
      </c>
      <c r="AK40" s="10">
        <f>AK39+AK39*CGE_Frozen!S11</f>
        <v>3081242663821.1987</v>
      </c>
      <c r="AL40" s="10">
        <f>AL39+AL39*CGE_Frozen!T11</f>
        <v>38634484038904.477</v>
      </c>
      <c r="AM40" s="10">
        <f>AM39+AM39*CGE_Frozen!U11</f>
        <v>5959307223138.8672</v>
      </c>
      <c r="AN40" s="10">
        <f>AN39+AN39*CGE_Frozen!V11</f>
        <v>6312286905885.1416</v>
      </c>
      <c r="AO40" s="10">
        <f>AO39+AO39*CGE_Frozen!W11</f>
        <v>65924263194.290619</v>
      </c>
      <c r="AP40" s="10">
        <f>AP39+AP39*CGE_Frozen!X11</f>
        <v>19387478971.763062</v>
      </c>
      <c r="AQ40" s="10">
        <f>AQ39+AQ39*CGE_Frozen!Y11</f>
        <v>29986276240933.703</v>
      </c>
      <c r="AR40" s="10">
        <f>AR39+AR39*CGE_Frozen!Z11</f>
        <v>13320738011629.568</v>
      </c>
      <c r="AS40" s="10">
        <f>AS39+AS39*CGE_Frozen!AA11</f>
        <v>30305805717608.809</v>
      </c>
      <c r="AT40" s="10">
        <f>AT39+AT39*CGE_Frozen!AB11</f>
        <v>5138698648181.9531</v>
      </c>
      <c r="AU40" s="10">
        <f>AU39+AU39*CGE_Frozen!AC11</f>
        <v>2808110563928.7139</v>
      </c>
      <c r="AV40" s="10">
        <f>AV39+AV39*CGE_Frozen!AD11</f>
        <v>10953852430399.418</v>
      </c>
      <c r="AW40" s="10">
        <f>AW39+AW39*CGE_Frozen!AE11</f>
        <v>6894374827540.377</v>
      </c>
      <c r="AX40" s="10">
        <f>AX39+AX39*CGE_Frozen!AF11</f>
        <v>220260637154.96237</v>
      </c>
      <c r="AY40" s="10">
        <f>AY39+AY39*CGE_Frozen!AG11</f>
        <v>21008263275095.75</v>
      </c>
      <c r="AZ40" s="10">
        <f>AZ39+AZ39*CGE_Frozen!AH11</f>
        <v>10568436248371.703</v>
      </c>
      <c r="BA40" s="10">
        <f>BA39+BA39*CGE_Frozen!AI11</f>
        <v>2063074780138.1201</v>
      </c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x14ac:dyDescent="0.3">
      <c r="A41" s="27"/>
      <c r="B41" s="3">
        <v>2028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0">
        <f>T40+T40*CGE_Frozen!S47</f>
        <v>51366835.519109204</v>
      </c>
      <c r="U41" s="10">
        <f>U40+U40*CGE_Frozen!T47</f>
        <v>1410994889.8278952</v>
      </c>
      <c r="V41" s="10">
        <f>V40+V40*CGE_Frozen!U47</f>
        <v>121468406.83303681</v>
      </c>
      <c r="W41" s="10">
        <f>W40+W40*CGE_Frozen!V47</f>
        <v>142289454.77788085</v>
      </c>
      <c r="X41" s="10">
        <f>X40+X40*CGE_Frozen!W47</f>
        <v>3706111.7187026651</v>
      </c>
      <c r="Y41" s="10">
        <f>Y40+Y40*CGE_Frozen!X47</f>
        <v>26697552.073317453</v>
      </c>
      <c r="Z41" s="10">
        <f>Z40+Z40*CGE_Frozen!Y47</f>
        <v>388343707.6008333</v>
      </c>
      <c r="AA41" s="10">
        <f>AA40+AA40*CGE_Frozen!Z47</f>
        <v>676459498.70307374</v>
      </c>
      <c r="AB41" s="10">
        <f>AB40+AB40*CGE_Frozen!AA47</f>
        <v>523889864.99762785</v>
      </c>
      <c r="AC41" s="10">
        <f>AC40+AC40*CGE_Frozen!AB47</f>
        <v>114439483.74795522</v>
      </c>
      <c r="AD41" s="10">
        <f>AD40+AD40*CGE_Frozen!AC47</f>
        <v>194904406.36191574</v>
      </c>
      <c r="AE41" s="10">
        <f>AE40+AE40*CGE_Frozen!AD47</f>
        <v>614986948.51245046</v>
      </c>
      <c r="AF41" s="10">
        <f>AF40+AF40*CGE_Frozen!AE47</f>
        <v>1334271499.0243587</v>
      </c>
      <c r="AG41" s="10">
        <f>AG40+AG40*CGE_Frozen!AF47</f>
        <v>26140600.300517552</v>
      </c>
      <c r="AH41" s="10">
        <f>AH40+AH40*CGE_Frozen!AG47</f>
        <v>2002093545.0503879</v>
      </c>
      <c r="AI41" s="10">
        <f>AI40+AI40*CGE_Frozen!AH47</f>
        <v>601103915.16564512</v>
      </c>
      <c r="AJ41" s="10">
        <f>AJ40+AJ40*CGE_Frozen!AI47</f>
        <v>33424263.753384497</v>
      </c>
      <c r="AK41" s="10">
        <f>AK40+AK40*CGE_Frozen!S12</f>
        <v>3141083704738.1587</v>
      </c>
      <c r="AL41" s="10">
        <f>AL40+AL40*CGE_Frozen!T12</f>
        <v>40018933106039.531</v>
      </c>
      <c r="AM41" s="10">
        <f>AM40+AM40*CGE_Frozen!U12</f>
        <v>6014191709636.4023</v>
      </c>
      <c r="AN41" s="10">
        <f>AN40+AN40*CGE_Frozen!V12</f>
        <v>6431880594089.3291</v>
      </c>
      <c r="AO41" s="10">
        <f>AO40+AO40*CGE_Frozen!W12</f>
        <v>67962732661.510948</v>
      </c>
      <c r="AP41" s="10">
        <f>AP40+AP40*CGE_Frozen!X12</f>
        <v>20341723664.838257</v>
      </c>
      <c r="AQ41" s="10">
        <f>AQ40+AQ40*CGE_Frozen!Y12</f>
        <v>30559685221193.602</v>
      </c>
      <c r="AR41" s="10">
        <f>AR40+AR40*CGE_Frozen!Z12</f>
        <v>13669934150033.506</v>
      </c>
      <c r="AS41" s="10">
        <f>AS40+AS40*CGE_Frozen!AA12</f>
        <v>30865730760641.398</v>
      </c>
      <c r="AT41" s="10">
        <f>AT40+AT40*CGE_Frozen!AB12</f>
        <v>5271843106615.2246</v>
      </c>
      <c r="AU41" s="10">
        <f>AU40+AU40*CGE_Frozen!AC12</f>
        <v>2926612113845.2363</v>
      </c>
      <c r="AV41" s="10">
        <f>AV40+AV40*CGE_Frozen!AD12</f>
        <v>11474644258586.064</v>
      </c>
      <c r="AW41" s="10">
        <f>AW40+AW40*CGE_Frozen!AE12</f>
        <v>7224561620789.3418</v>
      </c>
      <c r="AX41" s="10">
        <f>AX40+AX40*CGE_Frozen!AF12</f>
        <v>231928063528.64603</v>
      </c>
      <c r="AY41" s="10">
        <f>AY40+AY40*CGE_Frozen!AG12</f>
        <v>22144333516642.133</v>
      </c>
      <c r="AZ41" s="10">
        <f>AZ40+AZ40*CGE_Frozen!AH12</f>
        <v>10970084004933.24</v>
      </c>
      <c r="BA41" s="10">
        <f>BA40+BA40*CGE_Frozen!AI12</f>
        <v>2115413819624.3391</v>
      </c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x14ac:dyDescent="0.3">
      <c r="A42" s="27"/>
      <c r="B42" s="3">
        <v>2029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0">
        <f>T41+T41*CGE_Frozen!S48</f>
        <v>51262675.111387953</v>
      </c>
      <c r="U42" s="10">
        <f>U41+U41*CGE_Frozen!T48</f>
        <v>1408998748.975534</v>
      </c>
      <c r="V42" s="10">
        <f>V41+V41*CGE_Frozen!U48</f>
        <v>120838895.94338152</v>
      </c>
      <c r="W42" s="10">
        <f>W41+W41*CGE_Frozen!V48</f>
        <v>141900642.63552168</v>
      </c>
      <c r="X42" s="10">
        <f>X41+X41*CGE_Frozen!W48</f>
        <v>3750158.8324333695</v>
      </c>
      <c r="Y42" s="10">
        <f>Y41+Y41*CGE_Frozen!X48</f>
        <v>26724371.927961003</v>
      </c>
      <c r="Z42" s="10">
        <f>Z41+Z41*CGE_Frozen!Y48</f>
        <v>390008730.82293034</v>
      </c>
      <c r="AA42" s="10">
        <f>AA41+AA41*CGE_Frozen!Z48</f>
        <v>680871376.57299197</v>
      </c>
      <c r="AB42" s="10">
        <f>AB41+AB41*CGE_Frozen!AA48</f>
        <v>524714586.10636789</v>
      </c>
      <c r="AC42" s="10">
        <f>AC41+AC41*CGE_Frozen!AB48</f>
        <v>113908278.33373527</v>
      </c>
      <c r="AD42" s="10">
        <f>AD41+AD41*CGE_Frozen!AC48</f>
        <v>196320040.52175525</v>
      </c>
      <c r="AE42" s="10">
        <f>AE41+AE41*CGE_Frozen!AD48</f>
        <v>623697143.18727231</v>
      </c>
      <c r="AF42" s="10">
        <f>AF41+AF41*CGE_Frozen!AE48</f>
        <v>1365669287.9987013</v>
      </c>
      <c r="AG42" s="10">
        <f>AG41+AG41*CGE_Frozen!AF48</f>
        <v>26314773.864177696</v>
      </c>
      <c r="AH42" s="10">
        <f>AH41+AH41*CGE_Frozen!AG48</f>
        <v>2020481336.9374697</v>
      </c>
      <c r="AI42" s="10">
        <f>AI41+AI41*CGE_Frozen!AH48</f>
        <v>605439121.56909323</v>
      </c>
      <c r="AJ42" s="10">
        <f>AJ41+AJ41*CGE_Frozen!AI48</f>
        <v>33656726.048173048</v>
      </c>
      <c r="AK42" s="10">
        <f>AK41+AK41*CGE_Frozen!S13</f>
        <v>3215105745294.8013</v>
      </c>
      <c r="AL42" s="10">
        <f>AL41+AL41*CGE_Frozen!T13</f>
        <v>41468793543869.023</v>
      </c>
      <c r="AM42" s="10">
        <f>AM41+AM41*CGE_Frozen!U13</f>
        <v>6082919852085.1924</v>
      </c>
      <c r="AN42" s="10">
        <f>AN41+AN41*CGE_Frozen!V13</f>
        <v>6502106165465.4756</v>
      </c>
      <c r="AO42" s="10">
        <f>AO41+AO41*CGE_Frozen!W13</f>
        <v>70359321496.092148</v>
      </c>
      <c r="AP42" s="10">
        <f>AP41+AP41*CGE_Frozen!X13</f>
        <v>21380558784.528992</v>
      </c>
      <c r="AQ42" s="10">
        <f>AQ41+AQ41*CGE_Frozen!Y13</f>
        <v>31141351633935.266</v>
      </c>
      <c r="AR42" s="10">
        <f>AR41+AR41*CGE_Frozen!Z13</f>
        <v>13992659402567.566</v>
      </c>
      <c r="AS42" s="10">
        <f>AS41+AS41*CGE_Frozen!AA13</f>
        <v>31476982265951.973</v>
      </c>
      <c r="AT42" s="10">
        <f>AT41+AT41*CGE_Frozen!AB13</f>
        <v>5419673486455.4746</v>
      </c>
      <c r="AU42" s="10">
        <f>AU41+AU41*CGE_Frozen!AC13</f>
        <v>3024987788726.9922</v>
      </c>
      <c r="AV42" s="10">
        <f>AV41+AV41*CGE_Frozen!AD13</f>
        <v>11792843740517.201</v>
      </c>
      <c r="AW42" s="10">
        <f>AW41+AW41*CGE_Frozen!AE13</f>
        <v>7517666683819.1641</v>
      </c>
      <c r="AX42" s="10">
        <f>AX41+AX41*CGE_Frozen!AF13</f>
        <v>243524679987.95291</v>
      </c>
      <c r="AY42" s="10">
        <f>AY41+AY41*CGE_Frozen!AG13</f>
        <v>23445017170691.152</v>
      </c>
      <c r="AZ42" s="10">
        <f>AZ41+AZ41*CGE_Frozen!AH13</f>
        <v>11408378542372.453</v>
      </c>
      <c r="BA42" s="10">
        <f>BA41+BA41*CGE_Frozen!AI13</f>
        <v>2171389582293.0627</v>
      </c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x14ac:dyDescent="0.3">
      <c r="A43" s="27"/>
      <c r="B43" s="3">
        <v>2030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0">
        <f>T42+T42*CGE_Frozen!S49</f>
        <v>51158514.703666709</v>
      </c>
      <c r="U43" s="10">
        <f>U42+U42*CGE_Frozen!T49</f>
        <v>1407002608.1231728</v>
      </c>
      <c r="V43" s="10">
        <f>V42+V42*CGE_Frozen!U49</f>
        <v>120209385.05372624</v>
      </c>
      <c r="W43" s="10">
        <f>W42+W42*CGE_Frozen!V49</f>
        <v>141511830.49316248</v>
      </c>
      <c r="X43" s="10">
        <f>X42+X42*CGE_Frozen!W49</f>
        <v>3794216.1351795103</v>
      </c>
      <c r="Y43" s="10">
        <f>Y42+Y42*CGE_Frozen!X49</f>
        <v>26751292.609125774</v>
      </c>
      <c r="Z43" s="10">
        <f>Z42+Z42*CGE_Frozen!Y49</f>
        <v>391673754.04502738</v>
      </c>
      <c r="AA43" s="10">
        <f>AA42+AA42*CGE_Frozen!Z49</f>
        <v>685284294.98014367</v>
      </c>
      <c r="AB43" s="10">
        <f>AB42+AB42*CGE_Frozen!AA49</f>
        <v>525539307.21510792</v>
      </c>
      <c r="AC43" s="10">
        <f>AC42+AC42*CGE_Frozen!AB49</f>
        <v>113376092.83572526</v>
      </c>
      <c r="AD43" s="10">
        <f>AD42+AD42*CGE_Frozen!AC49</f>
        <v>197736984.24140957</v>
      </c>
      <c r="AE43" s="10">
        <f>AE42+AE42*CGE_Frozen!AD49</f>
        <v>632408415.58972037</v>
      </c>
      <c r="AF43" s="10">
        <f>AF42+AF42*CGE_Frozen!AE49</f>
        <v>1397067076.9730437</v>
      </c>
      <c r="AG43" s="10">
        <f>AG42+AG42*CGE_Frozen!AF49</f>
        <v>26488947.427837841</v>
      </c>
      <c r="AH43" s="10">
        <f>AH42+AH42*CGE_Frozen!AG49</f>
        <v>2038859008.9611027</v>
      </c>
      <c r="AI43" s="10">
        <f>AI42+AI42*CGE_Frozen!AH49</f>
        <v>609774327.97254133</v>
      </c>
      <c r="AJ43" s="10">
        <f>AJ42+AJ42*CGE_Frozen!AI49</f>
        <v>33889188.342961602</v>
      </c>
      <c r="AK43" s="10">
        <f>AK42+AK42*CGE_Frozen!S14</f>
        <v>3275209111558.7412</v>
      </c>
      <c r="AL43" s="10">
        <f>AL42+AL42*CGE_Frozen!T14</f>
        <v>42825758841804.727</v>
      </c>
      <c r="AM43" s="10">
        <f>AM42+AM42*CGE_Frozen!U14</f>
        <v>6145809914604.8926</v>
      </c>
      <c r="AN43" s="10">
        <f>AN42+AN42*CGE_Frozen!V14</f>
        <v>6614670727255.0244</v>
      </c>
      <c r="AO43" s="10">
        <f>AO42+AO42*CGE_Frozen!W14</f>
        <v>72501831758.111511</v>
      </c>
      <c r="AP43" s="10">
        <f>AP42+AP42*CGE_Frozen!X14</f>
        <v>22439707734.267185</v>
      </c>
      <c r="AQ43" s="10">
        <f>AQ42+AQ42*CGE_Frozen!Y14</f>
        <v>31706932139244.918</v>
      </c>
      <c r="AR43" s="10">
        <f>AR42+AR42*CGE_Frozen!Z14</f>
        <v>14364080314475.709</v>
      </c>
      <c r="AS43" s="10">
        <f>AS42+AS42*CGE_Frozen!AA14</f>
        <v>32066413162967.898</v>
      </c>
      <c r="AT43" s="10">
        <f>AT42+AT42*CGE_Frozen!AB14</f>
        <v>5550520308797.6543</v>
      </c>
      <c r="AU43" s="10">
        <f>AU42+AU42*CGE_Frozen!AC14</f>
        <v>3135858243169.2373</v>
      </c>
      <c r="AV43" s="10">
        <f>AV42+AV42*CGE_Frozen!AD14</f>
        <v>12258376171985.656</v>
      </c>
      <c r="AW43" s="10">
        <f>AW42+AW42*CGE_Frozen!AE14</f>
        <v>7870499497226.293</v>
      </c>
      <c r="AX43" s="10">
        <f>AX42+AX42*CGE_Frozen!AF14</f>
        <v>255122576144.50763</v>
      </c>
      <c r="AY43" s="10">
        <f>AY42+AY42*CGE_Frozen!AG14</f>
        <v>24658093136491.004</v>
      </c>
      <c r="AZ43" s="10">
        <f>AZ42+AZ42*CGE_Frozen!AH14</f>
        <v>11817985671946.135</v>
      </c>
      <c r="BA43" s="10">
        <f>BA42+BA42*CGE_Frozen!AI14</f>
        <v>2225036566081.7617</v>
      </c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x14ac:dyDescent="0.3">
      <c r="A44" s="27"/>
      <c r="B44" s="3">
        <v>2031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0">
        <f>T43+T43*CGE_Frozen!S50</f>
        <v>51012509.507872485</v>
      </c>
      <c r="U44" s="10">
        <f>U43+U43*CGE_Frozen!T50</f>
        <v>1403553830.1158755</v>
      </c>
      <c r="V44" s="10">
        <f>V43+V43*CGE_Frozen!U50</f>
        <v>119544621.55425027</v>
      </c>
      <c r="W44" s="10">
        <f>W43+W43*CGE_Frozen!V50</f>
        <v>141149662.83771622</v>
      </c>
      <c r="X44" s="10">
        <f>X43+X43*CGE_Frozen!W50</f>
        <v>3837040.5670578708</v>
      </c>
      <c r="Y44" s="10">
        <f>Y43+Y43*CGE_Frozen!X50</f>
        <v>26719935.561027486</v>
      </c>
      <c r="Z44" s="10">
        <f>Z43+Z43*CGE_Frozen!Y50</f>
        <v>393298848.65268564</v>
      </c>
      <c r="AA44" s="10">
        <f>AA43+AA43*CGE_Frozen!Z50</f>
        <v>688975080.54726624</v>
      </c>
      <c r="AB44" s="10">
        <f>AB43+AB43*CGE_Frozen!AA50</f>
        <v>526291916.01015264</v>
      </c>
      <c r="AC44" s="10">
        <f>AC43+AC43*CGE_Frozen!AB50</f>
        <v>112821365.41054355</v>
      </c>
      <c r="AD44" s="10">
        <f>AD43+AD43*CGE_Frozen!AC50</f>
        <v>198886777.75883701</v>
      </c>
      <c r="AE44" s="10">
        <f>AE43+AE43*CGE_Frozen!AD50</f>
        <v>640699374.21795654</v>
      </c>
      <c r="AF44" s="10">
        <f>AF43+AF43*CGE_Frozen!AE50</f>
        <v>1429882630.3143883</v>
      </c>
      <c r="AG44" s="10">
        <f>AG43+AG43*CGE_Frozen!AF50</f>
        <v>26621680.402735502</v>
      </c>
      <c r="AH44" s="10">
        <f>AH43+AH43*CGE_Frozen!AG50</f>
        <v>2054878752.8010867</v>
      </c>
      <c r="AI44" s="10">
        <f>AI43+AI43*CGE_Frozen!AH50</f>
        <v>613369471.31980312</v>
      </c>
      <c r="AJ44" s="10">
        <f>AJ43+AJ43*CGE_Frozen!AI50</f>
        <v>34104847.376530401</v>
      </c>
      <c r="AK44" s="10">
        <f>AK43+AK43*CGE_Frozen!S15</f>
        <v>3339555976082.6514</v>
      </c>
      <c r="AL44" s="10">
        <f>AL43+AL43*CGE_Frozen!T15</f>
        <v>44213139510987.711</v>
      </c>
      <c r="AM44" s="10">
        <f>AM43+AM43*CGE_Frozen!U15</f>
        <v>6218971076701.3301</v>
      </c>
      <c r="AN44" s="10">
        <f>AN43+AN43*CGE_Frozen!V15</f>
        <v>6712618647668.3418</v>
      </c>
      <c r="AO44" s="10">
        <f>AO43+AO43*CGE_Frozen!W15</f>
        <v>74956464404.527985</v>
      </c>
      <c r="AP44" s="10">
        <f>AP43+AP43*CGE_Frozen!X15</f>
        <v>23570814131.735687</v>
      </c>
      <c r="AQ44" s="10">
        <f>AQ43+AQ43*CGE_Frozen!Y15</f>
        <v>32278196331847.215</v>
      </c>
      <c r="AR44" s="10">
        <f>AR43+AR43*CGE_Frozen!Z15</f>
        <v>14746686107737.322</v>
      </c>
      <c r="AS44" s="10">
        <f>AS43+AS43*CGE_Frozen!AA15</f>
        <v>32698524620862.047</v>
      </c>
      <c r="AT44" s="10">
        <f>AT43+AT43*CGE_Frozen!AB15</f>
        <v>5684991237551.5557</v>
      </c>
      <c r="AU44" s="10">
        <f>AU43+AU43*CGE_Frozen!AC15</f>
        <v>3231242793766.2871</v>
      </c>
      <c r="AV44" s="10">
        <f>AV43+AV43*CGE_Frozen!AD15</f>
        <v>12616315606805.291</v>
      </c>
      <c r="AW44" s="10">
        <f>AW43+AW43*CGE_Frozen!AE15</f>
        <v>8222760897110.1729</v>
      </c>
      <c r="AX44" s="10">
        <f>AX43+AX43*CGE_Frozen!AF15</f>
        <v>266541741252.12354</v>
      </c>
      <c r="AY44" s="10">
        <f>AY43+AY43*CGE_Frozen!AG15</f>
        <v>25960814178638.84</v>
      </c>
      <c r="AZ44" s="10">
        <f>AZ43+AZ43*CGE_Frozen!AH15</f>
        <v>12242309225336.838</v>
      </c>
      <c r="BA44" s="10">
        <f>BA43+BA43*CGE_Frozen!AI15</f>
        <v>2281065497218.0659</v>
      </c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x14ac:dyDescent="0.3">
      <c r="A45" s="27"/>
      <c r="B45" s="3">
        <v>2032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0">
        <f>T44+T44*CGE_Frozen!S51</f>
        <v>50866504.31207826</v>
      </c>
      <c r="U45" s="10">
        <f>U44+U44*CGE_Frozen!T51</f>
        <v>1400114933.9939861</v>
      </c>
      <c r="V45" s="10">
        <f>V44+V44*CGE_Frozen!U51</f>
        <v>118880865.27219774</v>
      </c>
      <c r="W45" s="10">
        <f>W44+W44*CGE_Frozen!V51</f>
        <v>140788482.01511863</v>
      </c>
      <c r="X45" s="10">
        <f>X44+X44*CGE_Frozen!W51</f>
        <v>3879864.9989362312</v>
      </c>
      <c r="Y45" s="10">
        <f>Y44+Y44*CGE_Frozen!X51</f>
        <v>26688578.512929194</v>
      </c>
      <c r="Z45" s="10">
        <f>Z44+Z44*CGE_Frozen!Y51</f>
        <v>394922945.04498297</v>
      </c>
      <c r="AA45" s="10">
        <f>AA44+AA44*CGE_Frozen!Z51</f>
        <v>692664825.57715535</v>
      </c>
      <c r="AB45" s="10">
        <f>AB44+AB44*CGE_Frozen!AA51</f>
        <v>527045540.47158754</v>
      </c>
      <c r="AC45" s="10">
        <f>AC44+AC44*CGE_Frozen!AB51</f>
        <v>112266637.98536183</v>
      </c>
      <c r="AD45" s="10">
        <f>AD44+AD44*CGE_Frozen!AC51</f>
        <v>200036571.27626449</v>
      </c>
      <c r="AE45" s="10">
        <f>AE44+AE44*CGE_Frozen!AD51</f>
        <v>648990332.84619272</v>
      </c>
      <c r="AF45" s="10">
        <f>AF44+AF44*CGE_Frozen!AE51</f>
        <v>1462698183.6557329</v>
      </c>
      <c r="AG45" s="10">
        <f>AG44+AG44*CGE_Frozen!AF51</f>
        <v>26754413.377633166</v>
      </c>
      <c r="AH45" s="10">
        <f>AH44+AH44*CGE_Frozen!AG51</f>
        <v>2070898496.6410706</v>
      </c>
      <c r="AI45" s="10">
        <f>AI44+AI44*CGE_Frozen!AH51</f>
        <v>616964614.66706491</v>
      </c>
      <c r="AJ45" s="10">
        <f>AJ44+AJ44*CGE_Frozen!AI51</f>
        <v>34320403.322607055</v>
      </c>
      <c r="AK45" s="10">
        <f>AK44+AK44*CGE_Frozen!S16</f>
        <v>3391372947562.5776</v>
      </c>
      <c r="AL45" s="10">
        <f>AL44+AL44*CGE_Frozen!T16</f>
        <v>45533093333068.297</v>
      </c>
      <c r="AM45" s="10">
        <f>AM44+AM44*CGE_Frozen!U16</f>
        <v>6286860539757.3213</v>
      </c>
      <c r="AN45" s="10">
        <f>AN44+AN44*CGE_Frozen!V16</f>
        <v>6852971251265.29</v>
      </c>
      <c r="AO45" s="10">
        <f>AO44+AO44*CGE_Frozen!W16</f>
        <v>77376781841.431793</v>
      </c>
      <c r="AP45" s="10">
        <f>AP44+AP44*CGE_Frozen!X16</f>
        <v>24755989678.832996</v>
      </c>
      <c r="AQ45" s="10">
        <f>AQ44+AQ44*CGE_Frozen!Y16</f>
        <v>32831337068742.773</v>
      </c>
      <c r="AR45" s="10">
        <f>AR44+AR44*CGE_Frozen!Z16</f>
        <v>15175709158615.828</v>
      </c>
      <c r="AS45" s="10">
        <f>AS44+AS44*CGE_Frozen!AA16</f>
        <v>33302090880483.941</v>
      </c>
      <c r="AT45" s="10">
        <f>AT44+AT44*CGE_Frozen!AB16</f>
        <v>5805700036728.918</v>
      </c>
      <c r="AU45" s="10">
        <f>AU44+AU44*CGE_Frozen!AC16</f>
        <v>3345638797746.3223</v>
      </c>
      <c r="AV45" s="10">
        <f>AV44+AV44*CGE_Frozen!AD16</f>
        <v>13125327922708.086</v>
      </c>
      <c r="AW45" s="10">
        <f>AW44+AW44*CGE_Frozen!AE16</f>
        <v>8647591814446.4414</v>
      </c>
      <c r="AX45" s="10">
        <f>AX44+AX44*CGE_Frozen!AF16</f>
        <v>278458708589.12262</v>
      </c>
      <c r="AY45" s="10">
        <f>AY44+AY44*CGE_Frozen!AG16</f>
        <v>27186227661259.309</v>
      </c>
      <c r="AZ45" s="10">
        <f>AZ44+AZ44*CGE_Frozen!AH16</f>
        <v>12647780366517.504</v>
      </c>
      <c r="BA45" s="10">
        <f>BA44+BA44*CGE_Frozen!AI16</f>
        <v>2336658446920.21</v>
      </c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x14ac:dyDescent="0.3">
      <c r="A46" s="27"/>
      <c r="B46" s="3">
        <v>2033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0">
        <f>T45+T45*CGE_Frozen!S52</f>
        <v>50720499.116284035</v>
      </c>
      <c r="U46" s="10">
        <f>U45+U45*CGE_Frozen!T52</f>
        <v>1396666155.9866889</v>
      </c>
      <c r="V46" s="10">
        <f>V45+V45*CGE_Frozen!U52</f>
        <v>118217108.99014522</v>
      </c>
      <c r="W46" s="10">
        <f>W45+W45*CGE_Frozen!V52</f>
        <v>140427301.19252101</v>
      </c>
      <c r="X46" s="10">
        <f>X45+X45*CGE_Frozen!W52</f>
        <v>3922689.4308145917</v>
      </c>
      <c r="Y46" s="10">
        <f>Y45+Y45*CGE_Frozen!X52</f>
        <v>26657221.464830905</v>
      </c>
      <c r="Z46" s="10">
        <f>Z45+Z45*CGE_Frozen!Y52</f>
        <v>396548039.65264124</v>
      </c>
      <c r="AA46" s="10">
        <f>AA45+AA45*CGE_Frozen!Z52</f>
        <v>696355611.14427793</v>
      </c>
      <c r="AB46" s="10">
        <f>AB45+AB45*CGE_Frozen!AA52</f>
        <v>527798149.26663226</v>
      </c>
      <c r="AC46" s="10">
        <f>AC45+AC45*CGE_Frozen!AB52</f>
        <v>111710930.47639003</v>
      </c>
      <c r="AD46" s="10">
        <f>AD45+AD45*CGE_Frozen!AC52</f>
        <v>201186364.79369193</v>
      </c>
      <c r="AE46" s="10">
        <f>AE45+AE45*CGE_Frozen!AD52</f>
        <v>657280213.74680269</v>
      </c>
      <c r="AF46" s="10">
        <f>AF45+AF45*CGE_Frozen!AE52</f>
        <v>1495524085.6420922</v>
      </c>
      <c r="AG46" s="10">
        <f>AG45+AG45*CGE_Frozen!AF52</f>
        <v>26887146.352530826</v>
      </c>
      <c r="AH46" s="10">
        <f>AH45+AH45*CGE_Frozen!AG52</f>
        <v>2086918240.4810545</v>
      </c>
      <c r="AI46" s="10">
        <f>AI45+AI45*CGE_Frozen!AH52</f>
        <v>620560722.8944521</v>
      </c>
      <c r="AJ46" s="10">
        <f>AJ45+AJ45*CGE_Frozen!AI52</f>
        <v>34535959.268683717</v>
      </c>
      <c r="AK46" s="10">
        <f>AK45+AK45*CGE_Frozen!S17</f>
        <v>3452741647853.127</v>
      </c>
      <c r="AL46" s="10">
        <f>AL45+AL45*CGE_Frozen!T17</f>
        <v>46889325730492.016</v>
      </c>
      <c r="AM46" s="10">
        <f>AM45+AM45*CGE_Frozen!U17</f>
        <v>6364356694039.9111</v>
      </c>
      <c r="AN46" s="10">
        <f>AN45+AN45*CGE_Frozen!V17</f>
        <v>6962316867313.5566</v>
      </c>
      <c r="AO46" s="10">
        <f>AO45+AO45*CGE_Frozen!W17</f>
        <v>80010656699.238861</v>
      </c>
      <c r="AP46" s="10">
        <f>AP45+AP45*CGE_Frozen!X17</f>
        <v>26032425865.397255</v>
      </c>
      <c r="AQ46" s="10">
        <f>AQ45+AQ45*CGE_Frozen!Y17</f>
        <v>33389625296016.574</v>
      </c>
      <c r="AR46" s="10">
        <f>AR45+AR45*CGE_Frozen!Z17</f>
        <v>15597089207236.131</v>
      </c>
      <c r="AS46" s="10">
        <f>AS45+AS45*CGE_Frozen!AA17</f>
        <v>33946416389561.887</v>
      </c>
      <c r="AT46" s="10">
        <f>AT45+AT45*CGE_Frozen!AB17</f>
        <v>5936073119670.8721</v>
      </c>
      <c r="AU46" s="10">
        <f>AU45+AU45*CGE_Frozen!AC17</f>
        <v>3443546332677.7017</v>
      </c>
      <c r="AV46" s="10">
        <f>AV45+AV45*CGE_Frozen!AD17</f>
        <v>13478586082667.617</v>
      </c>
      <c r="AW46" s="10">
        <f>AW45+AW45*CGE_Frozen!AE17</f>
        <v>9053355564743.832</v>
      </c>
      <c r="AX46" s="10">
        <f>AX45+AX45*CGE_Frozen!AF17</f>
        <v>290104380109.59412</v>
      </c>
      <c r="AY46" s="10">
        <f>AY45+AY45*CGE_Frozen!AG17</f>
        <v>28551239958058.039</v>
      </c>
      <c r="AZ46" s="10">
        <f>AZ45+AZ45*CGE_Frozen!AH17</f>
        <v>13077177719622.898</v>
      </c>
      <c r="BA46" s="10">
        <f>BA45+BA45*CGE_Frozen!AI17</f>
        <v>2394101659294.1548</v>
      </c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x14ac:dyDescent="0.3">
      <c r="A47" s="27"/>
      <c r="B47" s="3">
        <v>2034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0">
        <f>T46+T46*CGE_Frozen!S53</f>
        <v>50574493.92048981</v>
      </c>
      <c r="U47" s="10">
        <f>U46+U46*CGE_Frozen!T53</f>
        <v>1393217377.9793916</v>
      </c>
      <c r="V47" s="10">
        <f>V46+V46*CGE_Frozen!U53</f>
        <v>117552345.49066924</v>
      </c>
      <c r="W47" s="10">
        <f>W46+W46*CGE_Frozen!V53</f>
        <v>140065133.53707477</v>
      </c>
      <c r="X47" s="10">
        <f>X46+X46*CGE_Frozen!W53</f>
        <v>3965513.8626929522</v>
      </c>
      <c r="Y47" s="10">
        <f>Y46+Y46*CGE_Frozen!X53</f>
        <v>26625864.416732613</v>
      </c>
      <c r="Z47" s="10">
        <f>Z46+Z46*CGE_Frozen!Y53</f>
        <v>398172136.04493856</v>
      </c>
      <c r="AA47" s="10">
        <f>AA46+AA46*CGE_Frozen!Z53</f>
        <v>700046396.71140051</v>
      </c>
      <c r="AB47" s="10">
        <f>AB46+AB46*CGE_Frozen!AA53</f>
        <v>528551773.72806704</v>
      </c>
      <c r="AC47" s="10">
        <f>AC46+AC46*CGE_Frozen!AB53</f>
        <v>111156203.05120833</v>
      </c>
      <c r="AD47" s="10">
        <f>AD46+AD46*CGE_Frozen!AC53</f>
        <v>202336158.31111941</v>
      </c>
      <c r="AE47" s="10">
        <f>AE46+AE46*CGE_Frozen!AD53</f>
        <v>665571172.37503886</v>
      </c>
      <c r="AF47" s="10">
        <f>AF46+AF46*CGE_Frozen!AE53</f>
        <v>1528339638.9834366</v>
      </c>
      <c r="AG47" s="10">
        <f>AG46+AG46*CGE_Frozen!AF53</f>
        <v>27019879.327428486</v>
      </c>
      <c r="AH47" s="10">
        <f>AH46+AH46*CGE_Frozen!AG53</f>
        <v>2102927864.4575896</v>
      </c>
      <c r="AI47" s="10">
        <f>AI46+AI46*CGE_Frozen!AH53</f>
        <v>624155866.24171388</v>
      </c>
      <c r="AJ47" s="10">
        <f>AJ46+AJ46*CGE_Frozen!AI53</f>
        <v>34751515.214760371</v>
      </c>
      <c r="AK47" s="10">
        <f>AK46+AK46*CGE_Frozen!S18</f>
        <v>3499358405101.7441</v>
      </c>
      <c r="AL47" s="10">
        <f>AL46+AL46*CGE_Frozen!T18</f>
        <v>48128110820870.539</v>
      </c>
      <c r="AM47" s="10">
        <f>AM46+AM46*CGE_Frozen!U18</f>
        <v>6431701560087.5918</v>
      </c>
      <c r="AN47" s="10">
        <f>AN46+AN46*CGE_Frozen!V18</f>
        <v>7112457693674.8145</v>
      </c>
      <c r="AO47" s="10">
        <f>AO46+AO46*CGE_Frozen!W18</f>
        <v>82508000829.835983</v>
      </c>
      <c r="AP47" s="10">
        <f>AP46+AP46*CGE_Frozen!X18</f>
        <v>27345447158.813152</v>
      </c>
      <c r="AQ47" s="10">
        <f>AQ46+AQ46*CGE_Frozen!Y18</f>
        <v>33931398658326.844</v>
      </c>
      <c r="AR47" s="10">
        <f>AR46+AR46*CGE_Frozen!Z18</f>
        <v>16062048867648.467</v>
      </c>
      <c r="AS47" s="10">
        <f>AS46+AS46*CGE_Frozen!AA18</f>
        <v>34556707239161.379</v>
      </c>
      <c r="AT47" s="10">
        <f>AT46+AT46*CGE_Frozen!AB18</f>
        <v>6050125880275.0703</v>
      </c>
      <c r="AU47" s="10">
        <f>AU46+AU46*CGE_Frozen!AC18</f>
        <v>3560974889256.6357</v>
      </c>
      <c r="AV47" s="10">
        <f>AV46+AV46*CGE_Frozen!AD18</f>
        <v>14011564490517.254</v>
      </c>
      <c r="AW47" s="10">
        <f>AW46+AW46*CGE_Frozen!AE18</f>
        <v>9526907003535.9082</v>
      </c>
      <c r="AX47" s="10">
        <f>AX46+AX46*CGE_Frozen!AF18</f>
        <v>301955229755.45837</v>
      </c>
      <c r="AY47" s="10">
        <f>AY46+AY46*CGE_Frozen!AG18</f>
        <v>29816420238014.695</v>
      </c>
      <c r="AZ47" s="10">
        <f>AZ46+AZ46*CGE_Frozen!AH18</f>
        <v>13478320500857.381</v>
      </c>
      <c r="BA47" s="10">
        <f>BA46+BA46*CGE_Frozen!AI18</f>
        <v>2450832414202.5215</v>
      </c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x14ac:dyDescent="0.3">
      <c r="A48" s="27"/>
      <c r="B48" s="3">
        <v>2035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0">
        <f>T47+T47*CGE_Frozen!S54</f>
        <v>50428488.724695578</v>
      </c>
      <c r="U48" s="10">
        <f>U47+U47*CGE_Frozen!T54</f>
        <v>1389778481.8575022</v>
      </c>
      <c r="V48" s="10">
        <f>V47+V47*CGE_Frozen!U54</f>
        <v>116888589.20861672</v>
      </c>
      <c r="W48" s="10">
        <f>W47+W47*CGE_Frozen!V54</f>
        <v>139703952.71447718</v>
      </c>
      <c r="X48" s="10">
        <f>X47+X47*CGE_Frozen!W54</f>
        <v>4008338.2945713126</v>
      </c>
      <c r="Y48" s="10">
        <f>Y47+Y47*CGE_Frozen!X54</f>
        <v>26594507.368634325</v>
      </c>
      <c r="Z48" s="10">
        <f>Z47+Z47*CGE_Frozen!Y54</f>
        <v>399797230.65259683</v>
      </c>
      <c r="AA48" s="10">
        <f>AA47+AA47*CGE_Frozen!Z54</f>
        <v>703737182.27852309</v>
      </c>
      <c r="AB48" s="10">
        <f>AB47+AB47*CGE_Frozen!AA54</f>
        <v>529304382.52311176</v>
      </c>
      <c r="AC48" s="10">
        <f>AC47+AC47*CGE_Frozen!AB54</f>
        <v>110601475.62602662</v>
      </c>
      <c r="AD48" s="10">
        <f>AD47+AD47*CGE_Frozen!AC54</f>
        <v>203485951.82854685</v>
      </c>
      <c r="AE48" s="10">
        <f>AE47+AE47*CGE_Frozen!AD54</f>
        <v>673861053.27564883</v>
      </c>
      <c r="AF48" s="10">
        <f>AF47+AF47*CGE_Frozen!AE54</f>
        <v>1561155192.3247812</v>
      </c>
      <c r="AG48" s="10">
        <f>AG47+AG47*CGE_Frozen!AF54</f>
        <v>27152612.30232615</v>
      </c>
      <c r="AH48" s="10">
        <f>AH47+AH47*CGE_Frozen!AG54</f>
        <v>2118947608.2975736</v>
      </c>
      <c r="AI48" s="10">
        <f>AI47+AI47*CGE_Frozen!AH54</f>
        <v>627751009.58897567</v>
      </c>
      <c r="AJ48" s="10">
        <f>AJ47+AJ47*CGE_Frozen!AI54</f>
        <v>34967071.160837024</v>
      </c>
      <c r="AK48" s="10">
        <f>AK47+AK47*CGE_Frozen!S19</f>
        <v>3554616467897.9365</v>
      </c>
      <c r="AL48" s="10">
        <f>AL47+AL47*CGE_Frozen!T19</f>
        <v>49365430110225.086</v>
      </c>
      <c r="AM48" s="10">
        <f>AM47+AM47*CGE_Frozen!U19</f>
        <v>6504742910842.2002</v>
      </c>
      <c r="AN48" s="10">
        <f>AN47+AN47*CGE_Frozen!V19</f>
        <v>7223642707289.5273</v>
      </c>
      <c r="AO48" s="10">
        <f>AO47+AO47*CGE_Frozen!W19</f>
        <v>85157208015.297653</v>
      </c>
      <c r="AP48" s="10">
        <f>AP47+AP47*CGE_Frozen!X19</f>
        <v>28743968453.324329</v>
      </c>
      <c r="AQ48" s="10">
        <f>AQ47+AQ47*CGE_Frozen!Y19</f>
        <v>34482609086330.559</v>
      </c>
      <c r="AR48" s="10">
        <f>AR47+AR47*CGE_Frozen!Z19</f>
        <v>16511059715760.486</v>
      </c>
      <c r="AS48" s="10">
        <f>AS47+AS47*CGE_Frozen!AA19</f>
        <v>35208855230458.156</v>
      </c>
      <c r="AT48" s="10">
        <f>AT47+AT47*CGE_Frozen!AB19</f>
        <v>6173440246153.6709</v>
      </c>
      <c r="AU48" s="10">
        <f>AU47+AU47*CGE_Frozen!AC19</f>
        <v>3659043994613.3657</v>
      </c>
      <c r="AV48" s="10">
        <f>AV47+AV47*CGE_Frozen!AD19</f>
        <v>14384183792697.109</v>
      </c>
      <c r="AW48" s="10">
        <f>AW47+AW47*CGE_Frozen!AE19</f>
        <v>9964098497611.8906</v>
      </c>
      <c r="AX48" s="10">
        <f>AX47+AX47*CGE_Frozen!AF19</f>
        <v>313173482395.17413</v>
      </c>
      <c r="AY48" s="10">
        <f>AY47+AY47*CGE_Frozen!AG19</f>
        <v>31227009661172.168</v>
      </c>
      <c r="AZ48" s="10">
        <f>AZ47+AZ47*CGE_Frozen!AH19</f>
        <v>13899349691400.156</v>
      </c>
      <c r="BA48" s="10">
        <f>BA47+BA47*CGE_Frozen!AI19</f>
        <v>2509285827460.4951</v>
      </c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x14ac:dyDescent="0.3">
      <c r="A49" s="27"/>
      <c r="B49" s="3">
        <v>2036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0">
        <f>T48+T48*CGE_Frozen!S55</f>
        <v>50222275.20073878</v>
      </c>
      <c r="U49" s="10">
        <f>U48+U48*CGE_Frozen!T55</f>
        <v>1385193287.0283163</v>
      </c>
      <c r="V49" s="10">
        <f>V48+V48*CGE_Frozen!U55</f>
        <v>116206703.01294211</v>
      </c>
      <c r="W49" s="10">
        <f>W48+W48*CGE_Frozen!V55</f>
        <v>139431586.84825602</v>
      </c>
      <c r="X49" s="10">
        <f>X48+X48*CGE_Frozen!W55</f>
        <v>4051325.7506966526</v>
      </c>
      <c r="Y49" s="10">
        <f>Y48+Y48*CGE_Frozen!X55</f>
        <v>26534213.108946938</v>
      </c>
      <c r="Z49" s="10">
        <f>Z48+Z48*CGE_Frozen!Y55</f>
        <v>401322503.72415817</v>
      </c>
      <c r="AA49" s="10">
        <f>AA48+AA48*CGE_Frozen!Z55</f>
        <v>706618429.87800503</v>
      </c>
      <c r="AB49" s="10">
        <f>AB48+AB48*CGE_Frozen!AA55</f>
        <v>530037693.65674508</v>
      </c>
      <c r="AC49" s="10">
        <f>AC48+AC48*CGE_Frozen!AB55</f>
        <v>110056549.03874564</v>
      </c>
      <c r="AD49" s="10">
        <f>AD48+AD48*CGE_Frozen!AC55</f>
        <v>204475979.04856411</v>
      </c>
      <c r="AE49" s="10">
        <f>AE48+AE48*CGE_Frozen!AD55</f>
        <v>681773729.50709426</v>
      </c>
      <c r="AF49" s="10">
        <f>AF48+AF48*CGE_Frozen!AE55</f>
        <v>1594912472.3624558</v>
      </c>
      <c r="AG49" s="10">
        <f>AG48+AG48*CGE_Frozen!AF55</f>
        <v>27251084.98849443</v>
      </c>
      <c r="AH49" s="10">
        <f>AH48+AH48*CGE_Frozen!AG55</f>
        <v>2132315947.9138837</v>
      </c>
      <c r="AI49" s="10">
        <f>AI48+AI48*CGE_Frozen!AH55</f>
        <v>630509601.86751056</v>
      </c>
      <c r="AJ49" s="10">
        <f>AJ48+AJ48*CGE_Frozen!AI55</f>
        <v>35170153.520364046</v>
      </c>
      <c r="AK49" s="10">
        <f>AK48+AK48*CGE_Frozen!S20</f>
        <v>3596897141470.0015</v>
      </c>
      <c r="AL49" s="10">
        <f>AL48+AL48*CGE_Frozen!T20</f>
        <v>50464597653070.93</v>
      </c>
      <c r="AM49" s="10">
        <f>AM48+AM48*CGE_Frozen!U20</f>
        <v>6566369508302.6201</v>
      </c>
      <c r="AN49" s="10">
        <f>AN48+AN48*CGE_Frozen!V20</f>
        <v>7367575566864.0254</v>
      </c>
      <c r="AO49" s="10">
        <f>AO48+AO48*CGE_Frozen!W20</f>
        <v>87646520926.647125</v>
      </c>
      <c r="AP49" s="10">
        <f>AP48+AP48*CGE_Frozen!X20</f>
        <v>30189484429.288586</v>
      </c>
      <c r="AQ49" s="10">
        <f>AQ48+AQ48*CGE_Frozen!Y20</f>
        <v>35019127718879.699</v>
      </c>
      <c r="AR49" s="10">
        <f>AR48+AR48*CGE_Frozen!Z20</f>
        <v>16999507627015.107</v>
      </c>
      <c r="AS49" s="10">
        <f>AS48+AS48*CGE_Frozen!AA20</f>
        <v>35832183550422.383</v>
      </c>
      <c r="AT49" s="10">
        <f>AT48+AT48*CGE_Frozen!AB20</f>
        <v>6282305560325.4033</v>
      </c>
      <c r="AU49" s="10">
        <f>AU48+AU48*CGE_Frozen!AC20</f>
        <v>3773522855221.7866</v>
      </c>
      <c r="AV49" s="10">
        <f>AV48+AV48*CGE_Frozen!AD20</f>
        <v>14924667505349.633</v>
      </c>
      <c r="AW49" s="10">
        <f>AW48+AW48*CGE_Frozen!AE20</f>
        <v>10460927518877.297</v>
      </c>
      <c r="AX49" s="10">
        <f>AX48+AX48*CGE_Frozen!AF20</f>
        <v>324386616245.8988</v>
      </c>
      <c r="AY49" s="10">
        <f>AY48+AY48*CGE_Frozen!AG20</f>
        <v>32544030149420.965</v>
      </c>
      <c r="AZ49" s="10">
        <f>AZ48+AZ48*CGE_Frozen!AH20</f>
        <v>14291739566965.695</v>
      </c>
      <c r="BA49" s="10">
        <f>BA48+BA48*CGE_Frozen!AI20</f>
        <v>2567090585413.9873</v>
      </c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x14ac:dyDescent="0.3">
      <c r="A50" s="27"/>
      <c r="B50" s="3">
        <v>2037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0">
        <f>T49+T49*CGE_Frozen!S56</f>
        <v>50016061.67678199</v>
      </c>
      <c r="U50" s="10">
        <f>U49+U49*CGE_Frozen!T56</f>
        <v>1380608092.1991303</v>
      </c>
      <c r="V50" s="10">
        <f>V49+V49*CGE_Frozen!U56</f>
        <v>115524816.81726751</v>
      </c>
      <c r="W50" s="10">
        <f>W49+W49*CGE_Frozen!V56</f>
        <v>139160207.8148835</v>
      </c>
      <c r="X50" s="10">
        <f>X49+X49*CGE_Frozen!W56</f>
        <v>4094313.2068219925</v>
      </c>
      <c r="Y50" s="10">
        <f>Y49+Y49*CGE_Frozen!X56</f>
        <v>26473918.849259552</v>
      </c>
      <c r="Z50" s="10">
        <f>Z49+Z49*CGE_Frozen!Y56</f>
        <v>402847776.79571944</v>
      </c>
      <c r="AA50" s="10">
        <f>AA49+AA49*CGE_Frozen!Z56</f>
        <v>709500718.01472044</v>
      </c>
      <c r="AB50" s="10">
        <f>AB49+AB49*CGE_Frozen!AA56</f>
        <v>530769989.12398839</v>
      </c>
      <c r="AC50" s="10">
        <f>AC49+AC49*CGE_Frozen!AB56</f>
        <v>109512602.53525473</v>
      </c>
      <c r="AD50" s="10">
        <f>AD49+AD49*CGE_Frozen!AC56</f>
        <v>205467315.8283962</v>
      </c>
      <c r="AE50" s="10">
        <f>AE49+AE49*CGE_Frozen!AD56</f>
        <v>689685328.01091349</v>
      </c>
      <c r="AF50" s="10">
        <f>AF49+AF49*CGE_Frozen!AE56</f>
        <v>1628680101.045145</v>
      </c>
      <c r="AG50" s="10">
        <f>AG49+AG49*CGE_Frozen!AF56</f>
        <v>27349762.826092225</v>
      </c>
      <c r="AH50" s="10">
        <f>AH49+AH49*CGE_Frozen!AG56</f>
        <v>2145684287.5301938</v>
      </c>
      <c r="AI50" s="10">
        <f>AI49+AI49*CGE_Frozen!AH56</f>
        <v>633269159.02617097</v>
      </c>
      <c r="AJ50" s="10">
        <f>AJ49+AJ49*CGE_Frozen!AI56</f>
        <v>35373132.79239893</v>
      </c>
      <c r="AK50" s="10">
        <f>AK49+AK49*CGE_Frozen!S21</f>
        <v>3646924128229.3584</v>
      </c>
      <c r="AL50" s="10">
        <f>AL49+AL49*CGE_Frozen!T21</f>
        <v>51562482620020.797</v>
      </c>
      <c r="AM50" s="10">
        <f>AM49+AM49*CGE_Frozen!U21</f>
        <v>6632853911077.1699</v>
      </c>
      <c r="AN50" s="10">
        <f>AN49+AN49*CGE_Frozen!V21</f>
        <v>7481191212977.2588</v>
      </c>
      <c r="AO50" s="10">
        <f>AO49+AO49*CGE_Frozen!W21</f>
        <v>90295363056.688446</v>
      </c>
      <c r="AP50" s="10">
        <f>AP49+AP49*CGE_Frozen!X21</f>
        <v>31746372747.10508</v>
      </c>
      <c r="AQ50" s="10">
        <f>AQ49+AQ49*CGE_Frozen!Y21</f>
        <v>35560686602424.203</v>
      </c>
      <c r="AR50" s="10">
        <f>AR49+AR49*CGE_Frozen!Z21</f>
        <v>17482487374052.477</v>
      </c>
      <c r="AS50" s="10">
        <f>AS49+AS49*CGE_Frozen!AA21</f>
        <v>36492291260468.156</v>
      </c>
      <c r="AT50" s="10">
        <f>AT49+AT49*CGE_Frozen!AB21</f>
        <v>6399887679461.2803</v>
      </c>
      <c r="AU50" s="10">
        <f>AU49+AU49*CGE_Frozen!AC21</f>
        <v>3872536526142.1084</v>
      </c>
      <c r="AV50" s="10">
        <f>AV49+AV49*CGE_Frozen!AD21</f>
        <v>15326850075939.496</v>
      </c>
      <c r="AW50" s="10">
        <f>AW49+AW49*CGE_Frozen!AE21</f>
        <v>10934448883273.414</v>
      </c>
      <c r="AX50" s="10">
        <f>AX49+AX49*CGE_Frozen!AF21</f>
        <v>335124982417.7002</v>
      </c>
      <c r="AY50" s="10">
        <f>AY49+AY49*CGE_Frozen!AG21</f>
        <v>33996801052105.82</v>
      </c>
      <c r="AZ50" s="10">
        <f>AZ49+AZ49*CGE_Frozen!AH21</f>
        <v>14701875718310.578</v>
      </c>
      <c r="BA50" s="10">
        <f>BA49+BA49*CGE_Frozen!AI21</f>
        <v>2626362793072.7002</v>
      </c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x14ac:dyDescent="0.3">
      <c r="A51" s="27"/>
      <c r="B51" s="3">
        <v>2038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0">
        <f>T50+T50*CGE_Frozen!S57</f>
        <v>49809848.152825192</v>
      </c>
      <c r="U51" s="10">
        <f>U50+U50*CGE_Frozen!T57</f>
        <v>1376032779.2553523</v>
      </c>
      <c r="V51" s="10">
        <f>V50+V50*CGE_Frozen!U57</f>
        <v>114842930.62159289</v>
      </c>
      <c r="W51" s="10">
        <f>W50+W50*CGE_Frozen!V57</f>
        <v>138887841.94866237</v>
      </c>
      <c r="X51" s="10">
        <f>X50+X50*CGE_Frozen!W57</f>
        <v>4137290.4739318951</v>
      </c>
      <c r="Y51" s="10">
        <f>Y50+Y50*CGE_Frozen!X57</f>
        <v>26413624.589572161</v>
      </c>
      <c r="Z51" s="10">
        <f>Z50+Z50*CGE_Frozen!Y57</f>
        <v>404373049.86728078</v>
      </c>
      <c r="AA51" s="10">
        <f>AA50+AA50*CGE_Frozen!Z57</f>
        <v>712383006.15143585</v>
      </c>
      <c r="AB51" s="10">
        <f>AB50+AB50*CGE_Frozen!AA57</f>
        <v>531503300.25762171</v>
      </c>
      <c r="AC51" s="10">
        <f>AC50+AC50*CGE_Frozen!AB57</f>
        <v>108967675.94797376</v>
      </c>
      <c r="AD51" s="10">
        <f>AD50+AD50*CGE_Frozen!AC57</f>
        <v>206457343.04841346</v>
      </c>
      <c r="AE51" s="10">
        <f>AE50+AE50*CGE_Frozen!AD57</f>
        <v>697596926.51473272</v>
      </c>
      <c r="AF51" s="10">
        <f>AF50+AF50*CGE_Frozen!AE57</f>
        <v>1662437381.0828197</v>
      </c>
      <c r="AG51" s="10">
        <f>AG50+AG50*CGE_Frozen!AF57</f>
        <v>27448235.512260504</v>
      </c>
      <c r="AH51" s="10">
        <f>AH50+AH50*CGE_Frozen!AG57</f>
        <v>2159052627.1465039</v>
      </c>
      <c r="AI51" s="10">
        <f>AI50+AI50*CGE_Frozen!AH57</f>
        <v>636027751.30470598</v>
      </c>
      <c r="AJ51" s="10">
        <f>AJ50+AJ50*CGE_Frozen!AI57</f>
        <v>35576215.151925959</v>
      </c>
      <c r="AK51" s="10">
        <f>AK50+AK50*CGE_Frozen!S22</f>
        <v>3686211206665.2998</v>
      </c>
      <c r="AL51" s="10">
        <f>AL50+AL50*CGE_Frozen!T22</f>
        <v>52569854373740.828</v>
      </c>
      <c r="AM51" s="10">
        <f>AM50+AM50*CGE_Frozen!U22</f>
        <v>6691768415436.2041</v>
      </c>
      <c r="AN51" s="10">
        <f>AN50+AN50*CGE_Frozen!V22</f>
        <v>7625091226166.6416</v>
      </c>
      <c r="AO51" s="10">
        <f>AO50+AO50*CGE_Frozen!W22</f>
        <v>92861702661.731232</v>
      </c>
      <c r="AP51" s="10">
        <f>AP50+AP50*CGE_Frozen!X22</f>
        <v>33353894044.293606</v>
      </c>
      <c r="AQ51" s="10">
        <f>AQ50+AQ50*CGE_Frozen!Y22</f>
        <v>36089483999405.977</v>
      </c>
      <c r="AR51" s="10">
        <f>AR50+AR50*CGE_Frozen!Z22</f>
        <v>18003578568664.625</v>
      </c>
      <c r="AS51" s="10">
        <f>AS50+AS50*CGE_Frozen!AA22</f>
        <v>37127696395086.023</v>
      </c>
      <c r="AT51" s="10">
        <f>AT50+AT50*CGE_Frozen!AB22</f>
        <v>6504299843270.8975</v>
      </c>
      <c r="AU51" s="10">
        <f>AU50+AU50*CGE_Frozen!AC22</f>
        <v>3986431247520.4136</v>
      </c>
      <c r="AV51" s="10">
        <f>AV50+AV50*CGE_Frozen!AD22</f>
        <v>15879316834565.438</v>
      </c>
      <c r="AW51" s="10">
        <f>AW50+AW50*CGE_Frozen!AE22</f>
        <v>11471156553582.279</v>
      </c>
      <c r="AX51" s="10">
        <f>AX50+AX50*CGE_Frozen!AF22</f>
        <v>345950794568.0993</v>
      </c>
      <c r="AY51" s="10">
        <f>AY50+AY50*CGE_Frozen!AG22</f>
        <v>35366793630923.883</v>
      </c>
      <c r="AZ51" s="10">
        <f>AZ50+AZ50*CGE_Frozen!AH22</f>
        <v>15089095608384.842</v>
      </c>
      <c r="BA51" s="10">
        <f>BA50+BA50*CGE_Frozen!AI22</f>
        <v>2685486129022.188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x14ac:dyDescent="0.3">
      <c r="A52" s="27"/>
      <c r="B52" s="3">
        <v>2039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0">
        <f>T51+T51*CGE_Frozen!S58</f>
        <v>49603634.628868394</v>
      </c>
      <c r="U52" s="10">
        <f>U51+U51*CGE_Frozen!T58</f>
        <v>1371447584.4261663</v>
      </c>
      <c r="V52" s="10">
        <f>V51+V51*CGE_Frozen!U58</f>
        <v>114161044.4259183</v>
      </c>
      <c r="W52" s="10">
        <f>W51+W51*CGE_Frozen!V58</f>
        <v>138616462.91528985</v>
      </c>
      <c r="X52" s="10">
        <f>X51+X51*CGE_Frozen!W58</f>
        <v>4180277.9300572355</v>
      </c>
      <c r="Y52" s="10">
        <f>Y51+Y51*CGE_Frozen!X58</f>
        <v>26353431.156405993</v>
      </c>
      <c r="Z52" s="10">
        <f>Z51+Z51*CGE_Frozen!Y58</f>
        <v>405897324.72348112</v>
      </c>
      <c r="AA52" s="10">
        <f>AA51+AA51*CGE_Frozen!Z58</f>
        <v>715264253.75091779</v>
      </c>
      <c r="AB52" s="10">
        <f>AB51+AB51*CGE_Frozen!AA58</f>
        <v>532235595.72486502</v>
      </c>
      <c r="AC52" s="10">
        <f>AC51+AC51*CGE_Frozen!AB58</f>
        <v>108423729.44448285</v>
      </c>
      <c r="AD52" s="10">
        <f>AD51+AD51*CGE_Frozen!AC58</f>
        <v>207448679.82824555</v>
      </c>
      <c r="AE52" s="10">
        <f>AE51+AE51*CGE_Frozen!AD58</f>
        <v>705509602.74617815</v>
      </c>
      <c r="AF52" s="10">
        <f>AF51+AF51*CGE_Frozen!AE58</f>
        <v>1696194661.1204941</v>
      </c>
      <c r="AG52" s="10">
        <f>AG51+AG51*CGE_Frozen!AF58</f>
        <v>27546913.349858306</v>
      </c>
      <c r="AH52" s="10">
        <f>AH51+AH51*CGE_Frozen!AG58</f>
        <v>2172420966.762814</v>
      </c>
      <c r="AI52" s="10">
        <f>AI51+AI51*CGE_Frozen!AH58</f>
        <v>638786343.58324099</v>
      </c>
      <c r="AJ52" s="10">
        <f>AJ51+AJ51*CGE_Frozen!AI58</f>
        <v>35779297.511452988</v>
      </c>
      <c r="AK52" s="10">
        <f>AK51+AK51*CGE_Frozen!S23</f>
        <v>3731655215303.8892</v>
      </c>
      <c r="AL52" s="10">
        <f>AL51+AL51*CGE_Frozen!T23</f>
        <v>53608374399220.109</v>
      </c>
      <c r="AM52" s="10">
        <f>AM51+AM51*CGE_Frozen!U23</f>
        <v>6756738838527.6514</v>
      </c>
      <c r="AN52" s="10">
        <f>AN51+AN51*CGE_Frozen!V23</f>
        <v>7743173980655.5322</v>
      </c>
      <c r="AO52" s="10">
        <f>AO51+AO51*CGE_Frozen!W23</f>
        <v>95594507538.452469</v>
      </c>
      <c r="AP52" s="10">
        <f>AP51+AP51*CGE_Frozen!X23</f>
        <v>35055303640.557205</v>
      </c>
      <c r="AQ52" s="10">
        <f>AQ51+AQ51*CGE_Frozen!Y23</f>
        <v>36624930238126.32</v>
      </c>
      <c r="AR52" s="10">
        <f>AR51+AR51*CGE_Frozen!Z23</f>
        <v>18518766631451.332</v>
      </c>
      <c r="AS52" s="10">
        <f>AS51+AS51*CGE_Frozen!AA23</f>
        <v>37793568039398.313</v>
      </c>
      <c r="AT52" s="10">
        <f>AT51+AT51*CGE_Frozen!AB23</f>
        <v>6614302132003.1719</v>
      </c>
      <c r="AU52" s="10">
        <f>AU51+AU51*CGE_Frozen!AC23</f>
        <v>4086915623594.5728</v>
      </c>
      <c r="AV52" s="10">
        <f>AV51+AV51*CGE_Frozen!AD23</f>
        <v>16309358078915.162</v>
      </c>
      <c r="AW52" s="10">
        <f>AW51+AW51*CGE_Frozen!AE23</f>
        <v>11990120330274.523</v>
      </c>
      <c r="AX52" s="10">
        <f>AX51+AX51*CGE_Frozen!AF23</f>
        <v>356402935122.14911</v>
      </c>
      <c r="AY52" s="10">
        <f>AY51+AY51*CGE_Frozen!AG23</f>
        <v>36862047848410.016</v>
      </c>
      <c r="AZ52" s="10">
        <f>AZ51+AZ51*CGE_Frozen!AH23</f>
        <v>15491849501377.072</v>
      </c>
      <c r="BA52" s="10">
        <f>BA51+BA51*CGE_Frozen!AI23</f>
        <v>2746183251612.0581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x14ac:dyDescent="0.3">
      <c r="A53" s="27"/>
      <c r="B53" s="3">
        <v>2040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0">
        <f>T52+T52*CGE_Frozen!S59</f>
        <v>49397421.104911596</v>
      </c>
      <c r="U53" s="10">
        <f>U52+U52*CGE_Frozen!T59</f>
        <v>1366862389.5969806</v>
      </c>
      <c r="V53" s="10">
        <f>V52+V52*CGE_Frozen!U59</f>
        <v>113479158.23024368</v>
      </c>
      <c r="W53" s="10">
        <f>W52+W52*CGE_Frozen!V59</f>
        <v>138344097.04906869</v>
      </c>
      <c r="X53" s="10">
        <f>X52+X52*CGE_Frozen!W59</f>
        <v>4223265.3861825746</v>
      </c>
      <c r="Y53" s="10">
        <f>Y52+Y52*CGE_Frozen!X59</f>
        <v>26293136.896718606</v>
      </c>
      <c r="Z53" s="10">
        <f>Z52+Z52*CGE_Frozen!Y59</f>
        <v>407422597.79504246</v>
      </c>
      <c r="AA53" s="10">
        <f>AA52+AA52*CGE_Frozen!Z59</f>
        <v>718146541.8876332</v>
      </c>
      <c r="AB53" s="10">
        <f>AB52+AB52*CGE_Frozen!AA59</f>
        <v>532968906.85849845</v>
      </c>
      <c r="AC53" s="10">
        <f>AC52+AC52*CGE_Frozen!AB59</f>
        <v>107878802.85720187</v>
      </c>
      <c r="AD53" s="10">
        <f>AD52+AD52*CGE_Frozen!AC59</f>
        <v>208438707.0482628</v>
      </c>
      <c r="AE53" s="10">
        <f>AE52+AE52*CGE_Frozen!AD59</f>
        <v>713421201.24999738</v>
      </c>
      <c r="AF53" s="10">
        <f>AF52+AF52*CGE_Frozen!AE59</f>
        <v>1729951941.1581688</v>
      </c>
      <c r="AG53" s="10">
        <f>AG52+AG52*CGE_Frozen!AF59</f>
        <v>27645386.036026586</v>
      </c>
      <c r="AH53" s="10">
        <f>AH52+AH52*CGE_Frozen!AG59</f>
        <v>2185789306.3791242</v>
      </c>
      <c r="AI53" s="10">
        <f>AI52+AI52*CGE_Frozen!AH59</f>
        <v>641545900.7419014</v>
      </c>
      <c r="AJ53" s="10">
        <f>AJ52+AJ52*CGE_Frozen!AI59</f>
        <v>35982379.870980009</v>
      </c>
      <c r="AK53" s="10">
        <f>AK52+AK52*CGE_Frozen!S24</f>
        <v>3767994991311.9961</v>
      </c>
      <c r="AL53" s="10">
        <f>AL52+AL52*CGE_Frozen!T24</f>
        <v>54605851996028.367</v>
      </c>
      <c r="AM53" s="10">
        <f>AM52+AM52*CGE_Frozen!U24</f>
        <v>6817570324355.9375</v>
      </c>
      <c r="AN53" s="10">
        <f>AN52+AN52*CGE_Frozen!V24</f>
        <v>7886252834217.0361</v>
      </c>
      <c r="AO53" s="10">
        <f>AO52+AO52*CGE_Frozen!W24</f>
        <v>98287156318.935486</v>
      </c>
      <c r="AP53" s="10">
        <f>AP52+AP52*CGE_Frozen!X24</f>
        <v>36793601535.165695</v>
      </c>
      <c r="AQ53" s="10">
        <f>AQ52+AQ52*CGE_Frozen!Y24</f>
        <v>37152440762513.539</v>
      </c>
      <c r="AR53" s="10">
        <f>AR52+AR52*CGE_Frozen!Z24</f>
        <v>19065230936541.258</v>
      </c>
      <c r="AS53" s="10">
        <f>AS52+AS52*CGE_Frozen!AA24</f>
        <v>38438168021536.57</v>
      </c>
      <c r="AT53" s="10">
        <f>AT52+AT52*CGE_Frozen!AB24</f>
        <v>6711181839349.21</v>
      </c>
      <c r="AU53" s="10">
        <f>AU52+AU52*CGE_Frozen!AC24</f>
        <v>4199588209704.1958</v>
      </c>
      <c r="AV53" s="10">
        <f>AV52+AV52*CGE_Frozen!AD24</f>
        <v>16869075725232.027</v>
      </c>
      <c r="AW53" s="10">
        <f>AW52+AW52*CGE_Frozen!AE24</f>
        <v>12568992303719.836</v>
      </c>
      <c r="AX53" s="10">
        <f>AX52+AX52*CGE_Frozen!AF24</f>
        <v>366938255997.30408</v>
      </c>
      <c r="AY53" s="10">
        <f>AY52+AY52*CGE_Frozen!AG24</f>
        <v>38285918023619.039</v>
      </c>
      <c r="AZ53" s="10">
        <f>AZ52+AZ52*CGE_Frozen!AH24</f>
        <v>15875871214379.992</v>
      </c>
      <c r="BA53" s="10">
        <f>BA52+BA52*CGE_Frozen!AI24</f>
        <v>2807188751313.8945</v>
      </c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x14ac:dyDescent="0.3">
      <c r="A54" s="27"/>
      <c r="B54" s="3">
        <v>2041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10">
        <f>T53+T53*CGE_Frozen!S60</f>
        <v>49135615.224618025</v>
      </c>
      <c r="U54" s="10">
        <f>U53+U53*CGE_Frozen!T60</f>
        <v>1360854203.2690816</v>
      </c>
      <c r="V54" s="10">
        <f>V53+V53*CGE_Frozen!U60</f>
        <v>112793243.16487528</v>
      </c>
      <c r="W54" s="10">
        <f>W53+W53*CGE_Frozen!V60</f>
        <v>138175348.63195342</v>
      </c>
      <c r="X54" s="10">
        <f>X53+X53*CGE_Frozen!W60</f>
        <v>4266344.5434468398</v>
      </c>
      <c r="Y54" s="10">
        <f>Y53+Y53*CGE_Frozen!X60</f>
        <v>26211366.588012137</v>
      </c>
      <c r="Z54" s="10">
        <f>Z53+Z53*CGE_Frozen!Y60</f>
        <v>408827086.80792648</v>
      </c>
      <c r="AA54" s="10">
        <f>AA53+AA53*CGE_Frozen!Z60</f>
        <v>720204724.53543949</v>
      </c>
      <c r="AB54" s="10">
        <f>AB53+AB53*CGE_Frozen!AA60</f>
        <v>533658544.33735859</v>
      </c>
      <c r="AC54" s="10">
        <f>AC53+AC53*CGE_Frozen!AB60</f>
        <v>107361318.61604297</v>
      </c>
      <c r="AD54" s="10">
        <f>AD53+AD53*CGE_Frozen!AC60</f>
        <v>209291230.48772213</v>
      </c>
      <c r="AE54" s="10">
        <f>AE53+AE53*CGE_Frozen!AD60</f>
        <v>720812257.31036973</v>
      </c>
      <c r="AF54" s="10">
        <f>AF53+AF53*CGE_Frozen!AE60</f>
        <v>1764061075.1263404</v>
      </c>
      <c r="AG54" s="10">
        <f>AG53+AG53*CGE_Frozen!AF60</f>
        <v>27711649.94776066</v>
      </c>
      <c r="AH54" s="10">
        <f>AH53+AH53*CGE_Frozen!AG60</f>
        <v>2196273484.9124303</v>
      </c>
      <c r="AI54" s="10">
        <f>AI53+AI53*CGE_Frozen!AH60</f>
        <v>643515221.07785451</v>
      </c>
      <c r="AJ54" s="10">
        <f>AJ53+AJ53*CGE_Frozen!AI60</f>
        <v>36181544.905805506</v>
      </c>
      <c r="AK54" s="10">
        <f>AK53+AK53*CGE_Frozen!S25</f>
        <v>3809272656204.4326</v>
      </c>
      <c r="AL54" s="10">
        <f>AL53+AL53*CGE_Frozen!T25</f>
        <v>55648769424579.547</v>
      </c>
      <c r="AM54" s="10">
        <f>AM53+AM53*CGE_Frozen!U25</f>
        <v>6883967591609.1582</v>
      </c>
      <c r="AN54" s="10">
        <f>AN53+AN53*CGE_Frozen!V25</f>
        <v>8008342847689.9727</v>
      </c>
      <c r="AO54" s="10">
        <f>AO53+AO53*CGE_Frozen!W25</f>
        <v>101126922433.81854</v>
      </c>
      <c r="AP54" s="10">
        <f>AP53+AP53*CGE_Frozen!X25</f>
        <v>38626495175.666832</v>
      </c>
      <c r="AQ54" s="10">
        <f>AQ53+AQ53*CGE_Frozen!Y25</f>
        <v>37686171171107.797</v>
      </c>
      <c r="AR54" s="10">
        <f>AR53+AR53*CGE_Frozen!Z25</f>
        <v>19609603254563.219</v>
      </c>
      <c r="AS54" s="10">
        <f>AS53+AS53*CGE_Frozen!AA25</f>
        <v>39109529127055.063</v>
      </c>
      <c r="AT54" s="10">
        <f>AT53+AT53*CGE_Frozen!AB25</f>
        <v>6811211913706.7451</v>
      </c>
      <c r="AU54" s="10">
        <f>AU53+AU53*CGE_Frozen!AC25</f>
        <v>4300880437905.1108</v>
      </c>
      <c r="AV54" s="10">
        <f>AV53+AV53*CGE_Frozen!AD25</f>
        <v>17326212392005.729</v>
      </c>
      <c r="AW54" s="10">
        <f>AW53+AW53*CGE_Frozen!AE25</f>
        <v>13138902107168.957</v>
      </c>
      <c r="AX54" s="10">
        <f>AX53+AX53*CGE_Frozen!AF25</f>
        <v>377205693581.92548</v>
      </c>
      <c r="AY54" s="10">
        <f>AY53+AY53*CGE_Frozen!AG25</f>
        <v>39822636861857.031</v>
      </c>
      <c r="AZ54" s="10">
        <f>AZ53+AZ53*CGE_Frozen!AH25</f>
        <v>16272926100109.748</v>
      </c>
      <c r="BA54" s="10">
        <f>BA53+BA53*CGE_Frozen!AI25</f>
        <v>2869927543058.8545</v>
      </c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x14ac:dyDescent="0.3">
      <c r="A55" s="27"/>
      <c r="B55" s="3">
        <v>2042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10">
        <f>T54+T54*CGE_Frozen!S61</f>
        <v>48873708.997110851</v>
      </c>
      <c r="U55" s="10">
        <f>U54+U54*CGE_Frozen!T61</f>
        <v>1354836135.0557752</v>
      </c>
      <c r="V55" s="10">
        <f>V54+V54*CGE_Frozen!U61</f>
        <v>112108335.31693034</v>
      </c>
      <c r="W55" s="10">
        <f>W54+W54*CGE_Frozen!V61</f>
        <v>138005613.38198951</v>
      </c>
      <c r="X55" s="10">
        <f>X54+X54*CGE_Frozen!W61</f>
        <v>4309423.700711105</v>
      </c>
      <c r="Y55" s="10">
        <f>Y54+Y54*CGE_Frozen!X61</f>
        <v>26129596.279305667</v>
      </c>
      <c r="Z55" s="10">
        <f>Z54+Z54*CGE_Frozen!Y61</f>
        <v>410231575.8208105</v>
      </c>
      <c r="AA55" s="10">
        <f>AA54+AA54*CGE_Frozen!Z61</f>
        <v>722262907.18324566</v>
      </c>
      <c r="AB55" s="10">
        <f>AB54+AB54*CGE_Frozen!AA61</f>
        <v>534347166.14982867</v>
      </c>
      <c r="AC55" s="10">
        <f>AC54+AC54*CGE_Frozen!AB61</f>
        <v>106843834.37488405</v>
      </c>
      <c r="AD55" s="10">
        <f>AD54+AD54*CGE_Frozen!AC61</f>
        <v>210142444.36736655</v>
      </c>
      <c r="AE55" s="10">
        <f>AE54+AE54*CGE_Frozen!AD61</f>
        <v>728203313.37074184</v>
      </c>
      <c r="AF55" s="10">
        <f>AF54+AF54*CGE_Frozen!AE61</f>
        <v>1798170209.0945117</v>
      </c>
      <c r="AG55" s="10">
        <f>AG54+AG54*CGE_Frozen!AF61</f>
        <v>27777708.708065215</v>
      </c>
      <c r="AH55" s="10">
        <f>AH54+AH54*CGE_Frozen!AG61</f>
        <v>2206757663.4457359</v>
      </c>
      <c r="AI55" s="10">
        <f>AI54+AI54*CGE_Frozen!AH61</f>
        <v>645484541.41380763</v>
      </c>
      <c r="AJ55" s="10">
        <f>AJ54+AJ54*CGE_Frozen!AI61</f>
        <v>36380709.940630995</v>
      </c>
      <c r="AK55" s="10">
        <f>AK54+AK54*CGE_Frozen!S26</f>
        <v>3843590983950.5186</v>
      </c>
      <c r="AL55" s="10">
        <f>AL54+AL54*CGE_Frozen!T26</f>
        <v>56653026351123.648</v>
      </c>
      <c r="AM55" s="10">
        <f>AM54+AM54*CGE_Frozen!U26</f>
        <v>6946563571744.3711</v>
      </c>
      <c r="AN55" s="10">
        <f>AN54+AN54*CGE_Frozen!V26</f>
        <v>8150666234393.8291</v>
      </c>
      <c r="AO55" s="10">
        <f>AO54+AO54*CGE_Frozen!W26</f>
        <v>103926897507.88373</v>
      </c>
      <c r="AP55" s="10">
        <f>AP54+AP54*CGE_Frozen!X26</f>
        <v>40521644136.11441</v>
      </c>
      <c r="AQ55" s="10">
        <f>AQ54+AQ54*CGE_Frozen!Y26</f>
        <v>38212287583517.57</v>
      </c>
      <c r="AR55" s="10">
        <f>AR54+AR54*CGE_Frozen!Z26</f>
        <v>20186411728510.238</v>
      </c>
      <c r="AS55" s="10">
        <f>AS54+AS54*CGE_Frozen!AA26</f>
        <v>39766754869967.578</v>
      </c>
      <c r="AT55" s="10">
        <f>AT54+AT54*CGE_Frozen!AB26</f>
        <v>6900961843079.3945</v>
      </c>
      <c r="AU55" s="10">
        <f>AU54+AU54*CGE_Frozen!AC26</f>
        <v>4411784034998.71</v>
      </c>
      <c r="AV55" s="10">
        <f>AV54+AV54*CGE_Frozen!AD26</f>
        <v>17893053717457.535</v>
      </c>
      <c r="AW55" s="10">
        <f>AW54+AW54*CGE_Frozen!AE26</f>
        <v>13768299065827.699</v>
      </c>
      <c r="AX55" s="10">
        <f>AX54+AX54*CGE_Frozen!AF26</f>
        <v>387485928139.0246</v>
      </c>
      <c r="AY55" s="10">
        <f>AY54+AY54*CGE_Frozen!AG26</f>
        <v>41305402644885.586</v>
      </c>
      <c r="AZ55" s="10">
        <f>AZ54+AZ54*CGE_Frozen!AH26</f>
        <v>16654134379147.648</v>
      </c>
      <c r="BA55" s="10">
        <f>BA54+BA54*CGE_Frozen!AI26</f>
        <v>2933251187947.1992</v>
      </c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x14ac:dyDescent="0.3">
      <c r="A56" s="27"/>
      <c r="B56" s="3">
        <v>2043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10">
        <f>T55+T55*CGE_Frozen!S62</f>
        <v>48611903.116817281</v>
      </c>
      <c r="U56" s="10">
        <f>U55+U55*CGE_Frozen!T62</f>
        <v>1348827948.7278764</v>
      </c>
      <c r="V56" s="10">
        <f>V55+V55*CGE_Frozen!U62</f>
        <v>111422420.25156192</v>
      </c>
      <c r="W56" s="10">
        <f>W55+W55*CGE_Frozen!V62</f>
        <v>137835878.1320256</v>
      </c>
      <c r="X56" s="10">
        <f>X55+X55*CGE_Frozen!W62</f>
        <v>4352502.8579753703</v>
      </c>
      <c r="Y56" s="10">
        <f>Y55+Y55*CGE_Frozen!X62</f>
        <v>26047926.797120407</v>
      </c>
      <c r="Z56" s="10">
        <f>Z55+Z55*CGE_Frozen!Y62</f>
        <v>411636064.83369458</v>
      </c>
      <c r="AA56" s="10">
        <f>AA55+AA55*CGE_Frozen!Z62</f>
        <v>724322130.3682853</v>
      </c>
      <c r="AB56" s="10">
        <f>AB55+AB55*CGE_Frozen!AA62</f>
        <v>535036803.62868881</v>
      </c>
      <c r="AC56" s="10">
        <f>AC55+AC55*CGE_Frozen!AB62</f>
        <v>106325370.04993507</v>
      </c>
      <c r="AD56" s="10">
        <f>AD55+AD55*CGE_Frozen!AC62</f>
        <v>210994967.80682588</v>
      </c>
      <c r="AE56" s="10">
        <f>AE55+AE55*CGE_Frozen!AD62</f>
        <v>735594369.4311142</v>
      </c>
      <c r="AF56" s="10">
        <f>AF55+AF55*CGE_Frozen!AE62</f>
        <v>1832279343.0626833</v>
      </c>
      <c r="AG56" s="10">
        <f>AG55+AG55*CGE_Frozen!AF62</f>
        <v>27843767.468369771</v>
      </c>
      <c r="AH56" s="10">
        <f>AH55+AH55*CGE_Frozen!AG62</f>
        <v>2217231722.115593</v>
      </c>
      <c r="AI56" s="10">
        <f>AI55+AI55*CGE_Frozen!AH62</f>
        <v>647453861.74976075</v>
      </c>
      <c r="AJ56" s="10">
        <f>AJ55+AJ55*CGE_Frozen!AI62</f>
        <v>36579874.975456484</v>
      </c>
      <c r="AK56" s="10">
        <f>AK55+AK55*CGE_Frozen!S27</f>
        <v>3881381264818.3975</v>
      </c>
      <c r="AL56" s="10">
        <f>AL55+AL55*CGE_Frozen!T27</f>
        <v>57679087067899.227</v>
      </c>
      <c r="AM56" s="10">
        <f>AM55+AM55*CGE_Frozen!U27</f>
        <v>7013135110040.251</v>
      </c>
      <c r="AN56" s="10">
        <f>AN55+AN55*CGE_Frozen!V27</f>
        <v>8276927738776.3877</v>
      </c>
      <c r="AO56" s="10">
        <f>AO55+AO55*CGE_Frozen!W27</f>
        <v>106853546812.80948</v>
      </c>
      <c r="AP56" s="10">
        <f>AP55+AP55*CGE_Frozen!X27</f>
        <v>42511590970.116806</v>
      </c>
      <c r="AQ56" s="10">
        <f>AQ55+AQ55*CGE_Frozen!Y27</f>
        <v>38742800810625.43</v>
      </c>
      <c r="AR56" s="10">
        <f>AR55+AR55*CGE_Frozen!Z27</f>
        <v>20764525105281.832</v>
      </c>
      <c r="AS56" s="10">
        <f>AS55+AS55*CGE_Frozen!AA27</f>
        <v>40444566092403.359</v>
      </c>
      <c r="AT56" s="10">
        <f>AT55+AT55*CGE_Frozen!AB27</f>
        <v>6993767391583.4961</v>
      </c>
      <c r="AU56" s="10">
        <f>AU55+AU55*CGE_Frozen!AC27</f>
        <v>4514194827682.8252</v>
      </c>
      <c r="AV56" s="10">
        <f>AV55+AV55*CGE_Frozen!AD27</f>
        <v>18379651885796.461</v>
      </c>
      <c r="AW56" s="10">
        <f>AW55+AW55*CGE_Frozen!AE27</f>
        <v>14396312602272.266</v>
      </c>
      <c r="AX56" s="10">
        <f>AX55+AX55*CGE_Frozen!AF27</f>
        <v>397546054769.50702</v>
      </c>
      <c r="AY56" s="10">
        <f>AY55+AY55*CGE_Frozen!AG27</f>
        <v>42885510303746.555</v>
      </c>
      <c r="AZ56" s="10">
        <f>AZ55+AZ55*CGE_Frozen!AH27</f>
        <v>17044961235843.732</v>
      </c>
      <c r="BA56" s="10">
        <f>BA55+BA55*CGE_Frozen!AI27</f>
        <v>2997840242363.96</v>
      </c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 x14ac:dyDescent="0.3">
      <c r="A57" s="27"/>
      <c r="B57" s="3">
        <v>2044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0">
        <f>T56+T56*CGE_Frozen!S63</f>
        <v>48349996.889310107</v>
      </c>
      <c r="U57" s="10">
        <f>U56+U56*CGE_Frozen!T63</f>
        <v>1342819762.3999774</v>
      </c>
      <c r="V57" s="10">
        <f>V56+V56*CGE_Frozen!U63</f>
        <v>110737512.40361698</v>
      </c>
      <c r="W57" s="10">
        <f>W56+W56*CGE_Frozen!V63</f>
        <v>137667129.7149103</v>
      </c>
      <c r="X57" s="10">
        <f>X56+X56*CGE_Frozen!W63</f>
        <v>4395571.8262241995</v>
      </c>
      <c r="Y57" s="10">
        <f>Y56+Y56*CGE_Frozen!X63</f>
        <v>25966156.488413937</v>
      </c>
      <c r="Z57" s="10">
        <f>Z56+Z56*CGE_Frozen!Y63</f>
        <v>413039555.63121766</v>
      </c>
      <c r="AA57" s="10">
        <f>AA56+AA56*CGE_Frozen!Z63</f>
        <v>726380313.01609147</v>
      </c>
      <c r="AB57" s="10">
        <f>AB56+AB56*CGE_Frozen!AA63</f>
        <v>535726441.10754895</v>
      </c>
      <c r="AC57" s="10">
        <f>AC56+AC56*CGE_Frozen!AB63</f>
        <v>105807885.80877616</v>
      </c>
      <c r="AD57" s="10">
        <f>AD56+AD56*CGE_Frozen!AC63</f>
        <v>211846181.68647036</v>
      </c>
      <c r="AE57" s="10">
        <f>AE56+AE56*CGE_Frozen!AD63</f>
        <v>742986503.21911252</v>
      </c>
      <c r="AF57" s="10">
        <f>AF56+AF56*CGE_Frozen!AE63</f>
        <v>1866388477.0308549</v>
      </c>
      <c r="AG57" s="10">
        <f>AG56+AG56*CGE_Frozen!AF63</f>
        <v>27909826.228674319</v>
      </c>
      <c r="AH57" s="10">
        <f>AH56+AH56*CGE_Frozen!AG63</f>
        <v>2227715900.6488991</v>
      </c>
      <c r="AI57" s="10">
        <f>AI56+AI56*CGE_Frozen!AH63</f>
        <v>649423182.08571386</v>
      </c>
      <c r="AJ57" s="10">
        <f>AJ56+AJ56*CGE_Frozen!AI63</f>
        <v>36779040.01028198</v>
      </c>
      <c r="AK57" s="10">
        <f>AK56+AK56*CGE_Frozen!S28</f>
        <v>3913431249858.2441</v>
      </c>
      <c r="AL57" s="10">
        <f>AL56+AL56*CGE_Frozen!T28</f>
        <v>58664655031387.766</v>
      </c>
      <c r="AM57" s="10">
        <f>AM56+AM56*CGE_Frozen!U28</f>
        <v>7077157934337.2373</v>
      </c>
      <c r="AN57" s="10">
        <f>AN56+AN56*CGE_Frozen!V28</f>
        <v>8418232887541.6748</v>
      </c>
      <c r="AO57" s="10">
        <f>AO56+AO56*CGE_Frozen!W28</f>
        <v>109776910618.95212</v>
      </c>
      <c r="AP57" s="10">
        <f>AP56+AP56*CGE_Frozen!X28</f>
        <v>44551867591.997978</v>
      </c>
      <c r="AQ57" s="10">
        <f>AQ56+AQ56*CGE_Frozen!Y28</f>
        <v>39268059307972.156</v>
      </c>
      <c r="AR57" s="10">
        <f>AR56+AR56*CGE_Frozen!Z28</f>
        <v>21367058806341.828</v>
      </c>
      <c r="AS57" s="10">
        <f>AS56+AS56*CGE_Frozen!AA28</f>
        <v>41109065371414.094</v>
      </c>
      <c r="AT57" s="10">
        <f>AT56+AT56*CGE_Frozen!AB28</f>
        <v>7079158918474.0752</v>
      </c>
      <c r="AU57" s="10">
        <f>AU56+AU56*CGE_Frozen!AC28</f>
        <v>4624477000063.5352</v>
      </c>
      <c r="AV57" s="10">
        <f>AV56+AV56*CGE_Frozen!AD28</f>
        <v>18953031731025.695</v>
      </c>
      <c r="AW57" s="10">
        <f>AW56+AW56*CGE_Frozen!AE28</f>
        <v>15076264620540.402</v>
      </c>
      <c r="AX57" s="10">
        <f>AX56+AX56*CGE_Frozen!AF28</f>
        <v>407595090690.50873</v>
      </c>
      <c r="AY57" s="10">
        <f>AY56+AY56*CGE_Frozen!AG28</f>
        <v>44426379377000.656</v>
      </c>
      <c r="AZ57" s="10">
        <f>AZ56+AZ56*CGE_Frozen!AH28</f>
        <v>17423764870467.088</v>
      </c>
      <c r="BA57" s="10">
        <f>BA56+BA56*CGE_Frozen!AI28</f>
        <v>3062588802183.4619</v>
      </c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 x14ac:dyDescent="0.3">
      <c r="A58" s="27"/>
      <c r="B58" s="3">
        <v>2045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0">
        <f>T57+T57*CGE_Frozen!S64</f>
        <v>48088191.009016536</v>
      </c>
      <c r="U58" s="10">
        <f>U57+U57*CGE_Frozen!T64</f>
        <v>1336801694.186671</v>
      </c>
      <c r="V58" s="10">
        <f>V57+V57*CGE_Frozen!U64</f>
        <v>110051597.33824858</v>
      </c>
      <c r="W58" s="10">
        <f>W57+W57*CGE_Frozen!V64</f>
        <v>137497394.46494639</v>
      </c>
      <c r="X58" s="10">
        <f>X57+X57*CGE_Frozen!W64</f>
        <v>4438650.9834884647</v>
      </c>
      <c r="Y58" s="10">
        <f>Y57+Y57*CGE_Frozen!X64</f>
        <v>25884487.006228682</v>
      </c>
      <c r="Z58" s="10">
        <f>Z57+Z57*CGE_Frozen!Y64</f>
        <v>414444044.64410168</v>
      </c>
      <c r="AA58" s="10">
        <f>AA57+AA57*CGE_Frozen!Z64</f>
        <v>728438495.66389763</v>
      </c>
      <c r="AB58" s="10">
        <f>AB57+AB57*CGE_Frozen!AA64</f>
        <v>536416078.58640921</v>
      </c>
      <c r="AC58" s="10">
        <f>AC57+AC57*CGE_Frozen!AB64</f>
        <v>105290401.56761725</v>
      </c>
      <c r="AD58" s="10">
        <f>AD57+AD57*CGE_Frozen!AC64</f>
        <v>212698705.12592965</v>
      </c>
      <c r="AE58" s="10">
        <f>AE57+AE57*CGE_Frozen!AD64</f>
        <v>750377559.27948475</v>
      </c>
      <c r="AF58" s="10">
        <f>AF57+AF57*CGE_Frozen!AE64</f>
        <v>1900507959.6440411</v>
      </c>
      <c r="AG58" s="10">
        <f>AG57+AG57*CGE_Frozen!AF64</f>
        <v>27976090.140408393</v>
      </c>
      <c r="AH58" s="10">
        <f>AH57+AH57*CGE_Frozen!AG64</f>
        <v>2238200079.1822052</v>
      </c>
      <c r="AI58" s="10">
        <f>AI57+AI57*CGE_Frozen!AH64</f>
        <v>651392502.42166698</v>
      </c>
      <c r="AJ58" s="10">
        <f>AJ57+AJ57*CGE_Frozen!AI64</f>
        <v>36978205.045107469</v>
      </c>
      <c r="AK58" s="10">
        <f>AK57+AK57*CGE_Frozen!S29</f>
        <v>3947317512326.9507</v>
      </c>
      <c r="AL58" s="10">
        <f>AL57+AL57*CGE_Frozen!T29</f>
        <v>59657368774868.141</v>
      </c>
      <c r="AM58" s="10">
        <f>AM57+AM57*CGE_Frozen!U29</f>
        <v>7144415664863.5889</v>
      </c>
      <c r="AN58" s="10">
        <f>AN57+AN57*CGE_Frozen!V29</f>
        <v>8547680491280.4014</v>
      </c>
      <c r="AO58" s="10">
        <f>AO57+AO57*CGE_Frozen!W29</f>
        <v>112824393268.01288</v>
      </c>
      <c r="AP58" s="10">
        <f>AP57+AP57*CGE_Frozen!X29</f>
        <v>46669255916.994629</v>
      </c>
      <c r="AQ58" s="10">
        <f>AQ57+AQ57*CGE_Frozen!Y29</f>
        <v>39797285662485.453</v>
      </c>
      <c r="AR58" s="10">
        <f>AR57+AR57*CGE_Frozen!Z29</f>
        <v>21969799634834.297</v>
      </c>
      <c r="AS58" s="10">
        <f>AS57+AS57*CGE_Frozen!AA29</f>
        <v>41785366992018.164</v>
      </c>
      <c r="AT58" s="10">
        <f>AT57+AT57*CGE_Frozen!AB29</f>
        <v>7167227072975.9258</v>
      </c>
      <c r="AU58" s="10">
        <f>AU57+AU57*CGE_Frozen!AC29</f>
        <v>4729290634970.8213</v>
      </c>
      <c r="AV58" s="10">
        <f>AV57+AV57*CGE_Frozen!AD29</f>
        <v>19467005180611.754</v>
      </c>
      <c r="AW58" s="10">
        <f>AW57+AW57*CGE_Frozen!AE29</f>
        <v>15759915789511.666</v>
      </c>
      <c r="AX58" s="10">
        <f>AX57+AX57*CGE_Frozen!AF29</f>
        <v>417483311324.04041</v>
      </c>
      <c r="AY58" s="10">
        <f>AY57+AY57*CGE_Frozen!AG29</f>
        <v>46047989386022.727</v>
      </c>
      <c r="AZ58" s="10">
        <f>AZ57+AZ57*CGE_Frozen!AH29</f>
        <v>17809638159669.207</v>
      </c>
      <c r="BA58" s="10">
        <f>BA57+BA57*CGE_Frozen!AI29</f>
        <v>3127964749920.4136</v>
      </c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 x14ac:dyDescent="0.3">
      <c r="A59" s="27"/>
      <c r="B59" s="3">
        <v>2046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0">
        <f>T58+T58*CGE_Frozen!S65</f>
        <v>47795478.186932847</v>
      </c>
      <c r="U59" s="10">
        <f>U58+U58*CGE_Frozen!T65</f>
        <v>1329034532.2561967</v>
      </c>
      <c r="V59" s="10">
        <f>V58+V58*CGE_Frozen!U65</f>
        <v>109390862.70846638</v>
      </c>
      <c r="W59" s="10">
        <f>W58+W58*CGE_Frozen!V65</f>
        <v>137383908.68735427</v>
      </c>
      <c r="X59" s="10">
        <f>X58+X58*CGE_Frozen!W65</f>
        <v>4480558.4039775664</v>
      </c>
      <c r="Y59" s="10">
        <f>Y58+Y58*CGE_Frozen!X65</f>
        <v>25791524.953667197</v>
      </c>
      <c r="Z59" s="10">
        <f>Z58+Z58*CGE_Frozen!Y65</f>
        <v>415775663.93563491</v>
      </c>
      <c r="AA59" s="10">
        <f>AA58+AA58*CGE_Frozen!Z65</f>
        <v>729692343.03023052</v>
      </c>
      <c r="AB59" s="10">
        <f>AB58+AB58*CGE_Frozen!AA65</f>
        <v>537013290.42377257</v>
      </c>
      <c r="AC59" s="10">
        <f>AC58+AC58*CGE_Frozen!AB65</f>
        <v>104810160.51048113</v>
      </c>
      <c r="AD59" s="10">
        <f>AD58+AD58*CGE_Frozen!AC65</f>
        <v>213386224.02871943</v>
      </c>
      <c r="AE59" s="10">
        <f>AE58+AE58*CGE_Frozen!AD65</f>
        <v>757001273.27001369</v>
      </c>
      <c r="AF59" s="10">
        <f>AF58+AF58*CGE_Frozen!AE65</f>
        <v>1934358377.4868472</v>
      </c>
      <c r="AG59" s="10">
        <f>AG58+AG58*CGE_Frozen!AF65</f>
        <v>28013632.852010049</v>
      </c>
      <c r="AH59" s="10">
        <f>AH58+AH58*CGE_Frozen!AG65</f>
        <v>2245901295.2669988</v>
      </c>
      <c r="AI59" s="10">
        <f>AI58+AI58*CGE_Frozen!AH65</f>
        <v>652605356.73930204</v>
      </c>
      <c r="AJ59" s="10">
        <f>AJ58+AJ58*CGE_Frozen!AI65</f>
        <v>37178813.304823004</v>
      </c>
      <c r="AK59" s="10">
        <f>AK58+AK58*CGE_Frozen!S30</f>
        <v>3976929414730.1602</v>
      </c>
      <c r="AL59" s="10">
        <f>AL58+AL58*CGE_Frozen!T30</f>
        <v>60615452969157.344</v>
      </c>
      <c r="AM59" s="10">
        <f>AM58+AM58*CGE_Frozen!U30</f>
        <v>7210224767347.834</v>
      </c>
      <c r="AN59" s="10">
        <f>AN58+AN58*CGE_Frozen!V30</f>
        <v>8687967402107.1201</v>
      </c>
      <c r="AO59" s="10">
        <f>AO58+AO58*CGE_Frozen!W30</f>
        <v>115898890018.17937</v>
      </c>
      <c r="AP59" s="10">
        <f>AP58+AP58*CGE_Frozen!X30</f>
        <v>48842835732.072815</v>
      </c>
      <c r="AQ59" s="10">
        <f>AQ58+AQ58*CGE_Frozen!Y30</f>
        <v>40323187596129.469</v>
      </c>
      <c r="AR59" s="10">
        <f>AR58+AR58*CGE_Frozen!Z30</f>
        <v>22592424696844.047</v>
      </c>
      <c r="AS59" s="10">
        <f>AS58+AS58*CGE_Frozen!AA30</f>
        <v>42450552453679.68</v>
      </c>
      <c r="AT59" s="10">
        <f>AT58+AT58*CGE_Frozen!AB30</f>
        <v>7250202528925.3564</v>
      </c>
      <c r="AU59" s="10">
        <f>AU58+AU58*CGE_Frozen!AC30</f>
        <v>4840277088692.8057</v>
      </c>
      <c r="AV59" s="10">
        <f>AV58+AV58*CGE_Frozen!AD30</f>
        <v>20047686796954.305</v>
      </c>
      <c r="AW59" s="10">
        <f>AW58+AW58*CGE_Frozen!AE30</f>
        <v>16493219786213.508</v>
      </c>
      <c r="AX59" s="10">
        <f>AX58+AX58*CGE_Frozen!AF30</f>
        <v>427333567605.88824</v>
      </c>
      <c r="AY59" s="10">
        <f>AY58+AY58*CGE_Frozen!AG30</f>
        <v>47646961749502.383</v>
      </c>
      <c r="AZ59" s="10">
        <f>AZ58+AZ58*CGE_Frozen!AH30</f>
        <v>18186710450314.09</v>
      </c>
      <c r="BA59" s="10">
        <f>BA58+BA58*CGE_Frozen!AI30</f>
        <v>3193372598737.9136</v>
      </c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x14ac:dyDescent="0.3">
      <c r="A60" s="27"/>
      <c r="B60" s="3">
        <v>2047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0">
        <f>T59+T59*CGE_Frozen!S66</f>
        <v>47502765.364849158</v>
      </c>
      <c r="U60" s="10">
        <f>U59+U59*CGE_Frozen!T66</f>
        <v>1321257488.4403145</v>
      </c>
      <c r="V60" s="10">
        <f>V59+V59*CGE_Frozen!U66</f>
        <v>108729120.86126074</v>
      </c>
      <c r="W60" s="10">
        <f>W59+W59*CGE_Frozen!V66</f>
        <v>137270422.90976211</v>
      </c>
      <c r="X60" s="10">
        <f>X59+X59*CGE_Frozen!W66</f>
        <v>4522465.824466669</v>
      </c>
      <c r="Y60" s="10">
        <f>Y59+Y59*CGE_Frozen!X66</f>
        <v>25698462.074584492</v>
      </c>
      <c r="Z60" s="10">
        <f>Z59+Z59*CGE_Frozen!Y66</f>
        <v>417107283.22716814</v>
      </c>
      <c r="AA60" s="10">
        <f>AA59+AA59*CGE_Frozen!Z66</f>
        <v>730947230.93379688</v>
      </c>
      <c r="AB60" s="10">
        <f>AB59+AB59*CGE_Frozen!AA66</f>
        <v>537610502.26113594</v>
      </c>
      <c r="AC60" s="10">
        <f>AC59+AC59*CGE_Frozen!AB66</f>
        <v>104329919.45334503</v>
      </c>
      <c r="AD60" s="10">
        <f>AD59+AD59*CGE_Frozen!AC66</f>
        <v>214073742.9315092</v>
      </c>
      <c r="AE60" s="10">
        <f>AE59+AE59*CGE_Frozen!AD66</f>
        <v>763624987.26054275</v>
      </c>
      <c r="AF60" s="10">
        <f>AF59+AF59*CGE_Frozen!AE66</f>
        <v>1968219143.974668</v>
      </c>
      <c r="AG60" s="10">
        <f>AG59+AG59*CGE_Frozen!AF66</f>
        <v>28051380.715041228</v>
      </c>
      <c r="AH60" s="10">
        <f>AH59+AH59*CGE_Frozen!AG66</f>
        <v>2253612631.215241</v>
      </c>
      <c r="AI60" s="10">
        <f>AI59+AI59*CGE_Frozen!AH66</f>
        <v>653819175.93706238</v>
      </c>
      <c r="AJ60" s="10">
        <f>AJ59+AJ59*CGE_Frozen!AI66</f>
        <v>37379421.564538538</v>
      </c>
      <c r="AK60" s="10">
        <f>AK59+AK59*CGE_Frozen!S31</f>
        <v>4007868374771.0332</v>
      </c>
      <c r="AL60" s="10">
        <f>AL59+AL59*CGE_Frozen!T31</f>
        <v>61576468765494.469</v>
      </c>
      <c r="AM60" s="10">
        <f>AM59+AM59*CGE_Frozen!U31</f>
        <v>7278386528907.9805</v>
      </c>
      <c r="AN60" s="10">
        <f>AN59+AN59*CGE_Frozen!V31</f>
        <v>8820371180506.207</v>
      </c>
      <c r="AO60" s="10">
        <f>AO59+AO59*CGE_Frozen!W31</f>
        <v>119086188893.23323</v>
      </c>
      <c r="AP60" s="10">
        <f>AP59+AP59*CGE_Frozen!X31</f>
        <v>51108181505.773354</v>
      </c>
      <c r="AQ60" s="10">
        <f>AQ59+AQ59*CGE_Frozen!Y31</f>
        <v>40851448796196.844</v>
      </c>
      <c r="AR60" s="10">
        <f>AR59+AR59*CGE_Frozen!Z31</f>
        <v>23220849326963</v>
      </c>
      <c r="AS60" s="10">
        <f>AS59+AS59*CGE_Frozen!AA31</f>
        <v>43125481708982.195</v>
      </c>
      <c r="AT60" s="10">
        <f>AT59+AT59*CGE_Frozen!AB31</f>
        <v>7334551829135.4395</v>
      </c>
      <c r="AU60" s="10">
        <f>AU59+AU59*CGE_Frozen!AC31</f>
        <v>4947576422451.6484</v>
      </c>
      <c r="AV60" s="10">
        <f>AV59+AV59*CGE_Frozen!AD31</f>
        <v>20589544362011.422</v>
      </c>
      <c r="AW60" s="10">
        <f>AW59+AW59*CGE_Frozen!AE31</f>
        <v>17243966932572.367</v>
      </c>
      <c r="AX60" s="10">
        <f>AX59+AX59*CGE_Frozen!AF31</f>
        <v>437072063661.43079</v>
      </c>
      <c r="AY60" s="10">
        <f>AY59+AY59*CGE_Frozen!AG31</f>
        <v>49313469755516.914</v>
      </c>
      <c r="AZ60" s="10">
        <f>AZ59+AZ59*CGE_Frozen!AH31</f>
        <v>18568231333125.883</v>
      </c>
      <c r="BA60" s="10">
        <f>BA59+BA59*CGE_Frozen!AI31</f>
        <v>3259514172408.0239</v>
      </c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x14ac:dyDescent="0.3">
      <c r="A61" s="27"/>
      <c r="B61" s="3">
        <v>2048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0">
        <f>T60+T60*CGE_Frozen!S67</f>
        <v>47210052.542765468</v>
      </c>
      <c r="U61" s="10">
        <f>U60+U60*CGE_Frozen!T67</f>
        <v>1313490326.5098403</v>
      </c>
      <c r="V61" s="10">
        <f>V60+V60*CGE_Frozen!U67</f>
        <v>108068386.23147854</v>
      </c>
      <c r="W61" s="10">
        <f>W60+W60*CGE_Frozen!V67</f>
        <v>137156937.13216996</v>
      </c>
      <c r="X61" s="10">
        <f>X60+X60*CGE_Frozen!W67</f>
        <v>4564373.2449557707</v>
      </c>
      <c r="Y61" s="10">
        <f>Y60+Y60*CGE_Frozen!X67</f>
        <v>25605500.022023007</v>
      </c>
      <c r="Z61" s="10">
        <f>Z60+Z60*CGE_Frozen!Y67</f>
        <v>418439900.73406231</v>
      </c>
      <c r="AA61" s="10">
        <f>AA60+AA60*CGE_Frozen!Z67</f>
        <v>732201078.30012977</v>
      </c>
      <c r="AB61" s="10">
        <f>AB60+AB60*CGE_Frozen!AA67</f>
        <v>538206698.43210936</v>
      </c>
      <c r="AC61" s="10">
        <f>AC60+AC60*CGE_Frozen!AB67</f>
        <v>103849678.39620891</v>
      </c>
      <c r="AD61" s="10">
        <f>AD60+AD60*CGE_Frozen!AC67</f>
        <v>214761261.83429897</v>
      </c>
      <c r="AE61" s="10">
        <f>AE60+AE60*CGE_Frozen!AD67</f>
        <v>770249778.9786979</v>
      </c>
      <c r="AF61" s="10">
        <f>AF60+AF60*CGE_Frozen!AE67</f>
        <v>2002069561.8174739</v>
      </c>
      <c r="AG61" s="10">
        <f>AG60+AG60*CGE_Frozen!AF67</f>
        <v>28089128.578072403</v>
      </c>
      <c r="AH61" s="10">
        <f>AH60+AH60*CGE_Frozen!AG67</f>
        <v>2261313847.3000345</v>
      </c>
      <c r="AI61" s="10">
        <f>AI60+AI60*CGE_Frozen!AH67</f>
        <v>655032030.25469744</v>
      </c>
      <c r="AJ61" s="10">
        <f>AJ60+AJ60*CGE_Frozen!AI67</f>
        <v>37580132.911746211</v>
      </c>
      <c r="AK61" s="10">
        <f>AK60+AK60*CGE_Frozen!S32</f>
        <v>4035721154259.2002</v>
      </c>
      <c r="AL61" s="10">
        <f>AL60+AL60*CGE_Frozen!T32</f>
        <v>62511100143400.219</v>
      </c>
      <c r="AM61" s="10">
        <f>AM60+AM60*CGE_Frozen!U32</f>
        <v>7345753178835.9941</v>
      </c>
      <c r="AN61" s="10">
        <f>AN60+AN60*CGE_Frozen!V32</f>
        <v>8960362473866.8887</v>
      </c>
      <c r="AO61" s="10">
        <f>AO60+AO60*CGE_Frozen!W32</f>
        <v>122311088476.58289</v>
      </c>
      <c r="AP61" s="10">
        <f>AP60+AP60*CGE_Frozen!X32</f>
        <v>53437298556.886566</v>
      </c>
      <c r="AQ61" s="10">
        <f>AQ60+AQ60*CGE_Frozen!Y32</f>
        <v>41377136251075.102</v>
      </c>
      <c r="AR61" s="10">
        <f>AR60+AR60*CGE_Frozen!Z32</f>
        <v>23868743935734.289</v>
      </c>
      <c r="AS61" s="10">
        <f>AS60+AS60*CGE_Frozen!AA32</f>
        <v>43794098083897.586</v>
      </c>
      <c r="AT61" s="10">
        <f>AT60+AT60*CGE_Frozen!AB32</f>
        <v>7414708535653.5313</v>
      </c>
      <c r="AU61" s="10">
        <f>AU60+AU60*CGE_Frozen!AC32</f>
        <v>5059101444258.1367</v>
      </c>
      <c r="AV61" s="10">
        <f>AV60+AV60*CGE_Frozen!AD32</f>
        <v>21180326337698.875</v>
      </c>
      <c r="AW61" s="10">
        <f>AW60+AW60*CGE_Frozen!AE32</f>
        <v>18040336937603.113</v>
      </c>
      <c r="AX61" s="10">
        <f>AX60+AX60*CGE_Frozen!AF32</f>
        <v>446755106169.5697</v>
      </c>
      <c r="AY61" s="10">
        <f>AY60+AY60*CGE_Frozen!AG32</f>
        <v>50972431879683.984</v>
      </c>
      <c r="AZ61" s="10">
        <f>AZ60+AZ60*CGE_Frozen!AH32</f>
        <v>18943163490241.82</v>
      </c>
      <c r="BA61" s="10">
        <f>BA60+BA60*CGE_Frozen!AI32</f>
        <v>3325953489496.585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x14ac:dyDescent="0.3">
      <c r="A62" s="27"/>
      <c r="B62" s="3">
        <v>2049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10">
        <f>T61+T61*CGE_Frozen!S68</f>
        <v>46917440.067895383</v>
      </c>
      <c r="U62" s="10">
        <f>U61+U61*CGE_Frozen!T68</f>
        <v>1305713282.693958</v>
      </c>
      <c r="V62" s="10">
        <f>V61+V61*CGE_Frozen!U68</f>
        <v>107407651.60169636</v>
      </c>
      <c r="W62" s="10">
        <f>W61+W61*CGE_Frozen!V68</f>
        <v>137043451.35457784</v>
      </c>
      <c r="X62" s="10">
        <f>X61+X61*CGE_Frozen!W68</f>
        <v>4606290.8544603083</v>
      </c>
      <c r="Y62" s="10">
        <f>Y61+Y61*CGE_Frozen!X68</f>
        <v>25512537.969461519</v>
      </c>
      <c r="Z62" s="10">
        <f>Z61+Z61*CGE_Frozen!Y68</f>
        <v>419771520.02559555</v>
      </c>
      <c r="AA62" s="10">
        <f>AA61+AA61*CGE_Frozen!Z68</f>
        <v>733454925.66646254</v>
      </c>
      <c r="AB62" s="10">
        <f>AB61+AB61*CGE_Frozen!AA68</f>
        <v>538803910.26947284</v>
      </c>
      <c r="AC62" s="10">
        <f>AC61+AC61*CGE_Frozen!AB68</f>
        <v>103369437.33907281</v>
      </c>
      <c r="AD62" s="10">
        <f>AD61+AD61*CGE_Frozen!AC68</f>
        <v>215448780.73708874</v>
      </c>
      <c r="AE62" s="10">
        <f>AE61+AE61*CGE_Frozen!AD68</f>
        <v>776873492.96922696</v>
      </c>
      <c r="AF62" s="10">
        <f>AF61+AF61*CGE_Frozen!AE68</f>
        <v>2035930328.3052948</v>
      </c>
      <c r="AG62" s="10">
        <f>AG61+AG61*CGE_Frozen!AF68</f>
        <v>28126876.441103578</v>
      </c>
      <c r="AH62" s="10">
        <f>AH61+AH61*CGE_Frozen!AG68</f>
        <v>2269025183.2482767</v>
      </c>
      <c r="AI62" s="10">
        <f>AI61+AI61*CGE_Frozen!AH68</f>
        <v>656244884.57233238</v>
      </c>
      <c r="AJ62" s="10">
        <f>AJ61+AJ61*CGE_Frozen!AI68</f>
        <v>37780741.171461746</v>
      </c>
      <c r="AK62" s="10">
        <f>AK61+AK61*CGE_Frozen!S33</f>
        <v>4063697380969.4761</v>
      </c>
      <c r="AL62" s="10">
        <f>AL61+AL61*CGE_Frozen!T33</f>
        <v>63442250243874.063</v>
      </c>
      <c r="AM62" s="10">
        <f>AM61+AM61*CGE_Frozen!U33</f>
        <v>7414797187549.6045</v>
      </c>
      <c r="AN62" s="10">
        <f>AN61+AN61*CGE_Frozen!V33</f>
        <v>9095689580541.2227</v>
      </c>
      <c r="AO62" s="10">
        <f>AO61+AO61*CGE_Frozen!W33</f>
        <v>125632362690.90427</v>
      </c>
      <c r="AP62" s="10">
        <f>AP61+AP61*CGE_Frozen!X33</f>
        <v>55843931566.43959</v>
      </c>
      <c r="AQ62" s="10">
        <f>AQ61+AQ61*CGE_Frozen!Y33</f>
        <v>41904217817930.797</v>
      </c>
      <c r="AR62" s="10">
        <f>AR61+AR61*CGE_Frozen!Z33</f>
        <v>24524509386939.496</v>
      </c>
      <c r="AS62" s="10">
        <f>AS61+AS61*CGE_Frozen!AA33</f>
        <v>44469027339200.102</v>
      </c>
      <c r="AT62" s="10">
        <f>AT61+AT61*CGE_Frozen!AB33</f>
        <v>7494888929141.6338</v>
      </c>
      <c r="AU62" s="10">
        <f>AU61+AU61*CGE_Frozen!AC33</f>
        <v>5168637906983.3789</v>
      </c>
      <c r="AV62" s="10">
        <f>AV61+AV61*CGE_Frozen!AD33</f>
        <v>21748668724111.258</v>
      </c>
      <c r="AW62" s="10">
        <f>AW61+AW61*CGE_Frozen!AE33</f>
        <v>18855804184068.703</v>
      </c>
      <c r="AX62" s="10">
        <f>AX61+AX61*CGE_Frozen!AF33</f>
        <v>456335772897.88702</v>
      </c>
      <c r="AY62" s="10">
        <f>AY61+AY61*CGE_Frozen!AG33</f>
        <v>52682706000413.867</v>
      </c>
      <c r="AZ62" s="10">
        <f>AZ61+AZ61*CGE_Frozen!AH33</f>
        <v>19320259827330.852</v>
      </c>
      <c r="BA62" s="10">
        <f>BA61+BA61*CGE_Frozen!AI33</f>
        <v>3393030828196.1113</v>
      </c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x14ac:dyDescent="0.3">
      <c r="A63" s="27"/>
      <c r="B63" s="3">
        <v>2050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0">
        <f>T62+T62*CGE_Frozen!S69</f>
        <v>46624727.245811693</v>
      </c>
      <c r="U63" s="10">
        <f>U62+U62*CGE_Frozen!T69</f>
        <v>1297946120.7634838</v>
      </c>
      <c r="V63" s="10">
        <f>V62+V62*CGE_Frozen!U69</f>
        <v>106746916.97191416</v>
      </c>
      <c r="W63" s="10">
        <f>W62+W62*CGE_Frozen!V69</f>
        <v>136928978.74413705</v>
      </c>
      <c r="X63" s="10">
        <f>X62+X62*CGE_Frozen!W69</f>
        <v>4648198.27494941</v>
      </c>
      <c r="Y63" s="10">
        <f>Y62+Y62*CGE_Frozen!X69</f>
        <v>25419575.916900031</v>
      </c>
      <c r="Z63" s="10">
        <f>Z62+Z62*CGE_Frozen!Y69</f>
        <v>421103139.31712878</v>
      </c>
      <c r="AA63" s="10">
        <f>AA62+AA62*CGE_Frozen!Z69</f>
        <v>734708773.03279543</v>
      </c>
      <c r="AB63" s="10">
        <f>AB62+AB62*CGE_Frozen!AA69</f>
        <v>539401122.1068362</v>
      </c>
      <c r="AC63" s="10">
        <f>AC62+AC62*CGE_Frozen!AB69</f>
        <v>102889196.28193671</v>
      </c>
      <c r="AD63" s="10">
        <f>AD62+AD62*CGE_Frozen!AC69</f>
        <v>216136299.63987848</v>
      </c>
      <c r="AE63" s="10">
        <f>AE62+AE62*CGE_Frozen!AD69</f>
        <v>783497206.9597559</v>
      </c>
      <c r="AF63" s="10">
        <f>AF62+AF62*CGE_Frozen!AE69</f>
        <v>2069780746.1481009</v>
      </c>
      <c r="AG63" s="10">
        <f>AG62+AG62*CGE_Frozen!AF69</f>
        <v>28164419.152705234</v>
      </c>
      <c r="AH63" s="10">
        <f>AH62+AH62*CGE_Frozen!AG69</f>
        <v>2276726399.3330703</v>
      </c>
      <c r="AI63" s="10">
        <f>AI62+AI62*CGE_Frozen!AH69</f>
        <v>657457738.88996744</v>
      </c>
      <c r="AJ63" s="10">
        <f>AJ62+AJ62*CGE_Frozen!AI69</f>
        <v>37981349.431177281</v>
      </c>
      <c r="AK63" s="10">
        <f>AK62+AK62*CGE_Frozen!S34</f>
        <v>4089065785112.7158</v>
      </c>
      <c r="AL63" s="10">
        <f>AL62+AL62*CGE_Frozen!T34</f>
        <v>64352879130012.391</v>
      </c>
      <c r="AM63" s="10">
        <f>AM62+AM62*CGE_Frozen!U34</f>
        <v>7483590681639.3916</v>
      </c>
      <c r="AN63" s="10">
        <f>AN62+AN62*CGE_Frozen!V34</f>
        <v>9236075030523.2871</v>
      </c>
      <c r="AO63" s="10">
        <f>AO62+AO62*CGE_Frozen!W34</f>
        <v>128996348389.40631</v>
      </c>
      <c r="AP63" s="10">
        <f>AP62+AP62*CGE_Frozen!X34</f>
        <v>58307261385.229546</v>
      </c>
      <c r="AQ63" s="10">
        <f>AQ62+AQ62*CGE_Frozen!Y34</f>
        <v>42429476315277.523</v>
      </c>
      <c r="AR63" s="10">
        <f>AR62+AR62*CGE_Frozen!Z34</f>
        <v>25196637905309.965</v>
      </c>
      <c r="AS63" s="10">
        <f>AS62+AS62*CGE_Frozen!AA34</f>
        <v>45140388444718.594</v>
      </c>
      <c r="AT63" s="10">
        <f>AT62+AT62*CGE_Frozen!AB34</f>
        <v>7571587338038.082</v>
      </c>
      <c r="AU63" s="10">
        <f>AU62+AU62*CGE_Frozen!AC34</f>
        <v>5280991495073.7197</v>
      </c>
      <c r="AV63" s="10">
        <f>AV62+AV62*CGE_Frozen!AD34</f>
        <v>22350746819569.828</v>
      </c>
      <c r="AW63" s="10">
        <f>AW62+AW62*CGE_Frozen!AE34</f>
        <v>19708262937565.555</v>
      </c>
      <c r="AX63" s="10">
        <f>AX62+AX62*CGE_Frozen!AF34</f>
        <v>465843923448.83057</v>
      </c>
      <c r="AY63" s="10">
        <f>AY62+AY62*CGE_Frozen!AG34</f>
        <v>54394489297513.25</v>
      </c>
      <c r="AZ63" s="10">
        <f>AZ62+AZ62*CGE_Frozen!AH34</f>
        <v>19692715200699.805</v>
      </c>
      <c r="BA63" s="10">
        <f>BA62+BA62*CGE_Frozen!AI34</f>
        <v>3460469712475.1855</v>
      </c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</sheetData>
  <mergeCells count="6">
    <mergeCell ref="A38:A63"/>
    <mergeCell ref="C1:S1"/>
    <mergeCell ref="T1:AJ1"/>
    <mergeCell ref="A3:A37"/>
    <mergeCell ref="AK1:BA1"/>
    <mergeCell ref="BB1:B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4D2E-61D7-42C4-ABB4-3DA3B2133FE3}">
  <dimension ref="A1:BQ66"/>
  <sheetViews>
    <sheetView topLeftCell="A8" zoomScale="55" zoomScaleNormal="55" workbookViewId="0">
      <selection activeCell="AO52" sqref="A52:AO52"/>
    </sheetView>
  </sheetViews>
  <sheetFormatPr defaultRowHeight="14.4" x14ac:dyDescent="0.3"/>
  <cols>
    <col min="1" max="1" width="11.6640625" bestFit="1" customWidth="1"/>
    <col min="2" max="2" width="13.44140625" hidden="1" customWidth="1"/>
    <col min="3" max="3" width="16.21875" hidden="1" customWidth="1"/>
    <col min="4" max="5" width="14.21875" hidden="1" customWidth="1"/>
    <col min="6" max="6" width="12.21875" hidden="1" customWidth="1"/>
    <col min="7" max="7" width="13.44140625" hidden="1" customWidth="1"/>
    <col min="8" max="10" width="14.6640625" hidden="1" customWidth="1"/>
    <col min="11" max="12" width="14.21875" hidden="1" customWidth="1"/>
    <col min="13" max="13" width="14.6640625" hidden="1" customWidth="1"/>
    <col min="14" max="14" width="15.6640625" hidden="1" customWidth="1"/>
    <col min="15" max="15" width="13.44140625" hidden="1" customWidth="1"/>
    <col min="16" max="16" width="16.21875" hidden="1" customWidth="1"/>
    <col min="17" max="17" width="14.6640625" hidden="1" customWidth="1"/>
    <col min="18" max="33" width="13.44140625" hidden="1" customWidth="1"/>
    <col min="34" max="34" width="10.21875" bestFit="1" customWidth="1"/>
    <col min="35" max="35" width="10.44140625" bestFit="1" customWidth="1"/>
    <col min="36" max="52" width="19.109375" bestFit="1" customWidth="1"/>
    <col min="53" max="53" width="9.77734375" style="12" bestFit="1" customWidth="1"/>
    <col min="54" max="59" width="23.5546875" bestFit="1" customWidth="1"/>
    <col min="60" max="60" width="23.109375" bestFit="1" customWidth="1"/>
    <col min="61" max="64" width="23.5546875" bestFit="1" customWidth="1"/>
    <col min="65" max="65" width="23.109375" bestFit="1" customWidth="1"/>
    <col min="66" max="66" width="24.33203125" bestFit="1" customWidth="1"/>
    <col min="67" max="69" width="23.5546875" bestFit="1" customWidth="1"/>
  </cols>
  <sheetData>
    <row r="1" spans="1:69" x14ac:dyDescent="0.3">
      <c r="A1" s="2"/>
      <c r="B1" s="26" t="s">
        <v>24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 t="s">
        <v>25</v>
      </c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 t="s">
        <v>26</v>
      </c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 t="s">
        <v>27</v>
      </c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</row>
    <row r="2" spans="1:69" x14ac:dyDescent="0.3">
      <c r="A2" s="3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14</v>
      </c>
      <c r="M2" s="2" t="s">
        <v>10</v>
      </c>
      <c r="N2" s="2" t="s">
        <v>11</v>
      </c>
      <c r="O2" s="2" t="s">
        <v>15</v>
      </c>
      <c r="P2" s="2" t="s">
        <v>12</v>
      </c>
      <c r="Q2" s="2" t="s">
        <v>16</v>
      </c>
      <c r="R2" s="2" t="s">
        <v>17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14</v>
      </c>
      <c r="AD2" s="2" t="s">
        <v>10</v>
      </c>
      <c r="AE2" s="2" t="s">
        <v>11</v>
      </c>
      <c r="AF2" s="2" t="s">
        <v>15</v>
      </c>
      <c r="AG2" s="2" t="s">
        <v>12</v>
      </c>
      <c r="AH2" s="2" t="s">
        <v>16</v>
      </c>
      <c r="AI2" s="2" t="s">
        <v>17</v>
      </c>
      <c r="AJ2" s="2" t="s">
        <v>0</v>
      </c>
      <c r="AK2" s="2" t="s">
        <v>1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6</v>
      </c>
      <c r="AQ2" s="2" t="s">
        <v>7</v>
      </c>
      <c r="AR2" s="2" t="s">
        <v>8</v>
      </c>
      <c r="AS2" s="2" t="s">
        <v>9</v>
      </c>
      <c r="AT2" s="2" t="s">
        <v>14</v>
      </c>
      <c r="AU2" s="2" t="s">
        <v>10</v>
      </c>
      <c r="AV2" s="2" t="s">
        <v>11</v>
      </c>
      <c r="AW2" s="2" t="s">
        <v>15</v>
      </c>
      <c r="AX2" s="2" t="s">
        <v>12</v>
      </c>
      <c r="AY2" s="2" t="s">
        <v>16</v>
      </c>
      <c r="AZ2" s="2" t="s">
        <v>17</v>
      </c>
      <c r="BA2" s="13" t="s">
        <v>0</v>
      </c>
      <c r="BB2" s="2" t="s">
        <v>1</v>
      </c>
      <c r="BC2" s="2" t="s">
        <v>2</v>
      </c>
      <c r="BD2" s="2" t="s">
        <v>3</v>
      </c>
      <c r="BE2" s="2" t="s">
        <v>4</v>
      </c>
      <c r="BF2" s="2" t="s">
        <v>5</v>
      </c>
      <c r="BG2" s="2" t="s">
        <v>6</v>
      </c>
      <c r="BH2" s="2" t="s">
        <v>7</v>
      </c>
      <c r="BI2" s="2" t="s">
        <v>8</v>
      </c>
      <c r="BJ2" s="2" t="s">
        <v>9</v>
      </c>
      <c r="BK2" s="2" t="s">
        <v>14</v>
      </c>
      <c r="BL2" s="2" t="s">
        <v>10</v>
      </c>
      <c r="BM2" s="2" t="s">
        <v>11</v>
      </c>
      <c r="BN2" s="2" t="s">
        <v>15</v>
      </c>
      <c r="BO2" s="2" t="s">
        <v>12</v>
      </c>
      <c r="BP2" s="2" t="s">
        <v>16</v>
      </c>
      <c r="BQ2" s="2" t="s">
        <v>17</v>
      </c>
    </row>
    <row r="3" spans="1:69" x14ac:dyDescent="0.3">
      <c r="A3" s="3">
        <v>1990</v>
      </c>
      <c r="B3" s="6">
        <f>Data!T3</f>
        <v>42869283</v>
      </c>
      <c r="C3" s="6">
        <f>Data!U3</f>
        <v>1140889500</v>
      </c>
      <c r="D3" s="6">
        <f>Data!V3</f>
        <v>123478000</v>
      </c>
      <c r="E3" s="6">
        <f>Data!W3</f>
        <v>147969406</v>
      </c>
      <c r="F3" s="6">
        <f>Data!X3</f>
        <v>2098710</v>
      </c>
      <c r="G3" s="6">
        <f>Data!Y3</f>
        <v>21112137</v>
      </c>
      <c r="H3" s="6">
        <f>Data!Z3</f>
        <v>277759852</v>
      </c>
      <c r="I3" s="6">
        <f>Data!AA3</f>
        <v>437248525</v>
      </c>
      <c r="J3" s="6">
        <f>Data!AB3</f>
        <v>434508762</v>
      </c>
      <c r="K3" s="6">
        <f>Data!AC3</f>
        <v>131020110</v>
      </c>
      <c r="L3" s="6">
        <f>Data!AD3</f>
        <v>143965916</v>
      </c>
      <c r="M3" s="6">
        <f>Data!AE3</f>
        <v>280903196</v>
      </c>
      <c r="N3" s="6">
        <f>Data!AF3</f>
        <v>488052325</v>
      </c>
      <c r="O3" s="6">
        <f>Data!AG3</f>
        <v>11686707</v>
      </c>
      <c r="P3" s="6">
        <f>Data!AH3</f>
        <v>1129452594</v>
      </c>
      <c r="Q3" s="6">
        <f>Data!AI3</f>
        <v>369194554</v>
      </c>
      <c r="R3" s="6">
        <f>Data!AJ3</f>
        <v>20394928</v>
      </c>
      <c r="S3" s="6">
        <f>Data!AK3/Data!T3</f>
        <v>14377.883920326751</v>
      </c>
      <c r="T3" s="6">
        <f>Data!AL3/Data!U3</f>
        <v>1816.5882595636563</v>
      </c>
      <c r="U3" s="6">
        <f>Data!AM3/Data!V3</f>
        <v>35272.418982872739</v>
      </c>
      <c r="V3" s="6">
        <f>Data!AN3/Data!W3</f>
        <v>29643.594962811298</v>
      </c>
      <c r="W3" s="6">
        <f>Data!AO3/Data!X3</f>
        <v>6637.8192673119675</v>
      </c>
      <c r="X3" s="6">
        <f>Data!AP3/Data!Y3</f>
        <v>927.10205679146543</v>
      </c>
      <c r="Y3" s="6">
        <f>Data!AQ3/Data!Z3</f>
        <v>43918.162176034712</v>
      </c>
      <c r="Z3" s="6">
        <f>Data!AR3/Data!AA3</f>
        <v>11505.651169110863</v>
      </c>
      <c r="AA3" s="6">
        <f>Data!AS3/Data!AB3</f>
        <v>35426.595946054367</v>
      </c>
      <c r="AB3" s="6">
        <f>Data!AT3/Data!AC3</f>
        <v>15042.043556892602</v>
      </c>
      <c r="AC3" s="6">
        <f>Data!AU3/Data!AD3</f>
        <v>13726.896376286384</v>
      </c>
      <c r="AD3" s="6">
        <f>Data!AV3/Data!AE3</f>
        <v>11223.302568948593</v>
      </c>
      <c r="AE3" s="6">
        <f>Data!AW3/Data!AF3</f>
        <v>3854.0385455443125</v>
      </c>
      <c r="AF3" s="6">
        <f>Data!AX3/Data!AG3</f>
        <v>2409.7416248185909</v>
      </c>
      <c r="AG3" s="6">
        <f>Data!AY3/Data!AH3</f>
        <v>2321.7481839266197</v>
      </c>
      <c r="AH3" s="6">
        <f>Data!AZ3/Data!AI3</f>
        <v>5712.8939349132979</v>
      </c>
      <c r="AI3" s="6">
        <f>Data!BA3/Data!AJ3</f>
        <v>35357.977759176298</v>
      </c>
      <c r="AJ3" s="17">
        <f>Data!BB3/Data!AK3</f>
        <v>1.4522456440265589E-7</v>
      </c>
      <c r="AK3" s="17">
        <f>Data!BC3/Data!AL3</f>
        <v>4.2805689159844093E-7</v>
      </c>
      <c r="AL3" s="17">
        <f>Data!BD3/Data!AM3</f>
        <v>1.0031611265958311E-7</v>
      </c>
      <c r="AM3" s="17">
        <f>Data!BE3/Data!AN3</f>
        <v>2.0047090237190505E-7</v>
      </c>
      <c r="AN3" s="17">
        <f>Data!BF3/Data!AO3</f>
        <v>2.5080666830696971E-7</v>
      </c>
      <c r="AO3" s="17">
        <f>Data!BG3/Data!AP3</f>
        <v>1.6973280897722564E-6</v>
      </c>
      <c r="AP3" s="17">
        <f>Data!BH3/Data!AQ3</f>
        <v>1.7428695246338048E-7</v>
      </c>
      <c r="AQ3" s="17">
        <f>Data!BI3/Data!AR3</f>
        <v>9.1240739198094612E-8</v>
      </c>
      <c r="AR3" s="17">
        <f>Data!BJ3/Data!AS3</f>
        <v>9.1154091005368372E-8</v>
      </c>
      <c r="AS3" s="17">
        <f>Data!BK3/Data!AT3</f>
        <v>1.9007955597378242E-7</v>
      </c>
      <c r="AT3" s="17">
        <f>Data!BL3/Data!AU3</f>
        <v>2.5363526889768332E-7</v>
      </c>
      <c r="AU3" s="17">
        <f>Data!BM3/Data!AV3</f>
        <v>9.9237826489602099E-8</v>
      </c>
      <c r="AV3" s="17">
        <f>Data!BN3/Data!AW3</f>
        <v>1.2739970226370872E-7</v>
      </c>
      <c r="AW3" s="17">
        <f>Data!BO3/Data!AX3</f>
        <v>6.3448595026547409E-7</v>
      </c>
      <c r="AX3" s="17">
        <f>Data!BP3/Data!AY3</f>
        <v>1.3234066364735944E-7</v>
      </c>
      <c r="AY3" s="17">
        <f>Data!BQ3/Data!AZ3</f>
        <v>1.1838532006123034E-7</v>
      </c>
      <c r="AZ3" s="17">
        <f>Data!BR3/Data!BA3</f>
        <v>1.3743570870101105E-7</v>
      </c>
      <c r="BA3" s="21">
        <f>Data!C3/Data!BB3</f>
        <v>2.9072364342463208</v>
      </c>
      <c r="BB3" s="16">
        <f>Data!D3/Data!BC3</f>
        <v>2.7608578026776489</v>
      </c>
      <c r="BC3" s="16">
        <f>Data!E3/Data!BD3</f>
        <v>2.6602201355578443</v>
      </c>
      <c r="BD3" s="16">
        <f>Data!F3/Data!BE3</f>
        <v>2.7705831546537132</v>
      </c>
      <c r="BE3" s="16">
        <f>Data!G3/Data!BF3</f>
        <v>3.7630409947389083</v>
      </c>
      <c r="BF3" s="16">
        <f>Data!H3/Data!BG3</f>
        <v>3.9722047045482114</v>
      </c>
      <c r="BG3" s="16">
        <f>Data!I3/Data!BH3</f>
        <v>2.5602180703649249</v>
      </c>
      <c r="BH3" s="16">
        <f>Data!J3/Data!BI3</f>
        <v>2.0716791208224787</v>
      </c>
      <c r="BI3" s="16">
        <f>Data!K3/Data!BJ3</f>
        <v>2.5340030387623194</v>
      </c>
      <c r="BJ3" s="16">
        <f>Data!L3/Data!BK3</f>
        <v>3.1494480620589349</v>
      </c>
      <c r="BK3" s="16">
        <f>Data!M3/Data!BL3</f>
        <v>2.9775263938671448</v>
      </c>
      <c r="BL3" s="16">
        <f>Data!N3/Data!BM3</f>
        <v>2.9313525065298829</v>
      </c>
      <c r="BM3" s="16">
        <f>Data!O3/Data!BN3</f>
        <v>1.9932635581849645</v>
      </c>
      <c r="BN3" s="16">
        <f>Data!P3/Data!BO3</f>
        <v>1.190003498039047</v>
      </c>
      <c r="BO3" s="16">
        <f>Data!Q3/Data!BP3</f>
        <v>1.9871041077094691</v>
      </c>
      <c r="BP3" s="16">
        <f>Data!R3/Data!BQ3</f>
        <v>2.1810797120317091</v>
      </c>
      <c r="BQ3" s="16">
        <f>Data!S3/Data!BR3</f>
        <v>3.0542257243506667</v>
      </c>
    </row>
    <row r="4" spans="1:69" x14ac:dyDescent="0.3">
      <c r="A4" s="3">
        <v>1991</v>
      </c>
      <c r="B4" s="6">
        <f>Data!T4</f>
        <v>43295704</v>
      </c>
      <c r="C4" s="6">
        <f>Data!U4</f>
        <v>1156532000</v>
      </c>
      <c r="D4" s="6">
        <f>Data!V4</f>
        <v>123964000</v>
      </c>
      <c r="E4" s="6">
        <f>Data!W4</f>
        <v>148394216</v>
      </c>
      <c r="F4" s="6">
        <f>Data!X4</f>
        <v>2165342</v>
      </c>
      <c r="G4" s="6">
        <f>Data!Y4</f>
        <v>21428638</v>
      </c>
      <c r="H4" s="6">
        <f>Data!Z4</f>
        <v>281470059</v>
      </c>
      <c r="I4" s="6">
        <f>Data!AA4</f>
        <v>445392924</v>
      </c>
      <c r="J4" s="6">
        <f>Data!AB4</f>
        <v>437283653</v>
      </c>
      <c r="K4" s="6">
        <f>Data!AC4</f>
        <v>130458697</v>
      </c>
      <c r="L4" s="6">
        <f>Data!AD4</f>
        <v>145408876</v>
      </c>
      <c r="M4" s="6">
        <f>Data!AE4</f>
        <v>288264778</v>
      </c>
      <c r="N4" s="6">
        <f>Data!AF4</f>
        <v>502131649</v>
      </c>
      <c r="O4" s="6">
        <f>Data!AG4</f>
        <v>12121968</v>
      </c>
      <c r="P4" s="6">
        <f>Data!AH4</f>
        <v>1155118555</v>
      </c>
      <c r="Q4" s="6">
        <f>Data!AI4</f>
        <v>376274496</v>
      </c>
      <c r="R4" s="6">
        <f>Data!AJ4</f>
        <v>20779136</v>
      </c>
      <c r="S4" s="6">
        <f>Data!AK4/Data!T4</f>
        <v>15784.466866997405</v>
      </c>
      <c r="T4" s="6">
        <f>Data!AL4/Data!U4</f>
        <v>1954.0776830617831</v>
      </c>
      <c r="U4" s="6">
        <f>Data!AM4/Data!V4</f>
        <v>36372.034751718646</v>
      </c>
      <c r="V4" s="6">
        <f>Data!AN4/Data!W4</f>
        <v>28066.922467440781</v>
      </c>
      <c r="W4" s="6">
        <f>Data!AO4/Data!X4</f>
        <v>5874.2555823138791</v>
      </c>
      <c r="X4" s="6">
        <f>Data!AP4/Data!Y4</f>
        <v>873.06188153291873</v>
      </c>
      <c r="Y4" s="6">
        <f>Data!AQ4/Data!Z4</f>
        <v>43213.359497176927</v>
      </c>
      <c r="Z4" s="6">
        <f>Data!AR4/Data!AA4</f>
        <v>11671.571082853305</v>
      </c>
      <c r="AA4" s="6">
        <f>Data!AS4/Data!AB4</f>
        <v>35889.149992451239</v>
      </c>
      <c r="AB4" s="6">
        <f>Data!AT4/Data!AC4</f>
        <v>13451.367008999867</v>
      </c>
      <c r="AC4" s="6">
        <f>Data!AU4/Data!AD4</f>
        <v>12449.839695790373</v>
      </c>
      <c r="AD4" s="6">
        <f>Data!AV4/Data!AE4</f>
        <v>11083.700470906646</v>
      </c>
      <c r="AE4" s="6">
        <f>Data!AW4/Data!AF4</f>
        <v>3755.5045046945647</v>
      </c>
      <c r="AF4" s="6">
        <f>Data!AX4/Data!AG4</f>
        <v>2476.0736087915097</v>
      </c>
      <c r="AG4" s="6">
        <f>Data!AY4/Data!AH4</f>
        <v>2315.7878837707617</v>
      </c>
      <c r="AH4" s="6">
        <f>Data!AZ4/Data!AI4</f>
        <v>5960.7447110970015</v>
      </c>
      <c r="AI4" s="6">
        <f>Data!BA4/Data!AJ4</f>
        <v>34535.987322199675</v>
      </c>
      <c r="AJ4" s="17">
        <f>Data!BB4/Data!AK4</f>
        <v>1.4317480467544725E-7</v>
      </c>
      <c r="AK4" s="17">
        <f>Data!BC4/Data!AL4</f>
        <v>3.8144535196265743E-7</v>
      </c>
      <c r="AL4" s="17">
        <f>Data!BD4/Data!AM4</f>
        <v>9.7902034572545042E-8</v>
      </c>
      <c r="AM4" s="17">
        <f>Data!BE4/Data!AN4</f>
        <v>2.0921404778669016E-7</v>
      </c>
      <c r="AN4" s="17">
        <f>Data!BF4/Data!AO4</f>
        <v>3.0064696917917764E-7</v>
      </c>
      <c r="AO4" s="17">
        <f>Data!BG4/Data!AP4</f>
        <v>1.6946132627872746E-6</v>
      </c>
      <c r="AP4" s="17">
        <f>Data!BH4/Data!AQ4</f>
        <v>1.7604646974283997E-7</v>
      </c>
      <c r="AQ4" s="17">
        <f>Data!BI4/Data!AR4</f>
        <v>9.0418148812871186E-8</v>
      </c>
      <c r="AR4" s="17">
        <f>Data!BJ4/Data!AS4</f>
        <v>9.1355041807902251E-8</v>
      </c>
      <c r="AS4" s="17">
        <f>Data!BK4/Data!AT4</f>
        <v>1.9456109042469565E-7</v>
      </c>
      <c r="AT4" s="17">
        <f>Data!BL4/Data!AU4</f>
        <v>2.7371040939436026E-7</v>
      </c>
      <c r="AU4" s="17">
        <f>Data!BM4/Data!AV4</f>
        <v>1.0274799695196167E-7</v>
      </c>
      <c r="AV4" s="17">
        <f>Data!BN4/Data!AW4</f>
        <v>1.3102936340184169E-7</v>
      </c>
      <c r="AW4" s="17">
        <f>Data!BO4/Data!AX4</f>
        <v>6.0339688021380819E-7</v>
      </c>
      <c r="AX4" s="17">
        <f>Data!BP4/Data!AY4</f>
        <v>1.3495692845725357E-7</v>
      </c>
      <c r="AY4" s="17">
        <f>Data!BQ4/Data!AZ4</f>
        <v>1.2016805589344051E-7</v>
      </c>
      <c r="AZ4" s="17">
        <f>Data!BR4/Data!BA4</f>
        <v>1.3712583691063622E-7</v>
      </c>
      <c r="BA4" s="21">
        <f>Data!C4/Data!BB4</f>
        <v>2.9879822171327071</v>
      </c>
      <c r="BB4" s="16">
        <f>Data!D4/Data!BC4</f>
        <v>3.0029571994233724</v>
      </c>
      <c r="BC4" s="16">
        <f>Data!E4/Data!BD4</f>
        <v>2.6551334229118222</v>
      </c>
      <c r="BD4" s="16">
        <f>Data!F4/Data!BE4</f>
        <v>2.7468703938128631</v>
      </c>
      <c r="BE4" s="16">
        <f>Data!G4/Data!BF4</f>
        <v>3.8853654581096353</v>
      </c>
      <c r="BF4" s="16">
        <f>Data!H4/Data!BG4</f>
        <v>4.003177376769532</v>
      </c>
      <c r="BG4" s="16">
        <f>Data!I4/Data!BH4</f>
        <v>2.5186564722828315</v>
      </c>
      <c r="BH4" s="16">
        <f>Data!J4/Data!BI4</f>
        <v>2.0842148053848057</v>
      </c>
      <c r="BI4" s="16">
        <f>Data!K4/Data!BJ4</f>
        <v>2.512043108394248</v>
      </c>
      <c r="BJ4" s="16">
        <f>Data!L4/Data!BK4</f>
        <v>3.1398384633168774</v>
      </c>
      <c r="BK4" s="16">
        <f>Data!M4/Data!BL4</f>
        <v>2.8880384452925183</v>
      </c>
      <c r="BL4" s="16">
        <f>Data!N4/Data!BM4</f>
        <v>2.9214803954357875</v>
      </c>
      <c r="BM4" s="16">
        <f>Data!O4/Data!BN4</f>
        <v>1.9277573383048239</v>
      </c>
      <c r="BN4" s="16">
        <f>Data!P4/Data!BO4</f>
        <v>1.1875385271384813</v>
      </c>
      <c r="BO4" s="16">
        <f>Data!Q4/Data!BP4</f>
        <v>2.0427651614784432</v>
      </c>
      <c r="BP4" s="16">
        <f>Data!R4/Data!BQ4</f>
        <v>2.1874838657777027</v>
      </c>
      <c r="BQ4" s="16">
        <f>Data!S4/Data!BR4</f>
        <v>3.1034344602859285</v>
      </c>
    </row>
    <row r="5" spans="1:69" x14ac:dyDescent="0.3">
      <c r="A5" s="3">
        <v>1992</v>
      </c>
      <c r="B5" s="6">
        <f>Data!T5</f>
        <v>43747962</v>
      </c>
      <c r="C5" s="6">
        <f>Data!U5</f>
        <v>1170770500</v>
      </c>
      <c r="D5" s="6">
        <f>Data!V5</f>
        <v>124425000</v>
      </c>
      <c r="E5" s="6">
        <f>Data!W5</f>
        <v>148538197</v>
      </c>
      <c r="F5" s="6">
        <f>Data!X5</f>
        <v>2167790</v>
      </c>
      <c r="G5" s="6">
        <f>Data!Y5</f>
        <v>21750911</v>
      </c>
      <c r="H5" s="6">
        <f>Data!Z5</f>
        <v>285342295</v>
      </c>
      <c r="I5" s="6">
        <f>Data!AA5</f>
        <v>453484566</v>
      </c>
      <c r="J5" s="6">
        <f>Data!AB5</f>
        <v>440113356</v>
      </c>
      <c r="K5" s="6">
        <f>Data!AC5</f>
        <v>129877934</v>
      </c>
      <c r="L5" s="6">
        <f>Data!AD5</f>
        <v>147554695</v>
      </c>
      <c r="M5" s="6">
        <f>Data!AE5</f>
        <v>295864932</v>
      </c>
      <c r="N5" s="6">
        <f>Data!AF5</f>
        <v>516567881</v>
      </c>
      <c r="O5" s="6">
        <f>Data!AG5</f>
        <v>12672729</v>
      </c>
      <c r="P5" s="6">
        <f>Data!AH5</f>
        <v>1180621418</v>
      </c>
      <c r="Q5" s="6">
        <f>Data!AI5</f>
        <v>383346097</v>
      </c>
      <c r="R5" s="6">
        <f>Data!AJ5</f>
        <v>21010335</v>
      </c>
      <c r="S5" s="6">
        <f>Data!AK5/Data!T5</f>
        <v>16613.490701598304</v>
      </c>
      <c r="T5" s="6">
        <f>Data!AL5/Data!U5</f>
        <v>2193.2155553449884</v>
      </c>
      <c r="U5" s="6">
        <f>Data!AM5/Data!V5</f>
        <v>36563.622639369663</v>
      </c>
      <c r="V5" s="6">
        <f>Data!AN5/Data!W5</f>
        <v>23965.244735031018</v>
      </c>
      <c r="W5" s="6">
        <f>Data!AO5/Data!X5</f>
        <v>5324.487596899884</v>
      </c>
      <c r="X5" s="6">
        <f>Data!AP5/Data!Y5</f>
        <v>799.19484963450032</v>
      </c>
      <c r="Y5" s="6">
        <f>Data!AQ5/Data!Z5</f>
        <v>44027.243077743879</v>
      </c>
      <c r="Z5" s="6">
        <f>Data!AR5/Data!AA5</f>
        <v>11788.386810337663</v>
      </c>
      <c r="AA5" s="6">
        <f>Data!AS5/Data!AB5</f>
        <v>36194.432061124273</v>
      </c>
      <c r="AB5" s="6">
        <f>Data!AT5/Data!AC5</f>
        <v>12826.065738098898</v>
      </c>
      <c r="AC5" s="6">
        <f>Data!AU5/Data!AD5</f>
        <v>10810.303470102053</v>
      </c>
      <c r="AD5" s="6">
        <f>Data!AV5/Data!AE5</f>
        <v>11430.397174334605</v>
      </c>
      <c r="AE5" s="6">
        <f>Data!AW5/Data!AF5</f>
        <v>3633.2380210408592</v>
      </c>
      <c r="AF5" s="6">
        <f>Data!AX5/Data!AG5</f>
        <v>2524.2960935725446</v>
      </c>
      <c r="AG5" s="6">
        <f>Data!AY5/Data!AH5</f>
        <v>2396.1083458550302</v>
      </c>
      <c r="AH5" s="6">
        <f>Data!AZ5/Data!AI5</f>
        <v>6223.5994665933431</v>
      </c>
      <c r="AI5" s="6">
        <f>Data!BA5/Data!AJ5</f>
        <v>34335.663030407559</v>
      </c>
      <c r="AJ5" s="17">
        <f>Data!BB5/Data!AK5</f>
        <v>1.532402303347893E-7</v>
      </c>
      <c r="AK5" s="17">
        <f>Data!BC5/Data!AL5</f>
        <v>3.4778479340745734E-7</v>
      </c>
      <c r="AL5" s="17">
        <f>Data!BD5/Data!AM5</f>
        <v>9.9182432807000542E-8</v>
      </c>
      <c r="AM5" s="17">
        <f>Data!BE5/Data!AN5</f>
        <v>2.2353525202742635E-7</v>
      </c>
      <c r="AN5" s="17">
        <f>Data!BF5/Data!AO5</f>
        <v>2.8961865888381448E-7</v>
      </c>
      <c r="AO5" s="17">
        <f>Data!BG5/Data!AP5</f>
        <v>1.5942360680884388E-6</v>
      </c>
      <c r="AP5" s="17">
        <f>Data!BH5/Data!AQ5</f>
        <v>1.739266263263481E-7</v>
      </c>
      <c r="AQ5" s="17">
        <f>Data!BI5/Data!AR5</f>
        <v>9.0183613801648096E-8</v>
      </c>
      <c r="AR5" s="17">
        <f>Data!BJ5/Data!AS5</f>
        <v>8.9271357907721353E-8</v>
      </c>
      <c r="AS5" s="17">
        <f>Data!BK5/Data!AT5</f>
        <v>1.874402485170073E-7</v>
      </c>
      <c r="AT5" s="17">
        <f>Data!BL5/Data!AU5</f>
        <v>2.7447625048328509E-7</v>
      </c>
      <c r="AU5" s="17">
        <f>Data!BM5/Data!AV5</f>
        <v>1.0629878514174275E-7</v>
      </c>
      <c r="AV5" s="17">
        <f>Data!BN5/Data!AW5</f>
        <v>1.3217473991371668E-7</v>
      </c>
      <c r="AW5" s="17">
        <f>Data!BO5/Data!AX5</f>
        <v>5.9092642314615792E-7</v>
      </c>
      <c r="AX5" s="17">
        <f>Data!BP5/Data!AY5</f>
        <v>1.3277770953786042E-7</v>
      </c>
      <c r="AY5" s="17">
        <f>Data!BQ5/Data!AZ5</f>
        <v>1.1960812738250137E-7</v>
      </c>
      <c r="AZ5" s="17">
        <f>Data!BR5/Data!BA5</f>
        <v>1.3901183969738404E-7</v>
      </c>
      <c r="BA5" s="21">
        <f>Data!C5/Data!BB5</f>
        <v>2.8829574025212747</v>
      </c>
      <c r="BB5" s="16">
        <f>Data!D5/Data!BC5</f>
        <v>3.0383029023221977</v>
      </c>
      <c r="BC5" s="16">
        <f>Data!E5/Data!BD5</f>
        <v>2.6092885231010321</v>
      </c>
      <c r="BD5" s="16">
        <f>Data!F5/Data!BE5</f>
        <v>2.771622903069042</v>
      </c>
      <c r="BE5" s="16">
        <f>Data!G5/Data!BF5</f>
        <v>3.8760942142834072</v>
      </c>
      <c r="BF5" s="16">
        <f>Data!H5/Data!BG5</f>
        <v>4.050246744024653</v>
      </c>
      <c r="BG5" s="16">
        <f>Data!I5/Data!BH5</f>
        <v>2.5101204699725415</v>
      </c>
      <c r="BH5" s="16">
        <f>Data!J5/Data!BI5</f>
        <v>2.0669422892710747</v>
      </c>
      <c r="BI5" s="16">
        <f>Data!K5/Data!BJ5</f>
        <v>2.4800760524417678</v>
      </c>
      <c r="BJ5" s="16">
        <f>Data!L5/Data!BK5</f>
        <v>3.1577424474408087</v>
      </c>
      <c r="BK5" s="16">
        <f>Data!M5/Data!BL5</f>
        <v>2.913096563943935</v>
      </c>
      <c r="BL5" s="16">
        <f>Data!N5/Data!BM5</f>
        <v>2.8387087773673092</v>
      </c>
      <c r="BM5" s="16">
        <f>Data!O5/Data!BN5</f>
        <v>1.9301347328034943</v>
      </c>
      <c r="BN5" s="16">
        <f>Data!P5/Data!BO5</f>
        <v>1.1937726014558305</v>
      </c>
      <c r="BO5" s="16">
        <f>Data!Q5/Data!BP5</f>
        <v>2.0481857872947145</v>
      </c>
      <c r="BP5" s="16">
        <f>Data!R5/Data!BQ5</f>
        <v>2.1887828046414954</v>
      </c>
      <c r="BQ5" s="16">
        <f>Data!S5/Data!BR5</f>
        <v>3.095348344105624</v>
      </c>
    </row>
    <row r="6" spans="1:69" x14ac:dyDescent="0.3">
      <c r="A6" s="3">
        <v>1993</v>
      </c>
      <c r="B6" s="6">
        <f>Data!T6</f>
        <v>44194628</v>
      </c>
      <c r="C6" s="6">
        <f>Data!U6</f>
        <v>1184341000</v>
      </c>
      <c r="D6" s="6">
        <f>Data!V6</f>
        <v>124829000</v>
      </c>
      <c r="E6" s="6">
        <f>Data!W6</f>
        <v>148458777</v>
      </c>
      <c r="F6" s="6">
        <f>Data!X6</f>
        <v>2165130</v>
      </c>
      <c r="G6" s="6">
        <f>Data!Y6</f>
        <v>22073352</v>
      </c>
      <c r="H6" s="6">
        <f>Data!Z6</f>
        <v>289066123</v>
      </c>
      <c r="I6" s="6">
        <f>Data!AA6</f>
        <v>461533132</v>
      </c>
      <c r="J6" s="6">
        <f>Data!AB6</f>
        <v>442800797</v>
      </c>
      <c r="K6" s="6">
        <f>Data!AC6</f>
        <v>129477709</v>
      </c>
      <c r="L6" s="6">
        <f>Data!AD6</f>
        <v>149904165</v>
      </c>
      <c r="M6" s="6">
        <f>Data!AE6</f>
        <v>302603096</v>
      </c>
      <c r="N6" s="6">
        <f>Data!AF6</f>
        <v>531102032</v>
      </c>
      <c r="O6" s="6">
        <f>Data!AG6</f>
        <v>13301441</v>
      </c>
      <c r="P6" s="6">
        <f>Data!AH6</f>
        <v>1206276498</v>
      </c>
      <c r="Q6" s="6">
        <f>Data!AI6</f>
        <v>390445055</v>
      </c>
      <c r="R6" s="6">
        <f>Data!AJ6</f>
        <v>21207008</v>
      </c>
      <c r="S6" s="6">
        <f>Data!AK6/Data!T6</f>
        <v>17595.90361484321</v>
      </c>
      <c r="T6" s="6">
        <f>Data!AL6/Data!U6</f>
        <v>2456.8717044479163</v>
      </c>
      <c r="U6" s="6">
        <f>Data!AM6/Data!V6</f>
        <v>36277.923183883708</v>
      </c>
      <c r="V6" s="6">
        <f>Data!AN6/Data!W6</f>
        <v>21899.517001280157</v>
      </c>
      <c r="W6" s="6">
        <f>Data!AO6/Data!X6</f>
        <v>5162.0998701037806</v>
      </c>
      <c r="X6" s="6">
        <f>Data!AP6/Data!Y6</f>
        <v>752.24809833252777</v>
      </c>
      <c r="Y6" s="6">
        <f>Data!AQ6/Data!Z6</f>
        <v>44652.401040968405</v>
      </c>
      <c r="Z6" s="6">
        <f>Data!AR6/Data!AA6</f>
        <v>12128.336141186219</v>
      </c>
      <c r="AA6" s="6">
        <f>Data!AS6/Data!AB6</f>
        <v>36070.693850860887</v>
      </c>
      <c r="AB6" s="6">
        <f>Data!AT6/Data!AC6</f>
        <v>12890.883152329025</v>
      </c>
      <c r="AC6" s="6">
        <f>Data!AU6/Data!AD6</f>
        <v>9308.4649342460889</v>
      </c>
      <c r="AD6" s="6">
        <f>Data!AV6/Data!AE6</f>
        <v>11438.011349538969</v>
      </c>
      <c r="AE6" s="6">
        <f>Data!AW6/Data!AF6</f>
        <v>3482.0268314160207</v>
      </c>
      <c r="AF6" s="6">
        <f>Data!AX6/Data!AG6</f>
        <v>2516.5318269185118</v>
      </c>
      <c r="AG6" s="6">
        <f>Data!AY6/Data!AH6</f>
        <v>2447.1694198511195</v>
      </c>
      <c r="AH6" s="6">
        <f>Data!AZ6/Data!AI6</f>
        <v>6540.8388495008849</v>
      </c>
      <c r="AI6" s="6">
        <f>Data!BA6/Data!AJ6</f>
        <v>35506.559736444578</v>
      </c>
      <c r="AJ6" s="17">
        <f>Data!BB6/Data!AK6</f>
        <v>1.6054124952100397E-7</v>
      </c>
      <c r="AK6" s="17">
        <f>Data!BC6/Data!AL6</f>
        <v>3.246964651855462E-7</v>
      </c>
      <c r="AL6" s="17">
        <f>Data!BD6/Data!AM6</f>
        <v>1.0023918932720349E-7</v>
      </c>
      <c r="AM6" s="17">
        <f>Data!BE6/Data!AN6</f>
        <v>2.3106063898465755E-7</v>
      </c>
      <c r="AN6" s="17">
        <f>Data!BF6/Data!AO6</f>
        <v>2.7949494184646131E-7</v>
      </c>
      <c r="AO6" s="17">
        <f>Data!BG6/Data!AP6</f>
        <v>1.5350427051766675E-6</v>
      </c>
      <c r="AP6" s="17">
        <f>Data!BH6/Data!AQ6</f>
        <v>1.7251475259804773E-7</v>
      </c>
      <c r="AQ6" s="17">
        <f>Data!BI6/Data!AR6</f>
        <v>8.677718030628198E-8</v>
      </c>
      <c r="AR6" s="17">
        <f>Data!BJ6/Data!AS6</f>
        <v>8.9335671486749043E-8</v>
      </c>
      <c r="AS6" s="17">
        <f>Data!BK6/Data!AT6</f>
        <v>1.8471189477704405E-7</v>
      </c>
      <c r="AT6" s="17">
        <f>Data!BL6/Data!AU6</f>
        <v>2.7833725677797513E-7</v>
      </c>
      <c r="AU6" s="17">
        <f>Data!BM6/Data!AV6</f>
        <v>1.1081267365544867E-7</v>
      </c>
      <c r="AV6" s="17">
        <f>Data!BN6/Data!AW6</f>
        <v>1.3878778315118074E-7</v>
      </c>
      <c r="AW6" s="17">
        <f>Data!BO6/Data!AX6</f>
        <v>6.1273593238255786E-7</v>
      </c>
      <c r="AX6" s="17">
        <f>Data!BP6/Data!AY6</f>
        <v>1.3144822971979585E-7</v>
      </c>
      <c r="AY6" s="17">
        <f>Data!BQ6/Data!AZ6</f>
        <v>1.201210174086808E-7</v>
      </c>
      <c r="AZ6" s="17">
        <f>Data!BR6/Data!BA6</f>
        <v>1.4012804257121127E-7</v>
      </c>
      <c r="BA6" s="21">
        <f>Data!C6/Data!BB6</f>
        <v>2.80057748542868</v>
      </c>
      <c r="BB6" s="16">
        <f>Data!D6/Data!BC6</f>
        <v>3.1061240269859902</v>
      </c>
      <c r="BC6" s="16">
        <f>Data!E6/Data!BD6</f>
        <v>2.5770711924049166</v>
      </c>
      <c r="BD6" s="16">
        <f>Data!F6/Data!BE6</f>
        <v>2.6795958545408456</v>
      </c>
      <c r="BE6" s="16">
        <f>Data!G6/Data!BF6</f>
        <v>3.8213793550810427</v>
      </c>
      <c r="BF6" s="16">
        <f>Data!H6/Data!BG6</f>
        <v>4.0804945604014256</v>
      </c>
      <c r="BG6" s="16">
        <f>Data!I6/Data!BH6</f>
        <v>2.5162672884737685</v>
      </c>
      <c r="BH6" s="16">
        <f>Data!J6/Data!BI6</f>
        <v>2.1201968303418908</v>
      </c>
      <c r="BI6" s="16">
        <f>Data!K6/Data!BJ6</f>
        <v>2.4332378762624045</v>
      </c>
      <c r="BJ6" s="16">
        <f>Data!L6/Data!BK6</f>
        <v>3.1007883030096224</v>
      </c>
      <c r="BK6" s="16">
        <f>Data!M6/Data!BL6</f>
        <v>2.869380782641509</v>
      </c>
      <c r="BL6" s="16">
        <f>Data!N6/Data!BM6</f>
        <v>2.8020593296787002</v>
      </c>
      <c r="BM6" s="16">
        <f>Data!O6/Data!BN6</f>
        <v>1.8647957611666741</v>
      </c>
      <c r="BN6" s="16">
        <f>Data!P6/Data!BO6</f>
        <v>1.2824369476159467</v>
      </c>
      <c r="BO6" s="16">
        <f>Data!Q6/Data!BP6</f>
        <v>2.0850092252443178</v>
      </c>
      <c r="BP6" s="16">
        <f>Data!R6/Data!BQ6</f>
        <v>2.2088169815698517</v>
      </c>
      <c r="BQ6" s="16">
        <f>Data!S6/Data!BR6</f>
        <v>2.979159118683723</v>
      </c>
    </row>
    <row r="7" spans="1:69" x14ac:dyDescent="0.3">
      <c r="A7" s="3">
        <v>1994</v>
      </c>
      <c r="B7" s="6">
        <f>Data!T7</f>
        <v>44641540</v>
      </c>
      <c r="C7" s="6">
        <f>Data!U7</f>
        <v>1197870400</v>
      </c>
      <c r="D7" s="6">
        <f>Data!V7</f>
        <v>125178000</v>
      </c>
      <c r="E7" s="6">
        <f>Data!W7</f>
        <v>148407912</v>
      </c>
      <c r="F7" s="6">
        <f>Data!X7</f>
        <v>2189395</v>
      </c>
      <c r="G7" s="6">
        <f>Data!Y7</f>
        <v>22393975</v>
      </c>
      <c r="H7" s="6">
        <f>Data!Z7</f>
        <v>292594524</v>
      </c>
      <c r="I7" s="6">
        <f>Data!AA7</f>
        <v>469500872</v>
      </c>
      <c r="J7" s="6">
        <f>Data!AB7</f>
        <v>445145911</v>
      </c>
      <c r="K7" s="6">
        <f>Data!AC7</f>
        <v>129286564</v>
      </c>
      <c r="L7" s="6">
        <f>Data!AD7</f>
        <v>151281889</v>
      </c>
      <c r="M7" s="6">
        <f>Data!AE7</f>
        <v>309232193</v>
      </c>
      <c r="N7" s="6">
        <f>Data!AF7</f>
        <v>545286694</v>
      </c>
      <c r="O7" s="6">
        <f>Data!AG7</f>
        <v>14048382</v>
      </c>
      <c r="P7" s="6">
        <f>Data!AH7</f>
        <v>1232053600</v>
      </c>
      <c r="Q7" s="6">
        <f>Data!AI7</f>
        <v>397464561</v>
      </c>
      <c r="R7" s="6">
        <f>Data!AJ7</f>
        <v>21425468</v>
      </c>
      <c r="S7" s="6">
        <f>Data!AK7/Data!T7</f>
        <v>19052.299092626374</v>
      </c>
      <c r="T7" s="6">
        <f>Data!AL7/Data!U7</f>
        <v>2734.0468853533571</v>
      </c>
      <c r="U7" s="6">
        <f>Data!AM7/Data!V7</f>
        <v>36568.712390734159</v>
      </c>
      <c r="V7" s="6">
        <f>Data!AN7/Data!W7</f>
        <v>19153.363485715101</v>
      </c>
      <c r="W7" s="6">
        <f>Data!AO7/Data!X7</f>
        <v>5213.8463260807666</v>
      </c>
      <c r="X7" s="6">
        <f>Data!AP7/Data!Y7</f>
        <v>725.82720942903177</v>
      </c>
      <c r="Y7" s="6">
        <f>Data!AQ7/Data!Z7</f>
        <v>45909.36134596388</v>
      </c>
      <c r="Z7" s="6">
        <f>Data!AR7/Data!AA7</f>
        <v>12562.438645897639</v>
      </c>
      <c r="AA7" s="6">
        <f>Data!AS7/Data!AB7</f>
        <v>36787.21153065854</v>
      </c>
      <c r="AB7" s="6">
        <f>Data!AT7/Data!AC7</f>
        <v>13382.448970729858</v>
      </c>
      <c r="AC7" s="6">
        <f>Data!AU7/Data!AD7</f>
        <v>7469.5164369926661</v>
      </c>
      <c r="AD7" s="6">
        <f>Data!AV7/Data!AE7</f>
        <v>11494.536954649286</v>
      </c>
      <c r="AE7" s="6">
        <f>Data!AW7/Data!AF7</f>
        <v>3420.1709685875262</v>
      </c>
      <c r="AF7" s="6">
        <f>Data!AX7/Data!AG7</f>
        <v>1861.7441573704289</v>
      </c>
      <c r="AG7" s="6">
        <f>Data!AY7/Data!AH7</f>
        <v>2539.189775574634</v>
      </c>
      <c r="AH7" s="6">
        <f>Data!AZ7/Data!AI7</f>
        <v>6912.9789733377011</v>
      </c>
      <c r="AI7" s="6">
        <f>Data!BA7/Data!AJ7</f>
        <v>36600.745744751475</v>
      </c>
      <c r="AJ7" s="17">
        <f>Data!BB7/Data!AK7</f>
        <v>1.5583412973394313E-7</v>
      </c>
      <c r="AK7" s="17">
        <f>Data!BC7/Data!AL7</f>
        <v>3.0229592563711752E-7</v>
      </c>
      <c r="AL7" s="17">
        <f>Data!BD7/Data!AM7</f>
        <v>1.0456674390328515E-7</v>
      </c>
      <c r="AM7" s="17">
        <f>Data!BE7/Data!AN7</f>
        <v>2.3114825038326481E-7</v>
      </c>
      <c r="AN7" s="17">
        <f>Data!BF7/Data!AO7</f>
        <v>2.3617503882713965E-7</v>
      </c>
      <c r="AO7" s="17">
        <f>Data!BG7/Data!AP7</f>
        <v>1.4340097665985281E-6</v>
      </c>
      <c r="AP7" s="17">
        <f>Data!BH7/Data!AQ7</f>
        <v>1.6911776705796222E-7</v>
      </c>
      <c r="AQ7" s="17">
        <f>Data!BI7/Data!AR7</f>
        <v>8.694067621500416E-8</v>
      </c>
      <c r="AR7" s="17">
        <f>Data!BJ7/Data!AS7</f>
        <v>8.7383730904906603E-8</v>
      </c>
      <c r="AS7" s="17">
        <f>Data!BK7/Data!AT7</f>
        <v>1.6947012128383503E-7</v>
      </c>
      <c r="AT7" s="17">
        <f>Data!BL7/Data!AU7</f>
        <v>3.0228096125422267E-7</v>
      </c>
      <c r="AU7" s="17">
        <f>Data!BM7/Data!AV7</f>
        <v>1.1555091841001713E-7</v>
      </c>
      <c r="AV7" s="17">
        <f>Data!BN7/Data!AW7</f>
        <v>1.4023195455391778E-7</v>
      </c>
      <c r="AW7" s="17">
        <f>Data!BO7/Data!AX7</f>
        <v>7.8475594669166027E-7</v>
      </c>
      <c r="AX7" s="17">
        <f>Data!BP7/Data!AY7</f>
        <v>1.2965704245299505E-7</v>
      </c>
      <c r="AY7" s="17">
        <f>Data!BQ7/Data!AZ7</f>
        <v>1.172474327573947E-7</v>
      </c>
      <c r="AZ7" s="17">
        <f>Data!BR7/Data!BA7</f>
        <v>1.353176694332269E-7</v>
      </c>
      <c r="BA7" s="21">
        <f>Data!C7/Data!BB7</f>
        <v>2.847803515973562</v>
      </c>
      <c r="BB7" s="16">
        <f>Data!D7/Data!BC7</f>
        <v>3.1161285696678132</v>
      </c>
      <c r="BC7" s="16">
        <f>Data!E7/Data!BD7</f>
        <v>2.5557489655389083</v>
      </c>
      <c r="BD7" s="16">
        <f>Data!F7/Data!BE7</f>
        <v>2.7622489947352187</v>
      </c>
      <c r="BE7" s="16">
        <f>Data!G7/Data!BF7</f>
        <v>3.8599315373059415</v>
      </c>
      <c r="BF7" s="16">
        <f>Data!H7/Data!BG7</f>
        <v>4.083902331208213</v>
      </c>
      <c r="BG7" s="16">
        <f>Data!I7/Data!BH7</f>
        <v>2.5105261097541169</v>
      </c>
      <c r="BH7" s="16">
        <f>Data!J7/Data!BI7</f>
        <v>2.1315771487268713</v>
      </c>
      <c r="BI7" s="16">
        <f>Data!K7/Data!BJ7</f>
        <v>2.4294453003777789</v>
      </c>
      <c r="BJ7" s="16">
        <f>Data!L7/Data!BK7</f>
        <v>3.1364778032951746</v>
      </c>
      <c r="BK7" s="16">
        <f>Data!M7/Data!BL7</f>
        <v>2.8169214977645574</v>
      </c>
      <c r="BL7" s="16">
        <f>Data!N7/Data!BM7</f>
        <v>2.8269166893441122</v>
      </c>
      <c r="BM7" s="16">
        <f>Data!O7/Data!BN7</f>
        <v>1.8424024618809303</v>
      </c>
      <c r="BN7" s="16">
        <f>Data!P7/Data!BO7</f>
        <v>1.5016794844114656</v>
      </c>
      <c r="BO7" s="16">
        <f>Data!Q7/Data!BP7</f>
        <v>2.1146806623676375</v>
      </c>
      <c r="BP7" s="16">
        <f>Data!R7/Data!BQ7</f>
        <v>2.2695879390885461</v>
      </c>
      <c r="BQ7" s="16">
        <f>Data!S7/Data!BR7</f>
        <v>3.0182602962438492</v>
      </c>
    </row>
    <row r="8" spans="1:69" x14ac:dyDescent="0.3">
      <c r="A8" s="3">
        <v>1995</v>
      </c>
      <c r="B8" s="6">
        <f>Data!T8</f>
        <v>45092991</v>
      </c>
      <c r="C8" s="6">
        <f>Data!U8</f>
        <v>1211011100</v>
      </c>
      <c r="D8" s="6">
        <f>Data!V8</f>
        <v>125472000</v>
      </c>
      <c r="E8" s="6">
        <f>Data!W8</f>
        <v>148375787</v>
      </c>
      <c r="F8" s="6">
        <f>Data!X8</f>
        <v>2224945</v>
      </c>
      <c r="G8" s="6">
        <f>Data!Y8</f>
        <v>22669304</v>
      </c>
      <c r="H8" s="6">
        <f>Data!Z8</f>
        <v>296054001</v>
      </c>
      <c r="I8" s="6">
        <f>Data!AA8</f>
        <v>477446311</v>
      </c>
      <c r="J8" s="6">
        <f>Data!AB8</f>
        <v>447323255</v>
      </c>
      <c r="K8" s="6">
        <f>Data!AC8</f>
        <v>129143618</v>
      </c>
      <c r="L8" s="6">
        <f>Data!AD8</f>
        <v>151876925</v>
      </c>
      <c r="M8" s="6">
        <f>Data!AE8</f>
        <v>316208257</v>
      </c>
      <c r="N8" s="6">
        <f>Data!AF8</f>
        <v>559832338</v>
      </c>
      <c r="O8" s="6">
        <f>Data!AG8</f>
        <v>14947906</v>
      </c>
      <c r="P8" s="6">
        <f>Data!AH8</f>
        <v>1258097812</v>
      </c>
      <c r="Q8" s="6">
        <f>Data!AI8</f>
        <v>404530176</v>
      </c>
      <c r="R8" s="6">
        <f>Data!AJ8</f>
        <v>21678282</v>
      </c>
      <c r="S8" s="6">
        <f>Data!AK8/Data!T8</f>
        <v>20697.896980834448</v>
      </c>
      <c r="T8" s="6">
        <f>Data!AL8/Data!U8</f>
        <v>2986.4505948934407</v>
      </c>
      <c r="U8" s="6">
        <f>Data!AM8/Data!V8</f>
        <v>37442.894612551885</v>
      </c>
      <c r="V8" s="6">
        <f>Data!AN8/Data!W8</f>
        <v>18363.713515683863</v>
      </c>
      <c r="W8" s="6">
        <f>Data!AO8/Data!X8</f>
        <v>5457.685015700029</v>
      </c>
      <c r="X8" s="6">
        <f>Data!AP8/Data!Y8</f>
        <v>685.64683667273596</v>
      </c>
      <c r="Y8" s="6">
        <f>Data!AQ8/Data!Z8</f>
        <v>46590.816773785467</v>
      </c>
      <c r="Z8" s="6">
        <f>Data!AR8/Data!AA8</f>
        <v>12454.658369573914</v>
      </c>
      <c r="AA8" s="6">
        <f>Data!AS8/Data!AB8</f>
        <v>37649.887668635958</v>
      </c>
      <c r="AB8" s="6">
        <f>Data!AT8/Data!AC8</f>
        <v>14726.046533873397</v>
      </c>
      <c r="AC8" s="6">
        <f>Data!AU8/Data!AD8</f>
        <v>6704.5987308272142</v>
      </c>
      <c r="AD8" s="6">
        <f>Data!AV8/Data!AE8</f>
        <v>11566.725340370824</v>
      </c>
      <c r="AE8" s="6">
        <f>Data!AW8/Data!AF8</f>
        <v>3434.7599113872197</v>
      </c>
      <c r="AF8" s="6">
        <f>Data!AX8/Data!AG8</f>
        <v>1902.0352359796482</v>
      </c>
      <c r="AG8" s="6">
        <f>Data!AY8/Data!AH8</f>
        <v>2657.557014468347</v>
      </c>
      <c r="AH8" s="6">
        <f>Data!AZ8/Data!AI8</f>
        <v>7313.3691387126828</v>
      </c>
      <c r="AI8" s="6">
        <f>Data!BA8/Data!AJ8</f>
        <v>37624.994333668736</v>
      </c>
      <c r="AJ8" s="17">
        <f>Data!BB8/Data!AK8</f>
        <v>1.5626215180420949E-7</v>
      </c>
      <c r="AK8" s="17">
        <f>Data!BC8/Data!AL8</f>
        <v>2.9380829637585707E-7</v>
      </c>
      <c r="AL8" s="17">
        <f>Data!BD8/Data!AM8</f>
        <v>1.0457733420451451E-7</v>
      </c>
      <c r="AM8" s="17">
        <f>Data!BE8/Data!AN8</f>
        <v>2.3369639009157902E-7</v>
      </c>
      <c r="AN8" s="17">
        <f>Data!BF8/Data!AO8</f>
        <v>2.2073830080179488E-7</v>
      </c>
      <c r="AO8" s="17">
        <f>Data!BG8/Data!AP8</f>
        <v>1.4144464272602569E-6</v>
      </c>
      <c r="AP8" s="17">
        <f>Data!BH8/Data!AQ8</f>
        <v>1.6680685683230492E-7</v>
      </c>
      <c r="AQ8" s="17">
        <f>Data!BI8/Data!AR8</f>
        <v>8.6873483042602189E-8</v>
      </c>
      <c r="AR8" s="17">
        <f>Data!BJ8/Data!AS8</f>
        <v>8.7363648354845111E-8</v>
      </c>
      <c r="AS8" s="17">
        <f>Data!BK8/Data!AT8</f>
        <v>1.609313465323333E-7</v>
      </c>
      <c r="AT8" s="17">
        <f>Data!BL8/Data!AU8</f>
        <v>3.1652643697898059E-7</v>
      </c>
      <c r="AU8" s="17">
        <f>Data!BM8/Data!AV8</f>
        <v>1.1562592807240083E-7</v>
      </c>
      <c r="AV8" s="17">
        <f>Data!BN8/Data!AW8</f>
        <v>1.4193313117351587E-7</v>
      </c>
      <c r="AW8" s="17">
        <f>Data!BO8/Data!AX8</f>
        <v>8.7002756782192359E-7</v>
      </c>
      <c r="AX8" s="17">
        <f>Data!BP8/Data!AY8</f>
        <v>1.2840858785067109E-7</v>
      </c>
      <c r="AY8" s="17">
        <f>Data!BQ8/Data!AZ8</f>
        <v>1.1638529211454909E-7</v>
      </c>
      <c r="AZ8" s="17">
        <f>Data!BR8/Data!BA8</f>
        <v>1.3185055225849002E-7</v>
      </c>
      <c r="BA8" s="21">
        <f>Data!C8/Data!BB8</f>
        <v>2.7912554682430608</v>
      </c>
      <c r="BB8" s="16">
        <f>Data!D8/Data!BC8</f>
        <v>3.2038589759583322</v>
      </c>
      <c r="BC8" s="16">
        <f>Data!E8/Data!BD8</f>
        <v>2.5100840629818979</v>
      </c>
      <c r="BD8" s="16">
        <f>Data!F8/Data!BE8</f>
        <v>2.7774405891526399</v>
      </c>
      <c r="BE8" s="16">
        <f>Data!G8/Data!BF8</f>
        <v>3.8590202575163137</v>
      </c>
      <c r="BF8" s="16">
        <f>Data!H8/Data!BG8</f>
        <v>4.0528179198565253</v>
      </c>
      <c r="BG8" s="16">
        <f>Data!I8/Data!BH8</f>
        <v>2.5074841204858678</v>
      </c>
      <c r="BH8" s="16">
        <f>Data!J8/Data!BI8</f>
        <v>2.1488558810900238</v>
      </c>
      <c r="BI8" s="16">
        <f>Data!K8/Data!BJ8</f>
        <v>2.4005126568030359</v>
      </c>
      <c r="BJ8" s="16">
        <f>Data!L8/Data!BK8</f>
        <v>3.0398420948291482</v>
      </c>
      <c r="BK8" s="16">
        <f>Data!M8/Data!BL8</f>
        <v>2.825003072024844</v>
      </c>
      <c r="BL8" s="16">
        <f>Data!N8/Data!BM8</f>
        <v>2.8255631564703956</v>
      </c>
      <c r="BM8" s="16">
        <f>Data!O8/Data!BN8</f>
        <v>1.8764348947573193</v>
      </c>
      <c r="BN8" s="16">
        <f>Data!P8/Data!BO8</f>
        <v>1.4661354720505304</v>
      </c>
      <c r="BO8" s="16">
        <f>Data!Q8/Data!BP8</f>
        <v>2.1440673258084164</v>
      </c>
      <c r="BP8" s="16">
        <f>Data!R8/Data!BQ8</f>
        <v>2.3243985302312788</v>
      </c>
      <c r="BQ8" s="16">
        <f>Data!S8/Data!BR8</f>
        <v>3.0825507744650689</v>
      </c>
    </row>
    <row r="9" spans="1:69" x14ac:dyDescent="0.3">
      <c r="A9" s="3">
        <v>1996</v>
      </c>
      <c r="B9" s="6">
        <f>Data!T9</f>
        <v>45524681</v>
      </c>
      <c r="C9" s="6">
        <f>Data!U9</f>
        <v>1223985500</v>
      </c>
      <c r="D9" s="6">
        <f>Data!V9</f>
        <v>125757000</v>
      </c>
      <c r="E9" s="6">
        <f>Data!W9</f>
        <v>148160129</v>
      </c>
      <c r="F9" s="6">
        <f>Data!X9</f>
        <v>2259507</v>
      </c>
      <c r="G9" s="6">
        <f>Data!Y9</f>
        <v>22895746</v>
      </c>
      <c r="H9" s="6">
        <f>Data!Z9</f>
        <v>299485254</v>
      </c>
      <c r="I9" s="6">
        <f>Data!AA9</f>
        <v>485330003</v>
      </c>
      <c r="J9" s="6">
        <f>Data!AB9</f>
        <v>449387090</v>
      </c>
      <c r="K9" s="6">
        <f>Data!AC9</f>
        <v>129083967</v>
      </c>
      <c r="L9" s="6">
        <f>Data!AD9</f>
        <v>152356459</v>
      </c>
      <c r="M9" s="6">
        <f>Data!AE9</f>
        <v>323099229</v>
      </c>
      <c r="N9" s="6">
        <f>Data!AF9</f>
        <v>575059391</v>
      </c>
      <c r="O9" s="6">
        <f>Data!AG9</f>
        <v>15846948</v>
      </c>
      <c r="P9" s="6">
        <f>Data!AH9</f>
        <v>1284555740</v>
      </c>
      <c r="Q9" s="6">
        <f>Data!AI9</f>
        <v>411766189</v>
      </c>
      <c r="R9" s="6">
        <f>Data!AJ9</f>
        <v>21956767</v>
      </c>
      <c r="S9" s="6">
        <f>Data!AK9/Data!T9</f>
        <v>22139.796378541345</v>
      </c>
      <c r="T9" s="6">
        <f>Data!AL9/Data!U9</f>
        <v>3238.6691566430318</v>
      </c>
      <c r="U9" s="6">
        <f>Data!AM9/Data!V9</f>
        <v>38528.791438519045</v>
      </c>
      <c r="V9" s="6">
        <f>Data!AN9/Data!W9</f>
        <v>17699.869341429163</v>
      </c>
      <c r="W9" s="6">
        <f>Data!AO9/Data!X9</f>
        <v>5494.3213398189509</v>
      </c>
      <c r="X9" s="6">
        <f>Data!AP9/Data!Y9</f>
        <v>656.10675491219195</v>
      </c>
      <c r="Y9" s="6">
        <f>Data!AQ9/Data!Z9</f>
        <v>47709.792320760142</v>
      </c>
      <c r="Z9" s="6">
        <f>Data!AR9/Data!AA9</f>
        <v>12744.342377306108</v>
      </c>
      <c r="AA9" s="6">
        <f>Data!AS9/Data!AB9</f>
        <v>38270.026465055103</v>
      </c>
      <c r="AB9" s="6">
        <f>Data!AT9/Data!AC9</f>
        <v>15444.882254172046</v>
      </c>
      <c r="AC9" s="6">
        <f>Data!AU9/Data!AD9</f>
        <v>6357.7407415981816</v>
      </c>
      <c r="AD9" s="6">
        <f>Data!AV9/Data!AE9</f>
        <v>11921.479878229731</v>
      </c>
      <c r="AE9" s="6">
        <f>Data!AW9/Data!AF9</f>
        <v>3516.0367724258067</v>
      </c>
      <c r="AF9" s="6">
        <f>Data!AX9/Data!AG9</f>
        <v>1907.5293521879103</v>
      </c>
      <c r="AG9" s="6">
        <f>Data!AY9/Data!AH9</f>
        <v>2779.0732332313742</v>
      </c>
      <c r="AH9" s="6">
        <f>Data!AZ9/Data!AI9</f>
        <v>7697.3286994905984</v>
      </c>
      <c r="AI9" s="6">
        <f>Data!BA9/Data!AJ9</f>
        <v>38569.960913272203</v>
      </c>
      <c r="AJ9" s="17">
        <f>Data!BB9/Data!AK9</f>
        <v>1.5632131616332806E-7</v>
      </c>
      <c r="AK9" s="17">
        <f>Data!BC9/Data!AL9</f>
        <v>2.7454655605347418E-7</v>
      </c>
      <c r="AL9" s="17">
        <f>Data!BD9/Data!AM9</f>
        <v>1.0357122194623562E-7</v>
      </c>
      <c r="AM9" s="17">
        <f>Data!BE9/Data!AN9</f>
        <v>2.4037426000456595E-7</v>
      </c>
      <c r="AN9" s="17">
        <f>Data!BF9/Data!AO9</f>
        <v>1.8168115642515962E-7</v>
      </c>
      <c r="AO9" s="17">
        <f>Data!BG9/Data!AP9</f>
        <v>1.286826788313635E-6</v>
      </c>
      <c r="AP9" s="17">
        <f>Data!BH9/Data!AQ9</f>
        <v>1.6457155541043132E-7</v>
      </c>
      <c r="AQ9" s="17">
        <f>Data!BI9/Data!AR9</f>
        <v>8.7297716889210907E-8</v>
      </c>
      <c r="AR9" s="17">
        <f>Data!BJ9/Data!AS9</f>
        <v>8.8673648888522167E-8</v>
      </c>
      <c r="AS9" s="17">
        <f>Data!BK9/Data!AT9</f>
        <v>1.5988005969138427E-7</v>
      </c>
      <c r="AT9" s="17">
        <f>Data!BL9/Data!AU9</f>
        <v>3.0946345689088862E-7</v>
      </c>
      <c r="AU9" s="17">
        <f>Data!BM9/Data!AV9</f>
        <v>1.118552876127837E-7</v>
      </c>
      <c r="AV9" s="17">
        <f>Data!BN9/Data!AW9</f>
        <v>1.3964546293677361E-7</v>
      </c>
      <c r="AW9" s="17">
        <f>Data!BO9/Data!AX9</f>
        <v>8.6103617816456626E-7</v>
      </c>
      <c r="AX9" s="17">
        <f>Data!BP9/Data!AY9</f>
        <v>1.2486241835473674E-7</v>
      </c>
      <c r="AY9" s="17">
        <f>Data!BQ9/Data!AZ9</f>
        <v>1.1517036380577862E-7</v>
      </c>
      <c r="AZ9" s="17">
        <f>Data!BR9/Data!BA9</f>
        <v>1.3524435453711585E-7</v>
      </c>
      <c r="BA9" s="21">
        <f>Data!C9/Data!BB9</f>
        <v>2.7703978927256814</v>
      </c>
      <c r="BB9" s="16">
        <f>Data!D9/Data!BC9</f>
        <v>3.1023368521940178</v>
      </c>
      <c r="BC9" s="16">
        <f>Data!E9/Data!BD9</f>
        <v>2.4829702089522194</v>
      </c>
      <c r="BD9" s="16">
        <f>Data!F9/Data!BE9</f>
        <v>2.7400033551797183</v>
      </c>
      <c r="BE9" s="16">
        <f>Data!G9/Data!BF9</f>
        <v>3.8762591602533041</v>
      </c>
      <c r="BF9" s="16">
        <f>Data!H9/Data!BG9</f>
        <v>4.0897457628519511</v>
      </c>
      <c r="BG9" s="16">
        <f>Data!I9/Data!BH9</f>
        <v>2.5254731233895038</v>
      </c>
      <c r="BH9" s="16">
        <f>Data!J9/Data!BI9</f>
        <v>2.1959755512417169</v>
      </c>
      <c r="BI9" s="16">
        <f>Data!K9/Data!BJ9</f>
        <v>2.38729242598072</v>
      </c>
      <c r="BJ9" s="16">
        <f>Data!L9/Data!BK9</f>
        <v>3.0381792662636293</v>
      </c>
      <c r="BK9" s="16">
        <f>Data!M9/Data!BL9</f>
        <v>2.7146476584785888</v>
      </c>
      <c r="BL9" s="16">
        <f>Data!N9/Data!BM9</f>
        <v>2.8580137145576132</v>
      </c>
      <c r="BM9" s="16">
        <f>Data!O9/Data!BN9</f>
        <v>1.9338842906952973</v>
      </c>
      <c r="BN9" s="16">
        <f>Data!P9/Data!BO9</f>
        <v>1.5688545799808011</v>
      </c>
      <c r="BO9" s="16">
        <f>Data!Q9/Data!BP9</f>
        <v>2.1645792878100569</v>
      </c>
      <c r="BP9" s="16">
        <f>Data!R9/Data!BQ9</f>
        <v>2.3573320711181651</v>
      </c>
      <c r="BQ9" s="16">
        <f>Data!S9/Data!BR9</f>
        <v>2.9902060589184876</v>
      </c>
    </row>
    <row r="10" spans="1:69" x14ac:dyDescent="0.3">
      <c r="A10" s="3">
        <v>1997</v>
      </c>
      <c r="B10" s="6">
        <f>Data!T10</f>
        <v>45953580</v>
      </c>
      <c r="C10" s="6">
        <f>Data!U10</f>
        <v>1236564300</v>
      </c>
      <c r="D10" s="6">
        <f>Data!V10</f>
        <v>126057000</v>
      </c>
      <c r="E10" s="6">
        <f>Data!W10</f>
        <v>147915361</v>
      </c>
      <c r="F10" s="6">
        <f>Data!X10</f>
        <v>2291750</v>
      </c>
      <c r="G10" s="6">
        <f>Data!Y10</f>
        <v>23110830</v>
      </c>
      <c r="H10" s="6">
        <f>Data!Z10</f>
        <v>303052655</v>
      </c>
      <c r="I10" s="6">
        <f>Data!AA10</f>
        <v>493156466</v>
      </c>
      <c r="J10" s="6">
        <f>Data!AB10</f>
        <v>451331585</v>
      </c>
      <c r="K10" s="6">
        <f>Data!AC10</f>
        <v>128990732</v>
      </c>
      <c r="L10" s="6">
        <f>Data!AD10</f>
        <v>152702465</v>
      </c>
      <c r="M10" s="6">
        <f>Data!AE10</f>
        <v>330134532</v>
      </c>
      <c r="N10" s="6">
        <f>Data!AF10</f>
        <v>590392154</v>
      </c>
      <c r="O10" s="6">
        <f>Data!AG10</f>
        <v>16722993</v>
      </c>
      <c r="P10" s="6">
        <f>Data!AH10</f>
        <v>1311157702</v>
      </c>
      <c r="Q10" s="6">
        <f>Data!AI10</f>
        <v>419070574</v>
      </c>
      <c r="R10" s="6">
        <f>Data!AJ10</f>
        <v>22204337</v>
      </c>
      <c r="S10" s="6">
        <f>Data!AK10/Data!T10</f>
        <v>23311.042090174044</v>
      </c>
      <c r="T10" s="6">
        <f>Data!AL10/Data!U10</f>
        <v>3495.2211120752636</v>
      </c>
      <c r="U10" s="6">
        <f>Data!AM10/Data!V10</f>
        <v>38814.253547812419</v>
      </c>
      <c r="V10" s="6">
        <f>Data!AN10/Data!W10</f>
        <v>17977.35210154103</v>
      </c>
      <c r="W10" s="6">
        <f>Data!AO10/Data!X10</f>
        <v>5628.1066348422382</v>
      </c>
      <c r="X10" s="6">
        <f>Data!AP10/Data!Y10</f>
        <v>607.85862781133778</v>
      </c>
      <c r="Y10" s="6">
        <f>Data!AQ10/Data!Z10</f>
        <v>49238.081434740772</v>
      </c>
      <c r="Z10" s="6">
        <f>Data!AR10/Data!AA10</f>
        <v>13230.70725210475</v>
      </c>
      <c r="AA10" s="6">
        <f>Data!AS10/Data!AB10</f>
        <v>39343.449040672836</v>
      </c>
      <c r="AB10" s="6">
        <f>Data!AT10/Data!AC10</f>
        <v>15842.02443800071</v>
      </c>
      <c r="AC10" s="6">
        <f>Data!AU10/Data!AD10</f>
        <v>6375.8124005980908</v>
      </c>
      <c r="AD10" s="6">
        <f>Data!AV10/Data!AE10</f>
        <v>12200.908745615045</v>
      </c>
      <c r="AE10" s="6">
        <f>Data!AW10/Data!AF10</f>
        <v>3543.4259971147076</v>
      </c>
      <c r="AF10" s="6">
        <f>Data!AX10/Data!AG10</f>
        <v>1901.4135005182923</v>
      </c>
      <c r="AG10" s="6">
        <f>Data!AY10/Data!AH10</f>
        <v>2824.9530327167463</v>
      </c>
      <c r="AH10" s="6">
        <f>Data!AZ10/Data!AI10</f>
        <v>7825.9011469953984</v>
      </c>
      <c r="AI10" s="6">
        <f>Data!BA10/Data!AJ10</f>
        <v>39531.52883962066</v>
      </c>
      <c r="AJ10" s="17">
        <f>Data!BB10/Data!AK10</f>
        <v>1.5767070964464481E-7</v>
      </c>
      <c r="AK10" s="17">
        <f>Data!BC10/Data!AL10</f>
        <v>2.5183728168367877E-7</v>
      </c>
      <c r="AL10" s="17">
        <f>Data!BD10/Data!AM10</f>
        <v>1.0362402504851791E-7</v>
      </c>
      <c r="AM10" s="17">
        <f>Data!BE10/Data!AN10</f>
        <v>2.2643259323317767E-7</v>
      </c>
      <c r="AN10" s="17">
        <f>Data!BF10/Data!AO10</f>
        <v>1.7102787300388423E-7</v>
      </c>
      <c r="AO10" s="17">
        <f>Data!BG10/Data!AP10</f>
        <v>1.3108463903555594E-6</v>
      </c>
      <c r="AP10" s="17">
        <f>Data!BH10/Data!AQ10</f>
        <v>1.5915925252321492E-7</v>
      </c>
      <c r="AQ10" s="17">
        <f>Data!BI10/Data!AR10</f>
        <v>8.6310003798623923E-8</v>
      </c>
      <c r="AR10" s="17">
        <f>Data!BJ10/Data!AS10</f>
        <v>8.5608961509934163E-8</v>
      </c>
      <c r="AS10" s="17">
        <f>Data!BK10/Data!AT10</f>
        <v>1.5323654161661416E-7</v>
      </c>
      <c r="AT10" s="17">
        <f>Data!BL10/Data!AU10</f>
        <v>2.9475420287902894E-7</v>
      </c>
      <c r="AU10" s="17">
        <f>Data!BM10/Data!AV10</f>
        <v>1.1320830548007931E-7</v>
      </c>
      <c r="AV10" s="17">
        <f>Data!BN10/Data!AW10</f>
        <v>1.3917412812194258E-7</v>
      </c>
      <c r="AW10" s="17">
        <f>Data!BO10/Data!AX10</f>
        <v>8.7756766643140848E-7</v>
      </c>
      <c r="AX10" s="17">
        <f>Data!BP10/Data!AY10</f>
        <v>1.2526866717216857E-7</v>
      </c>
      <c r="AY10" s="17">
        <f>Data!BQ10/Data!AZ10</f>
        <v>1.1735981601738456E-7</v>
      </c>
      <c r="AZ10" s="17">
        <f>Data!BR10/Data!BA10</f>
        <v>1.3393239805133811E-7</v>
      </c>
      <c r="BA10" s="21">
        <f>Data!C10/Data!BB10</f>
        <v>2.7167563394898377</v>
      </c>
      <c r="BB10" s="16">
        <f>Data!D10/Data!BC10</f>
        <v>3.1895872971718249</v>
      </c>
      <c r="BC10" s="16">
        <f>Data!E10/Data!BD10</f>
        <v>2.429322302198643</v>
      </c>
      <c r="BD10" s="16">
        <f>Data!F10/Data!BE10</f>
        <v>2.6695675539027426</v>
      </c>
      <c r="BE10" s="16">
        <f>Data!G10/Data!BF10</f>
        <v>3.8846302746371855</v>
      </c>
      <c r="BF10" s="16">
        <f>Data!H10/Data!BG10</f>
        <v>4.1635776434710241</v>
      </c>
      <c r="BG10" s="16">
        <f>Data!I10/Data!BH10</f>
        <v>2.6223811658742844</v>
      </c>
      <c r="BH10" s="16">
        <f>Data!J10/Data!BI10</f>
        <v>2.2239473818473443</v>
      </c>
      <c r="BI10" s="16">
        <f>Data!K10/Data!BJ10</f>
        <v>2.360575215839066</v>
      </c>
      <c r="BJ10" s="16">
        <f>Data!L10/Data!BK10</f>
        <v>3.0239768356896364</v>
      </c>
      <c r="BK10" s="16">
        <f>Data!M10/Data!BL10</f>
        <v>2.7045365675806763</v>
      </c>
      <c r="BL10" s="16">
        <f>Data!N10/Data!BM10</f>
        <v>2.8253494308259581</v>
      </c>
      <c r="BM10" s="16">
        <f>Data!O10/Data!BN10</f>
        <v>1.926879671589141</v>
      </c>
      <c r="BN10" s="16">
        <f>Data!P10/Data!BO10</f>
        <v>1.6819077642713109</v>
      </c>
      <c r="BO10" s="16">
        <f>Data!Q10/Data!BP10</f>
        <v>2.1854029039472782</v>
      </c>
      <c r="BP10" s="16">
        <f>Data!R10/Data!BQ10</f>
        <v>2.3909720760326922</v>
      </c>
      <c r="BQ10" s="16">
        <f>Data!S10/Data!BR10</f>
        <v>3.0087538050858886</v>
      </c>
    </row>
    <row r="11" spans="1:69" x14ac:dyDescent="0.3">
      <c r="A11" s="3">
        <v>1998</v>
      </c>
      <c r="B11" s="6">
        <f>Data!T11</f>
        <v>46286503</v>
      </c>
      <c r="C11" s="6">
        <f>Data!U11</f>
        <v>1248478700</v>
      </c>
      <c r="D11" s="6">
        <f>Data!V11</f>
        <v>126400000</v>
      </c>
      <c r="E11" s="6">
        <f>Data!W11</f>
        <v>147670784</v>
      </c>
      <c r="F11" s="6">
        <f>Data!X11</f>
        <v>2323809</v>
      </c>
      <c r="G11" s="6">
        <f>Data!Y11</f>
        <v>23311564</v>
      </c>
      <c r="H11" s="6">
        <f>Data!Z11</f>
        <v>306507357</v>
      </c>
      <c r="I11" s="6">
        <f>Data!AA11</f>
        <v>500989840</v>
      </c>
      <c r="J11" s="6">
        <f>Data!AB11</f>
        <v>453192778</v>
      </c>
      <c r="K11" s="6">
        <f>Data!AC11</f>
        <v>128718120</v>
      </c>
      <c r="L11" s="6">
        <f>Data!AD11</f>
        <v>153050558</v>
      </c>
      <c r="M11" s="6">
        <f>Data!AE11</f>
        <v>337359109</v>
      </c>
      <c r="N11" s="6">
        <f>Data!AF11</f>
        <v>606268459</v>
      </c>
      <c r="O11" s="6">
        <f>Data!AG11</f>
        <v>17306439</v>
      </c>
      <c r="P11" s="6">
        <f>Data!AH11</f>
        <v>1337928286</v>
      </c>
      <c r="Q11" s="6">
        <f>Data!AI11</f>
        <v>426507563</v>
      </c>
      <c r="R11" s="6">
        <f>Data!AJ11</f>
        <v>22422584</v>
      </c>
      <c r="S11" s="6">
        <f>Data!AK11/Data!T11</f>
        <v>22000.338760351588</v>
      </c>
      <c r="T11" s="6">
        <f>Data!AL11/Data!U11</f>
        <v>3707.8027415701849</v>
      </c>
      <c r="U11" s="6">
        <f>Data!AM11/Data!V11</f>
        <v>38217.195592095253</v>
      </c>
      <c r="V11" s="6">
        <f>Data!AN11/Data!W11</f>
        <v>17052.755949655013</v>
      </c>
      <c r="W11" s="6">
        <f>Data!AO11/Data!X11</f>
        <v>5735.8438364577296</v>
      </c>
      <c r="X11" s="6">
        <f>Data!AP11/Data!Y11</f>
        <v>597.17579188206764</v>
      </c>
      <c r="Y11" s="6">
        <f>Data!AQ11/Data!Z11</f>
        <v>50840.735684565967</v>
      </c>
      <c r="Z11" s="6">
        <f>Data!AR11/Data!AA11</f>
        <v>13411.617330919726</v>
      </c>
      <c r="AA11" s="6">
        <f>Data!AS11/Data!AB11</f>
        <v>40345.46191543436</v>
      </c>
      <c r="AB11" s="6">
        <f>Data!AT11/Data!AC11</f>
        <v>16321.940411416435</v>
      </c>
      <c r="AC11" s="6">
        <f>Data!AU11/Data!AD11</f>
        <v>6388.250145423619</v>
      </c>
      <c r="AD11" s="6">
        <f>Data!AV11/Data!AE11</f>
        <v>12514.270697702459</v>
      </c>
      <c r="AE11" s="6">
        <f>Data!AW11/Data!AF11</f>
        <v>3538.6130493958617</v>
      </c>
      <c r="AF11" s="6">
        <f>Data!AX11/Data!AG11</f>
        <v>1917.8243591714679</v>
      </c>
      <c r="AG11" s="6">
        <f>Data!AY11/Data!AH11</f>
        <v>2921.5087004096722</v>
      </c>
      <c r="AH11" s="6">
        <f>Data!AZ11/Data!AI11</f>
        <v>7032.9012747079933</v>
      </c>
      <c r="AI11" s="6">
        <f>Data!BA11/Data!AJ11</f>
        <v>40761.98692875616</v>
      </c>
      <c r="AJ11" s="17">
        <f>Data!BB11/Data!AK11</f>
        <v>1.5337714405101142E-7</v>
      </c>
      <c r="AK11" s="17">
        <f>Data!BC11/Data!AL11</f>
        <v>2.3689196245935441E-7</v>
      </c>
      <c r="AL11" s="17">
        <f>Data!BD11/Data!AM11</f>
        <v>1.0305002493891373E-7</v>
      </c>
      <c r="AM11" s="17">
        <f>Data!BE11/Data!AN11</f>
        <v>2.335262415286489E-7</v>
      </c>
      <c r="AN11" s="17">
        <f>Data!BF11/Data!AO11</f>
        <v>1.6683172612059632E-7</v>
      </c>
      <c r="AO11" s="17">
        <f>Data!BG11/Data!AP11</f>
        <v>1.2344227045072147E-6</v>
      </c>
      <c r="AP11" s="17">
        <f>Data!BH11/Data!AQ11</f>
        <v>1.5349452766507096E-7</v>
      </c>
      <c r="AQ11" s="17">
        <f>Data!BI11/Data!AR11</f>
        <v>8.6875006354525068E-8</v>
      </c>
      <c r="AR11" s="17">
        <f>Data!BJ11/Data!AS11</f>
        <v>8.4574333664884696E-8</v>
      </c>
      <c r="AS11" s="17">
        <f>Data!BK11/Data!AT11</f>
        <v>1.429262506019321E-7</v>
      </c>
      <c r="AT11" s="17">
        <f>Data!BL11/Data!AU11</f>
        <v>2.8734836312370745E-7</v>
      </c>
      <c r="AU11" s="17">
        <f>Data!BM11/Data!AV11</f>
        <v>1.101461857905657E-7</v>
      </c>
      <c r="AV11" s="17">
        <f>Data!BN11/Data!AW11</f>
        <v>1.3676164078303882E-7</v>
      </c>
      <c r="AW11" s="17">
        <f>Data!BO11/Data!AX11</f>
        <v>8.9723554405866861E-7</v>
      </c>
      <c r="AX11" s="17">
        <f>Data!BP11/Data!AY11</f>
        <v>1.2161668326374932E-7</v>
      </c>
      <c r="AY11" s="17">
        <f>Data!BQ11/Data!AZ11</f>
        <v>1.2627724012415815E-7</v>
      </c>
      <c r="AZ11" s="17">
        <f>Data!BR11/Data!BA11</f>
        <v>1.3125005556510833E-7</v>
      </c>
      <c r="BA11" s="21">
        <f>Data!C11/Data!BB11</f>
        <v>2.5201495427676965</v>
      </c>
      <c r="BB11" s="16">
        <f>Data!D11/Data!BC11</f>
        <v>3.2505996156743504</v>
      </c>
      <c r="BC11" s="16">
        <f>Data!E11/Data!BD11</f>
        <v>2.379254412750428</v>
      </c>
      <c r="BD11" s="16">
        <f>Data!F11/Data!BE11</f>
        <v>2.7432728313136305</v>
      </c>
      <c r="BE11" s="16">
        <f>Data!G11/Data!BF11</f>
        <v>3.8657687473252915</v>
      </c>
      <c r="BF11" s="16">
        <f>Data!H11/Data!BG11</f>
        <v>3.6584412963526947</v>
      </c>
      <c r="BG11" s="16">
        <f>Data!I11/Data!BH11</f>
        <v>2.6263208809864942</v>
      </c>
      <c r="BH11" s="16">
        <f>Data!J11/Data!BI11</f>
        <v>2.2341433743687853</v>
      </c>
      <c r="BI11" s="16">
        <f>Data!K11/Data!BJ11</f>
        <v>2.3545095672562129</v>
      </c>
      <c r="BJ11" s="16">
        <f>Data!L11/Data!BK11</f>
        <v>2.9831982540677497</v>
      </c>
      <c r="BK11" s="16">
        <f>Data!M11/Data!BL11</f>
        <v>2.7657975330084512</v>
      </c>
      <c r="BL11" s="16">
        <f>Data!N11/Data!BM11</f>
        <v>2.7965134707372039</v>
      </c>
      <c r="BM11" s="16">
        <f>Data!O11/Data!BN11</f>
        <v>1.9249136193862668</v>
      </c>
      <c r="BN11" s="16">
        <f>Data!P11/Data!BO11</f>
        <v>1.760660770635649</v>
      </c>
      <c r="BO11" s="16">
        <f>Data!Q11/Data!BP11</f>
        <v>2.1854934111134772</v>
      </c>
      <c r="BP11" s="16">
        <f>Data!R11/Data!BQ11</f>
        <v>2.3978765146129195</v>
      </c>
      <c r="BQ11" s="16">
        <f>Data!S11/Data!BR11</f>
        <v>3.1057604977231081</v>
      </c>
    </row>
    <row r="12" spans="1:69" x14ac:dyDescent="0.3">
      <c r="A12" s="3">
        <v>1999</v>
      </c>
      <c r="B12" s="6">
        <f>Data!T12</f>
        <v>46616677</v>
      </c>
      <c r="C12" s="6">
        <f>Data!U12</f>
        <v>1259341500</v>
      </c>
      <c r="D12" s="6">
        <f>Data!V12</f>
        <v>126631000</v>
      </c>
      <c r="E12" s="6">
        <f>Data!W12</f>
        <v>147214776</v>
      </c>
      <c r="F12" s="6">
        <f>Data!X12</f>
        <v>2356813</v>
      </c>
      <c r="G12" s="6">
        <f>Data!Y12</f>
        <v>23497599</v>
      </c>
      <c r="H12" s="6">
        <f>Data!Z12</f>
        <v>309947562</v>
      </c>
      <c r="I12" s="6">
        <f>Data!AA12</f>
        <v>508748419</v>
      </c>
      <c r="J12" s="6">
        <f>Data!AB12</f>
        <v>455199408</v>
      </c>
      <c r="K12" s="6">
        <f>Data!AC12</f>
        <v>128335102</v>
      </c>
      <c r="L12" s="6">
        <f>Data!AD12</f>
        <v>153601663</v>
      </c>
      <c r="M12" s="6">
        <f>Data!AE12</f>
        <v>344767792</v>
      </c>
      <c r="N12" s="6">
        <f>Data!AF12</f>
        <v>622587149</v>
      </c>
      <c r="O12" s="6">
        <f>Data!AG12</f>
        <v>17606515</v>
      </c>
      <c r="P12" s="6">
        <f>Data!AH12</f>
        <v>1364829186</v>
      </c>
      <c r="Q12" s="6">
        <f>Data!AI12</f>
        <v>433639198</v>
      </c>
      <c r="R12" s="6">
        <f>Data!AJ12</f>
        <v>22647364</v>
      </c>
      <c r="S12" s="6">
        <f>Data!AK12/Data!T12</f>
        <v>24382.250851737026</v>
      </c>
      <c r="T12" s="6">
        <f>Data!AL12/Data!U12</f>
        <v>3950.2236463786116</v>
      </c>
      <c r="U12" s="6">
        <f>Data!AM12/Data!V12</f>
        <v>38020.09400206885</v>
      </c>
      <c r="V12" s="6">
        <f>Data!AN12/Data!W12</f>
        <v>18200.320448810791</v>
      </c>
      <c r="W12" s="6">
        <f>Data!AO12/Data!X12</f>
        <v>5829.1664145592804</v>
      </c>
      <c r="X12" s="6">
        <f>Data!AP12/Data!Y12</f>
        <v>628.45739460769164</v>
      </c>
      <c r="Y12" s="6">
        <f>Data!AQ12/Data!Z12</f>
        <v>52699.171036100619</v>
      </c>
      <c r="Z12" s="6">
        <f>Data!AR12/Data!AA12</f>
        <v>13270.971592274393</v>
      </c>
      <c r="AA12" s="6">
        <f>Data!AS12/Data!AB12</f>
        <v>41244.573943443706</v>
      </c>
      <c r="AB12" s="6">
        <f>Data!AT12/Data!AC12</f>
        <v>16590.810285719723</v>
      </c>
      <c r="AC12" s="6">
        <f>Data!AU12/Data!AD12</f>
        <v>6482.6053288455932</v>
      </c>
      <c r="AD12" s="6">
        <f>Data!AV12/Data!AE12</f>
        <v>12604.26451018029</v>
      </c>
      <c r="AE12" s="6">
        <f>Data!AW12/Data!AF12</f>
        <v>3516.5843378735722</v>
      </c>
      <c r="AF12" s="6">
        <f>Data!AX12/Data!AG12</f>
        <v>2082.1232617778251</v>
      </c>
      <c r="AG12" s="6">
        <f>Data!AY12/Data!AH12</f>
        <v>3082.3934263192259</v>
      </c>
      <c r="AH12" s="6">
        <f>Data!AZ12/Data!AI12</f>
        <v>7135.192860008241</v>
      </c>
      <c r="AI12" s="6">
        <f>Data!BA12/Data!AJ12</f>
        <v>42406.380336504633</v>
      </c>
      <c r="AJ12" s="17">
        <f>Data!BB12/Data!AK12</f>
        <v>1.5034710043458281E-7</v>
      </c>
      <c r="AK12" s="17">
        <f>Data!BC12/Data!AL12</f>
        <v>2.2496586881612263E-7</v>
      </c>
      <c r="AL12" s="17">
        <f>Data!BD12/Data!AM12</f>
        <v>1.0505560178049042E-7</v>
      </c>
      <c r="AM12" s="17">
        <f>Data!BE12/Data!AN12</f>
        <v>2.2734474131852509E-7</v>
      </c>
      <c r="AN12" s="17">
        <f>Data!BF12/Data!AO12</f>
        <v>1.6208404706529221E-7</v>
      </c>
      <c r="AO12" s="17">
        <f>Data!BG12/Data!AP12</f>
        <v>1.2465916576579923E-6</v>
      </c>
      <c r="AP12" s="17">
        <f>Data!BH12/Data!AQ12</f>
        <v>1.5041026570758664E-7</v>
      </c>
      <c r="AQ12" s="17">
        <f>Data!BI12/Data!AR12</f>
        <v>8.8772321247125034E-8</v>
      </c>
      <c r="AR12" s="17">
        <f>Data!BJ12/Data!AS12</f>
        <v>8.2378338661447837E-8</v>
      </c>
      <c r="AS12" s="17">
        <f>Data!BK12/Data!AT12</f>
        <v>1.3240839902821368E-7</v>
      </c>
      <c r="AT12" s="17">
        <f>Data!BL12/Data!AU12</f>
        <v>2.7970968943145232E-7</v>
      </c>
      <c r="AU12" s="17">
        <f>Data!BM12/Data!AV12</f>
        <v>1.1102914240348362E-7</v>
      </c>
      <c r="AV12" s="17">
        <f>Data!BN12/Data!AW12</f>
        <v>1.3600271285436221E-7</v>
      </c>
      <c r="AW12" s="17">
        <f>Data!BO12/Data!AX12</f>
        <v>8.3598201824099709E-7</v>
      </c>
      <c r="AX12" s="17">
        <f>Data!BP12/Data!AY12</f>
        <v>1.195383734778431E-7</v>
      </c>
      <c r="AY12" s="17">
        <f>Data!BQ12/Data!AZ12</f>
        <v>1.2676769676065022E-7</v>
      </c>
      <c r="AZ12" s="17">
        <f>Data!BR12/Data!BA12</f>
        <v>1.2785834688750833E-7</v>
      </c>
      <c r="BA12" s="21">
        <f>Data!C12/Data!BB12</f>
        <v>2.5198467254656411</v>
      </c>
      <c r="BB12" s="16">
        <f>Data!D12/Data!BC12</f>
        <v>3.1214429567701942</v>
      </c>
      <c r="BC12" s="16">
        <f>Data!E12/Data!BD12</f>
        <v>2.4222807303411482</v>
      </c>
      <c r="BD12" s="16">
        <f>Data!F12/Data!BE12</f>
        <v>2.726660542494018</v>
      </c>
      <c r="BE12" s="16">
        <f>Data!G12/Data!BF12</f>
        <v>3.8863493271815179</v>
      </c>
      <c r="BF12" s="16">
        <f>Data!H12/Data!BG12</f>
        <v>3.7246676342463929</v>
      </c>
      <c r="BG12" s="16">
        <f>Data!I12/Data!BH12</f>
        <v>2.5685821216138445</v>
      </c>
      <c r="BH12" s="16">
        <f>Data!J12/Data!BI12</f>
        <v>2.1589093213260186</v>
      </c>
      <c r="BI12" s="16">
        <f>Data!K12/Data!BJ12</f>
        <v>2.3393470214220731</v>
      </c>
      <c r="BJ12" s="16">
        <f>Data!L12/Data!BK12</f>
        <v>2.9575400694481191</v>
      </c>
      <c r="BK12" s="16">
        <f>Data!M12/Data!BL12</f>
        <v>2.7492436833206311</v>
      </c>
      <c r="BL12" s="16">
        <f>Data!N12/Data!BM12</f>
        <v>2.7899033807449163</v>
      </c>
      <c r="BM12" s="16">
        <f>Data!O12/Data!BN12</f>
        <v>1.8586269377896176</v>
      </c>
      <c r="BN12" s="16">
        <f>Data!P12/Data!BO12</f>
        <v>1.748176891202498</v>
      </c>
      <c r="BO12" s="16">
        <f>Data!Q12/Data!BP12</f>
        <v>2.2127583550476455</v>
      </c>
      <c r="BP12" s="16">
        <f>Data!R12/Data!BQ12</f>
        <v>2.4249556015552947</v>
      </c>
      <c r="BQ12" s="16">
        <f>Data!S12/Data!BR12</f>
        <v>3.0959285261840512</v>
      </c>
    </row>
    <row r="13" spans="1:69" x14ac:dyDescent="0.3">
      <c r="A13" s="3">
        <v>2000</v>
      </c>
      <c r="B13" s="6">
        <f>Data!T13</f>
        <v>47008111</v>
      </c>
      <c r="C13" s="6">
        <f>Data!U13</f>
        <v>1269310000</v>
      </c>
      <c r="D13" s="6">
        <f>Data!V13</f>
        <v>126843000</v>
      </c>
      <c r="E13" s="6">
        <f>Data!W13</f>
        <v>146596869</v>
      </c>
      <c r="F13" s="6">
        <f>Data!X13</f>
        <v>2388299</v>
      </c>
      <c r="G13" s="6">
        <f>Data!Y13</f>
        <v>23665910</v>
      </c>
      <c r="H13" s="6">
        <f>Data!Z13</f>
        <v>313359794</v>
      </c>
      <c r="I13" s="6">
        <f>Data!AA13</f>
        <v>516277627</v>
      </c>
      <c r="J13" s="6">
        <f>Data!AB13</f>
        <v>457445232</v>
      </c>
      <c r="K13" s="6">
        <f>Data!AC13</f>
        <v>127646761</v>
      </c>
      <c r="L13" s="6">
        <f>Data!AD13</f>
        <v>153992027</v>
      </c>
      <c r="M13" s="6">
        <f>Data!AE13</f>
        <v>352552470</v>
      </c>
      <c r="N13" s="6">
        <f>Data!AF13</f>
        <v>639184700</v>
      </c>
      <c r="O13" s="6">
        <f>Data!AG13</f>
        <v>17893548</v>
      </c>
      <c r="P13" s="6">
        <f>Data!AH13</f>
        <v>1392064609</v>
      </c>
      <c r="Q13" s="6">
        <f>Data!AI13</f>
        <v>440542431</v>
      </c>
      <c r="R13" s="6">
        <f>Data!AJ13</f>
        <v>22886502</v>
      </c>
      <c r="S13" s="6">
        <f>Data!AK13/Data!T13</f>
        <v>26404.158857574599</v>
      </c>
      <c r="T13" s="6">
        <f>Data!AL13/Data!U13</f>
        <v>4253.926329208216</v>
      </c>
      <c r="U13" s="6">
        <f>Data!AM13/Data!V13</f>
        <v>39005.913630504481</v>
      </c>
      <c r="V13" s="6">
        <f>Data!AN13/Data!W13</f>
        <v>20104.750654500949</v>
      </c>
      <c r="W13" s="6">
        <f>Data!AO13/Data!X13</f>
        <v>5818.2430784289991</v>
      </c>
      <c r="X13" s="6">
        <f>Data!AP13/Data!Y13</f>
        <v>626.55918985916867</v>
      </c>
      <c r="Y13" s="6">
        <f>Data!AQ13/Data!Z13</f>
        <v>54298.601062808651</v>
      </c>
      <c r="Z13" s="6">
        <f>Data!AR13/Data!AA13</f>
        <v>13555.974307757151</v>
      </c>
      <c r="AA13" s="6">
        <f>Data!AS13/Data!AB13</f>
        <v>42744.875026070222</v>
      </c>
      <c r="AB13" s="6">
        <f>Data!AT13/Data!AC13</f>
        <v>17356.599311122827</v>
      </c>
      <c r="AC13" s="6">
        <f>Data!AU13/Data!AD13</f>
        <v>7097.7124622075398</v>
      </c>
      <c r="AD13" s="6">
        <f>Data!AV13/Data!AE13</f>
        <v>13096.369984410065</v>
      </c>
      <c r="AE13" s="6">
        <f>Data!AW13/Data!AF13</f>
        <v>3537.2801971833496</v>
      </c>
      <c r="AF13" s="6">
        <f>Data!AX13/Data!AG13</f>
        <v>2218.5759986252474</v>
      </c>
      <c r="AG13" s="6">
        <f>Data!AY13/Data!AH13</f>
        <v>3146.082372984356</v>
      </c>
      <c r="AH13" s="6">
        <f>Data!AZ13/Data!AI13</f>
        <v>7423.2236329319203</v>
      </c>
      <c r="AI13" s="6">
        <f>Data!BA13/Data!AJ13</f>
        <v>43545.092334119166</v>
      </c>
      <c r="AJ13" s="17">
        <f>Data!BB13/Data!AK13</f>
        <v>1.4968715230993026E-7</v>
      </c>
      <c r="AK13" s="17">
        <f>Data!BC13/Data!AL13</f>
        <v>2.1262658734475583E-7</v>
      </c>
      <c r="AL13" s="17">
        <f>Data!BD13/Data!AM13</f>
        <v>1.0426715055493005E-7</v>
      </c>
      <c r="AM13" s="17">
        <f>Data!BE13/Data!AN13</f>
        <v>2.1014881973086083E-7</v>
      </c>
      <c r="AN13" s="17">
        <f>Data!BF13/Data!AO13</f>
        <v>1.7230022878261726E-7</v>
      </c>
      <c r="AO13" s="17">
        <f>Data!BG13/Data!AP13</f>
        <v>1.3297010932065392E-6</v>
      </c>
      <c r="AP13" s="17">
        <f>Data!BH13/Data!AQ13</f>
        <v>1.4841268980310926E-7</v>
      </c>
      <c r="AQ13" s="17">
        <f>Data!BI13/Data!AR13</f>
        <v>8.6273519858859285E-8</v>
      </c>
      <c r="AR13" s="17">
        <f>Data!BJ13/Data!AS13</f>
        <v>8.0123162177120202E-8</v>
      </c>
      <c r="AS13" s="17">
        <f>Data!BK13/Data!AT13</f>
        <v>1.273721792074241E-7</v>
      </c>
      <c r="AT13" s="17">
        <f>Data!BL13/Data!AU13</f>
        <v>2.5521661756301119E-7</v>
      </c>
      <c r="AU13" s="17">
        <f>Data!BM13/Data!AV13</f>
        <v>1.0742167572964397E-7</v>
      </c>
      <c r="AV13" s="17">
        <f>Data!BN13/Data!AW13</f>
        <v>1.2986084916386597E-7</v>
      </c>
      <c r="AW13" s="17">
        <f>Data!BO13/Data!AX13</f>
        <v>8.5028160713836645E-7</v>
      </c>
      <c r="AX13" s="17">
        <f>Data!BP13/Data!AY13</f>
        <v>1.1788063555312451E-7</v>
      </c>
      <c r="AY13" s="17">
        <f>Data!BQ13/Data!AZ13</f>
        <v>1.2557348451568003E-7</v>
      </c>
      <c r="AZ13" s="17">
        <f>Data!BR13/Data!BA13</f>
        <v>1.2576844131410195E-7</v>
      </c>
      <c r="BA13" s="21">
        <f>Data!C13/Data!BB13</f>
        <v>2.5103355649388011</v>
      </c>
      <c r="BB13" s="16">
        <f>Data!D13/Data!BC13</f>
        <v>3.2138457886412626</v>
      </c>
      <c r="BC13" s="16">
        <f>Data!E13/Data!BD13</f>
        <v>2.4106165416304934</v>
      </c>
      <c r="BD13" s="16">
        <f>Data!F13/Data!BE13</f>
        <v>2.7142926143835613</v>
      </c>
      <c r="BE13" s="16">
        <f>Data!G13/Data!BF13</f>
        <v>3.7759452761957175</v>
      </c>
      <c r="BF13" s="16">
        <f>Data!H13/Data!BG13</f>
        <v>3.7432970252493636</v>
      </c>
      <c r="BG13" s="16">
        <f>Data!I13/Data!BH13</f>
        <v>2.5728511519917867</v>
      </c>
      <c r="BH13" s="16">
        <f>Data!J13/Data!BI13</f>
        <v>2.2079284128480863</v>
      </c>
      <c r="BI13" s="16">
        <f>Data!K13/Data!BJ13</f>
        <v>2.3393131106875158</v>
      </c>
      <c r="BJ13" s="16">
        <f>Data!L13/Data!BK13</f>
        <v>2.9785868452466544</v>
      </c>
      <c r="BK13" s="16">
        <f>Data!M13/Data!BL13</f>
        <v>2.7690625918469269</v>
      </c>
      <c r="BL13" s="16">
        <f>Data!N13/Data!BM13</f>
        <v>2.8370121056492659</v>
      </c>
      <c r="BM13" s="16">
        <f>Data!O13/Data!BN13</f>
        <v>1.9356295766743028</v>
      </c>
      <c r="BN13" s="16">
        <f>Data!P13/Data!BO13</f>
        <v>1.7618765049660396</v>
      </c>
      <c r="BO13" s="16">
        <f>Data!Q13/Data!BP13</f>
        <v>2.2327459526675688</v>
      </c>
      <c r="BP13" s="16">
        <f>Data!R13/Data!BQ13</f>
        <v>2.4101735176702226</v>
      </c>
      <c r="BQ13" s="16">
        <f>Data!S13/Data!BR13</f>
        <v>3.0867499426955503</v>
      </c>
    </row>
    <row r="14" spans="1:69" x14ac:dyDescent="0.3">
      <c r="A14" s="3">
        <v>2001</v>
      </c>
      <c r="B14" s="6">
        <f>Data!T14</f>
        <v>47370164</v>
      </c>
      <c r="C14" s="6">
        <f>Data!U14</f>
        <v>1278564300</v>
      </c>
      <c r="D14" s="6">
        <f>Data!V14</f>
        <v>127149000</v>
      </c>
      <c r="E14" s="6">
        <f>Data!W14</f>
        <v>145976482</v>
      </c>
      <c r="F14" s="6">
        <f>Data!X14</f>
        <v>2417751</v>
      </c>
      <c r="G14" s="6">
        <f>Data!Y14</f>
        <v>23815358</v>
      </c>
      <c r="H14" s="6">
        <f>Data!Z14</f>
        <v>316502971</v>
      </c>
      <c r="I14" s="6">
        <f>Data!AA14</f>
        <v>523568696</v>
      </c>
      <c r="J14" s="6">
        <f>Data!AB14</f>
        <v>459924387</v>
      </c>
      <c r="K14" s="6">
        <f>Data!AC14</f>
        <v>126865365</v>
      </c>
      <c r="L14" s="6">
        <f>Data!AD14</f>
        <v>154268911</v>
      </c>
      <c r="M14" s="6">
        <f>Data!AE14</f>
        <v>360583862</v>
      </c>
      <c r="N14" s="6">
        <f>Data!AF14</f>
        <v>656336244</v>
      </c>
      <c r="O14" s="6">
        <f>Data!AG14</f>
        <v>18179966</v>
      </c>
      <c r="P14" s="6">
        <f>Data!AH14</f>
        <v>1419419963</v>
      </c>
      <c r="Q14" s="6">
        <f>Data!AI14</f>
        <v>447435050</v>
      </c>
      <c r="R14" s="6">
        <f>Data!AJ14</f>
        <v>23155201</v>
      </c>
      <c r="S14" s="6">
        <f>Data!AK14/Data!T14</f>
        <v>27440.656491584661</v>
      </c>
      <c r="T14" s="6">
        <f>Data!AL14/Data!U14</f>
        <v>4558.0878577822559</v>
      </c>
      <c r="U14" s="6">
        <f>Data!AM14/Data!V14</f>
        <v>39062.281735523524</v>
      </c>
      <c r="V14" s="6">
        <f>Data!AN14/Data!W14</f>
        <v>21219.904286669753</v>
      </c>
      <c r="W14" s="6">
        <f>Data!AO14/Data!X14</f>
        <v>5917.0708839634435</v>
      </c>
      <c r="X14" s="6">
        <f>Data!AP14/Data!Y14</f>
        <v>646.01386467411498</v>
      </c>
      <c r="Y14" s="6">
        <f>Data!AQ14/Data!Z14</f>
        <v>54316.205095292455</v>
      </c>
      <c r="Z14" s="6">
        <f>Data!AR14/Data!AA14</f>
        <v>13404.126527285867</v>
      </c>
      <c r="AA14" s="6">
        <f>Data!AS14/Data!AB14</f>
        <v>43270.191386864426</v>
      </c>
      <c r="AB14" s="6">
        <f>Data!AT14/Data!AC14</f>
        <v>18020.767130280674</v>
      </c>
      <c r="AC14" s="6">
        <f>Data!AU14/Data!AD14</f>
        <v>7660.8789434466817</v>
      </c>
      <c r="AD14" s="6">
        <f>Data!AV14/Data!AE14</f>
        <v>13087.659063919587</v>
      </c>
      <c r="AE14" s="6">
        <f>Data!AW14/Data!AF14</f>
        <v>3591.7792510901927</v>
      </c>
      <c r="AF14" s="6">
        <f>Data!AX14/Data!AG14</f>
        <v>2330.7978051761975</v>
      </c>
      <c r="AG14" s="6">
        <f>Data!AY14/Data!AH14</f>
        <v>3224.6652564452411</v>
      </c>
      <c r="AH14" s="6">
        <f>Data!AZ14/Data!AI14</f>
        <v>7515.3690055321104</v>
      </c>
      <c r="AI14" s="6">
        <f>Data!BA14/Data!AJ14</f>
        <v>43996.582788447835</v>
      </c>
      <c r="AJ14" s="17">
        <f>Data!BB14/Data!AK14</f>
        <v>1.4296600505616956E-7</v>
      </c>
      <c r="AK14" s="17">
        <f>Data!BC14/Data!AL14</f>
        <v>2.0350276558781708E-7</v>
      </c>
      <c r="AL14" s="17">
        <f>Data!BD14/Data!AM14</f>
        <v>1.0214728721539466E-7</v>
      </c>
      <c r="AM14" s="17">
        <f>Data!BE14/Data!AN14</f>
        <v>2.0207010664052247E-7</v>
      </c>
      <c r="AN14" s="17">
        <f>Data!BF14/Data!AO14</f>
        <v>1.6860298599901468E-7</v>
      </c>
      <c r="AO14" s="17">
        <f>Data!BG14/Data!AP14</f>
        <v>1.3239786719416575E-6</v>
      </c>
      <c r="AP14" s="17">
        <f>Data!BH14/Data!AQ14</f>
        <v>1.4416446840098603E-7</v>
      </c>
      <c r="AQ14" s="17">
        <f>Data!BI14/Data!AR14</f>
        <v>8.6199033163013308E-8</v>
      </c>
      <c r="AR14" s="17">
        <f>Data!BJ14/Data!AS14</f>
        <v>8.0179597465635956E-8</v>
      </c>
      <c r="AS14" s="17">
        <f>Data!BK14/Data!AT14</f>
        <v>1.2707576275346935E-7</v>
      </c>
      <c r="AT14" s="17">
        <f>Data!BL14/Data!AU14</f>
        <v>2.3377518549970314E-7</v>
      </c>
      <c r="AU14" s="17">
        <f>Data!BM14/Data!AV14</f>
        <v>1.1395813906285656E-7</v>
      </c>
      <c r="AV14" s="17">
        <f>Data!BN14/Data!AW14</f>
        <v>1.2589014077673655E-7</v>
      </c>
      <c r="AW14" s="17">
        <f>Data!BO14/Data!AX14</f>
        <v>8.4555413928306579E-7</v>
      </c>
      <c r="AX14" s="17">
        <f>Data!BP14/Data!AY14</f>
        <v>1.1485784628396185E-7</v>
      </c>
      <c r="AY14" s="17">
        <f>Data!BQ14/Data!AZ14</f>
        <v>1.2562712807927305E-7</v>
      </c>
      <c r="AZ14" s="17">
        <f>Data!BR14/Data!BA14</f>
        <v>1.2055906750843901E-7</v>
      </c>
      <c r="BA14" s="21">
        <f>Data!C14/Data!BB14</f>
        <v>2.567362764578244</v>
      </c>
      <c r="BB14" s="16">
        <f>Data!D14/Data!BC14</f>
        <v>3.2605361405005415</v>
      </c>
      <c r="BC14" s="16">
        <f>Data!E14/Data!BD14</f>
        <v>2.4243984439795625</v>
      </c>
      <c r="BD14" s="16">
        <f>Data!F14/Data!BE14</f>
        <v>2.6908226886350204</v>
      </c>
      <c r="BE14" s="16">
        <f>Data!G14/Data!BF14</f>
        <v>3.7363975758200443</v>
      </c>
      <c r="BF14" s="16">
        <f>Data!H14/Data!BG14</f>
        <v>3.7641129903938149</v>
      </c>
      <c r="BG14" s="16">
        <f>Data!I14/Data!BH14</f>
        <v>2.5972296592889905</v>
      </c>
      <c r="BH14" s="16">
        <f>Data!J14/Data!BI14</f>
        <v>2.206947156673766</v>
      </c>
      <c r="BI14" s="16">
        <f>Data!K14/Data!BJ14</f>
        <v>2.3173951685013772</v>
      </c>
      <c r="BJ14" s="16">
        <f>Data!L14/Data!BK14</f>
        <v>2.9491433262370479</v>
      </c>
      <c r="BK14" s="16">
        <f>Data!M14/Data!BL14</f>
        <v>2.7788417246039474</v>
      </c>
      <c r="BL14" s="16">
        <f>Data!N14/Data!BM14</f>
        <v>2.7532816698479654</v>
      </c>
      <c r="BM14" s="16">
        <f>Data!O14/Data!BN14</f>
        <v>1.9832193361191812</v>
      </c>
      <c r="BN14" s="16">
        <f>Data!P14/Data!BO14</f>
        <v>1.8227611149134022</v>
      </c>
      <c r="BO14" s="16">
        <f>Data!Q14/Data!BP14</f>
        <v>2.2380093365171319</v>
      </c>
      <c r="BP14" s="16">
        <f>Data!R14/Data!BQ14</f>
        <v>2.4380016853305473</v>
      </c>
      <c r="BQ14" s="16">
        <f>Data!S14/Data!BR14</f>
        <v>3.2188362494165017</v>
      </c>
    </row>
    <row r="15" spans="1:69" x14ac:dyDescent="0.3">
      <c r="A15" s="3">
        <v>2002</v>
      </c>
      <c r="B15" s="6">
        <f>Data!T15</f>
        <v>47644736</v>
      </c>
      <c r="C15" s="6">
        <f>Data!U15</f>
        <v>1287144100</v>
      </c>
      <c r="D15" s="6">
        <f>Data!V15</f>
        <v>127445000</v>
      </c>
      <c r="E15" s="6">
        <f>Data!W15</f>
        <v>145306497</v>
      </c>
      <c r="F15" s="6">
        <f>Data!X15</f>
        <v>2449027</v>
      </c>
      <c r="G15" s="6">
        <f>Data!Y15</f>
        <v>23943973</v>
      </c>
      <c r="H15" s="6">
        <f>Data!Z15</f>
        <v>319497793</v>
      </c>
      <c r="I15" s="6">
        <f>Data!AA15</f>
        <v>530681757</v>
      </c>
      <c r="J15" s="6">
        <f>Data!AB15</f>
        <v>462778793</v>
      </c>
      <c r="K15" s="6">
        <f>Data!AC15</f>
        <v>126158241</v>
      </c>
      <c r="L15" s="6">
        <f>Data!AD15</f>
        <v>155531091</v>
      </c>
      <c r="M15" s="6">
        <f>Data!AE15</f>
        <v>368226417</v>
      </c>
      <c r="N15" s="6">
        <f>Data!AF15</f>
        <v>674082131</v>
      </c>
      <c r="O15" s="6">
        <f>Data!AG15</f>
        <v>18466130</v>
      </c>
      <c r="P15" s="6">
        <f>Data!AH15</f>
        <v>1445807345</v>
      </c>
      <c r="Q15" s="6">
        <f>Data!AI15</f>
        <v>454091846</v>
      </c>
      <c r="R15" s="6">
        <f>Data!AJ15</f>
        <v>23443710</v>
      </c>
      <c r="S15" s="6">
        <f>Data!AK15/Data!T15</f>
        <v>29395.276603679577</v>
      </c>
      <c r="T15" s="6">
        <f>Data!AL15/Data!U15</f>
        <v>4930.4759642304689</v>
      </c>
      <c r="U15" s="6">
        <f>Data!AM15/Data!V15</f>
        <v>38987.910270753811</v>
      </c>
      <c r="V15" s="6">
        <f>Data!AN15/Data!W15</f>
        <v>22319.678199940503</v>
      </c>
      <c r="W15" s="6">
        <f>Data!AO15/Data!X15</f>
        <v>6117.9824222592079</v>
      </c>
      <c r="X15" s="6">
        <f>Data!AP15/Data!Y15</f>
        <v>650.26164697262641</v>
      </c>
      <c r="Y15" s="6">
        <f>Data!AQ15/Data!Z15</f>
        <v>54801.979196151442</v>
      </c>
      <c r="Z15" s="6">
        <f>Data!AR15/Data!AA15</f>
        <v>13291.635791374491</v>
      </c>
      <c r="AA15" s="6">
        <f>Data!AS15/Data!AB15</f>
        <v>43547.104854962752</v>
      </c>
      <c r="AB15" s="6">
        <f>Data!AT15/Data!AC15</f>
        <v>18802.475904573766</v>
      </c>
      <c r="AC15" s="6">
        <f>Data!AU15/Data!AD15</f>
        <v>8117.1313888450122</v>
      </c>
      <c r="AD15" s="6">
        <f>Data!AV15/Data!AE15</f>
        <v>13110.162042494903</v>
      </c>
      <c r="AE15" s="6">
        <f>Data!AW15/Data!AF15</f>
        <v>3733.791606345073</v>
      </c>
      <c r="AF15" s="6">
        <f>Data!AX15/Data!AG15</f>
        <v>2435.3185748067517</v>
      </c>
      <c r="AG15" s="6">
        <f>Data!AY15/Data!AH15</f>
        <v>3280.4205880966665</v>
      </c>
      <c r="AH15" s="6">
        <f>Data!AZ15/Data!AI15</f>
        <v>7774.3027687214626</v>
      </c>
      <c r="AI15" s="6">
        <f>Data!BA15/Data!AJ15</f>
        <v>45218.159972406669</v>
      </c>
      <c r="AJ15" s="17">
        <f>Data!BB15/Data!AK15</f>
        <v>1.3925626445971143E-7</v>
      </c>
      <c r="AK15" s="17">
        <f>Data!BC15/Data!AL15</f>
        <v>1.9900297744145191E-7</v>
      </c>
      <c r="AL15" s="17">
        <f>Data!BD15/Data!AM15</f>
        <v>1.0241431496781124E-7</v>
      </c>
      <c r="AM15" s="17">
        <f>Data!BE15/Data!AN15</f>
        <v>1.9218196546397495E-7</v>
      </c>
      <c r="AN15" s="17">
        <f>Data!BF15/Data!AO15</f>
        <v>1.7236341523600248E-7</v>
      </c>
      <c r="AO15" s="17">
        <f>Data!BG15/Data!AP15</f>
        <v>1.2566328108638654E-6</v>
      </c>
      <c r="AP15" s="17">
        <f>Data!BH15/Data!AQ15</f>
        <v>1.4302349062990992E-7</v>
      </c>
      <c r="AQ15" s="17">
        <f>Data!BI15/Data!AR15</f>
        <v>8.8923233762620787E-8</v>
      </c>
      <c r="AR15" s="17">
        <f>Data!BJ15/Data!AS15</f>
        <v>7.916110096986929E-8</v>
      </c>
      <c r="AS15" s="17">
        <f>Data!BK15/Data!AT15</f>
        <v>1.2340091052204485E-7</v>
      </c>
      <c r="AT15" s="17">
        <f>Data!BL15/Data!AU15</f>
        <v>2.2446291662871029E-7</v>
      </c>
      <c r="AU15" s="17">
        <f>Data!BM15/Data!AV15</f>
        <v>1.1644202030514213E-7</v>
      </c>
      <c r="AV15" s="17">
        <f>Data!BN15/Data!AW15</f>
        <v>1.1852108878127679E-7</v>
      </c>
      <c r="AW15" s="17">
        <f>Data!BO15/Data!AX15</f>
        <v>8.6002181235266064E-7</v>
      </c>
      <c r="AX15" s="17">
        <f>Data!BP15/Data!AY15</f>
        <v>1.1371955408753291E-7</v>
      </c>
      <c r="AY15" s="17">
        <f>Data!BQ15/Data!AZ15</f>
        <v>1.2526409311236786E-7</v>
      </c>
      <c r="AZ15" s="17">
        <f>Data!BR15/Data!BA15</f>
        <v>1.1689709544490848E-7</v>
      </c>
      <c r="BA15" s="21">
        <f>Data!C15/Data!BB15</f>
        <v>2.5353216418005862</v>
      </c>
      <c r="BB15" s="16">
        <f>Data!D15/Data!BC15</f>
        <v>3.3050602670224278</v>
      </c>
      <c r="BC15" s="16">
        <f>Data!E15/Data!BD15</f>
        <v>2.4848816165917511</v>
      </c>
      <c r="BD15" s="16">
        <f>Data!F15/Data!BE15</f>
        <v>2.6878536699102225</v>
      </c>
      <c r="BE15" s="16">
        <f>Data!G15/Data!BF15</f>
        <v>3.7397428734419895</v>
      </c>
      <c r="BF15" s="16">
        <f>Data!H15/Data!BG15</f>
        <v>3.7536879611236169</v>
      </c>
      <c r="BG15" s="16">
        <f>Data!I15/Data!BH15</f>
        <v>2.5161411377294085</v>
      </c>
      <c r="BH15" s="16">
        <f>Data!J15/Data!BI15</f>
        <v>2.1376833939633193</v>
      </c>
      <c r="BI15" s="16">
        <f>Data!K15/Data!BJ15</f>
        <v>2.3171176807064713</v>
      </c>
      <c r="BJ15" s="16">
        <f>Data!L15/Data!BK15</f>
        <v>2.8855870677063979</v>
      </c>
      <c r="BK15" s="16">
        <f>Data!M15/Data!BL15</f>
        <v>2.7901527581045307</v>
      </c>
      <c r="BL15" s="16">
        <f>Data!N15/Data!BM15</f>
        <v>2.7320305253769486</v>
      </c>
      <c r="BM15" s="16">
        <f>Data!O15/Data!BN15</f>
        <v>1.9814405953283281</v>
      </c>
      <c r="BN15" s="16">
        <f>Data!P15/Data!BO15</f>
        <v>1.9775634430100737</v>
      </c>
      <c r="BO15" s="16">
        <f>Data!Q15/Data!BP15</f>
        <v>2.2540459819849832</v>
      </c>
      <c r="BP15" s="16">
        <f>Data!R15/Data!BQ15</f>
        <v>2.4022896185333797</v>
      </c>
      <c r="BQ15" s="16">
        <f>Data!S15/Data!BR15</f>
        <v>3.2572866792186179</v>
      </c>
    </row>
    <row r="16" spans="1:69" x14ac:dyDescent="0.3">
      <c r="A16" s="3">
        <v>2003</v>
      </c>
      <c r="B16" s="6">
        <f>Data!T16</f>
        <v>47892330</v>
      </c>
      <c r="C16" s="6">
        <f>Data!U16</f>
        <v>1295130800</v>
      </c>
      <c r="D16" s="6">
        <f>Data!V16</f>
        <v>127718000</v>
      </c>
      <c r="E16" s="6">
        <f>Data!W16</f>
        <v>144648618</v>
      </c>
      <c r="F16" s="6">
        <f>Data!X16</f>
        <v>2480374</v>
      </c>
      <c r="G16" s="6">
        <f>Data!Y16</f>
        <v>24090380</v>
      </c>
      <c r="H16" s="6">
        <f>Data!Z16</f>
        <v>322263565</v>
      </c>
      <c r="I16" s="6">
        <f>Data!AA16</f>
        <v>537630194</v>
      </c>
      <c r="J16" s="6">
        <f>Data!AB16</f>
        <v>465851296</v>
      </c>
      <c r="K16" s="6">
        <f>Data!AC16</f>
        <v>125784323</v>
      </c>
      <c r="L16" s="6">
        <f>Data!AD16</f>
        <v>157140855</v>
      </c>
      <c r="M16" s="6">
        <f>Data!AE16</f>
        <v>376082752</v>
      </c>
      <c r="N16" s="6">
        <f>Data!AF16</f>
        <v>692421331</v>
      </c>
      <c r="O16" s="6">
        <f>Data!AG16</f>
        <v>18748913</v>
      </c>
      <c r="P16" s="6">
        <f>Data!AH16</f>
        <v>1471458038</v>
      </c>
      <c r="Q16" s="6">
        <f>Data!AI16</f>
        <v>460549648</v>
      </c>
      <c r="R16" s="6">
        <f>Data!AJ16</f>
        <v>23747937</v>
      </c>
      <c r="S16" s="6">
        <f>Data!AK16/Data!T16</f>
        <v>30142.460558581301</v>
      </c>
      <c r="T16" s="6">
        <f>Data!AL16/Data!U16</f>
        <v>5381.0656227214895</v>
      </c>
      <c r="U16" s="6">
        <f>Data!AM16/Data!V16</f>
        <v>39501.806782418927</v>
      </c>
      <c r="V16" s="6">
        <f>Data!AN16/Data!W16</f>
        <v>24057.926971440404</v>
      </c>
      <c r="W16" s="6">
        <f>Data!AO16/Data!X16</f>
        <v>6463.7896665176295</v>
      </c>
      <c r="X16" s="6">
        <f>Data!AP16/Data!Y16</f>
        <v>658.06087189571929</v>
      </c>
      <c r="Y16" s="6">
        <f>Data!AQ16/Data!Z16</f>
        <v>55802.129356150152</v>
      </c>
      <c r="Z16" s="6">
        <f>Data!AR16/Data!AA16</f>
        <v>13454.224841500903</v>
      </c>
      <c r="AA16" s="6">
        <f>Data!AS16/Data!AB16</f>
        <v>43813.448135578219</v>
      </c>
      <c r="AB16" s="6">
        <f>Data!AT16/Data!AC16</f>
        <v>19602.245163022821</v>
      </c>
      <c r="AC16" s="6">
        <f>Data!AU16/Data!AD16</f>
        <v>8738.210941532614</v>
      </c>
      <c r="AD16" s="6">
        <f>Data!AV16/Data!AE16</f>
        <v>13379.345931735152</v>
      </c>
      <c r="AE16" s="6">
        <f>Data!AW16/Data!AF16</f>
        <v>3785.098121369098</v>
      </c>
      <c r="AF16" s="6">
        <f>Data!AX16/Data!AG16</f>
        <v>2605.586212469731</v>
      </c>
      <c r="AG16" s="6">
        <f>Data!AY16/Data!AH16</f>
        <v>3455.3243422449605</v>
      </c>
      <c r="AH16" s="6">
        <f>Data!AZ16/Data!AI16</f>
        <v>8100.9077582097298</v>
      </c>
      <c r="AI16" s="6">
        <f>Data!BA16/Data!AJ16</f>
        <v>46122.099641495173</v>
      </c>
      <c r="AJ16" s="17">
        <f>Data!BB16/Data!AK16</f>
        <v>1.372697066015645E-7</v>
      </c>
      <c r="AK16" s="17">
        <f>Data!BC16/Data!AL16</f>
        <v>2.0626591206892844E-7</v>
      </c>
      <c r="AL16" s="17">
        <f>Data!BD16/Data!AM16</f>
        <v>1.0017011447509011E-7</v>
      </c>
      <c r="AM16" s="17">
        <f>Data!BE16/Data!AN16</f>
        <v>1.854620277740746E-7</v>
      </c>
      <c r="AN16" s="17">
        <f>Data!BF16/Data!AO16</f>
        <v>1.5732311100683065E-7</v>
      </c>
      <c r="AO16" s="17">
        <f>Data!BG16/Data!AP16</f>
        <v>1.2634173511997253E-6</v>
      </c>
      <c r="AP16" s="17">
        <f>Data!BH16/Data!AQ16</f>
        <v>1.4030256777783279E-7</v>
      </c>
      <c r="AQ16" s="17">
        <f>Data!BI16/Data!AR16</f>
        <v>8.9233387348050063E-8</v>
      </c>
      <c r="AR16" s="17">
        <f>Data!BJ16/Data!AS16</f>
        <v>8.0026979834541603E-8</v>
      </c>
      <c r="AS16" s="17">
        <f>Data!BK16/Data!AT16</f>
        <v>1.2261861095232625E-7</v>
      </c>
      <c r="AT16" s="17">
        <f>Data!BL16/Data!AU16</f>
        <v>2.1589611564286763E-7</v>
      </c>
      <c r="AU16" s="17">
        <f>Data!BM16/Data!AV16</f>
        <v>1.138806881952308E-7</v>
      </c>
      <c r="AV16" s="17">
        <f>Data!BN16/Data!AW16</f>
        <v>1.211528659883719E-7</v>
      </c>
      <c r="AW16" s="17">
        <f>Data!BO16/Data!AX16</f>
        <v>8.2903916456120221E-7</v>
      </c>
      <c r="AX16" s="17">
        <f>Data!BP16/Data!AY16</f>
        <v>1.0903326635330605E-7</v>
      </c>
      <c r="AY16" s="17">
        <f>Data!BQ16/Data!AZ16</f>
        <v>1.2391855469867987E-7</v>
      </c>
      <c r="AZ16" s="17">
        <f>Data!BR16/Data!BA16</f>
        <v>1.1647911769861971E-7</v>
      </c>
      <c r="BA16" s="21">
        <f>Data!C16/Data!BB16</f>
        <v>2.5382625436130133</v>
      </c>
      <c r="BB16" s="16">
        <f>Data!D16/Data!BC16</f>
        <v>3.3513799304215173</v>
      </c>
      <c r="BC16" s="16">
        <f>Data!E16/Data!BD16</f>
        <v>2.516835675357616</v>
      </c>
      <c r="BD16" s="16">
        <f>Data!F16/Data!BE16</f>
        <v>2.6917543220998872</v>
      </c>
      <c r="BE16" s="16">
        <f>Data!G16/Data!BF16</f>
        <v>3.711878372349692</v>
      </c>
      <c r="BF16" s="16">
        <f>Data!H16/Data!BG16</f>
        <v>3.7436976144832399</v>
      </c>
      <c r="BG16" s="16">
        <f>Data!I16/Data!BH16</f>
        <v>2.5337342356660586</v>
      </c>
      <c r="BH16" s="16">
        <f>Data!J16/Data!BI16</f>
        <v>2.1178439233672379</v>
      </c>
      <c r="BI16" s="16">
        <f>Data!K16/Data!BJ16</f>
        <v>2.3219262766072672</v>
      </c>
      <c r="BJ16" s="16">
        <f>Data!L16/Data!BK16</f>
        <v>2.9205176233579029</v>
      </c>
      <c r="BK16" s="16">
        <f>Data!M16/Data!BL16</f>
        <v>2.8390304057500004</v>
      </c>
      <c r="BL16" s="16">
        <f>Data!N16/Data!BM16</f>
        <v>2.7766721498412186</v>
      </c>
      <c r="BM16" s="16">
        <f>Data!O16/Data!BN16</f>
        <v>1.9741142832717145</v>
      </c>
      <c r="BN16" s="16">
        <f>Data!P16/Data!BO16</f>
        <v>2.006522724759066</v>
      </c>
      <c r="BO16" s="16">
        <f>Data!Q16/Data!BP16</f>
        <v>2.263560214627065</v>
      </c>
      <c r="BP16" s="16">
        <f>Data!R16/Data!BQ16</f>
        <v>2.4280467656381894</v>
      </c>
      <c r="BQ16" s="16">
        <f>Data!S16/Data!BR16</f>
        <v>3.167126278298892</v>
      </c>
    </row>
    <row r="17" spans="1:69" x14ac:dyDescent="0.3">
      <c r="A17" s="3">
        <v>2004</v>
      </c>
      <c r="B17" s="6">
        <f>Data!T17</f>
        <v>48082519</v>
      </c>
      <c r="C17" s="6">
        <f>Data!U17</f>
        <v>1302858500</v>
      </c>
      <c r="D17" s="6">
        <f>Data!V17</f>
        <v>127761000</v>
      </c>
      <c r="E17" s="6">
        <f>Data!W17</f>
        <v>144067316</v>
      </c>
      <c r="F17" s="6">
        <f>Data!X17</f>
        <v>2508412</v>
      </c>
      <c r="G17" s="6">
        <f>Data!Y17</f>
        <v>24254943</v>
      </c>
      <c r="H17" s="6">
        <f>Data!Z17</f>
        <v>325256590</v>
      </c>
      <c r="I17" s="6">
        <f>Data!AA17</f>
        <v>544440733</v>
      </c>
      <c r="J17" s="6">
        <f>Data!AB17</f>
        <v>469013375</v>
      </c>
      <c r="K17" s="6">
        <f>Data!AC17</f>
        <v>125415111</v>
      </c>
      <c r="L17" s="6">
        <f>Data!AD17</f>
        <v>158297932</v>
      </c>
      <c r="M17" s="6">
        <f>Data!AE17</f>
        <v>384802144</v>
      </c>
      <c r="N17" s="6">
        <f>Data!AF17</f>
        <v>711408592</v>
      </c>
      <c r="O17" s="6">
        <f>Data!AG17</f>
        <v>19026357</v>
      </c>
      <c r="P17" s="6">
        <f>Data!AH17</f>
        <v>1497236587</v>
      </c>
      <c r="Q17" s="6">
        <f>Data!AI17</f>
        <v>466972145</v>
      </c>
      <c r="R17" s="6">
        <f>Data!AJ17</f>
        <v>24020222</v>
      </c>
      <c r="S17" s="6">
        <f>Data!AK17/Data!T17</f>
        <v>31579.528304886648</v>
      </c>
      <c r="T17" s="6">
        <f>Data!AL17/Data!U17</f>
        <v>5888.0188341756912</v>
      </c>
      <c r="U17" s="6">
        <f>Data!AM17/Data!V17</f>
        <v>40351.776374395005</v>
      </c>
      <c r="V17" s="6">
        <f>Data!AN17/Data!W17</f>
        <v>25894.146443420035</v>
      </c>
      <c r="W17" s="6">
        <f>Data!AO17/Data!X17</f>
        <v>7070.6671584510041</v>
      </c>
      <c r="X17" s="6">
        <f>Data!AP17/Data!Y17</f>
        <v>667.16590140203175</v>
      </c>
      <c r="Y17" s="6">
        <f>Data!AQ17/Data!Z17</f>
        <v>57379.067374805221</v>
      </c>
      <c r="Z17" s="6">
        <f>Data!AR17/Data!AA17</f>
        <v>13990.644076689941</v>
      </c>
      <c r="AA17" s="6">
        <f>Data!AS17/Data!AB17</f>
        <v>44711.9523362322</v>
      </c>
      <c r="AB17" s="6">
        <f>Data!AT17/Data!AC17</f>
        <v>20855.908894468386</v>
      </c>
      <c r="AC17" s="6">
        <f>Data!AU17/Data!AD17</f>
        <v>9557.5736340956119</v>
      </c>
      <c r="AD17" s="6">
        <f>Data!AV17/Data!AE17</f>
        <v>14115.556736432191</v>
      </c>
      <c r="AE17" s="6">
        <f>Data!AW17/Data!AF17</f>
        <v>3940.2825182306769</v>
      </c>
      <c r="AF17" s="6">
        <f>Data!AX17/Data!AG17</f>
        <v>2779.9478083091999</v>
      </c>
      <c r="AG17" s="6">
        <f>Data!AY17/Data!AH17</f>
        <v>3653.313890889463</v>
      </c>
      <c r="AH17" s="6">
        <f>Data!AZ17/Data!AI17</f>
        <v>8502.4151915847997</v>
      </c>
      <c r="AI17" s="6">
        <f>Data!BA17/Data!AJ17</f>
        <v>47514.522987874552</v>
      </c>
      <c r="AJ17" s="17">
        <f>Data!BB17/Data!AK17</f>
        <v>1.3474553181490708E-7</v>
      </c>
      <c r="AK17" s="17">
        <f>Data!BC17/Data!AL17</f>
        <v>2.1264072239342092E-7</v>
      </c>
      <c r="AL17" s="17">
        <f>Data!BD17/Data!AM17</f>
        <v>1.0124689271142747E-7</v>
      </c>
      <c r="AM17" s="17">
        <f>Data!BE17/Data!AN17</f>
        <v>1.7357210911860032E-7</v>
      </c>
      <c r="AN17" s="17">
        <f>Data!BF17/Data!AO17</f>
        <v>1.4644624311267999E-7</v>
      </c>
      <c r="AO17" s="17">
        <f>Data!BG17/Data!AP17</f>
        <v>1.2666702002442773E-6</v>
      </c>
      <c r="AP17" s="17">
        <f>Data!BH17/Data!AQ17</f>
        <v>1.3793328861347566E-7</v>
      </c>
      <c r="AQ17" s="17">
        <f>Data!BI17/Data!AR17</f>
        <v>8.7867975012682404E-8</v>
      </c>
      <c r="AR17" s="17">
        <f>Data!BJ17/Data!AS17</f>
        <v>7.8841297623125468E-8</v>
      </c>
      <c r="AS17" s="17">
        <f>Data!BK17/Data!AT17</f>
        <v>1.1647435622945579E-7</v>
      </c>
      <c r="AT17" s="17">
        <f>Data!BL17/Data!AU17</f>
        <v>2.0514156573602291E-7</v>
      </c>
      <c r="AU17" s="17">
        <f>Data!BM17/Data!AV17</f>
        <v>1.1128449821388618E-7</v>
      </c>
      <c r="AV17" s="17">
        <f>Data!BN17/Data!AW17</f>
        <v>1.197909132833025E-7</v>
      </c>
      <c r="AW17" s="17">
        <f>Data!BO17/Data!AX17</f>
        <v>8.4214201901860795E-7</v>
      </c>
      <c r="AX17" s="17">
        <f>Data!BP17/Data!AY17</f>
        <v>1.0705942847226016E-7</v>
      </c>
      <c r="AY17" s="17">
        <f>Data!BQ17/Data!AZ17</f>
        <v>1.2451306396956877E-7</v>
      </c>
      <c r="AZ17" s="17">
        <f>Data!BR17/Data!BA17</f>
        <v>1.1384426527435849E-7</v>
      </c>
      <c r="BA17" s="21">
        <f>Data!C17/Data!BB17</f>
        <v>2.5389476673850084</v>
      </c>
      <c r="BB17" s="16">
        <f>Data!D17/Data!BC17</f>
        <v>3.3943976116684742</v>
      </c>
      <c r="BC17" s="16">
        <f>Data!E17/Data!BD17</f>
        <v>2.4274447469115548</v>
      </c>
      <c r="BD17" s="16">
        <f>Data!F17/Data!BE17</f>
        <v>2.6854694238544146</v>
      </c>
      <c r="BE17" s="16">
        <f>Data!G17/Data!BF17</f>
        <v>3.6871601118691371</v>
      </c>
      <c r="BF17" s="16">
        <f>Data!H17/Data!BG17</f>
        <v>3.7333888400871595</v>
      </c>
      <c r="BG17" s="16">
        <f>Data!I17/Data!BH17</f>
        <v>2.5117881998780822</v>
      </c>
      <c r="BH17" s="16">
        <f>Data!J17/Data!BI17</f>
        <v>2.137697120261282</v>
      </c>
      <c r="BI17" s="16">
        <f>Data!K17/Data!BJ17</f>
        <v>2.3047157128412832</v>
      </c>
      <c r="BJ17" s="16">
        <f>Data!L17/Data!BK17</f>
        <v>2.9086408450692924</v>
      </c>
      <c r="BK17" s="16">
        <f>Data!M17/Data!BL17</f>
        <v>2.7079427396056319</v>
      </c>
      <c r="BL17" s="16">
        <f>Data!N17/Data!BM17</f>
        <v>2.7839342933431146</v>
      </c>
      <c r="BM17" s="16">
        <f>Data!O17/Data!BN17</f>
        <v>1.9698065137901755</v>
      </c>
      <c r="BN17" s="16">
        <f>Data!P17/Data!BO17</f>
        <v>2.1463591620633733</v>
      </c>
      <c r="BO17" s="16">
        <f>Data!Q17/Data!BP17</f>
        <v>2.3151473453328788</v>
      </c>
      <c r="BP17" s="16">
        <f>Data!R17/Data!BQ17</f>
        <v>2.3764842598898692</v>
      </c>
      <c r="BQ17" s="16">
        <f>Data!S17/Data!BR17</f>
        <v>3.2132354069242868</v>
      </c>
    </row>
    <row r="18" spans="1:69" x14ac:dyDescent="0.3">
      <c r="A18" s="3">
        <v>2005</v>
      </c>
      <c r="B18" s="6">
        <f>Data!T18</f>
        <v>48184561</v>
      </c>
      <c r="C18" s="6">
        <f>Data!U18</f>
        <v>1310533200</v>
      </c>
      <c r="D18" s="6">
        <f>Data!V18</f>
        <v>127773000</v>
      </c>
      <c r="E18" s="6">
        <f>Data!W18</f>
        <v>143518814</v>
      </c>
      <c r="F18" s="6">
        <f>Data!X18</f>
        <v>2536407</v>
      </c>
      <c r="G18" s="6">
        <f>Data!Y18</f>
        <v>24396433</v>
      </c>
      <c r="H18" s="6">
        <f>Data!Z18</f>
        <v>328270766</v>
      </c>
      <c r="I18" s="6">
        <f>Data!AA18</f>
        <v>551110600</v>
      </c>
      <c r="J18" s="6">
        <f>Data!AB18</f>
        <v>472137226</v>
      </c>
      <c r="K18" s="6">
        <f>Data!AC18</f>
        <v>125028605</v>
      </c>
      <c r="L18" s="6">
        <f>Data!AD18</f>
        <v>159448451</v>
      </c>
      <c r="M18" s="6">
        <f>Data!AE18</f>
        <v>393962018</v>
      </c>
      <c r="N18" s="6">
        <f>Data!AF18</f>
        <v>731007465</v>
      </c>
      <c r="O18" s="6">
        <f>Data!AG18</f>
        <v>19308725</v>
      </c>
      <c r="P18" s="6">
        <f>Data!AH18</f>
        <v>1522339596</v>
      </c>
      <c r="Q18" s="6">
        <f>Data!AI18</f>
        <v>473435779</v>
      </c>
      <c r="R18" s="6">
        <f>Data!AJ18</f>
        <v>24310744</v>
      </c>
      <c r="S18" s="6">
        <f>Data!AK18/Data!T18</f>
        <v>32886.047245074202</v>
      </c>
      <c r="T18" s="6">
        <f>Data!AL18/Data!U18</f>
        <v>6514.8042144563524</v>
      </c>
      <c r="U18" s="6">
        <f>Data!AM18/Data!V18</f>
        <v>41075.824358084887</v>
      </c>
      <c r="V18" s="6">
        <f>Data!AN18/Data!W18</f>
        <v>27656.659012368789</v>
      </c>
      <c r="W18" s="6">
        <f>Data!AO18/Data!X18</f>
        <v>7499.8480393542904</v>
      </c>
      <c r="X18" s="6">
        <f>Data!AP18/Data!Y18</f>
        <v>688.24251022011708</v>
      </c>
      <c r="Y18" s="6">
        <f>Data!AQ18/Data!Z18</f>
        <v>58819.082464680694</v>
      </c>
      <c r="Z18" s="6">
        <f>Data!AR18/Data!AA18</f>
        <v>14381.094701520058</v>
      </c>
      <c r="AA18" s="6">
        <f>Data!AS18/Data!AB18</f>
        <v>45442.221879981778</v>
      </c>
      <c r="AB18" s="6">
        <f>Data!AT18/Data!AC18</f>
        <v>21946.776674826131</v>
      </c>
      <c r="AC18" s="6">
        <f>Data!AU18/Data!AD18</f>
        <v>10161.17206179093</v>
      </c>
      <c r="AD18" s="6">
        <f>Data!AV18/Data!AE18</f>
        <v>14463.440971004928</v>
      </c>
      <c r="AE18" s="6">
        <f>Data!AW18/Data!AF18</f>
        <v>4067.9519103915168</v>
      </c>
      <c r="AF18" s="6">
        <f>Data!AX18/Data!AG18</f>
        <v>3039.8710345863019</v>
      </c>
      <c r="AG18" s="6">
        <f>Data!AY18/Data!AH18</f>
        <v>3866.8433781743793</v>
      </c>
      <c r="AH18" s="6">
        <f>Data!AZ18/Data!AI18</f>
        <v>8848.3240457551256</v>
      </c>
      <c r="AI18" s="6">
        <f>Data!BA18/Data!AJ18</f>
        <v>48441.371881129184</v>
      </c>
      <c r="AJ18" s="17">
        <f>Data!BB18/Data!AK18</f>
        <v>1.3149982325941639E-7</v>
      </c>
      <c r="AK18" s="17">
        <f>Data!BC18/Data!AL18</f>
        <v>2.1065329312407837E-7</v>
      </c>
      <c r="AL18" s="17">
        <f>Data!BD18/Data!AM18</f>
        <v>9.8998431084867354E-8</v>
      </c>
      <c r="AM18" s="17">
        <f>Data!BE18/Data!AN18</f>
        <v>1.6419946894564556E-7</v>
      </c>
      <c r="AN18" s="17">
        <f>Data!BF18/Data!AO18</f>
        <v>1.5730943456165927E-7</v>
      </c>
      <c r="AO18" s="17">
        <f>Data!BG18/Data!AP18</f>
        <v>1.2706974051178593E-6</v>
      </c>
      <c r="AP18" s="17">
        <f>Data!BH18/Data!AQ18</f>
        <v>1.3401927591679738E-7</v>
      </c>
      <c r="AQ18" s="17">
        <f>Data!BI18/Data!AR18</f>
        <v>8.7509530244947208E-8</v>
      </c>
      <c r="AR18" s="17">
        <f>Data!BJ18/Data!AS18</f>
        <v>7.7374132205122598E-8</v>
      </c>
      <c r="AS18" s="17">
        <f>Data!BK18/Data!AT18</f>
        <v>1.1222688813719469E-7</v>
      </c>
      <c r="AT18" s="17">
        <f>Data!BL18/Data!AU18</f>
        <v>1.9003447100206799E-7</v>
      </c>
      <c r="AU18" s="17">
        <f>Data!BM18/Data!AV18</f>
        <v>1.144020399512366E-7</v>
      </c>
      <c r="AV18" s="17">
        <f>Data!BN18/Data!AW18</f>
        <v>1.146117989930069E-7</v>
      </c>
      <c r="AW18" s="17">
        <f>Data!BO18/Data!AX18</f>
        <v>8.0157870847653791E-7</v>
      </c>
      <c r="AX18" s="17">
        <f>Data!BP18/Data!AY18</f>
        <v>1.0344469682568261E-7</v>
      </c>
      <c r="AY18" s="17">
        <f>Data!BQ18/Data!AZ18</f>
        <v>1.1876411730552046E-7</v>
      </c>
      <c r="AZ18" s="17">
        <f>Data!BR18/Data!BA18</f>
        <v>1.1066717515311345E-7</v>
      </c>
      <c r="BA18" s="21">
        <f>Data!C18/Data!BB18</f>
        <v>2.4762117117465481</v>
      </c>
      <c r="BB18" s="16">
        <f>Data!D18/Data!BC18</f>
        <v>3.4910127537943239</v>
      </c>
      <c r="BC18" s="16">
        <f>Data!E18/Data!BD18</f>
        <v>2.4609900493303734</v>
      </c>
      <c r="BD18" s="16">
        <f>Data!F18/Data!BE18</f>
        <v>2.6686690116529395</v>
      </c>
      <c r="BE18" s="16">
        <f>Data!G18/Data!BF18</f>
        <v>3.7190681215868637</v>
      </c>
      <c r="BF18" s="16">
        <f>Data!H18/Data!BG18</f>
        <v>3.7372507388014662</v>
      </c>
      <c r="BG18" s="16">
        <f>Data!I18/Data!BH18</f>
        <v>2.5106280724249785</v>
      </c>
      <c r="BH18" s="16">
        <f>Data!J18/Data!BI18</f>
        <v>2.1298107436447644</v>
      </c>
      <c r="BI18" s="16">
        <f>Data!K18/Data!BJ18</f>
        <v>2.2871213492391407</v>
      </c>
      <c r="BJ18" s="16">
        <f>Data!L18/Data!BK18</f>
        <v>2.8620937310363743</v>
      </c>
      <c r="BK18" s="16">
        <f>Data!M18/Data!BL18</f>
        <v>2.7312738046984797</v>
      </c>
      <c r="BL18" s="16">
        <f>Data!N18/Data!BM18</f>
        <v>2.759180251706423</v>
      </c>
      <c r="BM18" s="16">
        <f>Data!O18/Data!BN18</f>
        <v>1.9820224896677845</v>
      </c>
      <c r="BN18" s="16">
        <f>Data!P18/Data!BO18</f>
        <v>2.2221999150619318</v>
      </c>
      <c r="BO18" s="16">
        <f>Data!Q18/Data!BP18</f>
        <v>2.3191702172176276</v>
      </c>
      <c r="BP18" s="16">
        <f>Data!R18/Data!BQ18</f>
        <v>2.4251657362401495</v>
      </c>
      <c r="BQ18" s="16">
        <f>Data!S18/Data!BR18</f>
        <v>3.2250855001870575</v>
      </c>
    </row>
    <row r="19" spans="1:69" x14ac:dyDescent="0.3">
      <c r="A19" s="3">
        <v>2006</v>
      </c>
      <c r="B19" s="6">
        <f>Data!T19</f>
        <v>48438292</v>
      </c>
      <c r="C19" s="6">
        <f>Data!U19</f>
        <v>1317877100</v>
      </c>
      <c r="D19" s="6">
        <f>Data!V19</f>
        <v>127854000</v>
      </c>
      <c r="E19" s="6">
        <f>Data!W19</f>
        <v>143049637</v>
      </c>
      <c r="F19" s="6">
        <f>Data!X19</f>
        <v>2567168</v>
      </c>
      <c r="G19" s="6">
        <f>Data!Y19</f>
        <v>24524507</v>
      </c>
      <c r="H19" s="6">
        <f>Data!Z19</f>
        <v>331460978</v>
      </c>
      <c r="I19" s="6">
        <f>Data!AA19</f>
        <v>557757189</v>
      </c>
      <c r="J19" s="6">
        <f>Data!AB19</f>
        <v>475137376</v>
      </c>
      <c r="K19" s="6">
        <f>Data!AC19</f>
        <v>124662260</v>
      </c>
      <c r="L19" s="6">
        <f>Data!AD19</f>
        <v>160906479</v>
      </c>
      <c r="M19" s="6">
        <f>Data!AE19</f>
        <v>403499604</v>
      </c>
      <c r="N19" s="6">
        <f>Data!AF19</f>
        <v>751180669</v>
      </c>
      <c r="O19" s="6">
        <f>Data!AG19</f>
        <v>19602228</v>
      </c>
      <c r="P19" s="6">
        <f>Data!AH19</f>
        <v>1546870039</v>
      </c>
      <c r="Q19" s="6">
        <f>Data!AI19</f>
        <v>479925649</v>
      </c>
      <c r="R19" s="6">
        <f>Data!AJ19</f>
        <v>24635566</v>
      </c>
      <c r="S19" s="6">
        <f>Data!AK19/Data!T19</f>
        <v>34429.622201313789</v>
      </c>
      <c r="T19" s="6">
        <f>Data!AL19/Data!U19</f>
        <v>7285.6462928662231</v>
      </c>
      <c r="U19" s="6">
        <f>Data!AM19/Data!V19</f>
        <v>41613.148382142761</v>
      </c>
      <c r="V19" s="6">
        <f>Data!AN19/Data!W19</f>
        <v>30022.670967744991</v>
      </c>
      <c r="W19" s="6">
        <f>Data!AO19/Data!X19</f>
        <v>8043.9967810855778</v>
      </c>
      <c r="X19" s="6">
        <f>Data!AP19/Data!Y19</f>
        <v>677.62583272113068</v>
      </c>
      <c r="Y19" s="6">
        <f>Data!AQ19/Data!Z19</f>
        <v>59867.713736054626</v>
      </c>
      <c r="Z19" s="6">
        <f>Data!AR19/Data!AA19</f>
        <v>14959.427233829378</v>
      </c>
      <c r="AA19" s="6">
        <f>Data!AS19/Data!AB19</f>
        <v>46672.072491233354</v>
      </c>
      <c r="AB19" s="6">
        <f>Data!AT19/Data!AC19</f>
        <v>23446.191662997848</v>
      </c>
      <c r="AC19" s="6">
        <f>Data!AU19/Data!AD19</f>
        <v>11062.164317650504</v>
      </c>
      <c r="AD19" s="6">
        <f>Data!AV19/Data!AE19</f>
        <v>14936.106811743068</v>
      </c>
      <c r="AE19" s="6">
        <f>Data!AW19/Data!AF19</f>
        <v>4198.7416029163423</v>
      </c>
      <c r="AF19" s="6">
        <f>Data!AX19/Data!AG19</f>
        <v>3296.7729965964686</v>
      </c>
      <c r="AG19" s="6">
        <f>Data!AY19/Data!AH19</f>
        <v>4096.7813422105401</v>
      </c>
      <c r="AH19" s="6">
        <f>Data!AZ19/Data!AI19</f>
        <v>9244.8637211954047</v>
      </c>
      <c r="AI19" s="6">
        <f>Data!BA19/Data!AJ19</f>
        <v>49127.85190637593</v>
      </c>
      <c r="AJ19" s="17">
        <f>Data!BB19/Data!AK19</f>
        <v>1.2598311531207374E-7</v>
      </c>
      <c r="AK19" s="17">
        <f>Data!BC19/Data!AL19</f>
        <v>2.0482958934237946E-7</v>
      </c>
      <c r="AL19" s="17">
        <f>Data!BD19/Data!AM19</f>
        <v>9.7670102828143954E-8</v>
      </c>
      <c r="AM19" s="17">
        <f>Data!BE19/Data!AN19</f>
        <v>1.5618700661821355E-7</v>
      </c>
      <c r="AN19" s="17">
        <f>Data!BF19/Data!AO19</f>
        <v>1.6537723263793474E-7</v>
      </c>
      <c r="AO19" s="17">
        <f>Data!BG19/Data!AP19</f>
        <v>1.2967369185652353E-6</v>
      </c>
      <c r="AP19" s="17">
        <f>Data!BH19/Data!AQ19</f>
        <v>1.2952896054338522E-7</v>
      </c>
      <c r="AQ19" s="17">
        <f>Data!BI19/Data!AR19</f>
        <v>8.5740455451608422E-8</v>
      </c>
      <c r="AR19" s="17">
        <f>Data!BJ19/Data!AS19</f>
        <v>7.541654312028645E-8</v>
      </c>
      <c r="AS19" s="17">
        <f>Data!BK19/Data!AT19</f>
        <v>1.0825437898890017E-7</v>
      </c>
      <c r="AT19" s="17">
        <f>Data!BL19/Data!AU19</f>
        <v>1.7744533902530227E-7</v>
      </c>
      <c r="AU19" s="17">
        <f>Data!BM19/Data!AV19</f>
        <v>1.1369318152343443E-7</v>
      </c>
      <c r="AV19" s="17">
        <f>Data!BN19/Data!AW19</f>
        <v>1.1047203764396185E-7</v>
      </c>
      <c r="AW19" s="17">
        <f>Data!BO19/Data!AX19</f>
        <v>7.4829179880919545E-7</v>
      </c>
      <c r="AX19" s="17">
        <f>Data!BP19/Data!AY19</f>
        <v>1.0111576115289823E-7</v>
      </c>
      <c r="AY19" s="17">
        <f>Data!BQ19/Data!AZ19</f>
        <v>1.145973881087871E-7</v>
      </c>
      <c r="AZ19" s="17">
        <f>Data!BR19/Data!BA19</f>
        <v>1.1153551798968451E-7</v>
      </c>
      <c r="BA19" s="21">
        <f>Data!C19/Data!BB19</f>
        <v>2.4925845005819389</v>
      </c>
      <c r="BB19" s="16">
        <f>Data!D19/Data!BC19</f>
        <v>3.5416409569372811</v>
      </c>
      <c r="BC19" s="16">
        <f>Data!E19/Data!BD19</f>
        <v>2.4171096074797407</v>
      </c>
      <c r="BD19" s="16">
        <f>Data!F19/Data!BE19</f>
        <v>2.6479519966128633</v>
      </c>
      <c r="BE19" s="16">
        <f>Data!G19/Data!BF19</f>
        <v>3.7238770670055925</v>
      </c>
      <c r="BF19" s="16">
        <f>Data!H19/Data!BG19</f>
        <v>3.7702782180374852</v>
      </c>
      <c r="BG19" s="16">
        <f>Data!I19/Data!BH19</f>
        <v>2.4828151844099202</v>
      </c>
      <c r="BH19" s="16">
        <f>Data!J19/Data!BI19</f>
        <v>2.1288479572831447</v>
      </c>
      <c r="BI19" s="16">
        <f>Data!K19/Data!BJ19</f>
        <v>2.283160720827659</v>
      </c>
      <c r="BJ19" s="16">
        <f>Data!L19/Data!BK19</f>
        <v>2.8734960699448773</v>
      </c>
      <c r="BK19" s="16">
        <f>Data!M19/Data!BL19</f>
        <v>2.7787893550966469</v>
      </c>
      <c r="BL19" s="16">
        <f>Data!N19/Data!BM19</f>
        <v>2.7767466959747185</v>
      </c>
      <c r="BM19" s="16">
        <f>Data!O19/Data!BN19</f>
        <v>1.9370119031786079</v>
      </c>
      <c r="BN19" s="16">
        <f>Data!P19/Data!BO19</f>
        <v>2.2308042207147811</v>
      </c>
      <c r="BO19" s="16">
        <f>Data!Q19/Data!BP19</f>
        <v>2.3521177209618109</v>
      </c>
      <c r="BP19" s="16">
        <f>Data!R19/Data!BQ19</f>
        <v>2.4373867310508994</v>
      </c>
      <c r="BQ19" s="16">
        <f>Data!S19/Data!BR19</f>
        <v>3.159440302443878</v>
      </c>
    </row>
    <row r="20" spans="1:69" x14ac:dyDescent="0.3">
      <c r="A20" s="3">
        <v>2007</v>
      </c>
      <c r="B20" s="6">
        <f>Data!T20</f>
        <v>48683638</v>
      </c>
      <c r="C20" s="6">
        <f>Data!U20</f>
        <v>1324801300</v>
      </c>
      <c r="D20" s="6">
        <f>Data!V20</f>
        <v>128001000</v>
      </c>
      <c r="E20" s="6">
        <f>Data!W20</f>
        <v>142805114</v>
      </c>
      <c r="F20" s="6">
        <f>Data!X20</f>
        <v>2601850</v>
      </c>
      <c r="G20" s="6">
        <f>Data!Y20</f>
        <v>24646383</v>
      </c>
      <c r="H20" s="6">
        <f>Data!Z20</f>
        <v>334628316</v>
      </c>
      <c r="I20" s="6">
        <f>Data!AA20</f>
        <v>564371870</v>
      </c>
      <c r="J20" s="6">
        <f>Data!AB20</f>
        <v>477779378</v>
      </c>
      <c r="K20" s="6">
        <f>Data!AC20</f>
        <v>124149670</v>
      </c>
      <c r="L20" s="6">
        <f>Data!AD20</f>
        <v>161996890</v>
      </c>
      <c r="M20" s="6">
        <f>Data!AE20</f>
        <v>413212416</v>
      </c>
      <c r="N20" s="6">
        <f>Data!AF20</f>
        <v>771963906</v>
      </c>
      <c r="O20" s="6">
        <f>Data!AG20</f>
        <v>19898006</v>
      </c>
      <c r="P20" s="6">
        <f>Data!AH20</f>
        <v>1571442687</v>
      </c>
      <c r="Q20" s="6">
        <f>Data!AI20</f>
        <v>486547346</v>
      </c>
      <c r="R20" s="6">
        <f>Data!AJ20</f>
        <v>25051422</v>
      </c>
      <c r="S20" s="6">
        <f>Data!AK20/Data!T20</f>
        <v>36257.34016897012</v>
      </c>
      <c r="T20" s="6">
        <f>Data!AL20/Data!U20</f>
        <v>8252.8173037343786</v>
      </c>
      <c r="U20" s="6">
        <f>Data!AM20/Data!V20</f>
        <v>42182.1758636624</v>
      </c>
      <c r="V20" s="6">
        <f>Data!AN20/Data!W20</f>
        <v>32630.368297360696</v>
      </c>
      <c r="W20" s="6">
        <f>Data!AO20/Data!X20</f>
        <v>8750.1340744230056</v>
      </c>
      <c r="X20" s="6">
        <f>Data!AP20/Data!Y20</f>
        <v>666.2737576235304</v>
      </c>
      <c r="Y20" s="6">
        <f>Data!AQ20/Data!Z20</f>
        <v>60492.133930905591</v>
      </c>
      <c r="Z20" s="6">
        <f>Data!AR20/Data!AA20</f>
        <v>15575.702302386457</v>
      </c>
      <c r="AA20" s="6">
        <f>Data!AS20/Data!AB20</f>
        <v>47814.455264454715</v>
      </c>
      <c r="AB20" s="6">
        <f>Data!AT20/Data!AC20</f>
        <v>25046.608754490528</v>
      </c>
      <c r="AC20" s="6">
        <f>Data!AU20/Data!AD20</f>
        <v>12074.699489415138</v>
      </c>
      <c r="AD20" s="6">
        <f>Data!AV20/Data!AE20</f>
        <v>15366.892475909171</v>
      </c>
      <c r="AE20" s="6">
        <f>Data!AW20/Data!AF20</f>
        <v>4339.3007600419205</v>
      </c>
      <c r="AF20" s="6">
        <f>Data!AX20/Data!AG20</f>
        <v>3552.8951804454578</v>
      </c>
      <c r="AG20" s="6">
        <f>Data!AY20/Data!AH20</f>
        <v>4321.8052716957664</v>
      </c>
      <c r="AH20" s="6">
        <f>Data!AZ20/Data!AI20</f>
        <v>9715.1374054226162</v>
      </c>
      <c r="AI20" s="6">
        <f>Data!BA20/Data!AJ20</f>
        <v>50092.320308693452</v>
      </c>
      <c r="AJ20" s="17">
        <f>Data!BB20/Data!AK20</f>
        <v>1.2378132505083514E-7</v>
      </c>
      <c r="AK20" s="17">
        <f>Data!BC20/Data!AL20</f>
        <v>1.9360879404059524E-7</v>
      </c>
      <c r="AL20" s="17">
        <f>Data!BD20/Data!AM20</f>
        <v>9.5320011440148173E-8</v>
      </c>
      <c r="AM20" s="17">
        <f>Data!BE20/Data!AN20</f>
        <v>1.443586119645085E-7</v>
      </c>
      <c r="AN20" s="17">
        <f>Data!BF20/Data!AO20</f>
        <v>1.5667385440147783E-7</v>
      </c>
      <c r="AO20" s="17">
        <f>Data!BG20/Data!AP20</f>
        <v>1.1147807955944363E-6</v>
      </c>
      <c r="AP20" s="17">
        <f>Data!BH20/Data!AQ20</f>
        <v>1.2899585121914581E-7</v>
      </c>
      <c r="AQ20" s="17">
        <f>Data!BI20/Data!AR20</f>
        <v>8.3995050589276297E-8</v>
      </c>
      <c r="AR20" s="17">
        <f>Data!BJ20/Data!AS20</f>
        <v>7.207763420839058E-8</v>
      </c>
      <c r="AS20" s="17">
        <f>Data!BK20/Data!AT20</f>
        <v>1.0156952583130024E-7</v>
      </c>
      <c r="AT20" s="17">
        <f>Data!BL20/Data!AU20</f>
        <v>1.6555586622453136E-7</v>
      </c>
      <c r="AU20" s="17">
        <f>Data!BM20/Data!AV20</f>
        <v>1.1307468992541791E-7</v>
      </c>
      <c r="AV20" s="17">
        <f>Data!BN20/Data!AW20</f>
        <v>1.082528229267631E-7</v>
      </c>
      <c r="AW20" s="17">
        <f>Data!BO20/Data!AX20</f>
        <v>7.3507744097670127E-7</v>
      </c>
      <c r="AX20" s="17">
        <f>Data!BP20/Data!AY20</f>
        <v>9.980497874199157E-8</v>
      </c>
      <c r="AY20" s="17">
        <f>Data!BQ20/Data!AZ20</f>
        <v>1.101207594472739E-7</v>
      </c>
      <c r="AZ20" s="17">
        <f>Data!BR20/Data!BA20</f>
        <v>1.1081235561727946E-7</v>
      </c>
      <c r="BA20" s="21">
        <f>Data!C20/Data!BB20</f>
        <v>2.4760841966318443</v>
      </c>
      <c r="BB20" s="16">
        <f>Data!D20/Data!BC20</f>
        <v>3.5744828070220742</v>
      </c>
      <c r="BC20" s="16">
        <f>Data!E20/Data!BD20</f>
        <v>2.5098459826646051</v>
      </c>
      <c r="BD20" s="16">
        <f>Data!F20/Data!BE20</f>
        <v>2.6447141665258345</v>
      </c>
      <c r="BE20" s="16">
        <f>Data!G20/Data!BF20</f>
        <v>3.7035840444688843</v>
      </c>
      <c r="BF20" s="16">
        <f>Data!H20/Data!BG20</f>
        <v>3.7138286829737068</v>
      </c>
      <c r="BG20" s="16">
        <f>Data!I20/Data!BH20</f>
        <v>2.4836766139394997</v>
      </c>
      <c r="BH20" s="16">
        <f>Data!J20/Data!BI20</f>
        <v>2.1352412648774006</v>
      </c>
      <c r="BI20" s="16">
        <f>Data!K20/Data!BJ20</f>
        <v>2.3027754097653608</v>
      </c>
      <c r="BJ20" s="16">
        <f>Data!L20/Data!BK20</f>
        <v>2.8970423814513575</v>
      </c>
      <c r="BK20" s="16">
        <f>Data!M20/Data!BL20</f>
        <v>2.779284149383995</v>
      </c>
      <c r="BL20" s="16">
        <f>Data!N20/Data!BM20</f>
        <v>2.773129145693368</v>
      </c>
      <c r="BM20" s="16">
        <f>Data!O20/Data!BN20</f>
        <v>1.9082364488728951</v>
      </c>
      <c r="BN20" s="16">
        <f>Data!P20/Data!BO20</f>
        <v>2.3056562053246825</v>
      </c>
      <c r="BO20" s="16">
        <f>Data!Q20/Data!BP20</f>
        <v>2.4252437800428313</v>
      </c>
      <c r="BP20" s="16">
        <f>Data!R20/Data!BQ20</f>
        <v>2.4814184485439812</v>
      </c>
      <c r="BQ20" s="16">
        <f>Data!S20/Data!BR20</f>
        <v>3.1339094088153407</v>
      </c>
    </row>
    <row r="21" spans="1:69" x14ac:dyDescent="0.3">
      <c r="A21" s="3">
        <v>2008</v>
      </c>
      <c r="B21" s="6">
        <f>Data!T21</f>
        <v>49054708</v>
      </c>
      <c r="C21" s="6">
        <f>Data!U21</f>
        <v>1331612800</v>
      </c>
      <c r="D21" s="6">
        <f>Data!V21</f>
        <v>128063000</v>
      </c>
      <c r="E21" s="6">
        <f>Data!W21</f>
        <v>142742366</v>
      </c>
      <c r="F21" s="6">
        <f>Data!X21</f>
        <v>2643201</v>
      </c>
      <c r="G21" s="6">
        <f>Data!Y21</f>
        <v>24764618</v>
      </c>
      <c r="H21" s="6">
        <f>Data!Z21</f>
        <v>337847960</v>
      </c>
      <c r="I21" s="6">
        <f>Data!AA21</f>
        <v>570956677</v>
      </c>
      <c r="J21" s="6">
        <f>Data!AB21</f>
        <v>481173852</v>
      </c>
      <c r="K21" s="6">
        <f>Data!AC21</f>
        <v>123636283</v>
      </c>
      <c r="L21" s="6">
        <f>Data!AD21</f>
        <v>163321024</v>
      </c>
      <c r="M21" s="6">
        <f>Data!AE21</f>
        <v>422956876</v>
      </c>
      <c r="N21" s="6">
        <f>Data!AF21</f>
        <v>793444895</v>
      </c>
      <c r="O21" s="6">
        <f>Data!AG21</f>
        <v>20202448</v>
      </c>
      <c r="P21" s="6">
        <f>Data!AH21</f>
        <v>1595546277</v>
      </c>
      <c r="Q21" s="6">
        <f>Data!AI21</f>
        <v>493173943</v>
      </c>
      <c r="R21" s="6">
        <f>Data!AJ21</f>
        <v>25508999</v>
      </c>
      <c r="S21" s="6">
        <f>Data!AK21/Data!T21</f>
        <v>37064.151848410555</v>
      </c>
      <c r="T21" s="6">
        <f>Data!AL21/Data!U21</f>
        <v>8983.5068044834043</v>
      </c>
      <c r="U21" s="6">
        <f>Data!AM21/Data!V21</f>
        <v>41645.572207897523</v>
      </c>
      <c r="V21" s="6">
        <f>Data!AN21/Data!W21</f>
        <v>34342.227257850762</v>
      </c>
      <c r="W21" s="6">
        <f>Data!AO21/Data!X21</f>
        <v>9379.8548968776486</v>
      </c>
      <c r="X21" s="6">
        <f>Data!AP21/Data!Y21</f>
        <v>683.63774214641637</v>
      </c>
      <c r="Y21" s="6">
        <f>Data!AQ21/Data!Z21</f>
        <v>60030.080794986003</v>
      </c>
      <c r="Z21" s="6">
        <f>Data!AR21/Data!AA21</f>
        <v>15980.659856580467</v>
      </c>
      <c r="AA21" s="6">
        <f>Data!AS21/Data!AB21</f>
        <v>47650.708611555434</v>
      </c>
      <c r="AB21" s="6">
        <f>Data!AT21/Data!AC21</f>
        <v>26353.266846371705</v>
      </c>
      <c r="AC21" s="6">
        <f>Data!AU21/Data!AD21</f>
        <v>12557.953913844369</v>
      </c>
      <c r="AD21" s="6">
        <f>Data!AV21/Data!AE21</f>
        <v>15712.689299841622</v>
      </c>
      <c r="AE21" s="6">
        <f>Data!AW21/Data!AF21</f>
        <v>4451.2985984124953</v>
      </c>
      <c r="AF21" s="6">
        <f>Data!AX21/Data!AG21</f>
        <v>3765.2757964769075</v>
      </c>
      <c r="AG21" s="6">
        <f>Data!AY21/Data!AH21</f>
        <v>4397.6838888718548</v>
      </c>
      <c r="AH21" s="6">
        <f>Data!AZ21/Data!AI21</f>
        <v>10000.329591697913</v>
      </c>
      <c r="AI21" s="6">
        <f>Data!BA21/Data!AJ21</f>
        <v>50651.131309586475</v>
      </c>
      <c r="AJ21" s="17">
        <f>Data!BB21/Data!AK21</f>
        <v>1.2176103358791838E-7</v>
      </c>
      <c r="AK21" s="17">
        <f>Data!BC21/Data!AL21</f>
        <v>1.8164779321140437E-7</v>
      </c>
      <c r="AL21" s="17">
        <f>Data!BD21/Data!AM21</f>
        <v>9.2858267849718226E-8</v>
      </c>
      <c r="AM21" s="17">
        <f>Data!BE21/Data!AN21</f>
        <v>1.4042133488474863E-7</v>
      </c>
      <c r="AN21" s="17">
        <f>Data!BF21/Data!AO21</f>
        <v>1.4444318334448554E-7</v>
      </c>
      <c r="AO21" s="17">
        <f>Data!BG21/Data!AP21</f>
        <v>1.1913751444723024E-6</v>
      </c>
      <c r="AP21" s="17">
        <f>Data!BH21/Data!AQ21</f>
        <v>1.2550346441447667E-7</v>
      </c>
      <c r="AQ21" s="17">
        <f>Data!BI21/Data!AR21</f>
        <v>8.2882428530157596E-8</v>
      </c>
      <c r="AR21" s="17">
        <f>Data!BJ21/Data!AS21</f>
        <v>7.1670247371745782E-8</v>
      </c>
      <c r="AS21" s="17">
        <f>Data!BK21/Data!AT21</f>
        <v>9.7111802179976647E-8</v>
      </c>
      <c r="AT21" s="17">
        <f>Data!BL21/Data!AU21</f>
        <v>1.6075773424814717E-7</v>
      </c>
      <c r="AU21" s="17">
        <f>Data!BM21/Data!AV21</f>
        <v>1.1573897991595496E-7</v>
      </c>
      <c r="AV21" s="17">
        <f>Data!BN21/Data!AW21</f>
        <v>1.0783194433802363E-7</v>
      </c>
      <c r="AW21" s="17">
        <f>Data!BO21/Data!AX21</f>
        <v>7.2823651251099461E-7</v>
      </c>
      <c r="AX21" s="17">
        <f>Data!BP21/Data!AY21</f>
        <v>1.0122988275648881E-7</v>
      </c>
      <c r="AY21" s="17">
        <f>Data!BQ21/Data!AZ21</f>
        <v>1.0752904874766222E-7</v>
      </c>
      <c r="AZ21" s="17">
        <f>Data!BR21/Data!BA21</f>
        <v>1.1139308167173054E-7</v>
      </c>
      <c r="BA21" s="21">
        <f>Data!C21/Data!BB21</f>
        <v>2.4950909095612026</v>
      </c>
      <c r="BB21" s="16">
        <f>Data!D21/Data!BC21</f>
        <v>3.5874170159680263</v>
      </c>
      <c r="BC21" s="16">
        <f>Data!E21/Data!BD21</f>
        <v>2.465012298311136</v>
      </c>
      <c r="BD21" s="16">
        <f>Data!F21/Data!BE21</f>
        <v>2.5631360343276977</v>
      </c>
      <c r="BE21" s="16">
        <f>Data!G21/Data!BF21</f>
        <v>3.6876350084243725</v>
      </c>
      <c r="BF21" s="16">
        <f>Data!H21/Data!BG21</f>
        <v>3.6925426047754368</v>
      </c>
      <c r="BG21" s="16">
        <f>Data!I21/Data!BH21</f>
        <v>2.4672957201228649</v>
      </c>
      <c r="BH21" s="16">
        <f>Data!J21/Data!BI21</f>
        <v>2.139793689177711</v>
      </c>
      <c r="BI21" s="16">
        <f>Data!K21/Data!BJ21</f>
        <v>2.2579125634651724</v>
      </c>
      <c r="BJ21" s="16">
        <f>Data!L21/Data!BK21</f>
        <v>2.8327876583529581</v>
      </c>
      <c r="BK21" s="16">
        <f>Data!M21/Data!BL21</f>
        <v>2.8138665020211797</v>
      </c>
      <c r="BL21" s="16">
        <f>Data!N21/Data!BM21</f>
        <v>2.7436736119354728</v>
      </c>
      <c r="BM21" s="16">
        <f>Data!O21/Data!BN21</f>
        <v>1.9199326199647768</v>
      </c>
      <c r="BN21" s="16">
        <f>Data!P21/Data!BO21</f>
        <v>2.3828465753431138</v>
      </c>
      <c r="BO21" s="16">
        <f>Data!Q21/Data!BP21</f>
        <v>2.4627684415766709</v>
      </c>
      <c r="BP21" s="16">
        <f>Data!R21/Data!BQ21</f>
        <v>2.4218794427306758</v>
      </c>
      <c r="BQ21" s="16">
        <f>Data!S21/Data!BR21</f>
        <v>3.0607340390696054</v>
      </c>
    </row>
    <row r="22" spans="1:69" x14ac:dyDescent="0.3">
      <c r="A22" s="3">
        <v>2009</v>
      </c>
      <c r="B22" s="6">
        <f>Data!T22</f>
        <v>49307835</v>
      </c>
      <c r="C22" s="6">
        <f>Data!U22</f>
        <v>1338232800</v>
      </c>
      <c r="D22" s="6">
        <f>Data!V22</f>
        <v>128047000</v>
      </c>
      <c r="E22" s="6">
        <f>Data!W22</f>
        <v>142785348</v>
      </c>
      <c r="F22" s="6">
        <f>Data!X22</f>
        <v>2691115</v>
      </c>
      <c r="G22" s="6">
        <f>Data!Y22</f>
        <v>24878332</v>
      </c>
      <c r="H22" s="6">
        <f>Data!Z22</f>
        <v>340906916</v>
      </c>
      <c r="I22" s="6">
        <f>Data!AA22</f>
        <v>577455897</v>
      </c>
      <c r="J22" s="6">
        <f>Data!AB22</f>
        <v>484111420</v>
      </c>
      <c r="K22" s="6">
        <f>Data!AC22</f>
        <v>123300352</v>
      </c>
      <c r="L22" s="6">
        <f>Data!AD22</f>
        <v>165177929</v>
      </c>
      <c r="M22" s="6">
        <f>Data!AE22</f>
        <v>432774531</v>
      </c>
      <c r="N22" s="6">
        <f>Data!AF22</f>
        <v>815484949</v>
      </c>
      <c r="O22" s="6">
        <f>Data!AG22</f>
        <v>20518452</v>
      </c>
      <c r="P22" s="6">
        <f>Data!AH22</f>
        <v>1619746734</v>
      </c>
      <c r="Q22" s="6">
        <f>Data!AI22</f>
        <v>499672527</v>
      </c>
      <c r="R22" s="6">
        <f>Data!AJ22</f>
        <v>25994253</v>
      </c>
      <c r="S22" s="6">
        <f>Data!AK22/Data!T22</f>
        <v>37176.193927096778</v>
      </c>
      <c r="T22" s="6">
        <f>Data!AL22/Data!U22</f>
        <v>9745.8886041918104</v>
      </c>
      <c r="U22" s="6">
        <f>Data!AM22/Data!V22</f>
        <v>39279.498871012052</v>
      </c>
      <c r="V22" s="6">
        <f>Data!AN22/Data!W22</f>
        <v>31654.004097430359</v>
      </c>
      <c r="W22" s="6">
        <f>Data!AO22/Data!X22</f>
        <v>9095.976989252893</v>
      </c>
      <c r="X22" s="6">
        <f>Data!AP22/Data!Y22</f>
        <v>674.32934465538926</v>
      </c>
      <c r="Y22" s="6">
        <f>Data!AQ22/Data!Z22</f>
        <v>57940.092547622597</v>
      </c>
      <c r="Z22" s="6">
        <f>Data!AR22/Data!AA22</f>
        <v>15443.961529930744</v>
      </c>
      <c r="AA22" s="6">
        <f>Data!AS22/Data!AB22</f>
        <v>45306.448449666605</v>
      </c>
      <c r="AB22" s="6">
        <f>Data!AT22/Data!AC22</f>
        <v>25525.397138947101</v>
      </c>
      <c r="AC22" s="6">
        <f>Data!AU22/Data!AD22</f>
        <v>11845.979873421104</v>
      </c>
      <c r="AD22" s="6">
        <f>Data!AV22/Data!AE22</f>
        <v>15540.53902569329</v>
      </c>
      <c r="AE22" s="6">
        <f>Data!AW22/Data!AF22</f>
        <v>4500.2333210958623</v>
      </c>
      <c r="AF22" s="6">
        <f>Data!AX22/Data!AG22</f>
        <v>3903.2014961009827</v>
      </c>
      <c r="AG22" s="6">
        <f>Data!AY22/Data!AH22</f>
        <v>4633.8633137499755</v>
      </c>
      <c r="AH22" s="6">
        <f>Data!AZ22/Data!AI22</f>
        <v>10072.212211644688</v>
      </c>
      <c r="AI22" s="6">
        <f>Data!BA22/Data!AJ22</f>
        <v>50541.564862279753</v>
      </c>
      <c r="AJ22" s="17">
        <f>Data!BB22/Data!AK22</f>
        <v>1.2259720841935125E-7</v>
      </c>
      <c r="AK22" s="17">
        <f>Data!BC22/Data!AL22</f>
        <v>1.7753701406428245E-7</v>
      </c>
      <c r="AL22" s="17">
        <f>Data!BD22/Data!AM22</f>
        <v>9.4426444921986083E-8</v>
      </c>
      <c r="AM22" s="17">
        <f>Data!BE22/Data!AN22</f>
        <v>1.4308468570200562E-7</v>
      </c>
      <c r="AN22" s="17">
        <f>Data!BF22/Data!AO22</f>
        <v>1.5204421636979312E-7</v>
      </c>
      <c r="AO22" s="17">
        <f>Data!BG22/Data!AP22</f>
        <v>1.1542365574171822E-6</v>
      </c>
      <c r="AP22" s="17">
        <f>Data!BH22/Data!AQ22</f>
        <v>1.2264965391274586E-7</v>
      </c>
      <c r="AQ22" s="17">
        <f>Data!BI22/Data!AR22</f>
        <v>8.2711356693779051E-8</v>
      </c>
      <c r="AR22" s="17">
        <f>Data!BJ22/Data!AS22</f>
        <v>7.1103338721351727E-8</v>
      </c>
      <c r="AS22" s="17">
        <f>Data!BK22/Data!AT22</f>
        <v>9.376034480591244E-8</v>
      </c>
      <c r="AT22" s="17">
        <f>Data!BL22/Data!AU22</f>
        <v>1.4939084797481869E-7</v>
      </c>
      <c r="AU22" s="17">
        <f>Data!BM22/Data!AV22</f>
        <v>1.1810580955178526E-7</v>
      </c>
      <c r="AV22" s="17">
        <f>Data!BN22/Data!AW22</f>
        <v>1.0583458219064136E-7</v>
      </c>
      <c r="AW22" s="17">
        <f>Data!BO22/Data!AX22</f>
        <v>7.5236466653631313E-7</v>
      </c>
      <c r="AX22" s="17">
        <f>Data!BP22/Data!AY22</f>
        <v>1.0071664281113052E-7</v>
      </c>
      <c r="AY22" s="17">
        <f>Data!BQ22/Data!AZ22</f>
        <v>1.0646314302650449E-7</v>
      </c>
      <c r="AZ22" s="17">
        <f>Data!BR22/Data!BA22</f>
        <v>1.0982670091397017E-7</v>
      </c>
      <c r="BA22" s="21">
        <f>Data!C22/Data!BB22</f>
        <v>2.4757416416984381</v>
      </c>
      <c r="BB22" s="16">
        <f>Data!D22/Data!BC22</f>
        <v>3.6123353493244443</v>
      </c>
      <c r="BC22" s="16">
        <f>Data!E22/Data!BD22</f>
        <v>2.4371941125130432</v>
      </c>
      <c r="BD22" s="16">
        <f>Data!F22/Data!BE22</f>
        <v>2.5701124970214528</v>
      </c>
      <c r="BE22" s="16">
        <f>Data!G22/Data!BF22</f>
        <v>3.7424635844283944</v>
      </c>
      <c r="BF22" s="16">
        <f>Data!H22/Data!BG22</f>
        <v>3.7013178286509012</v>
      </c>
      <c r="BG22" s="16">
        <f>Data!I22/Data!BH22</f>
        <v>2.4064712363988181</v>
      </c>
      <c r="BH22" s="16">
        <f>Data!J22/Data!BI22</f>
        <v>2.1308089469095948</v>
      </c>
      <c r="BI22" s="16">
        <f>Data!K22/Data!BJ22</f>
        <v>2.2131806923561079</v>
      </c>
      <c r="BJ22" s="16">
        <f>Data!L22/Data!BK22</f>
        <v>2.7895440687975617</v>
      </c>
      <c r="BK22" s="16">
        <f>Data!M22/Data!BL22</f>
        <v>2.785787015208562</v>
      </c>
      <c r="BL22" s="16">
        <f>Data!N22/Data!BM22</f>
        <v>2.7449579270762201</v>
      </c>
      <c r="BM22" s="16">
        <f>Data!O22/Data!BN22</f>
        <v>1.7932770312173594</v>
      </c>
      <c r="BN22" s="16">
        <f>Data!P22/Data!BO22</f>
        <v>2.4619132804770287</v>
      </c>
      <c r="BO22" s="16">
        <f>Data!Q22/Data!BP22</f>
        <v>2.4620458946386594</v>
      </c>
      <c r="BP22" s="16">
        <f>Data!R22/Data!BQ22</f>
        <v>2.352673402883807</v>
      </c>
      <c r="BQ22" s="16">
        <f>Data!S22/Data!BR22</f>
        <v>3.075196753000518</v>
      </c>
    </row>
    <row r="23" spans="1:69" x14ac:dyDescent="0.3">
      <c r="A23" s="3">
        <v>2010</v>
      </c>
      <c r="B23" s="6">
        <f>Data!T23</f>
        <v>49554112</v>
      </c>
      <c r="C23" s="6">
        <f>Data!U23</f>
        <v>1344729200</v>
      </c>
      <c r="D23" s="6">
        <f>Data!V23</f>
        <v>128070000</v>
      </c>
      <c r="E23" s="6">
        <f>Data!W23</f>
        <v>142849468</v>
      </c>
      <c r="F23" s="6">
        <f>Data!X23</f>
        <v>2738622</v>
      </c>
      <c r="G23" s="6">
        <f>Data!Y23</f>
        <v>24987258</v>
      </c>
      <c r="H23" s="6">
        <f>Data!Z23</f>
        <v>343888586</v>
      </c>
      <c r="I23" s="6">
        <f>Data!AA23</f>
        <v>583835981</v>
      </c>
      <c r="J23" s="6">
        <f>Data!AB23</f>
        <v>486923271</v>
      </c>
      <c r="K23" s="6">
        <f>Data!AC23</f>
        <v>122791845</v>
      </c>
      <c r="L23" s="6">
        <f>Data!AD23</f>
        <v>166877981</v>
      </c>
      <c r="M23" s="6">
        <f>Data!AE23</f>
        <v>441121121</v>
      </c>
      <c r="N23" s="6">
        <f>Data!AF23</f>
        <v>838174800</v>
      </c>
      <c r="O23" s="6">
        <f>Data!AG23</f>
        <v>20834920</v>
      </c>
      <c r="P23" s="6">
        <f>Data!AH23</f>
        <v>1644206057</v>
      </c>
      <c r="Q23" s="6">
        <f>Data!AI23</f>
        <v>506447879</v>
      </c>
      <c r="R23" s="6">
        <f>Data!AJ23</f>
        <v>26382450</v>
      </c>
      <c r="S23" s="6">
        <f>Data!AK23/Data!T23</f>
        <v>39574.050073294624</v>
      </c>
      <c r="T23" s="6">
        <f>Data!AL23/Data!U23</f>
        <v>10715.962078558345</v>
      </c>
      <c r="U23" s="6">
        <f>Data!AM23/Data!V23</f>
        <v>40881.797242318498</v>
      </c>
      <c r="V23" s="6">
        <f>Data!AN23/Data!W23</f>
        <v>33063.586559441719</v>
      </c>
      <c r="W23" s="6">
        <f>Data!AO23/Data!X23</f>
        <v>9507.1188236249836</v>
      </c>
      <c r="X23" s="6">
        <f>Data!AP23/Data!Y23</f>
        <v>668.21862464653782</v>
      </c>
      <c r="Y23" s="6">
        <f>Data!AQ23/Data!Z23</f>
        <v>59005.338167454043</v>
      </c>
      <c r="Z23" s="6">
        <f>Data!AR23/Data!AA23</f>
        <v>16283.291173836595</v>
      </c>
      <c r="AA23" s="6">
        <f>Data!AS23/Data!AB23</f>
        <v>46191.46763389893</v>
      </c>
      <c r="AB23" s="6">
        <f>Data!AT23/Data!AC23</f>
        <v>25970.618355425231</v>
      </c>
      <c r="AC23" s="6">
        <f>Data!AU23/Data!AD23</f>
        <v>12428.782221047486</v>
      </c>
      <c r="AD23" s="6">
        <f>Data!AV23/Data!AE23</f>
        <v>16010.712849918469</v>
      </c>
      <c r="AE23" s="6">
        <f>Data!AW23/Data!AF23</f>
        <v>4659.9782393884789</v>
      </c>
      <c r="AF23" s="6">
        <f>Data!AX23/Data!AG23</f>
        <v>4086.8686348793753</v>
      </c>
      <c r="AG23" s="6">
        <f>Data!AY23/Data!AH23</f>
        <v>4904.6496472523522</v>
      </c>
      <c r="AH23" s="6">
        <f>Data!AZ23/Data!AI23</f>
        <v>10711.353941318035</v>
      </c>
      <c r="AI23" s="6">
        <f>Data!BA23/Data!AJ23</f>
        <v>50848.037231398528</v>
      </c>
      <c r="AJ23" s="17">
        <f>Data!BB23/Data!AK23</f>
        <v>1.2433252895579858E-7</v>
      </c>
      <c r="AK23" s="17">
        <f>Data!BC23/Data!AL23</f>
        <v>1.7729805190650771E-7</v>
      </c>
      <c r="AL23" s="17">
        <f>Data!BD23/Data!AM23</f>
        <v>9.5402171400887096E-8</v>
      </c>
      <c r="AM23" s="17">
        <f>Data!BE23/Data!AN23</f>
        <v>1.4678890094369893E-7</v>
      </c>
      <c r="AN23" s="17">
        <f>Data!BF23/Data!AO23</f>
        <v>1.5142267280304125E-7</v>
      </c>
      <c r="AO23" s="17">
        <f>Data!BG23/Data!AP23</f>
        <v>1.1259278297926322E-6</v>
      </c>
      <c r="AP23" s="17">
        <f>Data!BH23/Data!AQ23</f>
        <v>1.220451822713352E-7</v>
      </c>
      <c r="AQ23" s="17">
        <f>Data!BI23/Data!AR23</f>
        <v>8.2610670138957295E-8</v>
      </c>
      <c r="AR23" s="17">
        <f>Data!BJ23/Data!AS23</f>
        <v>7.2132940285770754E-8</v>
      </c>
      <c r="AS23" s="17">
        <f>Data!BK23/Data!AT23</f>
        <v>9.6661841753220542E-8</v>
      </c>
      <c r="AT23" s="17">
        <f>Data!BL23/Data!AU23</f>
        <v>1.5574930211336288E-7</v>
      </c>
      <c r="AU23" s="17">
        <f>Data!BM23/Data!AV23</f>
        <v>1.1726901008808922E-7</v>
      </c>
      <c r="AV23" s="17">
        <f>Data!BN23/Data!AW23</f>
        <v>1.0193324710870546E-7</v>
      </c>
      <c r="AW23" s="17">
        <f>Data!BO23/Data!AX23</f>
        <v>7.7494526901878611E-7</v>
      </c>
      <c r="AX23" s="17">
        <f>Data!BP23/Data!AY23</f>
        <v>9.8787596106174416E-8</v>
      </c>
      <c r="AY23" s="17">
        <f>Data!BQ23/Data!AZ23</f>
        <v>1.0285435272983161E-7</v>
      </c>
      <c r="AZ23" s="17">
        <f>Data!BR23/Data!BA23</f>
        <v>1.0809682744859798E-7</v>
      </c>
      <c r="BA23" s="21">
        <f>Data!C23/Data!BB23</f>
        <v>2.513859681351688</v>
      </c>
      <c r="BB23" s="16">
        <f>Data!D23/Data!BC23</f>
        <v>3.5806942837566029</v>
      </c>
      <c r="BC23" s="16">
        <f>Data!E23/Data!BD23</f>
        <v>2.4365638150440705</v>
      </c>
      <c r="BD23" s="16">
        <f>Data!F23/Data!BE23</f>
        <v>2.5196802500372963</v>
      </c>
      <c r="BE23" s="16">
        <f>Data!G23/Data!BF23</f>
        <v>3.7807642974636417</v>
      </c>
      <c r="BF23" s="16">
        <f>Data!H23/Data!BG23</f>
        <v>3.6725652442075516</v>
      </c>
      <c r="BG23" s="16">
        <f>Data!I23/Data!BH23</f>
        <v>2.46202323839147</v>
      </c>
      <c r="BH23" s="16">
        <f>Data!J23/Data!BI23</f>
        <v>2.1450349308607666</v>
      </c>
      <c r="BI23" s="16">
        <f>Data!K23/Data!BJ23</f>
        <v>2.1960281219003064</v>
      </c>
      <c r="BJ23" s="16">
        <f>Data!L23/Data!BK23</f>
        <v>2.7755893384878094</v>
      </c>
      <c r="BK23" s="16">
        <f>Data!M23/Data!BL23</f>
        <v>2.7151948531555794</v>
      </c>
      <c r="BL23" s="16">
        <f>Data!N23/Data!BM23</f>
        <v>2.7524275511122083</v>
      </c>
      <c r="BM23" s="16">
        <f>Data!O23/Data!BN23</f>
        <v>1.8309696638849757</v>
      </c>
      <c r="BN23" s="16">
        <f>Data!P23/Data!BO23</f>
        <v>2.4990751571025869</v>
      </c>
      <c r="BO23" s="16">
        <f>Data!Q23/Data!BP23</f>
        <v>2.4786477201388797</v>
      </c>
      <c r="BP23" s="16">
        <f>Data!R23/Data!BQ23</f>
        <v>2.4285955013038074</v>
      </c>
      <c r="BQ23" s="16">
        <f>Data!S23/Data!BR23</f>
        <v>3.0946801351160227</v>
      </c>
    </row>
    <row r="24" spans="1:69" x14ac:dyDescent="0.3">
      <c r="A24" s="3">
        <v>2011</v>
      </c>
      <c r="B24" s="6">
        <f>Data!T24</f>
        <v>49936638</v>
      </c>
      <c r="C24" s="6">
        <f>Data!U24</f>
        <v>1352106600</v>
      </c>
      <c r="D24" s="6">
        <f>Data!V24</f>
        <v>127833000</v>
      </c>
      <c r="E24" s="6">
        <f>Data!W24</f>
        <v>143018195</v>
      </c>
      <c r="F24" s="6">
        <f>Data!X24</f>
        <v>2786317</v>
      </c>
      <c r="G24" s="6">
        <f>Data!Y24</f>
        <v>25097874</v>
      </c>
      <c r="H24" s="6">
        <f>Data!Z24</f>
        <v>346682641</v>
      </c>
      <c r="I24" s="6">
        <f>Data!AA24</f>
        <v>590201120</v>
      </c>
      <c r="J24" s="6">
        <f>Data!AB24</f>
        <v>488220565</v>
      </c>
      <c r="K24" s="6">
        <f>Data!AC24</f>
        <v>122407242</v>
      </c>
      <c r="L24" s="6">
        <f>Data!AD24</f>
        <v>168879313</v>
      </c>
      <c r="M24" s="6">
        <f>Data!AE24</f>
        <v>451024186</v>
      </c>
      <c r="N24" s="6">
        <f>Data!AF24</f>
        <v>861698939</v>
      </c>
      <c r="O24" s="6">
        <f>Data!AG24</f>
        <v>21149174</v>
      </c>
      <c r="P24" s="6">
        <f>Data!AH24</f>
        <v>1668118688</v>
      </c>
      <c r="Q24" s="6">
        <f>Data!AI24</f>
        <v>513269112</v>
      </c>
      <c r="R24" s="6">
        <f>Data!AJ24</f>
        <v>26724024</v>
      </c>
      <c r="S24" s="6">
        <f>Data!AK24/Data!T24</f>
        <v>40719.227377167044</v>
      </c>
      <c r="T24" s="6">
        <f>Data!AL24/Data!U24</f>
        <v>11652.230825855595</v>
      </c>
      <c r="U24" s="6">
        <f>Data!AM24/Data!V24</f>
        <v>40967.343140083234</v>
      </c>
      <c r="V24" s="6">
        <f>Data!AN24/Data!W24</f>
        <v>34444.646053039753</v>
      </c>
      <c r="W24" s="6">
        <f>Data!AO24/Data!X24</f>
        <v>10960.095928386434</v>
      </c>
      <c r="X24" s="6">
        <f>Data!AP24/Data!Y24</f>
        <v>670.57575274061458</v>
      </c>
      <c r="Y24" s="6">
        <f>Data!AQ24/Data!Z24</f>
        <v>59524.708645533254</v>
      </c>
      <c r="Z24" s="6">
        <f>Data!AR24/Data!AA24</f>
        <v>16852.001950049078</v>
      </c>
      <c r="AA24" s="6">
        <f>Data!AS24/Data!AB24</f>
        <v>47060.014032135252</v>
      </c>
      <c r="AB24" s="6">
        <f>Data!AT24/Data!AC24</f>
        <v>26955.588834951446</v>
      </c>
      <c r="AC24" s="6">
        <f>Data!AU24/Data!AD24</f>
        <v>12959.734890355161</v>
      </c>
      <c r="AD24" s="6">
        <f>Data!AV24/Data!AE24</f>
        <v>16317.271834306599</v>
      </c>
      <c r="AE24" s="6">
        <f>Data!AW24/Data!AF24</f>
        <v>4764.0248448478824</v>
      </c>
      <c r="AF24" s="6">
        <f>Data!AX24/Data!AG24</f>
        <v>4330.653138657708</v>
      </c>
      <c r="AG24" s="6">
        <f>Data!AY24/Data!AH24</f>
        <v>5082.9572402725335</v>
      </c>
      <c r="AH24" s="6">
        <f>Data!AZ24/Data!AI24</f>
        <v>11077.699175327483</v>
      </c>
      <c r="AI24" s="6">
        <f>Data!BA24/Data!AJ24</f>
        <v>51379.993223549718</v>
      </c>
      <c r="AJ24" s="17">
        <f>Data!BB24/Data!AK24</f>
        <v>1.2561543024063957E-7</v>
      </c>
      <c r="AK24" s="17">
        <f>Data!BC24/Data!AL24</f>
        <v>1.7400274562240974E-7</v>
      </c>
      <c r="AL24" s="17">
        <f>Data!BD24/Data!AM24</f>
        <v>8.8367463794360043E-8</v>
      </c>
      <c r="AM24" s="17">
        <f>Data!BE24/Data!AN24</f>
        <v>1.4528337775455414E-7</v>
      </c>
      <c r="AN24" s="17">
        <f>Data!BF24/Data!AO24</f>
        <v>1.4130252086533438E-7</v>
      </c>
      <c r="AO24" s="17">
        <f>Data!BG24/Data!AP24</f>
        <v>8.3985415175131972E-7</v>
      </c>
      <c r="AP24" s="17">
        <f>Data!BH24/Data!AQ24</f>
        <v>1.1876490015066479E-7</v>
      </c>
      <c r="AQ24" s="17">
        <f>Data!BI24/Data!AR24</f>
        <v>8.05029273646056E-8</v>
      </c>
      <c r="AR24" s="17">
        <f>Data!BJ24/Data!AS24</f>
        <v>6.7998152719627181E-8</v>
      </c>
      <c r="AS24" s="17">
        <f>Data!BK24/Data!AT24</f>
        <v>9.3755798640721507E-8</v>
      </c>
      <c r="AT24" s="17">
        <f>Data!BL24/Data!AU24</f>
        <v>1.5180582063973996E-7</v>
      </c>
      <c r="AU24" s="17">
        <f>Data!BM24/Data!AV24</f>
        <v>1.154749662476004E-7</v>
      </c>
      <c r="AV24" s="17">
        <f>Data!BN24/Data!AW24</f>
        <v>1.0217107496495707E-7</v>
      </c>
      <c r="AW24" s="17">
        <f>Data!BO24/Data!AX24</f>
        <v>7.2297902953101306E-7</v>
      </c>
      <c r="AX24" s="17">
        <f>Data!BP24/Data!AY24</f>
        <v>9.7522361028912997E-8</v>
      </c>
      <c r="AY24" s="17">
        <f>Data!BQ24/Data!AZ24</f>
        <v>9.8353212801611608E-8</v>
      </c>
      <c r="AZ24" s="17">
        <f>Data!BR24/Data!BA24</f>
        <v>1.0583414716824738E-7</v>
      </c>
      <c r="BA24" s="21">
        <f>Data!C24/Data!BB24</f>
        <v>2.535749894648887</v>
      </c>
      <c r="BB24" s="16">
        <f>Data!D24/Data!BC24</f>
        <v>3.6480794855755039</v>
      </c>
      <c r="BC24" s="16">
        <f>Data!E24/Data!BD24</f>
        <v>2.7440550162686144</v>
      </c>
      <c r="BD24" s="16">
        <f>Data!F24/Data!BE24</f>
        <v>2.5605994784556669</v>
      </c>
      <c r="BE24" s="16">
        <f>Data!G24/Data!BF24</f>
        <v>3.7625621216753382</v>
      </c>
      <c r="BF24" s="16">
        <f>Data!H24/Data!BG24</f>
        <v>3.5947916805249784</v>
      </c>
      <c r="BG24" s="16">
        <f>Data!I24/Data!BH24</f>
        <v>2.4053274440619465</v>
      </c>
      <c r="BH24" s="16">
        <f>Data!J24/Data!BI24</f>
        <v>2.1780369387856497</v>
      </c>
      <c r="BI24" s="16">
        <f>Data!K24/Data!BJ24</f>
        <v>2.2010614018993224</v>
      </c>
      <c r="BJ24" s="16">
        <f>Data!L24/Data!BK24</f>
        <v>2.800042636657317</v>
      </c>
      <c r="BK24" s="16">
        <f>Data!M24/Data!BL24</f>
        <v>2.7846552421398969</v>
      </c>
      <c r="BL24" s="16">
        <f>Data!N24/Data!BM24</f>
        <v>2.7467159701340402</v>
      </c>
      <c r="BM24" s="16">
        <f>Data!O24/Data!BN24</f>
        <v>1.7482288045566752</v>
      </c>
      <c r="BN24" s="16">
        <f>Data!P24/Data!BO24</f>
        <v>2.495682600174117</v>
      </c>
      <c r="BO24" s="16">
        <f>Data!Q24/Data!BP24</f>
        <v>2.5411279352616449</v>
      </c>
      <c r="BP24" s="16">
        <f>Data!R24/Data!BQ24</f>
        <v>2.5469166765553166</v>
      </c>
      <c r="BQ24" s="16">
        <f>Data!S24/Data!BR24</f>
        <v>3.066174230643111</v>
      </c>
    </row>
    <row r="25" spans="1:69" x14ac:dyDescent="0.3">
      <c r="A25" s="3">
        <v>2012</v>
      </c>
      <c r="B25" s="6">
        <f>Data!T25</f>
        <v>50199853</v>
      </c>
      <c r="C25" s="6">
        <f>Data!U25</f>
        <v>1361340100</v>
      </c>
      <c r="D25" s="6">
        <f>Data!V25</f>
        <v>127629000</v>
      </c>
      <c r="E25" s="6">
        <f>Data!W25</f>
        <v>143378447</v>
      </c>
      <c r="F25" s="6">
        <f>Data!X25</f>
        <v>2839705</v>
      </c>
      <c r="G25" s="6">
        <f>Data!Y25</f>
        <v>25211728</v>
      </c>
      <c r="H25" s="6">
        <f>Data!Z25</f>
        <v>349555192</v>
      </c>
      <c r="I25" s="6">
        <f>Data!AA25</f>
        <v>596566774</v>
      </c>
      <c r="J25" s="6">
        <f>Data!AB25</f>
        <v>490677619</v>
      </c>
      <c r="K25" s="6">
        <f>Data!AC25</f>
        <v>122020177</v>
      </c>
      <c r="L25" s="6">
        <f>Data!AD25</f>
        <v>171168723</v>
      </c>
      <c r="M25" s="6">
        <f>Data!AE25</f>
        <v>461338926</v>
      </c>
      <c r="N25" s="6">
        <f>Data!AF25</f>
        <v>885796479</v>
      </c>
      <c r="O25" s="6">
        <f>Data!AG25</f>
        <v>21464063</v>
      </c>
      <c r="P25" s="6">
        <f>Data!AH25</f>
        <v>1691220198</v>
      </c>
      <c r="Q25" s="6">
        <f>Data!AI25</f>
        <v>520209222</v>
      </c>
      <c r="R25" s="6">
        <f>Data!AJ25</f>
        <v>27141565</v>
      </c>
      <c r="S25" s="6">
        <f>Data!AK25/Data!T25</f>
        <v>41537.672861111765</v>
      </c>
      <c r="T25" s="6">
        <f>Data!AL25/Data!U25</f>
        <v>12463.646426614554</v>
      </c>
      <c r="U25" s="6">
        <f>Data!AM25/Data!V25</f>
        <v>41596.923803879603</v>
      </c>
      <c r="V25" s="6">
        <f>Data!AN25/Data!W25</f>
        <v>35740.700170372467</v>
      </c>
      <c r="W25" s="6">
        <f>Data!AO25/Data!X25</f>
        <v>12078.918532006177</v>
      </c>
      <c r="X25" s="6">
        <f>Data!AP25/Data!Y25</f>
        <v>676.28195455785897</v>
      </c>
      <c r="Y25" s="6">
        <f>Data!AQ25/Data!Z25</f>
        <v>60355.925408139548</v>
      </c>
      <c r="Z25" s="6">
        <f>Data!AR25/Data!AA25</f>
        <v>17121.387910417721</v>
      </c>
      <c r="AA25" s="6">
        <f>Data!AS25/Data!AB25</f>
        <v>46742.389303685566</v>
      </c>
      <c r="AB25" s="6">
        <f>Data!AT25/Data!AC25</f>
        <v>27259.521381733612</v>
      </c>
      <c r="AC25" s="6">
        <f>Data!AU25/Data!AD25</f>
        <v>13183.547724917185</v>
      </c>
      <c r="AD25" s="6">
        <f>Data!AV25/Data!AE25</f>
        <v>16368.363619772636</v>
      </c>
      <c r="AE25" s="6">
        <f>Data!AW25/Data!AF25</f>
        <v>4869.5226196103904</v>
      </c>
      <c r="AF25" s="6">
        <f>Data!AX25/Data!AG25</f>
        <v>4599.4927353191515</v>
      </c>
      <c r="AG25" s="6">
        <f>Data!AY25/Data!AH25</f>
        <v>5282.520112022793</v>
      </c>
      <c r="AH25" s="6">
        <f>Data!AZ25/Data!AI25</f>
        <v>11607.656323284922</v>
      </c>
      <c r="AI25" s="6">
        <f>Data!BA25/Data!AJ25</f>
        <v>52481.98001397746</v>
      </c>
      <c r="AJ25" s="17">
        <f>Data!BB25/Data!AK25</f>
        <v>1.2333243053764708E-7</v>
      </c>
      <c r="AK25" s="17">
        <f>Data!BC25/Data!AL25</f>
        <v>1.6724497675153613E-7</v>
      </c>
      <c r="AL25" s="17">
        <f>Data!BD25/Data!AM25</f>
        <v>8.5023178115179173E-8</v>
      </c>
      <c r="AM25" s="17">
        <f>Data!BE25/Data!AN25</f>
        <v>1.4146570418701822E-7</v>
      </c>
      <c r="AN25" s="17">
        <f>Data!BF25/Data!AO25</f>
        <v>1.3079705696480821E-7</v>
      </c>
      <c r="AO25" s="17">
        <f>Data!BG25/Data!AP25</f>
        <v>8.1313322814101631E-7</v>
      </c>
      <c r="AP25" s="17">
        <f>Data!BH25/Data!AQ25</f>
        <v>1.1418627713891221E-7</v>
      </c>
      <c r="AQ25" s="17">
        <f>Data!BI25/Data!AR25</f>
        <v>8.0822661126835504E-8</v>
      </c>
      <c r="AR25" s="17">
        <f>Data!BJ25/Data!AS25</f>
        <v>6.8193971532895938E-8</v>
      </c>
      <c r="AS25" s="17">
        <f>Data!BK25/Data!AT25</f>
        <v>8.9693850761998933E-8</v>
      </c>
      <c r="AT25" s="17">
        <f>Data!BL25/Data!AU25</f>
        <v>1.431294436190057E-7</v>
      </c>
      <c r="AU25" s="17">
        <f>Data!BM25/Data!AV25</f>
        <v>1.1758277407413376E-7</v>
      </c>
      <c r="AV25" s="17">
        <f>Data!BN25/Data!AW25</f>
        <v>9.8777931152935386E-8</v>
      </c>
      <c r="AW25" s="17">
        <f>Data!BO25/Data!AX25</f>
        <v>6.8134182180039979E-7</v>
      </c>
      <c r="AX25" s="17">
        <f>Data!BP25/Data!AY25</f>
        <v>9.7530205134690166E-8</v>
      </c>
      <c r="AY25" s="17">
        <f>Data!BQ25/Data!AZ25</f>
        <v>9.6256681142449852E-8</v>
      </c>
      <c r="AZ25" s="17">
        <f>Data!BR25/Data!BA25</f>
        <v>1.0156240137365313E-7</v>
      </c>
      <c r="BA25" s="21">
        <f>Data!C25/Data!BB25</f>
        <v>2.5088819156662647</v>
      </c>
      <c r="BB25" s="16">
        <f>Data!D25/Data!BC25</f>
        <v>3.6351365155723223</v>
      </c>
      <c r="BC25" s="16">
        <f>Data!E25/Data!BD25</f>
        <v>2.898632533478942</v>
      </c>
      <c r="BD25" s="16">
        <f>Data!F25/Data!BE25</f>
        <v>2.5103023838237166</v>
      </c>
      <c r="BE25" s="16">
        <f>Data!G25/Data!BF25</f>
        <v>3.9362150208781488</v>
      </c>
      <c r="BF25" s="16">
        <f>Data!H25/Data!BG25</f>
        <v>3.5358689427559518</v>
      </c>
      <c r="BG25" s="16">
        <f>Data!I25/Data!BH25</f>
        <v>2.3520525423470411</v>
      </c>
      <c r="BH25" s="16">
        <f>Data!J25/Data!BI25</f>
        <v>2.2142104656139745</v>
      </c>
      <c r="BI25" s="16">
        <f>Data!K25/Data!BJ25</f>
        <v>2.1959612496579775</v>
      </c>
      <c r="BJ25" s="16">
        <f>Data!L25/Data!BK25</f>
        <v>2.7774143970163259</v>
      </c>
      <c r="BK25" s="16">
        <f>Data!M25/Data!BL25</f>
        <v>2.8112515947427408</v>
      </c>
      <c r="BL25" s="16">
        <f>Data!N25/Data!BM25</f>
        <v>2.7776015336498752</v>
      </c>
      <c r="BM25" s="16">
        <f>Data!O25/Data!BN25</f>
        <v>1.7729391938164007</v>
      </c>
      <c r="BN25" s="16">
        <f>Data!P25/Data!BO25</f>
        <v>2.4558661620881415</v>
      </c>
      <c r="BO25" s="16">
        <f>Data!Q25/Data!BP25</f>
        <v>2.615291730201053</v>
      </c>
      <c r="BP25" s="16">
        <f>Data!R25/Data!BQ25</f>
        <v>2.4988702685060735</v>
      </c>
      <c r="BQ25" s="16">
        <f>Data!S25/Data!BR25</f>
        <v>3.0978079202637505</v>
      </c>
    </row>
    <row r="26" spans="1:69" x14ac:dyDescent="0.3">
      <c r="A26" s="3">
        <v>2013</v>
      </c>
      <c r="B26" s="6">
        <f>Data!T26</f>
        <v>50428893</v>
      </c>
      <c r="C26" s="6">
        <f>Data!U26</f>
        <v>1370418900</v>
      </c>
      <c r="D26" s="6">
        <f>Data!V26</f>
        <v>127445000</v>
      </c>
      <c r="E26" s="6">
        <f>Data!W26</f>
        <v>143805638</v>
      </c>
      <c r="F26" s="6">
        <f>Data!X26</f>
        <v>2899011</v>
      </c>
      <c r="G26" s="6">
        <f>Data!Y26</f>
        <v>25329451</v>
      </c>
      <c r="H26" s="6">
        <f>Data!Z26</f>
        <v>352308102</v>
      </c>
      <c r="I26" s="6">
        <f>Data!AA26</f>
        <v>602859351</v>
      </c>
      <c r="J26" s="6">
        <f>Data!AB26</f>
        <v>492948089</v>
      </c>
      <c r="K26" s="6">
        <f>Data!AC26</f>
        <v>121527798</v>
      </c>
      <c r="L26" s="6">
        <f>Data!AD26</f>
        <v>173422494</v>
      </c>
      <c r="M26" s="6">
        <f>Data!AE26</f>
        <v>472309814</v>
      </c>
      <c r="N26" s="6">
        <f>Data!AF26</f>
        <v>910396012</v>
      </c>
      <c r="O26" s="6">
        <f>Data!AG26</f>
        <v>21781593</v>
      </c>
      <c r="P26" s="6">
        <f>Data!AH26</f>
        <v>1712735969</v>
      </c>
      <c r="Q26" s="6">
        <f>Data!AI26</f>
        <v>527008978</v>
      </c>
      <c r="R26" s="6">
        <f>Data!AJ26</f>
        <v>27570229</v>
      </c>
      <c r="S26" s="6">
        <f>Data!AK26/Data!T26</f>
        <v>42709.975185788629</v>
      </c>
      <c r="T26" s="6">
        <f>Data!AL26/Data!U26</f>
        <v>13329.765060850592</v>
      </c>
      <c r="U26" s="6">
        <f>Data!AM26/Data!V26</f>
        <v>42492.243956049744</v>
      </c>
      <c r="V26" s="6">
        <f>Data!AN26/Data!W26</f>
        <v>36260.064759764427</v>
      </c>
      <c r="W26" s="6">
        <f>Data!AO26/Data!X26</f>
        <v>13210.094566566771</v>
      </c>
      <c r="X26" s="6">
        <f>Data!AP26/Data!Y26</f>
        <v>680.35351456198953</v>
      </c>
      <c r="Y26" s="6">
        <f>Data!AQ26/Data!Z26</f>
        <v>61162.431889259249</v>
      </c>
      <c r="Z26" s="6">
        <f>Data!AR26/Data!AA26</f>
        <v>17437.490347433624</v>
      </c>
      <c r="AA26" s="6">
        <f>Data!AS26/Data!AB26</f>
        <v>46891.152630587028</v>
      </c>
      <c r="AB26" s="6">
        <f>Data!AT26/Data!AC26</f>
        <v>27569.194428399584</v>
      </c>
      <c r="AC26" s="6">
        <f>Data!AU26/Data!AD26</f>
        <v>13471.605968157799</v>
      </c>
      <c r="AD26" s="6">
        <f>Data!AV26/Data!AE26</f>
        <v>16258.939606080829</v>
      </c>
      <c r="AE26" s="6">
        <f>Data!AW26/Data!AF26</f>
        <v>4994.7958447683422</v>
      </c>
      <c r="AF26" s="6">
        <f>Data!AX26/Data!AG26</f>
        <v>4891.4120191312913</v>
      </c>
      <c r="AG26" s="6">
        <f>Data!AY26/Data!AH26</f>
        <v>5532.1902952362116</v>
      </c>
      <c r="AH26" s="6">
        <f>Data!AZ26/Data!AI26</f>
        <v>12036.613808960652</v>
      </c>
      <c r="AI26" s="6">
        <f>Data!BA26/Data!AJ26</f>
        <v>53033.017453775959</v>
      </c>
      <c r="AJ26" s="17">
        <f>Data!BB26/Data!AK26</f>
        <v>1.1960288997018985E-7</v>
      </c>
      <c r="AK26" s="17">
        <f>Data!BC26/Data!AL26</f>
        <v>1.6025200745981662E-7</v>
      </c>
      <c r="AL26" s="17">
        <f>Data!BD26/Data!AM26</f>
        <v>8.3952685403626743E-8</v>
      </c>
      <c r="AM26" s="17">
        <f>Data!BE26/Data!AN26</f>
        <v>1.3568367444028632E-7</v>
      </c>
      <c r="AN26" s="17">
        <f>Data!BF26/Data!AO26</f>
        <v>1.3402396927627137E-7</v>
      </c>
      <c r="AO26" s="17">
        <f>Data!BG26/Data!AP26</f>
        <v>6.464410303522406E-7</v>
      </c>
      <c r="AP26" s="17">
        <f>Data!BH26/Data!AQ26</f>
        <v>1.1373482852346262E-7</v>
      </c>
      <c r="AQ26" s="17">
        <f>Data!BI26/Data!AR26</f>
        <v>8.1725852905027592E-8</v>
      </c>
      <c r="AR26" s="17">
        <f>Data!BJ26/Data!AS26</f>
        <v>6.7086151541706066E-8</v>
      </c>
      <c r="AS26" s="17">
        <f>Data!BK26/Data!AT26</f>
        <v>8.7544716583625377E-8</v>
      </c>
      <c r="AT26" s="17">
        <f>Data!BL26/Data!AU26</f>
        <v>1.3669383277620984E-7</v>
      </c>
      <c r="AU26" s="17">
        <f>Data!BM26/Data!AV26</f>
        <v>1.1678595953045022E-7</v>
      </c>
      <c r="AV26" s="17">
        <f>Data!BN26/Data!AW26</f>
        <v>9.6007718763707039E-8</v>
      </c>
      <c r="AW26" s="17">
        <f>Data!BO26/Data!AX26</f>
        <v>6.4932969845217225E-7</v>
      </c>
      <c r="AX26" s="17">
        <f>Data!BP26/Data!AY26</f>
        <v>9.4114754662789914E-8</v>
      </c>
      <c r="AY26" s="17">
        <f>Data!BQ26/Data!AZ26</f>
        <v>9.6704200502845967E-8</v>
      </c>
      <c r="AZ26" s="17">
        <f>Data!BR26/Data!BA26</f>
        <v>1.0058741014345435E-7</v>
      </c>
      <c r="BA26" s="21">
        <f>Data!C26/Data!BB26</f>
        <v>2.4923929782703649</v>
      </c>
      <c r="BB26" s="16">
        <f>Data!D26/Data!BC26</f>
        <v>3.6915639815704373</v>
      </c>
      <c r="BC26" s="16">
        <f>Data!E26/Data!BD26</f>
        <v>2.9110762546203914</v>
      </c>
      <c r="BD26" s="16">
        <f>Data!F26/Data!BE26</f>
        <v>2.4936032124856826</v>
      </c>
      <c r="BE26" s="16">
        <f>Data!G26/Data!BF26</f>
        <v>3.7367205502592253</v>
      </c>
      <c r="BF26" s="16">
        <f>Data!H26/Data!BG26</f>
        <v>3.4028768960741487</v>
      </c>
      <c r="BG26" s="16">
        <f>Data!I26/Data!BH26</f>
        <v>2.3710582414171397</v>
      </c>
      <c r="BH26" s="16">
        <f>Data!J26/Data!BI26</f>
        <v>2.1681707816397564</v>
      </c>
      <c r="BI26" s="16">
        <f>Data!K26/Data!BJ26</f>
        <v>2.1634432683028137</v>
      </c>
      <c r="BJ26" s="16">
        <f>Data!L26/Data!BK26</f>
        <v>2.7418520158914386</v>
      </c>
      <c r="BK26" s="16">
        <f>Data!M26/Data!BL26</f>
        <v>2.8530607629753568</v>
      </c>
      <c r="BL26" s="16">
        <f>Data!N26/Data!BM26</f>
        <v>2.8045486651218052</v>
      </c>
      <c r="BM26" s="16">
        <f>Data!O26/Data!BN26</f>
        <v>1.8249228035981606</v>
      </c>
      <c r="BN26" s="16">
        <f>Data!P26/Data!BO26</f>
        <v>2.4977726593582008</v>
      </c>
      <c r="BO26" s="16">
        <f>Data!Q26/Data!BP26</f>
        <v>2.6215673993886011</v>
      </c>
      <c r="BP26" s="16">
        <f>Data!R26/Data!BQ26</f>
        <v>2.3941806924918771</v>
      </c>
      <c r="BQ26" s="16">
        <f>Data!S26/Data!BR26</f>
        <v>2.9939261340496794</v>
      </c>
    </row>
    <row r="27" spans="1:69" x14ac:dyDescent="0.3">
      <c r="A27" s="3">
        <v>2014</v>
      </c>
      <c r="B27" s="6">
        <f>Data!T27</f>
        <v>50746659</v>
      </c>
      <c r="C27" s="6">
        <f>Data!U27</f>
        <v>1379089500</v>
      </c>
      <c r="D27" s="6">
        <f>Data!V27</f>
        <v>127276000</v>
      </c>
      <c r="E27" s="6">
        <f>Data!W27</f>
        <v>144237223</v>
      </c>
      <c r="F27" s="6">
        <f>Data!X27</f>
        <v>2963113</v>
      </c>
      <c r="G27" s="6">
        <f>Data!Y27</f>
        <v>25451262</v>
      </c>
      <c r="H27" s="6">
        <f>Data!Z27</f>
        <v>355190462</v>
      </c>
      <c r="I27" s="6">
        <f>Data!AA27</f>
        <v>609071963</v>
      </c>
      <c r="J27" s="6">
        <f>Data!AB27</f>
        <v>495407580</v>
      </c>
      <c r="K27" s="6">
        <f>Data!AC27</f>
        <v>121104950</v>
      </c>
      <c r="L27" s="6">
        <f>Data!AD27</f>
        <v>175785488</v>
      </c>
      <c r="M27" s="6">
        <f>Data!AE27</f>
        <v>482281601</v>
      </c>
      <c r="N27" s="6">
        <f>Data!AF27</f>
        <v>935565872</v>
      </c>
      <c r="O27" s="6">
        <f>Data!AG27</f>
        <v>22099944</v>
      </c>
      <c r="P27" s="6">
        <f>Data!AH27</f>
        <v>1734103893</v>
      </c>
      <c r="Q27" s="6">
        <f>Data!AI27</f>
        <v>533424134</v>
      </c>
      <c r="R27" s="6">
        <f>Data!AJ27</f>
        <v>27992186</v>
      </c>
      <c r="S27" s="6">
        <f>Data!AK27/Data!T27</f>
        <v>43806.925098566004</v>
      </c>
      <c r="T27" s="6">
        <f>Data!AL27/Data!U27</f>
        <v>14219.533329217067</v>
      </c>
      <c r="U27" s="6">
        <f>Data!AM27/Data!V27</f>
        <v>42674.697630132076</v>
      </c>
      <c r="V27" s="6">
        <f>Data!AN27/Data!W27</f>
        <v>36417.7399447809</v>
      </c>
      <c r="W27" s="6">
        <f>Data!AO27/Data!X27</f>
        <v>13943.427714865245</v>
      </c>
      <c r="X27" s="6">
        <f>Data!AP27/Data!Y27</f>
        <v>684.16058063648472</v>
      </c>
      <c r="Y27" s="6">
        <f>Data!AQ27/Data!Z27</f>
        <v>62215.528083561832</v>
      </c>
      <c r="Z27" s="6">
        <f>Data!AR27/Data!AA27</f>
        <v>17521.07443227476</v>
      </c>
      <c r="AA27" s="6">
        <f>Data!AS27/Data!AB27</f>
        <v>47566.68139010005</v>
      </c>
      <c r="AB27" s="6">
        <f>Data!AT27/Data!AC27</f>
        <v>28509.861895321701</v>
      </c>
      <c r="AC27" s="6">
        <f>Data!AU27/Data!AD27</f>
        <v>13176.79092032199</v>
      </c>
      <c r="AD27" s="6">
        <f>Data!AV27/Data!AE27</f>
        <v>16421.498234436545</v>
      </c>
      <c r="AE27" s="6">
        <f>Data!AW27/Data!AF27</f>
        <v>5102.8611745601056</v>
      </c>
      <c r="AF27" s="6">
        <f>Data!AX27/Data!AG27</f>
        <v>5199.7013123496608</v>
      </c>
      <c r="AG27" s="6">
        <f>Data!AY27/Data!AH27</f>
        <v>5843.0590920009545</v>
      </c>
      <c r="AH27" s="6">
        <f>Data!AZ27/Data!AI27</f>
        <v>12412.161436356178</v>
      </c>
      <c r="AI27" s="6">
        <f>Data!BA27/Data!AJ27</f>
        <v>53676.548999472929</v>
      </c>
      <c r="AJ27" s="17">
        <f>Data!BB27/Data!AK27</f>
        <v>1.1726423343905469E-7</v>
      </c>
      <c r="AK27" s="17">
        <f>Data!BC27/Data!AL27</f>
        <v>1.5303714222083111E-7</v>
      </c>
      <c r="AL27" s="17">
        <f>Data!BD27/Data!AM27</f>
        <v>8.0746124460304994E-8</v>
      </c>
      <c r="AM27" s="17">
        <f>Data!BE27/Data!AN27</f>
        <v>1.3498249722380539E-7</v>
      </c>
      <c r="AN27" s="17">
        <f>Data!BF27/Data!AO27</f>
        <v>1.2790398753013898E-7</v>
      </c>
      <c r="AO27" s="17">
        <f>Data!BG27/Data!AP27</f>
        <v>6.8868426128151886E-7</v>
      </c>
      <c r="AP27" s="17">
        <f>Data!BH27/Data!AQ27</f>
        <v>1.1238629988125272E-7</v>
      </c>
      <c r="AQ27" s="17">
        <f>Data!BI27/Data!AR27</f>
        <v>8.0311251417570866E-8</v>
      </c>
      <c r="AR27" s="17">
        <f>Data!BJ27/Data!AS27</f>
        <v>6.3358466764190134E-8</v>
      </c>
      <c r="AS27" s="17">
        <f>Data!BK27/Data!AT27</f>
        <v>8.2343858509193777E-8</v>
      </c>
      <c r="AT27" s="17">
        <f>Data!BL27/Data!AU27</f>
        <v>1.260615336107447E-7</v>
      </c>
      <c r="AU27" s="17">
        <f>Data!BM27/Data!AV27</f>
        <v>1.195160799930133E-7</v>
      </c>
      <c r="AV27" s="17">
        <f>Data!BN27/Data!AW27</f>
        <v>9.4778198637700011E-8</v>
      </c>
      <c r="AW27" s="17">
        <f>Data!BO27/Data!AX27</f>
        <v>6.6983698779431165E-7</v>
      </c>
      <c r="AX27" s="17">
        <f>Data!BP27/Data!AY27</f>
        <v>9.3839601154267206E-8</v>
      </c>
      <c r="AY27" s="17">
        <f>Data!BQ27/Data!AZ27</f>
        <v>9.4475437655689899E-8</v>
      </c>
      <c r="AZ27" s="17">
        <f>Data!BR27/Data!BA27</f>
        <v>9.7943768312882694E-8</v>
      </c>
      <c r="BA27" s="21">
        <f>Data!C27/Data!BB27</f>
        <v>2.4189612329116894</v>
      </c>
      <c r="BB27" s="16">
        <f>Data!D27/Data!BC27</f>
        <v>3.6415997891255434</v>
      </c>
      <c r="BC27" s="16">
        <f>Data!E27/Data!BD27</f>
        <v>2.9039162709641064</v>
      </c>
      <c r="BD27" s="16">
        <f>Data!F27/Data!BE27</f>
        <v>2.4684231399842842</v>
      </c>
      <c r="BE27" s="16">
        <f>Data!G27/Data!BF27</f>
        <v>3.695794888033721</v>
      </c>
      <c r="BF27" s="16">
        <f>Data!H27/Data!BG27</f>
        <v>3.4698908163696833</v>
      </c>
      <c r="BG27" s="16">
        <f>Data!I27/Data!BH27</f>
        <v>2.3497145232676635</v>
      </c>
      <c r="BH27" s="16">
        <f>Data!J27/Data!BI27</f>
        <v>2.1817835366587426</v>
      </c>
      <c r="BI27" s="16">
        <f>Data!K27/Data!BJ27</f>
        <v>2.1500096941816618</v>
      </c>
      <c r="BJ27" s="16">
        <f>Data!L27/Data!BK27</f>
        <v>2.7245665684460358</v>
      </c>
      <c r="BK27" s="16">
        <f>Data!M27/Data!BL27</f>
        <v>2.7937711524332016</v>
      </c>
      <c r="BL27" s="16">
        <f>Data!N27/Data!BM27</f>
        <v>2.7518242133895026</v>
      </c>
      <c r="BM27" s="16">
        <f>Data!O27/Data!BN27</f>
        <v>1.8320885039906374</v>
      </c>
      <c r="BN27" s="16">
        <f>Data!P27/Data!BO27</f>
        <v>2.4731121408135697</v>
      </c>
      <c r="BO27" s="16">
        <f>Data!Q27/Data!BP27</f>
        <v>2.6503616607751055</v>
      </c>
      <c r="BP27" s="16">
        <f>Data!R27/Data!BQ27</f>
        <v>2.4412793255789151</v>
      </c>
      <c r="BQ27" s="16">
        <f>Data!S27/Data!BR27</f>
        <v>2.9337099300723017</v>
      </c>
    </row>
    <row r="28" spans="1:69" x14ac:dyDescent="0.3">
      <c r="A28" s="3">
        <v>2015</v>
      </c>
      <c r="B28" s="6">
        <f>Data!T28</f>
        <v>51014947</v>
      </c>
      <c r="C28" s="6">
        <f>Data!U28</f>
        <v>1387151300</v>
      </c>
      <c r="D28" s="6">
        <f>Data!V28</f>
        <v>127141000</v>
      </c>
      <c r="E28" s="6">
        <f>Data!W28</f>
        <v>144640716</v>
      </c>
      <c r="F28" s="6">
        <f>Data!X28</f>
        <v>3026864</v>
      </c>
      <c r="G28" s="6">
        <f>Data!Y28</f>
        <v>25575350</v>
      </c>
      <c r="H28" s="6">
        <f>Data!Z28</f>
        <v>358016206</v>
      </c>
      <c r="I28" s="6">
        <f>Data!AA28</f>
        <v>615141127</v>
      </c>
      <c r="J28" s="6">
        <f>Data!AB28</f>
        <v>498240162</v>
      </c>
      <c r="K28" s="6">
        <f>Data!AC28</f>
        <v>120643739</v>
      </c>
      <c r="L28" s="6">
        <f>Data!AD28</f>
        <v>178026092</v>
      </c>
      <c r="M28" s="6">
        <f>Data!AE28</f>
        <v>492777785</v>
      </c>
      <c r="N28" s="6">
        <f>Data!AF28</f>
        <v>961332472</v>
      </c>
      <c r="O28" s="6">
        <f>Data!AG28</f>
        <v>22424896</v>
      </c>
      <c r="P28" s="6">
        <f>Data!AH28</f>
        <v>1754660961</v>
      </c>
      <c r="Q28" s="6">
        <f>Data!AI28</f>
        <v>539530404</v>
      </c>
      <c r="R28" s="6">
        <f>Data!AJ28</f>
        <v>28425395</v>
      </c>
      <c r="S28" s="6">
        <f>Data!AK28/Data!T28</f>
        <v>44849.106767088866</v>
      </c>
      <c r="T28" s="6">
        <f>Data!AL28/Data!U28</f>
        <v>15108.678829682098</v>
      </c>
      <c r="U28" s="6">
        <f>Data!AM28/Data!V28</f>
        <v>43386.710073951283</v>
      </c>
      <c r="V28" s="6">
        <f>Data!AN28/Data!W28</f>
        <v>35599.732559413562</v>
      </c>
      <c r="W28" s="6">
        <f>Data!AO28/Data!X28</f>
        <v>13974.596726036518</v>
      </c>
      <c r="X28" s="6">
        <f>Data!AP28/Data!Y28</f>
        <v>673.0628936748783</v>
      </c>
      <c r="Y28" s="6">
        <f>Data!AQ28/Data!Z28</f>
        <v>63415.560312645175</v>
      </c>
      <c r="Z28" s="6">
        <f>Data!AR28/Data!AA28</f>
        <v>17439.009267282658</v>
      </c>
      <c r="AA28" s="6">
        <f>Data!AS28/Data!AB28</f>
        <v>48445.963608914171</v>
      </c>
      <c r="AB28" s="6">
        <f>Data!AT28/Data!AC28</f>
        <v>29721.044413047493</v>
      </c>
      <c r="AC28" s="6">
        <f>Data!AU28/Data!AD28</f>
        <v>12753.777536324618</v>
      </c>
      <c r="AD28" s="6">
        <f>Data!AV28/Data!AE28</f>
        <v>16551.968300584998</v>
      </c>
      <c r="AE28" s="6">
        <f>Data!AW28/Data!AF28</f>
        <v>5119.83984313971</v>
      </c>
      <c r="AF28" s="6">
        <f>Data!AX28/Data!AG28</f>
        <v>5494.8628328328032</v>
      </c>
      <c r="AG28" s="6">
        <f>Data!AY28/Data!AH28</f>
        <v>6200.5741643715182</v>
      </c>
      <c r="AH28" s="6">
        <f>Data!AZ28/Data!AI28</f>
        <v>12789.205892053991</v>
      </c>
      <c r="AI28" s="6">
        <f>Data!BA28/Data!AJ28</f>
        <v>54109.854887534901</v>
      </c>
      <c r="AJ28" s="17">
        <f>Data!BB28/Data!AK28</f>
        <v>1.1681400400414967E-7</v>
      </c>
      <c r="AK28" s="17">
        <f>Data!BC28/Data!AL28</f>
        <v>1.4391677773890182E-7</v>
      </c>
      <c r="AL28" s="17">
        <f>Data!BD28/Data!AM28</f>
        <v>7.8378672767734442E-8</v>
      </c>
      <c r="AM28" s="17">
        <f>Data!BE28/Data!AN28</f>
        <v>1.3495130110697614E-7</v>
      </c>
      <c r="AN28" s="17">
        <f>Data!BF28/Data!AO28</f>
        <v>1.098798934388449E-7</v>
      </c>
      <c r="AO28" s="17">
        <f>Data!BG28/Data!AP28</f>
        <v>5.5388353722882606E-7</v>
      </c>
      <c r="AP28" s="17">
        <f>Data!BH28/Data!AQ28</f>
        <v>1.0833400363289778E-7</v>
      </c>
      <c r="AQ28" s="17">
        <f>Data!BI28/Data!AR28</f>
        <v>7.9398953612963608E-8</v>
      </c>
      <c r="AR28" s="17">
        <f>Data!BJ28/Data!AS28</f>
        <v>6.274238298190864E-8</v>
      </c>
      <c r="AS28" s="17">
        <f>Data!BK28/Data!AT28</f>
        <v>8.0779015751205714E-8</v>
      </c>
      <c r="AT28" s="17">
        <f>Data!BL28/Data!AU28</f>
        <v>1.1679538727771162E-7</v>
      </c>
      <c r="AU28" s="17">
        <f>Data!BM28/Data!AV28</f>
        <v>1.1727288927793398E-7</v>
      </c>
      <c r="AV28" s="17">
        <f>Data!BN28/Data!AW28</f>
        <v>9.1808135677833455E-8</v>
      </c>
      <c r="AW28" s="17">
        <f>Data!BO28/Data!AX28</f>
        <v>5.9322748063311651E-7</v>
      </c>
      <c r="AX28" s="17">
        <f>Data!BP28/Data!AY28</f>
        <v>9.0227266499420687E-8</v>
      </c>
      <c r="AY28" s="17">
        <f>Data!BQ28/Data!AZ28</f>
        <v>9.0979882455939777E-8</v>
      </c>
      <c r="AZ28" s="17">
        <f>Data!BR28/Data!BA28</f>
        <v>9.5608956368491511E-8</v>
      </c>
      <c r="BA28" s="21">
        <f>Data!C28/Data!BB28</f>
        <v>2.4088203879598518</v>
      </c>
      <c r="BB28" s="16">
        <f>Data!D28/Data!BC28</f>
        <v>3.5787089623469659</v>
      </c>
      <c r="BC28" s="16">
        <f>Data!E28/Data!BD28</f>
        <v>2.8508445607247781</v>
      </c>
      <c r="BD28" s="16">
        <f>Data!F28/Data!BE28</f>
        <v>2.5286315031791484</v>
      </c>
      <c r="BE28" s="16">
        <f>Data!G28/Data!BF28</f>
        <v>3.8783480047992267</v>
      </c>
      <c r="BF28" s="16">
        <f>Data!H28/Data!BG28</f>
        <v>3.4248564836055055</v>
      </c>
      <c r="BG28" s="16">
        <f>Data!I28/Data!BH28</f>
        <v>2.3253838732126484</v>
      </c>
      <c r="BH28" s="16">
        <f>Data!J28/Data!BI28</f>
        <v>2.1832064139097151</v>
      </c>
      <c r="BI28" s="16">
        <f>Data!K28/Data!BJ28</f>
        <v>2.1510855858378459</v>
      </c>
      <c r="BJ28" s="16">
        <f>Data!L28/Data!BK28</f>
        <v>2.7362742163643339</v>
      </c>
      <c r="BK28" s="16">
        <f>Data!M28/Data!BL28</f>
        <v>2.7829096441869439</v>
      </c>
      <c r="BL28" s="16">
        <f>Data!N28/Data!BM28</f>
        <v>2.7633407577925651</v>
      </c>
      <c r="BM28" s="16">
        <f>Data!O28/Data!BN28</f>
        <v>1.8039357307969057</v>
      </c>
      <c r="BN28" s="16">
        <f>Data!P28/Data!BO28</f>
        <v>2.9859066771478591</v>
      </c>
      <c r="BO28" s="16">
        <f>Data!Q28/Data!BP28</f>
        <v>2.6285133483149021</v>
      </c>
      <c r="BP28" s="16">
        <f>Data!R28/Data!BQ28</f>
        <v>2.4805068064949198</v>
      </c>
      <c r="BQ28" s="16">
        <f>Data!S28/Data!BR28</f>
        <v>2.9650036710349652</v>
      </c>
    </row>
    <row r="29" spans="1:69" x14ac:dyDescent="0.3">
      <c r="A29" s="3">
        <v>2016</v>
      </c>
      <c r="B29" s="6">
        <f>Data!T29</f>
        <v>51217803</v>
      </c>
      <c r="C29" s="6">
        <f>Data!U29</f>
        <v>1395126600</v>
      </c>
      <c r="D29" s="6">
        <f>Data!V29</f>
        <v>127076000</v>
      </c>
      <c r="E29" s="6">
        <f>Data!W29</f>
        <v>145015460</v>
      </c>
      <c r="F29" s="6">
        <f>Data!X29</f>
        <v>3088856</v>
      </c>
      <c r="G29" s="6">
        <f>Data!Y29</f>
        <v>25698326</v>
      </c>
      <c r="H29" s="6">
        <f>Data!Z29</f>
        <v>360958545</v>
      </c>
      <c r="I29" s="6">
        <f>Data!AA29</f>
        <v>621065588</v>
      </c>
      <c r="J29" s="6">
        <f>Data!AB29</f>
        <v>501170175</v>
      </c>
      <c r="K29" s="6">
        <f>Data!AC29</f>
        <v>120177967</v>
      </c>
      <c r="L29" s="6">
        <f>Data!AD29</f>
        <v>180116804</v>
      </c>
      <c r="M29" s="6">
        <f>Data!AE29</f>
        <v>502781880</v>
      </c>
      <c r="N29" s="6">
        <f>Data!AF29</f>
        <v>987423063</v>
      </c>
      <c r="O29" s="6">
        <f>Data!AG29</f>
        <v>22761605</v>
      </c>
      <c r="P29" s="6">
        <f>Data!AH29</f>
        <v>1775250733</v>
      </c>
      <c r="Q29" s="6">
        <f>Data!AI29</f>
        <v>545426131</v>
      </c>
      <c r="R29" s="6">
        <f>Data!AJ29</f>
        <v>28905007</v>
      </c>
      <c r="S29" s="6">
        <f>Data!AK29/Data!T29</f>
        <v>46088.243078538333</v>
      </c>
      <c r="T29" s="6">
        <f>Data!AL29/Data!U29</f>
        <v>16025.061183722322</v>
      </c>
      <c r="U29" s="6">
        <f>Data!AM29/Data!V29</f>
        <v>43736.130507661241</v>
      </c>
      <c r="V29" s="6">
        <f>Data!AN29/Data!W29</f>
        <v>35576.511907124317</v>
      </c>
      <c r="W29" s="6">
        <f>Data!AO29/Data!X29</f>
        <v>13898.14569535854</v>
      </c>
      <c r="X29" s="6">
        <f>Data!AP29/Data!Y29</f>
        <v>695.75530490781</v>
      </c>
      <c r="Y29" s="6">
        <f>Data!AQ29/Data!Z29</f>
        <v>64000.018783412648</v>
      </c>
      <c r="Z29" s="6">
        <f>Data!AR29/Data!AA29</f>
        <v>17241.381326716975</v>
      </c>
      <c r="AA29" s="6">
        <f>Data!AS29/Data!AB29</f>
        <v>49126.900196025832</v>
      </c>
      <c r="AB29" s="6">
        <f>Data!AT29/Data!AC29</f>
        <v>30689.959026535038</v>
      </c>
      <c r="AC29" s="6">
        <f>Data!AU29/Data!AD29</f>
        <v>12817.44706645189</v>
      </c>
      <c r="AD29" s="6">
        <f>Data!AV29/Data!AE29</f>
        <v>16967.569790761176</v>
      </c>
      <c r="AE29" s="6">
        <f>Data!AW29/Data!AF29</f>
        <v>5045.191377357306</v>
      </c>
      <c r="AF29" s="6">
        <f>Data!AX29/Data!AG29</f>
        <v>5823.8669303550432</v>
      </c>
      <c r="AG29" s="6">
        <f>Data!AY29/Data!AH29</f>
        <v>6609.8918129193644</v>
      </c>
      <c r="AH29" s="6">
        <f>Data!AZ29/Data!AI29</f>
        <v>13247.478755231439</v>
      </c>
      <c r="AI29" s="6">
        <f>Data!BA29/Data!AJ29</f>
        <v>54751.744159201553</v>
      </c>
      <c r="AJ29" s="17">
        <f>Data!BB29/Data!AK29</f>
        <v>1.1696780400407516E-7</v>
      </c>
      <c r="AK29" s="17">
        <f>Data!BC29/Data!AL29</f>
        <v>1.3409307869531516E-7</v>
      </c>
      <c r="AL29" s="17">
        <f>Data!BD29/Data!AM29</f>
        <v>7.7073298789470719E-8</v>
      </c>
      <c r="AM29" s="17">
        <f>Data!BE29/Data!AN29</f>
        <v>1.3874442694051526E-7</v>
      </c>
      <c r="AN29" s="17">
        <f>Data!BF29/Data!AO29</f>
        <v>1.1558769478282337E-7</v>
      </c>
      <c r="AO29" s="17">
        <f>Data!BG29/Data!AP29</f>
        <v>5.8842556389658536E-7</v>
      </c>
      <c r="AP29" s="17">
        <f>Data!BH29/Data!AQ29</f>
        <v>1.0597690074913433E-7</v>
      </c>
      <c r="AQ29" s="17">
        <f>Data!BI29/Data!AR29</f>
        <v>7.8708462219838403E-8</v>
      </c>
      <c r="AR29" s="17">
        <f>Data!BJ29/Data!AS29</f>
        <v>6.1956015222471897E-8</v>
      </c>
      <c r="AS29" s="17">
        <f>Data!BK29/Data!AT29</f>
        <v>8.0375158887806712E-8</v>
      </c>
      <c r="AT29" s="17">
        <f>Data!BL29/Data!AU29</f>
        <v>1.1805401110863893E-7</v>
      </c>
      <c r="AU29" s="17">
        <f>Data!BM29/Data!AV29</f>
        <v>1.1602832579071436E-7</v>
      </c>
      <c r="AV29" s="17">
        <f>Data!BN29/Data!AW29</f>
        <v>9.3709923867562202E-8</v>
      </c>
      <c r="AW29" s="17">
        <f>Data!BO29/Data!AX29</f>
        <v>6.1261476137666607E-7</v>
      </c>
      <c r="AX29" s="17">
        <f>Data!BP29/Data!AY29</f>
        <v>8.5811118891509064E-8</v>
      </c>
      <c r="AY29" s="17">
        <f>Data!BQ29/Data!AZ29</f>
        <v>8.9907619885169753E-8</v>
      </c>
      <c r="AZ29" s="17">
        <f>Data!BR29/Data!BA29</f>
        <v>9.245153909458553E-8</v>
      </c>
      <c r="BA29" s="21">
        <f>Data!C29/Data!BB29</f>
        <v>2.3498709229020087</v>
      </c>
      <c r="BB29" s="16">
        <f>Data!D29/Data!BC29</f>
        <v>3.6087734970925256</v>
      </c>
      <c r="BC29" s="16">
        <f>Data!E29/Data!BD29</f>
        <v>2.868280758466478</v>
      </c>
      <c r="BD29" s="16">
        <f>Data!F29/Data!BE29</f>
        <v>2.4233475263019852</v>
      </c>
      <c r="BE29" s="16">
        <f>Data!G29/Data!BF29</f>
        <v>3.8525608512903897</v>
      </c>
      <c r="BF29" s="16">
        <f>Data!H29/Data!BG29</f>
        <v>3.4243322196083992</v>
      </c>
      <c r="BG29" s="16">
        <f>Data!I29/Data!BH29</f>
        <v>2.2932841834355133</v>
      </c>
      <c r="BH29" s="16">
        <f>Data!J29/Data!BI29</f>
        <v>2.1631029324589934</v>
      </c>
      <c r="BI29" s="16">
        <f>Data!K29/Data!BJ29</f>
        <v>2.1335532767738061</v>
      </c>
      <c r="BJ29" s="16">
        <f>Data!L29/Data!BK29</f>
        <v>2.7208863612844816</v>
      </c>
      <c r="BK29" s="16">
        <f>Data!M29/Data!BL29</f>
        <v>2.7827704833358791</v>
      </c>
      <c r="BL29" s="16">
        <f>Data!N29/Data!BM29</f>
        <v>2.7075805998558931</v>
      </c>
      <c r="BM29" s="16">
        <f>Data!O29/Data!BN29</f>
        <v>1.773450253972684</v>
      </c>
      <c r="BN29" s="16">
        <f>Data!P29/Data!BO29</f>
        <v>3.0818450140652542</v>
      </c>
      <c r="BO29" s="16">
        <f>Data!Q29/Data!BP29</f>
        <v>2.6295742976987238</v>
      </c>
      <c r="BP29" s="16">
        <f>Data!R29/Data!BQ29</f>
        <v>2.397870565712521</v>
      </c>
      <c r="BQ29" s="16">
        <f>Data!S29/Data!BR29</f>
        <v>3.0301714335253238</v>
      </c>
    </row>
    <row r="30" spans="1:69" x14ac:dyDescent="0.3">
      <c r="A30" s="3">
        <v>2017</v>
      </c>
      <c r="B30" s="6">
        <f>Data!T30</f>
        <v>51361911</v>
      </c>
      <c r="C30" s="6">
        <f>Data!U30</f>
        <v>1403608200</v>
      </c>
      <c r="D30" s="6">
        <f>Data!V30</f>
        <v>126972000</v>
      </c>
      <c r="E30" s="6">
        <f>Data!W30</f>
        <v>145293260</v>
      </c>
      <c r="F30" s="6">
        <f>Data!X30</f>
        <v>3148917</v>
      </c>
      <c r="G30" s="6">
        <f>Data!Y30</f>
        <v>25817709</v>
      </c>
      <c r="H30" s="6">
        <f>Data!Z30</f>
        <v>363645750</v>
      </c>
      <c r="I30" s="6">
        <f>Data!AA30</f>
        <v>626812981</v>
      </c>
      <c r="J30" s="6">
        <f>Data!AB30</f>
        <v>503651482</v>
      </c>
      <c r="K30" s="6">
        <f>Data!AC30</f>
        <v>119750984</v>
      </c>
      <c r="L30" s="6">
        <f>Data!AD30</f>
        <v>182271403</v>
      </c>
      <c r="M30" s="6">
        <f>Data!AE30</f>
        <v>511376355</v>
      </c>
      <c r="N30" s="6">
        <f>Data!AF30</f>
        <v>1014106399</v>
      </c>
      <c r="O30" s="6">
        <f>Data!AG30</f>
        <v>23091519</v>
      </c>
      <c r="P30" s="6">
        <f>Data!AH30</f>
        <v>1795794394</v>
      </c>
      <c r="Q30" s="6">
        <f>Data!AI30</f>
        <v>551074594</v>
      </c>
      <c r="R30" s="6">
        <f>Data!AJ30</f>
        <v>29406188</v>
      </c>
      <c r="S30" s="6">
        <f>Data!AK30/Data!T30</f>
        <v>47536.789856885196</v>
      </c>
      <c r="T30" s="6">
        <f>Data!AL30/Data!U30</f>
        <v>17015.569325482567</v>
      </c>
      <c r="U30" s="6">
        <f>Data!AM30/Data!V30</f>
        <v>44505.279260368428</v>
      </c>
      <c r="V30" s="6">
        <f>Data!AN30/Data!W30</f>
        <v>36156.800269459025</v>
      </c>
      <c r="W30" s="6">
        <f>Data!AO30/Data!X30</f>
        <v>14401.537506756227</v>
      </c>
      <c r="X30" s="6">
        <f>Data!AP30/Data!Y30</f>
        <v>668.42045137383411</v>
      </c>
      <c r="Y30" s="6">
        <f>Data!AQ30/Data!Z30</f>
        <v>65119.745219880606</v>
      </c>
      <c r="Z30" s="6">
        <f>Data!AR30/Data!AA30</f>
        <v>17429.692631886162</v>
      </c>
      <c r="AA30" s="6">
        <f>Data!AS30/Data!AB30</f>
        <v>50369.030163109892</v>
      </c>
      <c r="AB30" s="6">
        <f>Data!AT30/Data!AC30</f>
        <v>32347.902579278263</v>
      </c>
      <c r="AC30" s="6">
        <f>Data!AU30/Data!AD30</f>
        <v>13081.507993934132</v>
      </c>
      <c r="AD30" s="6">
        <f>Data!AV30/Data!AE30</f>
        <v>17002.770461648935</v>
      </c>
      <c r="AE30" s="6">
        <f>Data!AW30/Data!AF30</f>
        <v>5040.7543484973612</v>
      </c>
      <c r="AF30" s="6">
        <f>Data!AX30/Data!AG30</f>
        <v>6179.2309018012629</v>
      </c>
      <c r="AG30" s="6">
        <f>Data!AY30/Data!AH30</f>
        <v>6963.583500501004</v>
      </c>
      <c r="AH30" s="6">
        <f>Data!AZ30/Data!AI30</f>
        <v>13797.100957847604</v>
      </c>
      <c r="AI30" s="6">
        <f>Data!BA30/Data!AJ30</f>
        <v>55132.208463848496</v>
      </c>
      <c r="AJ30" s="17">
        <f>Data!BB30/Data!AK30</f>
        <v>1.1502295950088823E-7</v>
      </c>
      <c r="AK30" s="17">
        <f>Data!BC30/Data!AL30</f>
        <v>1.3012079874601729E-7</v>
      </c>
      <c r="AL30" s="17">
        <f>Data!BD30/Data!AM30</f>
        <v>7.6194344987003929E-8</v>
      </c>
      <c r="AM30" s="17">
        <f>Data!BE30/Data!AN30</f>
        <v>1.3880580025998008E-7</v>
      </c>
      <c r="AN30" s="17">
        <f>Data!BF30/Data!AO30</f>
        <v>1.1263415423338068E-7</v>
      </c>
      <c r="AO30" s="17">
        <f>Data!BG30/Data!AP30</f>
        <v>1.1497758944359632E-6</v>
      </c>
      <c r="AP30" s="17">
        <f>Data!BH30/Data!AQ30</f>
        <v>1.0351911997421045E-7</v>
      </c>
      <c r="AQ30" s="17">
        <f>Data!BI30/Data!AR30</f>
        <v>7.6893820119230484E-8</v>
      </c>
      <c r="AR30" s="17">
        <f>Data!BJ30/Data!AS30</f>
        <v>6.1079108895156021E-8</v>
      </c>
      <c r="AS30" s="17">
        <f>Data!BK30/Data!AT30</f>
        <v>7.9554368644288012E-8</v>
      </c>
      <c r="AT30" s="17">
        <f>Data!BL30/Data!AU30</f>
        <v>1.15308058172109E-7</v>
      </c>
      <c r="AU30" s="17">
        <f>Data!BM30/Data!AV30</f>
        <v>1.1802786931563545E-7</v>
      </c>
      <c r="AV30" s="17">
        <f>Data!BN30/Data!AW30</f>
        <v>9.2033723306804945E-8</v>
      </c>
      <c r="AW30" s="17">
        <f>Data!BO30/Data!AX30</f>
        <v>5.9239282928663475E-7</v>
      </c>
      <c r="AX30" s="17">
        <f>Data!BP30/Data!AY30</f>
        <v>8.3992295196143423E-8</v>
      </c>
      <c r="AY30" s="17">
        <f>Data!BQ30/Data!AZ30</f>
        <v>8.7846349263444373E-8</v>
      </c>
      <c r="AZ30" s="17">
        <f>Data!BR30/Data!BA30</f>
        <v>9.078229348808691E-8</v>
      </c>
      <c r="BA30" s="21">
        <f>Data!C30/Data!BB30</f>
        <v>2.3689401900143068</v>
      </c>
      <c r="BB30" s="16">
        <f>Data!D30/Data!BC30</f>
        <v>3.5536098314279423</v>
      </c>
      <c r="BC30" s="16">
        <f>Data!E30/Data!BD30</f>
        <v>2.817071842402898</v>
      </c>
      <c r="BD30" s="16">
        <f>Data!F30/Data!BE30</f>
        <v>2.4180673285463796</v>
      </c>
      <c r="BE30" s="16">
        <f>Data!G30/Data!BF30</f>
        <v>4.1260464649364881</v>
      </c>
      <c r="BF30" s="16">
        <f>Data!H30/Data!BG30</f>
        <v>3.7064581137435755</v>
      </c>
      <c r="BG30" s="16">
        <f>Data!I30/Data!BH30</f>
        <v>2.2693356272811154</v>
      </c>
      <c r="BH30" s="16">
        <f>Data!J30/Data!BI30</f>
        <v>2.1538309512810017</v>
      </c>
      <c r="BI30" s="16">
        <f>Data!K30/Data!BJ30</f>
        <v>2.1183112966953113</v>
      </c>
      <c r="BJ30" s="16">
        <f>Data!L30/Data!BK30</f>
        <v>2.7104102945770139</v>
      </c>
      <c r="BK30" s="16">
        <f>Data!M30/Data!BL30</f>
        <v>2.7593581307098729</v>
      </c>
      <c r="BL30" s="16">
        <f>Data!N30/Data!BM30</f>
        <v>2.664308216968045</v>
      </c>
      <c r="BM30" s="16">
        <f>Data!O30/Data!BN30</f>
        <v>1.772039065638138</v>
      </c>
      <c r="BN30" s="16">
        <f>Data!P30/Data!BO30</f>
        <v>3.0797891441607934</v>
      </c>
      <c r="BO30" s="16">
        <f>Data!Q30/Data!BP30</f>
        <v>2.6711685033241377</v>
      </c>
      <c r="BP30" s="16">
        <f>Data!R30/Data!BQ30</f>
        <v>2.4156952114118759</v>
      </c>
      <c r="BQ30" s="16">
        <f>Data!S30/Data!BR30</f>
        <v>3.0403679193133932</v>
      </c>
    </row>
    <row r="31" spans="1:69" x14ac:dyDescent="0.3">
      <c r="A31" s="3">
        <v>2018</v>
      </c>
      <c r="B31" s="6">
        <f>Data!T31</f>
        <v>51585058</v>
      </c>
      <c r="C31" s="6">
        <f>Data!U31</f>
        <v>1410212600</v>
      </c>
      <c r="D31" s="6">
        <f>Data!V31</f>
        <v>126811000</v>
      </c>
      <c r="E31" s="6">
        <f>Data!W31</f>
        <v>145398106</v>
      </c>
      <c r="F31" s="6">
        <f>Data!X31</f>
        <v>3208189</v>
      </c>
      <c r="G31" s="6">
        <f>Data!Y31</f>
        <v>25931147</v>
      </c>
      <c r="H31" s="6">
        <f>Data!Z31</f>
        <v>366091716</v>
      </c>
      <c r="I31" s="6">
        <f>Data!AA31</f>
        <v>632297370</v>
      </c>
      <c r="J31" s="6">
        <f>Data!AB31</f>
        <v>506451744</v>
      </c>
      <c r="K31" s="6">
        <f>Data!AC31</f>
        <v>119364113</v>
      </c>
      <c r="L31" s="6">
        <f>Data!AD31</f>
        <v>184446407</v>
      </c>
      <c r="M31" s="6">
        <f>Data!AE31</f>
        <v>519488191</v>
      </c>
      <c r="N31" s="6">
        <f>Data!AF31</f>
        <v>1041262822</v>
      </c>
      <c r="O31" s="6">
        <f>Data!AG31</f>
        <v>23402567</v>
      </c>
      <c r="P31" s="6">
        <f>Data!AH31</f>
        <v>1816093606</v>
      </c>
      <c r="Q31" s="6">
        <f>Data!AI31</f>
        <v>556487649</v>
      </c>
      <c r="R31" s="6">
        <f>Data!AJ31</f>
        <v>29863858</v>
      </c>
      <c r="S31" s="6">
        <f>Data!AK31/Data!T31</f>
        <v>48834.447115773335</v>
      </c>
      <c r="T31" s="6">
        <f>Data!AL31/Data!U31</f>
        <v>18066.731438772778</v>
      </c>
      <c r="U31" s="6">
        <f>Data!AM31/Data!V31</f>
        <v>44848.489942179775</v>
      </c>
      <c r="V31" s="6">
        <f>Data!AN31/Data!W31</f>
        <v>37145.005939979368</v>
      </c>
      <c r="W31" s="6">
        <f>Data!AO31/Data!X31</f>
        <v>15230.240882884675</v>
      </c>
      <c r="X31" s="6">
        <f>Data!AP31/Data!Y31</f>
        <v>637.89255792715608</v>
      </c>
      <c r="Y31" s="6">
        <f>Data!AQ31/Data!Z31</f>
        <v>66590.76381563356</v>
      </c>
      <c r="Z31" s="6">
        <f>Data!AR31/Data!AA31</f>
        <v>17577.016440591713</v>
      </c>
      <c r="AA31" s="6">
        <f>Data!AS31/Data!AB31</f>
        <v>51027.614394018157</v>
      </c>
      <c r="AB31" s="6">
        <f>Data!AT31/Data!AC31</f>
        <v>34045.966430523884</v>
      </c>
      <c r="AC31" s="6">
        <f>Data!AU31/Data!AD31</f>
        <v>13422.274374069375</v>
      </c>
      <c r="AD31" s="6">
        <f>Data!AV31/Data!AE31</f>
        <v>17055.082471562764</v>
      </c>
      <c r="AE31" s="6">
        <f>Data!AW31/Data!AF31</f>
        <v>5060.7423444112655</v>
      </c>
      <c r="AF31" s="6">
        <f>Data!AX31/Data!AG31</f>
        <v>6575.844243839575</v>
      </c>
      <c r="AG31" s="6">
        <f>Data!AY31/Data!AH31</f>
        <v>7326.4603622773293</v>
      </c>
      <c r="AH31" s="6">
        <f>Data!AZ31/Data!AI31</f>
        <v>14338.551279429581</v>
      </c>
      <c r="AI31" s="6">
        <f>Data!BA31/Data!AJ31</f>
        <v>55892.011735649496</v>
      </c>
      <c r="AJ31" s="17">
        <f>Data!BB31/Data!AK31</f>
        <v>1.1327618649910155E-7</v>
      </c>
      <c r="AK31" s="17">
        <f>Data!BC31/Data!AL31</f>
        <v>1.2778667466607353E-7</v>
      </c>
      <c r="AL31" s="17">
        <f>Data!BD31/Data!AM31</f>
        <v>7.4541066643174358E-8</v>
      </c>
      <c r="AM31" s="17">
        <f>Data!BE31/Data!AN31</f>
        <v>1.4212123866749962E-7</v>
      </c>
      <c r="AN31" s="17">
        <f>Data!BF31/Data!AO31</f>
        <v>1.1720847750243888E-7</v>
      </c>
      <c r="AO31" s="17">
        <f>Data!BG31/Data!AP31</f>
        <v>1.0981688086788042E-6</v>
      </c>
      <c r="AP31" s="17">
        <f>Data!BH31/Data!AQ31</f>
        <v>1.0321875141450199E-7</v>
      </c>
      <c r="AQ31" s="17">
        <f>Data!BI31/Data!AR31</f>
        <v>7.4102067235710346E-8</v>
      </c>
      <c r="AR31" s="17">
        <f>Data!BJ31/Data!AS31</f>
        <v>5.9172479007461347E-8</v>
      </c>
      <c r="AS31" s="17">
        <f>Data!BK31/Data!AT31</f>
        <v>7.7107569480194019E-8</v>
      </c>
      <c r="AT31" s="17">
        <f>Data!BL31/Data!AU31</f>
        <v>1.1764800553202683E-7</v>
      </c>
      <c r="AU31" s="17">
        <f>Data!BM31/Data!AV31</f>
        <v>1.1556369168765306E-7</v>
      </c>
      <c r="AV31" s="17">
        <f>Data!BN31/Data!AW31</f>
        <v>8.9527381299997441E-8</v>
      </c>
      <c r="AW31" s="17">
        <f>Data!BO31/Data!AX31</f>
        <v>6.3844998905911386E-7</v>
      </c>
      <c r="AX31" s="17">
        <f>Data!BP31/Data!AY31</f>
        <v>8.188586127510637E-8</v>
      </c>
      <c r="AY31" s="17">
        <f>Data!BQ31/Data!AZ31</f>
        <v>8.7465521156152172E-8</v>
      </c>
      <c r="AZ31" s="17">
        <f>Data!BR31/Data!BA31</f>
        <v>8.8134700831262516E-8</v>
      </c>
      <c r="BA31" s="21">
        <f>Data!C31/Data!BB31</f>
        <v>2.3847165523970619</v>
      </c>
      <c r="BB31" s="16">
        <f>Data!D31/Data!BC31</f>
        <v>3.5542057796388522</v>
      </c>
      <c r="BC31" s="16">
        <f>Data!E31/Data!BD31</f>
        <v>2.7436396322689758</v>
      </c>
      <c r="BD31" s="16">
        <f>Data!F31/Data!BE31</f>
        <v>2.3856221906977981</v>
      </c>
      <c r="BE31" s="16">
        <f>Data!G31/Data!BF31</f>
        <v>4.0085134734054462</v>
      </c>
      <c r="BF31" s="16">
        <f>Data!H31/Data!BG31</f>
        <v>3.655162856875791</v>
      </c>
      <c r="BG31" s="16">
        <f>Data!I31/Data!BH31</f>
        <v>2.2829953482043792</v>
      </c>
      <c r="BH31" s="16">
        <f>Data!J31/Data!BI31</f>
        <v>2.1346390778991742</v>
      </c>
      <c r="BI31" s="16">
        <f>Data!K31/Data!BJ31</f>
        <v>2.0963390057087992</v>
      </c>
      <c r="BJ31" s="16">
        <f>Data!L31/Data!BK31</f>
        <v>2.6541422878690661</v>
      </c>
      <c r="BK31" s="16">
        <f>Data!M31/Data!BL31</f>
        <v>2.6730335925818127</v>
      </c>
      <c r="BL31" s="16">
        <f>Data!N31/Data!BM31</f>
        <v>2.6483938152267061</v>
      </c>
      <c r="BM31" s="16">
        <f>Data!O31/Data!BN31</f>
        <v>1.8131181322677792</v>
      </c>
      <c r="BN31" s="16">
        <f>Data!P31/Data!BO31</f>
        <v>3.1986291660682951</v>
      </c>
      <c r="BO31" s="16">
        <f>Data!Q31/Data!BP31</f>
        <v>2.6764336092580412</v>
      </c>
      <c r="BP31" s="16">
        <f>Data!R31/Data!BQ31</f>
        <v>2.4123834220116409</v>
      </c>
      <c r="BQ31" s="16">
        <f>Data!S31/Data!BR31</f>
        <v>3.0241363483127972</v>
      </c>
    </row>
    <row r="32" spans="1:69" x14ac:dyDescent="0.3">
      <c r="A32" s="3">
        <v>2019</v>
      </c>
      <c r="B32" s="6">
        <f>Data!T32</f>
        <v>51764822</v>
      </c>
      <c r="C32" s="6">
        <f>Data!U32</f>
        <v>1415252900</v>
      </c>
      <c r="D32" s="6">
        <f>Data!V32</f>
        <v>126633000</v>
      </c>
      <c r="E32" s="6">
        <f>Data!W32</f>
        <v>145453291</v>
      </c>
      <c r="F32" s="6">
        <f>Data!X32</f>
        <v>3267673</v>
      </c>
      <c r="G32" s="6">
        <f>Data!Y32</f>
        <v>26037632</v>
      </c>
      <c r="H32" s="6">
        <f>Data!Z32</f>
        <v>368331869</v>
      </c>
      <c r="I32" s="6">
        <f>Data!AA32</f>
        <v>637471793</v>
      </c>
      <c r="J32" s="6">
        <f>Data!AB32</f>
        <v>508863916</v>
      </c>
      <c r="K32" s="6">
        <f>Data!AC32</f>
        <v>119014749</v>
      </c>
      <c r="L32" s="6">
        <f>Data!AD32</f>
        <v>186702882</v>
      </c>
      <c r="M32" s="6">
        <f>Data!AE32</f>
        <v>528436381</v>
      </c>
      <c r="N32" s="6">
        <f>Data!AF32</f>
        <v>1068401797</v>
      </c>
      <c r="O32" s="6">
        <f>Data!AG32</f>
        <v>23718940</v>
      </c>
      <c r="P32" s="6">
        <f>Data!AH32</f>
        <v>1836213885</v>
      </c>
      <c r="Q32" s="6">
        <f>Data!AI32</f>
        <v>561757144</v>
      </c>
      <c r="R32" s="6">
        <f>Data!AJ32</f>
        <v>30305126</v>
      </c>
      <c r="S32" s="6">
        <f>Data!AK32/Data!T32</f>
        <v>49790.867988482212</v>
      </c>
      <c r="T32" s="6">
        <f>Data!AL32/Data!U32</f>
        <v>19067.554843885358</v>
      </c>
      <c r="U32" s="6">
        <f>Data!AM32/Data!V32</f>
        <v>44730.910284495825</v>
      </c>
      <c r="V32" s="6">
        <f>Data!AN32/Data!W32</f>
        <v>37947.078702681742</v>
      </c>
      <c r="W32" s="6">
        <f>Data!AO32/Data!X32</f>
        <v>15790.696112644137</v>
      </c>
      <c r="X32" s="6">
        <f>Data!AP32/Data!Y32</f>
        <v>637.52838900600102</v>
      </c>
      <c r="Y32" s="6">
        <f>Data!AQ32/Data!Z32</f>
        <v>67856.955453835297</v>
      </c>
      <c r="Z32" s="6">
        <f>Data!AR32/Data!AA32</f>
        <v>17563.213492265062</v>
      </c>
      <c r="AA32" s="6">
        <f>Data!AS32/Data!AB32</f>
        <v>51555.026326316096</v>
      </c>
      <c r="AB32" s="6">
        <f>Data!AT32/Data!AC32</f>
        <v>35529.779238134091</v>
      </c>
      <c r="AC32" s="6">
        <f>Data!AU32/Data!AD32</f>
        <v>13796.991111710799</v>
      </c>
      <c r="AD32" s="6">
        <f>Data!AV32/Data!AE32</f>
        <v>17038.680254168645</v>
      </c>
      <c r="AE32" s="6">
        <f>Data!AW32/Data!AF32</f>
        <v>5072.0299298712525</v>
      </c>
      <c r="AF32" s="6">
        <f>Data!AX32/Data!AG32</f>
        <v>6945.1639958794949</v>
      </c>
      <c r="AG32" s="6">
        <f>Data!AY32/Data!AH32</f>
        <v>7535.6294173195402</v>
      </c>
      <c r="AH32" s="6">
        <f>Data!AZ32/Data!AI32</f>
        <v>14799.81535128794</v>
      </c>
      <c r="AI32" s="6">
        <f>Data!BA32/Data!AJ32</f>
        <v>56295.974373069752</v>
      </c>
      <c r="AJ32" s="17">
        <f>Data!BB32/Data!AK32</f>
        <v>1.0714161558974391E-7</v>
      </c>
      <c r="AK32" s="17">
        <f>Data!BC32/Data!AL32</f>
        <v>1.2561392487663423E-7</v>
      </c>
      <c r="AL32" s="17">
        <f>Data!BD32/Data!AM32</f>
        <v>7.2916477005829068E-8</v>
      </c>
      <c r="AM32" s="17">
        <f>Data!BE32/Data!AN32</f>
        <v>1.3394259028984164E-7</v>
      </c>
      <c r="AN32" s="17">
        <f>Data!BF32/Data!AO32</f>
        <v>1.2891344294919793E-7</v>
      </c>
      <c r="AO32" s="17">
        <f>Data!BG32/Data!AP32</f>
        <v>1.1978651158855805E-6</v>
      </c>
      <c r="AP32" s="17">
        <f>Data!BH32/Data!AQ32</f>
        <v>1.0076447433911336E-7</v>
      </c>
      <c r="AQ32" s="17">
        <f>Data!BI32/Data!AR32</f>
        <v>7.4465177185477311E-8</v>
      </c>
      <c r="AR32" s="17">
        <f>Data!BJ32/Data!AS32</f>
        <v>5.7394313386099251E-8</v>
      </c>
      <c r="AS32" s="17">
        <f>Data!BK32/Data!AT32</f>
        <v>7.2459971681086741E-8</v>
      </c>
      <c r="AT32" s="17">
        <f>Data!BL32/Data!AU32</f>
        <v>1.1235253162478097E-7</v>
      </c>
      <c r="AU32" s="17">
        <f>Data!BM32/Data!AV32</f>
        <v>1.1705403427057999E-7</v>
      </c>
      <c r="AV32" s="17">
        <f>Data!BN32/Data!AW32</f>
        <v>9.1080879245443034E-8</v>
      </c>
      <c r="AW32" s="17">
        <f>Data!BO32/Data!AX32</f>
        <v>6.6675549337166369E-7</v>
      </c>
      <c r="AX32" s="17">
        <f>Data!BP32/Data!AY32</f>
        <v>7.9282260763140301E-8</v>
      </c>
      <c r="AY32" s="17">
        <f>Data!BQ32/Data!AZ32</f>
        <v>8.51490216873857E-8</v>
      </c>
      <c r="AZ32" s="17">
        <f>Data!BR32/Data!BA32</f>
        <v>8.9839457436105386E-8</v>
      </c>
      <c r="BA32" s="21">
        <f>Data!C32/Data!BB32</f>
        <v>2.3718767267874825</v>
      </c>
      <c r="BB32" s="16">
        <f>Data!D32/Data!BC32</f>
        <v>3.4977768132128411</v>
      </c>
      <c r="BC32" s="16">
        <f>Data!E32/Data!BD32</f>
        <v>2.7209071953349975</v>
      </c>
      <c r="BD32" s="16">
        <f>Data!F32/Data!BE32</f>
        <v>2.5131915509880671</v>
      </c>
      <c r="BE32" s="16">
        <f>Data!G32/Data!BF32</f>
        <v>3.8088327681163086</v>
      </c>
      <c r="BF32" s="16">
        <f>Data!H32/Data!BG32</f>
        <v>3.6919257687755889</v>
      </c>
      <c r="BG32" s="16">
        <f>Data!I32/Data!BH32</f>
        <v>2.2194401947324844</v>
      </c>
      <c r="BH32" s="16">
        <f>Data!J32/Data!BI32</f>
        <v>2.1128482086614602</v>
      </c>
      <c r="BI32" s="16">
        <f>Data!K32/Data!BJ32</f>
        <v>2.0399815943364628</v>
      </c>
      <c r="BJ32" s="16">
        <f>Data!L32/Data!BK32</f>
        <v>2.5907506252943464</v>
      </c>
      <c r="BK32" s="16">
        <f>Data!M32/Data!BL32</f>
        <v>2.626163757787483</v>
      </c>
      <c r="BL32" s="16">
        <f>Data!N32/Data!BM32</f>
        <v>2.641454499123312</v>
      </c>
      <c r="BM32" s="16">
        <f>Data!O32/Data!BN32</f>
        <v>1.7716780077074432</v>
      </c>
      <c r="BN32" s="16">
        <f>Data!P32/Data!BO32</f>
        <v>3.3833166116567561</v>
      </c>
      <c r="BO32" s="16">
        <f>Data!Q32/Data!BP32</f>
        <v>2.6549012426737502</v>
      </c>
      <c r="BP32" s="16">
        <f>Data!R32/Data!BQ32</f>
        <v>2.4496549519487778</v>
      </c>
      <c r="BQ32" s="16">
        <f>Data!S32/Data!BR32</f>
        <v>2.9043543663079832</v>
      </c>
    </row>
    <row r="33" spans="1:69" x14ac:dyDescent="0.3">
      <c r="A33" s="3">
        <v>2020</v>
      </c>
      <c r="B33" s="6">
        <f>Data!T33</f>
        <v>51836239</v>
      </c>
      <c r="C33" s="6">
        <f>Data!U33</f>
        <v>1418581000</v>
      </c>
      <c r="D33" s="6">
        <f>Data!V33</f>
        <v>126261000</v>
      </c>
      <c r="E33" s="6">
        <f>Data!W33</f>
        <v>145245148</v>
      </c>
      <c r="F33" s="6">
        <f>Data!X33</f>
        <v>3327204</v>
      </c>
      <c r="G33" s="6">
        <f>Data!Y33</f>
        <v>26136312</v>
      </c>
      <c r="H33" s="6">
        <f>Data!Z33</f>
        <v>370092844</v>
      </c>
      <c r="I33" s="6">
        <f>Data!AA33</f>
        <v>642031650</v>
      </c>
      <c r="J33" s="6">
        <f>Data!AB33</f>
        <v>510493711</v>
      </c>
      <c r="K33" s="6">
        <f>Data!AC33</f>
        <v>118215583</v>
      </c>
      <c r="L33" s="6">
        <f>Data!AD33</f>
        <v>189035719</v>
      </c>
      <c r="M33" s="6">
        <f>Data!AE33</f>
        <v>538201576</v>
      </c>
      <c r="N33" s="6">
        <f>Data!AF33</f>
        <v>1095981750</v>
      </c>
      <c r="O33" s="6">
        <f>Data!AG33</f>
        <v>24072007</v>
      </c>
      <c r="P33" s="6">
        <f>Data!AH33</f>
        <v>1856075163</v>
      </c>
      <c r="Q33" s="6">
        <f>Data!AI33</f>
        <v>566563011</v>
      </c>
      <c r="R33" s="6">
        <f>Data!AJ33</f>
        <v>30721648</v>
      </c>
      <c r="S33" s="6">
        <f>Data!AK33/Data!T33</f>
        <v>49374.092614802554</v>
      </c>
      <c r="T33" s="6">
        <f>Data!AL33/Data!U33</f>
        <v>19437.242408972346</v>
      </c>
      <c r="U33" s="6">
        <f>Data!AM33/Data!V33</f>
        <v>42992.479636532735</v>
      </c>
      <c r="V33" s="6">
        <f>Data!AN33/Data!W33</f>
        <v>36993.031200617523</v>
      </c>
      <c r="W33" s="6">
        <f>Data!AO33/Data!X33</f>
        <v>14801.342082918451</v>
      </c>
      <c r="X33" s="6">
        <f>Data!AP33/Data!Y33</f>
        <v>606.33541640575379</v>
      </c>
      <c r="Y33" s="6">
        <f>Data!AQ33/Data!Z33</f>
        <v>65905.078221089847</v>
      </c>
      <c r="Z33" s="6">
        <f>Data!AR33/Data!AA33</f>
        <v>16278.71900736872</v>
      </c>
      <c r="AA33" s="6">
        <f>Data!AS33/Data!AB33</f>
        <v>48457.840338340626</v>
      </c>
      <c r="AB33" s="6">
        <f>Data!AT33/Data!AC33</f>
        <v>34600.937763096939</v>
      </c>
      <c r="AC33" s="6">
        <f>Data!AU33/Data!AD33</f>
        <v>13317.038077132025</v>
      </c>
      <c r="AD33" s="6">
        <f>Data!AV33/Data!AE33</f>
        <v>16243.946053612895</v>
      </c>
      <c r="AE33" s="6">
        <f>Data!AW33/Data!AF33</f>
        <v>4785.8567389766304</v>
      </c>
      <c r="AF33" s="6">
        <f>Data!AX33/Data!AG33</f>
        <v>6698.5147529859069</v>
      </c>
      <c r="AG33" s="6">
        <f>Data!AY33/Data!AH33</f>
        <v>7112.539351725919</v>
      </c>
      <c r="AH33" s="6">
        <f>Data!AZ33/Data!AI33</f>
        <v>13919.052139772622</v>
      </c>
      <c r="AI33" s="6">
        <f>Data!BA33/Data!AJ33</f>
        <v>55445.252583348389</v>
      </c>
      <c r="AJ33" s="17">
        <f>Data!BB33/Data!AK33</f>
        <v>1.0523556492393689E-7</v>
      </c>
      <c r="AK33" s="17">
        <f>Data!BC33/Data!AL33</f>
        <v>1.2664626547106625E-7</v>
      </c>
      <c r="AL33" s="17">
        <f>Data!BD33/Data!AM33</f>
        <v>7.0869484750114253E-8</v>
      </c>
      <c r="AM33" s="17">
        <f>Data!BE33/Data!AN33</f>
        <v>1.370092005398229E-7</v>
      </c>
      <c r="AN33" s="17">
        <f>Data!BF33/Data!AO33</f>
        <v>1.2115626844599747E-7</v>
      </c>
      <c r="AO33" s="17">
        <f>Data!BG33/Data!AP33</f>
        <v>1.1988878317351514E-6</v>
      </c>
      <c r="AP33" s="17">
        <f>Data!BH33/Data!AQ33</f>
        <v>9.5175384455575658E-8</v>
      </c>
      <c r="AQ33" s="17">
        <f>Data!BI33/Data!AR33</f>
        <v>7.4572141989322408E-8</v>
      </c>
      <c r="AR33" s="17">
        <f>Data!BJ33/Data!AS33</f>
        <v>5.6777377727850518E-8</v>
      </c>
      <c r="AS33" s="17">
        <f>Data!BK33/Data!AT33</f>
        <v>7.2532471102421548E-8</v>
      </c>
      <c r="AT33" s="17">
        <f>Data!BL33/Data!AU33</f>
        <v>1.1194766925531371E-7</v>
      </c>
      <c r="AU33" s="17">
        <f>Data!BM33/Data!AV33</f>
        <v>1.1731721196557754E-7</v>
      </c>
      <c r="AV33" s="17">
        <f>Data!BN33/Data!AW33</f>
        <v>9.4015005964725346E-8</v>
      </c>
      <c r="AW33" s="17">
        <f>Data!BO33/Data!AX33</f>
        <v>6.8934630674545258E-7</v>
      </c>
      <c r="AX33" s="17">
        <f>Data!BP33/Data!AY33</f>
        <v>8.0771151785654195E-8</v>
      </c>
      <c r="AY33" s="17">
        <f>Data!BQ33/Data!AZ33</f>
        <v>8.8080200534881298E-8</v>
      </c>
      <c r="AZ33" s="17">
        <f>Data!BR33/Data!BA33</f>
        <v>8.9186768369776503E-8</v>
      </c>
      <c r="BA33" s="21">
        <f>Data!C33/Data!BB33</f>
        <v>2.2920801869903826</v>
      </c>
      <c r="BB33" s="16">
        <f>Data!D33/Data!BC33</f>
        <v>3.4358529819463692</v>
      </c>
      <c r="BC33" s="16">
        <f>Data!E33/Data!BD33</f>
        <v>2.7559912493084457</v>
      </c>
      <c r="BD33" s="16">
        <f>Data!F33/Data!BE33</f>
        <v>2.4236619428159747</v>
      </c>
      <c r="BE33" s="16">
        <f>Data!G33/Data!BF33</f>
        <v>3.7735972887532312</v>
      </c>
      <c r="BF33" s="16">
        <f>Data!H33/Data!BG33</f>
        <v>3.6340968098443609</v>
      </c>
      <c r="BG33" s="16">
        <f>Data!I33/Data!BH33</f>
        <v>2.1658360111354367</v>
      </c>
      <c r="BH33" s="16">
        <f>Data!J33/Data!BI33</f>
        <v>2.0219809659952577</v>
      </c>
      <c r="BI33" s="16">
        <f>Data!K33/Data!BJ33</f>
        <v>2.001769303979211</v>
      </c>
      <c r="BJ33" s="16">
        <f>Data!L33/Data!BK33</f>
        <v>2.51875201727968</v>
      </c>
      <c r="BK33" s="16">
        <f>Data!M33/Data!BL33</f>
        <v>2.7135742987065345</v>
      </c>
      <c r="BL33" s="16">
        <f>Data!N33/Data!BM33</f>
        <v>2.6803072192958473</v>
      </c>
      <c r="BM33" s="16">
        <f>Data!O33/Data!BN33</f>
        <v>1.6868717131198323</v>
      </c>
      <c r="BN33" s="16">
        <f>Data!P33/Data!BO33</f>
        <v>3.4762554201992844</v>
      </c>
      <c r="BO33" s="16">
        <f>Data!Q33/Data!BP33</f>
        <v>2.5673216770644025</v>
      </c>
      <c r="BP33" s="16">
        <f>Data!R33/Data!BQ33</f>
        <v>2.4008804761615417</v>
      </c>
      <c r="BQ33" s="16">
        <f>Data!S33/Data!BR33</f>
        <v>2.8121461388873965</v>
      </c>
    </row>
    <row r="34" spans="1:69" x14ac:dyDescent="0.3">
      <c r="A34" s="3">
        <v>2021</v>
      </c>
      <c r="B34" s="6">
        <f>Data!T34</f>
        <v>51769539</v>
      </c>
      <c r="C34" s="6">
        <f>Data!U34</f>
        <v>1419773100</v>
      </c>
      <c r="D34" s="6">
        <f>Data!V34</f>
        <v>125681593</v>
      </c>
      <c r="E34" s="6">
        <f>Data!W34</f>
        <v>144746762</v>
      </c>
      <c r="F34" s="6">
        <f>Data!X34</f>
        <v>3383741</v>
      </c>
      <c r="G34" s="6">
        <f>Data!Y34</f>
        <v>26232534</v>
      </c>
      <c r="H34" s="6">
        <f>Data!Z34</f>
        <v>370826729</v>
      </c>
      <c r="I34" s="6">
        <f>Data!AA34</f>
        <v>645790767</v>
      </c>
      <c r="J34" s="6">
        <f>Data!AB34</f>
        <v>511966057</v>
      </c>
      <c r="K34" s="6">
        <f>Data!AC34</f>
        <v>117022973</v>
      </c>
      <c r="L34" s="6">
        <f>Data!AD34</f>
        <v>190903580</v>
      </c>
      <c r="M34" s="6">
        <f>Data!AE34</f>
        <v>545393544</v>
      </c>
      <c r="N34" s="6">
        <f>Data!AF34</f>
        <v>1123929038</v>
      </c>
      <c r="O34" s="6">
        <f>Data!AG34</f>
        <v>24427499</v>
      </c>
      <c r="P34" s="6">
        <f>Data!AH34</f>
        <v>1874263157</v>
      </c>
      <c r="Q34" s="6">
        <f>Data!AI34</f>
        <v>570397157</v>
      </c>
      <c r="R34" s="6">
        <f>Data!AJ34</f>
        <v>30770012</v>
      </c>
      <c r="S34" s="6">
        <f>Data!AK34/Data!T34</f>
        <v>51718.251865663129</v>
      </c>
      <c r="T34" s="6">
        <f>Data!AL34/Data!U34</f>
        <v>21078.474976731002</v>
      </c>
      <c r="U34" s="6">
        <f>Data!AM34/Data!V34</f>
        <v>44355.348716335415</v>
      </c>
      <c r="V34" s="6">
        <f>Data!AN34/Data!W34</f>
        <v>39298.069509420457</v>
      </c>
      <c r="W34" s="6">
        <f>Data!AO34/Data!X34</f>
        <v>14792.250908642211</v>
      </c>
      <c r="X34" s="6">
        <f>Data!AP34/Data!Y34</f>
        <v>603.77670726694953</v>
      </c>
      <c r="Y34" s="6">
        <f>Data!AQ34/Data!Z34</f>
        <v>69751.231898881</v>
      </c>
      <c r="Z34" s="6">
        <f>Data!AR34/Data!AA34</f>
        <v>17394.933698345678</v>
      </c>
      <c r="AA34" s="6">
        <f>Data!AS34/Data!AB34</f>
        <v>51755.933691102495</v>
      </c>
      <c r="AB34" s="6">
        <f>Data!AT34/Data!AC34</f>
        <v>37280.905680237673</v>
      </c>
      <c r="AC34" s="6">
        <f>Data!AU34/Data!AD34</f>
        <v>13691.335540443295</v>
      </c>
      <c r="AD34" s="6">
        <f>Data!AV34/Data!AE34</f>
        <v>16750.306944323747</v>
      </c>
      <c r="AE34" s="6">
        <f>Data!AW34/Data!AF34</f>
        <v>4841.0912804012905</v>
      </c>
      <c r="AF34" s="6">
        <f>Data!AX34/Data!AG34</f>
        <v>6791.4911672845419</v>
      </c>
      <c r="AG34" s="6">
        <f>Data!AY34/Data!AH34</f>
        <v>7677.0066497219741</v>
      </c>
      <c r="AH34" s="6">
        <f>Data!AZ34/Data!AI34</f>
        <v>14299.111752199986</v>
      </c>
      <c r="AI34" s="6">
        <f>Data!BA34/Data!AJ34</f>
        <v>56661.95732843523</v>
      </c>
      <c r="AJ34" s="17">
        <f>Data!BB34/Data!AK34</f>
        <v>1.0660895370797837E-7</v>
      </c>
      <c r="AK34" s="17">
        <f>Data!BC34/Data!AL34</f>
        <v>1.2424135953114465E-7</v>
      </c>
      <c r="AL34" s="17">
        <f>Data!BD34/Data!AM34</f>
        <v>7.2055343429594431E-8</v>
      </c>
      <c r="AM34" s="17">
        <f>Data!BE34/Data!AN34</f>
        <v>1.4531382651487565E-7</v>
      </c>
      <c r="AN34" s="17">
        <f>Data!BF34/Data!AO34</f>
        <v>1.3145607302146869E-7</v>
      </c>
      <c r="AO34" s="17">
        <f>Data!BG34/Data!AP34</f>
        <v>1.0258015341492492E-6</v>
      </c>
      <c r="AP34" s="17">
        <f>Data!BH34/Data!AQ34</f>
        <v>9.3885614660237672E-8</v>
      </c>
      <c r="AQ34" s="17">
        <f>Data!BI34/Data!AR34</f>
        <v>7.4064381114723479E-8</v>
      </c>
      <c r="AR34" s="17">
        <f>Data!BJ34/Data!AS34</f>
        <v>5.5960286654066836E-8</v>
      </c>
      <c r="AS34" s="17">
        <f>Data!BK34/Data!AT34</f>
        <v>7.1892179444188955E-8</v>
      </c>
      <c r="AT34" s="17">
        <f>Data!BL34/Data!AU34</f>
        <v>1.2008084846119251E-7</v>
      </c>
      <c r="AU34" s="17">
        <f>Data!BM34/Data!AV34</f>
        <v>1.172361809993155E-7</v>
      </c>
      <c r="AV34" s="17">
        <f>Data!BN34/Data!AW34</f>
        <v>9.5182796157114567E-8</v>
      </c>
      <c r="AW34" s="17">
        <f>Data!BO34/Data!AX34</f>
        <v>6.5853709407509022E-7</v>
      </c>
      <c r="AX34" s="17">
        <f>Data!BP34/Data!AY34</f>
        <v>7.9646352227407095E-8</v>
      </c>
      <c r="AY34" s="17">
        <f>Data!BQ34/Data!AZ34</f>
        <v>8.7865744160094639E-8</v>
      </c>
      <c r="AZ34" s="17">
        <f>Data!BR34/Data!BA34</f>
        <v>8.5151905113197132E-8</v>
      </c>
      <c r="BA34" s="21">
        <f>Data!C34/Data!BB34</f>
        <v>2.2378595692256016</v>
      </c>
      <c r="BB34" s="16">
        <f>Data!D34/Data!BC34</f>
        <v>3.3851449413023142</v>
      </c>
      <c r="BC34" s="16">
        <f>Data!E34/Data!BD34</f>
        <v>2.6891975892953539</v>
      </c>
      <c r="BD34" s="16">
        <f>Data!F34/Data!BE34</f>
        <v>2.3451451649519215</v>
      </c>
      <c r="BE34" s="16">
        <f>Data!G34/Data!BF34</f>
        <v>3.7825928134631948</v>
      </c>
      <c r="BF34" s="16">
        <f>Data!H34/Data!BG34</f>
        <v>3.5261732932759164</v>
      </c>
      <c r="BG34" s="16">
        <f>Data!I34/Data!BH34</f>
        <v>2.1943616108751609</v>
      </c>
      <c r="BH34" s="16">
        <f>Data!J34/Data!BI34</f>
        <v>2.0538628833308925</v>
      </c>
      <c r="BI34" s="16">
        <f>Data!K34/Data!BJ34</f>
        <v>2.0228072863651869</v>
      </c>
      <c r="BJ34" s="16">
        <f>Data!L34/Data!BK34</f>
        <v>2.5434181910623024</v>
      </c>
      <c r="BK34" s="16">
        <f>Data!M34/Data!BL34</f>
        <v>2.5849389924195516</v>
      </c>
      <c r="BL34" s="16">
        <f>Data!N34/Data!BM34</f>
        <v>2.69757315244405</v>
      </c>
      <c r="BM34" s="16">
        <f>Data!O34/Data!BN34</f>
        <v>1.674025447536001</v>
      </c>
      <c r="BN34" s="16">
        <f>Data!P34/Data!BO34</f>
        <v>3.464228637945995</v>
      </c>
      <c r="BO34" s="16">
        <f>Data!Q34/Data!BP34</f>
        <v>2.6184358275792889</v>
      </c>
      <c r="BP34" s="16">
        <f>Data!R34/Data!BQ34</f>
        <v>2.3853151974677664</v>
      </c>
      <c r="BQ34" s="16">
        <f>Data!S34/Data!BR34</f>
        <v>2.8252729472335156</v>
      </c>
    </row>
    <row r="35" spans="1:69" x14ac:dyDescent="0.3">
      <c r="A35" s="3">
        <v>2022</v>
      </c>
      <c r="B35" s="6">
        <f>Data!T35</f>
        <v>51672569</v>
      </c>
      <c r="C35" s="6">
        <f>Data!U35</f>
        <v>1419521100</v>
      </c>
      <c r="D35" s="6">
        <f>Data!V35</f>
        <v>125124989</v>
      </c>
      <c r="E35" s="6">
        <f>Data!W35</f>
        <v>144236933</v>
      </c>
      <c r="F35" s="6">
        <f>Data!X35</f>
        <v>3433748</v>
      </c>
      <c r="G35" s="6">
        <f>Data!Y35</f>
        <v>26328845</v>
      </c>
      <c r="H35" s="6">
        <f>Data!Z35</f>
        <v>373439678</v>
      </c>
      <c r="I35" s="6">
        <f>Data!AA35</f>
        <v>649706991</v>
      </c>
      <c r="J35" s="6">
        <f>Data!AB35</f>
        <v>514660861</v>
      </c>
      <c r="K35" s="6">
        <f>Data!AC35</f>
        <v>116616157</v>
      </c>
      <c r="L35" s="6">
        <f>Data!AD35</f>
        <v>189568990</v>
      </c>
      <c r="M35" s="6">
        <f>Data!AE35</f>
        <v>556806171</v>
      </c>
      <c r="N35" s="6">
        <f>Data!AF35</f>
        <v>1152139249</v>
      </c>
      <c r="O35" s="6">
        <f>Data!AG35</f>
        <v>24760731</v>
      </c>
      <c r="P35" s="6">
        <f>Data!AH35</f>
        <v>1891710232</v>
      </c>
      <c r="Q35" s="6">
        <f>Data!AI35</f>
        <v>574548182</v>
      </c>
      <c r="R35" s="6">
        <f>Data!AJ35</f>
        <v>31100421</v>
      </c>
      <c r="S35" s="6">
        <f>Data!AK35/Data!T35</f>
        <v>53228.603565536483</v>
      </c>
      <c r="T35" s="6">
        <f>Data!AL35/Data!U35</f>
        <v>21719.514966707575</v>
      </c>
      <c r="U35" s="6">
        <f>Data!AM35/Data!V35</f>
        <v>44972.34383622004</v>
      </c>
      <c r="V35" s="6">
        <f>Data!AN35/Data!W35</f>
        <v>38870.706475839928</v>
      </c>
      <c r="W35" s="6">
        <f>Data!AO35/Data!X35</f>
        <v>15310.434946916344</v>
      </c>
      <c r="X35" s="6">
        <f>Data!AP35/Data!Y35</f>
        <v>600.65291599848763</v>
      </c>
      <c r="Y35" s="6">
        <f>Data!AQ35/Data!Z35</f>
        <v>71100.680970282701</v>
      </c>
      <c r="Z35" s="6">
        <f>Data!AR35/Data!AA35</f>
        <v>18007.485966212422</v>
      </c>
      <c r="AA35" s="6">
        <f>Data!AS35/Data!AB35</f>
        <v>53534.98941696676</v>
      </c>
      <c r="AB35" s="6">
        <f>Data!AT35/Data!AC35</f>
        <v>38939.15622624247</v>
      </c>
      <c r="AC35" s="6">
        <f>Data!AU35/Data!AD35</f>
        <v>12960.199276725427</v>
      </c>
      <c r="AD35" s="6">
        <f>Data!AV35/Data!AE35</f>
        <v>17487.133057804578</v>
      </c>
      <c r="AE35" s="6">
        <f>Data!AW35/Data!AF35</f>
        <v>4926.4446693727814</v>
      </c>
      <c r="AF35" s="6">
        <f>Data!AX35/Data!AG35</f>
        <v>6984.8773484066369</v>
      </c>
      <c r="AG35" s="6">
        <f>Data!AY35/Data!AH35</f>
        <v>8136.096803267912</v>
      </c>
      <c r="AH35" s="6">
        <f>Data!AZ35/Data!AI35</f>
        <v>14937.286390918838</v>
      </c>
      <c r="AI35" s="6">
        <f>Data!BA35/Data!AJ35</f>
        <v>58384.554256650736</v>
      </c>
      <c r="AJ35" s="17">
        <f>Data!BB35/Data!AK35</f>
        <v>1.0167418691453124E-7</v>
      </c>
      <c r="AK35" s="17">
        <f>Data!BC35/Data!AL35</f>
        <v>1.2296455562284608E-7</v>
      </c>
      <c r="AL35" s="17">
        <f>Data!BD35/Data!AM35</f>
        <v>6.9590741457791971E-8</v>
      </c>
      <c r="AM35" s="17">
        <f>Data!BE35/Data!AN35</f>
        <v>1.4682412123507971E-7</v>
      </c>
      <c r="AN35" s="17">
        <f>Data!BF35/Data!AO35</f>
        <v>1.2502737337244724E-7</v>
      </c>
      <c r="AO35" s="17">
        <f>Data!BG35/Data!AP35</f>
        <v>1.0663798817683945E-6</v>
      </c>
      <c r="AP35" s="17">
        <f>Data!BH35/Data!AQ35</f>
        <v>9.3028443785329598E-8</v>
      </c>
      <c r="AQ35" s="17">
        <f>Data!BI35/Data!AR35</f>
        <v>7.2103907779987181E-8</v>
      </c>
      <c r="AR35" s="17">
        <f>Data!BJ35/Data!AS35</f>
        <v>5.0883854789213328E-8</v>
      </c>
      <c r="AS35" s="17">
        <f>Data!BK35/Data!AT35</f>
        <v>6.6203936669120368E-8</v>
      </c>
      <c r="AT35" s="17">
        <f>Data!BL35/Data!AU35</f>
        <v>1.1384207711908798E-7</v>
      </c>
      <c r="AU35" s="17">
        <f>Data!BM35/Data!AV35</f>
        <v>1.1327933326386234E-7</v>
      </c>
      <c r="AV35" s="17">
        <f>Data!BN35/Data!AW35</f>
        <v>9.2263128791291547E-8</v>
      </c>
      <c r="AW35" s="17">
        <f>Data!BO35/Data!AX35</f>
        <v>6.7622836970848247E-7</v>
      </c>
      <c r="AX35" s="17">
        <f>Data!BP35/Data!AY35</f>
        <v>7.8928702207592829E-8</v>
      </c>
      <c r="AY35" s="17">
        <f>Data!BQ35/Data!AZ35</f>
        <v>8.6793771610733445E-8</v>
      </c>
      <c r="AZ35" s="17">
        <f>Data!BR35/Data!BA35</f>
        <v>8.1352674284913649E-8</v>
      </c>
      <c r="BA35" s="21">
        <f>Data!C35/Data!BB35</f>
        <v>2.193975615729606</v>
      </c>
      <c r="BB35" s="16">
        <f>Data!D35/Data!BC35</f>
        <v>3.3105493307849172</v>
      </c>
      <c r="BC35" s="16">
        <f>Data!E35/Data!BD35</f>
        <v>2.6826026945883457</v>
      </c>
      <c r="BD35" s="16">
        <f>Data!F35/Data!BE35</f>
        <v>2.3026145880503188</v>
      </c>
      <c r="BE35" s="16">
        <f>Data!G35/Data!BF35</f>
        <v>3.796665228922095</v>
      </c>
      <c r="BF35" s="16">
        <f>Data!H35/Data!BG35</f>
        <v>3.5461747488461697</v>
      </c>
      <c r="BG35" s="16">
        <f>Data!I35/Data!BH35</f>
        <v>2.1884156170843441</v>
      </c>
      <c r="BH35" s="16">
        <f>Data!J35/Data!BI35</f>
        <v>2.0342752964359088</v>
      </c>
      <c r="BI35" s="16">
        <f>Data!K35/Data!BJ35</f>
        <v>2.0848451889099429</v>
      </c>
      <c r="BJ35" s="16">
        <f>Data!L35/Data!BK35</f>
        <v>2.5658300189369307</v>
      </c>
      <c r="BK35" s="16">
        <f>Data!M35/Data!BL35</f>
        <v>2.6500729788715325</v>
      </c>
      <c r="BL35" s="16">
        <f>Data!N35/Data!BM35</f>
        <v>2.6789933393191987</v>
      </c>
      <c r="BM35" s="16">
        <f>Data!O35/Data!BN35</f>
        <v>1.642121373239162</v>
      </c>
      <c r="BN35" s="16">
        <f>Data!P35/Data!BO35</f>
        <v>3.3039979977272638</v>
      </c>
      <c r="BO35" s="16">
        <f>Data!Q35/Data!BP35</f>
        <v>2.6455047160477116</v>
      </c>
      <c r="BP35" s="16">
        <f>Data!R35/Data!BQ35</f>
        <v>2.4700922175577436</v>
      </c>
      <c r="BQ35" s="16">
        <f>Data!S35/Data!BR35</f>
        <v>2.7768256998044833</v>
      </c>
    </row>
    <row r="36" spans="1:69" x14ac:dyDescent="0.3">
      <c r="A36" s="3">
        <v>2023</v>
      </c>
      <c r="B36" s="6">
        <f>Data!T36</f>
        <v>51712619</v>
      </c>
      <c r="C36" s="6">
        <f>Data!U36</f>
        <v>1418246100</v>
      </c>
      <c r="D36" s="6">
        <f>Data!V36</f>
        <v>124516650</v>
      </c>
      <c r="E36" s="6">
        <f>Data!W36</f>
        <v>143826130</v>
      </c>
      <c r="F36" s="6">
        <f>Data!X36</f>
        <v>3481145</v>
      </c>
      <c r="G36" s="6">
        <f>Data!Y36</f>
        <v>26418204</v>
      </c>
      <c r="H36" s="6">
        <f>Data!Z36</f>
        <v>377375365</v>
      </c>
      <c r="I36" s="6">
        <f>Data!AA36</f>
        <v>654233535</v>
      </c>
      <c r="J36" s="6">
        <f>Data!AB36</f>
        <v>517657986</v>
      </c>
      <c r="K36" s="6">
        <f>Data!AC36</f>
        <v>116540071</v>
      </c>
      <c r="L36" s="6">
        <f>Data!AD36</f>
        <v>188493817</v>
      </c>
      <c r="M36" s="6">
        <f>Data!AE36</f>
        <v>568662672</v>
      </c>
      <c r="N36" s="6">
        <f>Data!AF36</f>
        <v>1181158123</v>
      </c>
      <c r="O36" s="6">
        <f>Data!AG36</f>
        <v>25088873</v>
      </c>
      <c r="P36" s="6">
        <f>Data!AH36</f>
        <v>1910085074</v>
      </c>
      <c r="Q36" s="6">
        <f>Data!AI36</f>
        <v>579133327</v>
      </c>
      <c r="R36" s="6">
        <f>Data!AJ36</f>
        <v>31859922</v>
      </c>
      <c r="S36" s="6">
        <f>Data!AK36/Data!T36</f>
        <v>54029.343499078437</v>
      </c>
      <c r="T36" s="6">
        <f>Data!AL36/Data!U36</f>
        <v>22908.908456716574</v>
      </c>
      <c r="U36" s="6">
        <f>Data!AM36/Data!V36</f>
        <v>45858.659513143903</v>
      </c>
      <c r="V36" s="6">
        <f>Data!AN36/Data!W36</f>
        <v>40573.169660891726</v>
      </c>
      <c r="W36" s="6">
        <f>Data!AO36/Data!X36</f>
        <v>16222.863889852881</v>
      </c>
      <c r="X36" s="6">
        <f>Data!AP36/Data!Y36</f>
        <v>616.91471291573043</v>
      </c>
      <c r="Y36" s="6">
        <f>Data!AQ36/Data!Z36</f>
        <v>72295.702938365095</v>
      </c>
      <c r="Z36" s="6">
        <f>Data!AR36/Data!AA36</f>
        <v>18292.217869388794</v>
      </c>
      <c r="AA36" s="6">
        <f>Data!AS36/Data!AB36</f>
        <v>53727.766168267517</v>
      </c>
      <c r="AB36" s="6">
        <f>Data!AT36/Data!AC36</f>
        <v>39346.957527773171</v>
      </c>
      <c r="AC36" s="6">
        <f>Data!AU36/Data!AD36</f>
        <v>13701.509705970409</v>
      </c>
      <c r="AD36" s="6">
        <f>Data!AV36/Data!AE36</f>
        <v>17319.075121843533</v>
      </c>
      <c r="AE36" s="6">
        <f>Data!AW36/Data!AF36</f>
        <v>4982.0441299776849</v>
      </c>
      <c r="AF36" s="6">
        <f>Data!AX36/Data!AG36</f>
        <v>7207.596769001063</v>
      </c>
      <c r="AG36" s="6">
        <f>Data!AY36/Data!AH36</f>
        <v>8683.2052870534608</v>
      </c>
      <c r="AH36" s="6">
        <f>Data!AZ36/Data!AI36</f>
        <v>15450.585332397353</v>
      </c>
      <c r="AI36" s="6">
        <f>Data!BA36/Data!AJ36</f>
        <v>58860.762201961763</v>
      </c>
      <c r="AJ36" s="17">
        <f>Data!BB36/Data!AK36</f>
        <v>9.8778271325180121E-8</v>
      </c>
      <c r="AK36" s="17">
        <f>Data!BC36/Data!AL36</f>
        <v>1.2413764601787502E-7</v>
      </c>
      <c r="AL36" s="17">
        <f>Data!BD36/Data!AM36</f>
        <v>6.6271917755308904E-8</v>
      </c>
      <c r="AM36" s="17">
        <f>Data!BE36/Data!AN36</f>
        <v>1.3551579518226601E-7</v>
      </c>
      <c r="AN36" s="17">
        <f>Data!BF36/Data!AO36</f>
        <v>1.3414783822565666E-7</v>
      </c>
      <c r="AO36" s="17">
        <f>Data!BG36/Data!AP36</f>
        <v>1.0777285226458967E-6</v>
      </c>
      <c r="AP36" s="17">
        <f>Data!BH36/Data!AQ36</f>
        <v>8.9336064520570575E-8</v>
      </c>
      <c r="AQ36" s="17">
        <f>Data!BI36/Data!AR36</f>
        <v>7.2018191706128204E-8</v>
      </c>
      <c r="AR36" s="17">
        <f>Data!BJ36/Data!AS36</f>
        <v>4.868603557915235E-8</v>
      </c>
      <c r="AS36" s="17">
        <f>Data!BK36/Data!AT36</f>
        <v>6.1992285049722202E-8</v>
      </c>
      <c r="AT36" s="17">
        <f>Data!BL36/Data!AU36</f>
        <v>1.0811234189540074E-7</v>
      </c>
      <c r="AU36" s="17">
        <f>Data!BM36/Data!AV36</f>
        <v>1.1670362076031929E-7</v>
      </c>
      <c r="AV36" s="17">
        <f>Data!BN36/Data!AW36</f>
        <v>9.0652245932766471E-8</v>
      </c>
      <c r="AW36" s="17">
        <f>Data!BO36/Data!AX36</f>
        <v>6.5577399903996858E-7</v>
      </c>
      <c r="AX36" s="17">
        <f>Data!BP36/Data!AY36</f>
        <v>7.6753274912074437E-8</v>
      </c>
      <c r="AY36" s="17">
        <f>Data!BQ36/Data!AZ36</f>
        <v>8.3742072670344051E-8</v>
      </c>
      <c r="AZ36" s="17">
        <f>Data!BR36/Data!BA36</f>
        <v>8.0203679269917155E-8</v>
      </c>
      <c r="BA36" s="21">
        <f>Data!C36/Data!BB36</f>
        <v>2.1391091626436545</v>
      </c>
      <c r="BB36" s="16">
        <f>Data!D36/Data!BC36</f>
        <v>3.2369008509339352</v>
      </c>
      <c r="BC36" s="16">
        <f>Data!E36/Data!BD36</f>
        <v>2.6489836836340284</v>
      </c>
      <c r="BD36" s="16">
        <f>Data!F36/Data!BE36</f>
        <v>2.4637106970011562</v>
      </c>
      <c r="BE36" s="16">
        <f>Data!G36/Data!BF36</f>
        <v>3.584077321956487</v>
      </c>
      <c r="BF36" s="16">
        <f>Data!H36/Data!BG36</f>
        <v>3.7381359885955154</v>
      </c>
      <c r="BG36" s="16">
        <f>Data!I36/Data!BH36</f>
        <v>2.1334991188121077</v>
      </c>
      <c r="BH36" s="16">
        <f>Data!J36/Data!BI36</f>
        <v>2.0174909115946322</v>
      </c>
      <c r="BI36" s="16">
        <f>Data!K36/Data!BJ36</f>
        <v>2.0164021341801845</v>
      </c>
      <c r="BJ36" s="16">
        <f>Data!L36/Data!BK36</f>
        <v>2.462788164085318</v>
      </c>
      <c r="BK36" s="16">
        <f>Data!M36/Data!BL36</f>
        <v>2.682035424846688</v>
      </c>
      <c r="BL36" s="16">
        <f>Data!N36/Data!BM36</f>
        <v>2.6459524643580048</v>
      </c>
      <c r="BM36" s="16">
        <f>Data!O36/Data!BN36</f>
        <v>1.5987023509627678</v>
      </c>
      <c r="BN36" s="16">
        <f>Data!P36/Data!BO36</f>
        <v>3.6715360586713506</v>
      </c>
      <c r="BO36" s="16">
        <f>Data!Q36/Data!BP36</f>
        <v>2.6664627378470951</v>
      </c>
      <c r="BP36" s="16">
        <f>Data!R36/Data!BQ36</f>
        <v>2.5209852529428103</v>
      </c>
      <c r="BQ36" s="16">
        <f>Data!S36/Data!BR36</f>
        <v>2.7211144071120601</v>
      </c>
    </row>
    <row r="37" spans="1:69" x14ac:dyDescent="0.3">
      <c r="A37" s="3">
        <v>2024</v>
      </c>
      <c r="B37" s="6">
        <f>Data!T37</f>
        <v>51751065</v>
      </c>
      <c r="C37" s="6">
        <f>Data!U37</f>
        <v>1416499100</v>
      </c>
      <c r="D37" s="6">
        <f>Data!V37</f>
        <v>123975371</v>
      </c>
      <c r="E37" s="6">
        <f>Data!W37</f>
        <v>143533851</v>
      </c>
      <c r="F37" s="6">
        <f>Data!X37</f>
        <v>3524788</v>
      </c>
      <c r="G37" s="6">
        <f>Data!Y37</f>
        <v>26498823</v>
      </c>
      <c r="H37" s="6">
        <f>Data!Z37</f>
        <v>381884256</v>
      </c>
      <c r="I37" s="6">
        <f>Data!AA37</f>
        <v>658805744</v>
      </c>
      <c r="J37" s="6">
        <f>Data!AB37</f>
        <v>520209090</v>
      </c>
      <c r="K37" s="6">
        <f>Data!AC37</f>
        <v>116232057</v>
      </c>
      <c r="L37" s="6">
        <f>Data!AD37</f>
        <v>191240258</v>
      </c>
      <c r="M37" s="6">
        <f>Data!AE37</f>
        <v>579884282</v>
      </c>
      <c r="N37" s="6">
        <f>Data!AF37</f>
        <v>1210812164</v>
      </c>
      <c r="O37" s="6">
        <f>Data!AG37</f>
        <v>25408620</v>
      </c>
      <c r="P37" s="6">
        <f>Data!AH37</f>
        <v>1928653696</v>
      </c>
      <c r="Q37" s="6">
        <f>Data!AI37</f>
        <v>583518010</v>
      </c>
      <c r="R37" s="6">
        <f>Data!AJ37</f>
        <v>32484312</v>
      </c>
      <c r="S37" s="6">
        <f>Data!AK37/Data!T37</f>
        <v>55070.938619412176</v>
      </c>
      <c r="T37" s="6">
        <f>Data!AL37/Data!U37</f>
        <v>24070.3514518269</v>
      </c>
      <c r="U37" s="6">
        <f>Data!AM37/Data!V37</f>
        <v>46106.922923004437</v>
      </c>
      <c r="V37" s="6">
        <f>Data!AN37/Data!W37</f>
        <v>42422.028932202833</v>
      </c>
      <c r="W37" s="6">
        <f>Data!AO37/Data!X37</f>
        <v>16842.650587379667</v>
      </c>
      <c r="X37" s="6">
        <f>Data!AP37/Data!Y37</f>
        <v>637.81356353633521</v>
      </c>
      <c r="Y37" s="6">
        <f>Data!AQ37/Data!Z37</f>
        <v>73362.737160498436</v>
      </c>
      <c r="Z37" s="6">
        <f>Data!AR37/Data!AA37</f>
        <v>18571.289880704197</v>
      </c>
      <c r="AA37" s="6">
        <f>Data!AS37/Data!AB37</f>
        <v>54147.861053165761</v>
      </c>
      <c r="AB37" s="6">
        <f>Data!AT37/Data!AC37</f>
        <v>40315.230904128199</v>
      </c>
      <c r="AC37" s="6">
        <f>Data!AU37/Data!AD37</f>
        <v>13711.748336337112</v>
      </c>
      <c r="AD37" s="6">
        <f>Data!AV37/Data!AE37</f>
        <v>17216.200039253279</v>
      </c>
      <c r="AE37" s="6">
        <f>Data!AW37/Data!AF37</f>
        <v>5060.9821690676708</v>
      </c>
      <c r="AF37" s="6">
        <f>Data!AX37/Data!AG37</f>
        <v>7495.5416494626224</v>
      </c>
      <c r="AG37" s="6">
        <f>Data!AY37/Data!AH37</f>
        <v>9106.6664676815581</v>
      </c>
      <c r="AH37" s="6">
        <f>Data!AZ37/Data!AI37</f>
        <v>16015.797418945627</v>
      </c>
      <c r="AI37" s="6">
        <f>Data!BA37/Data!AJ37</f>
        <v>58515.523375192926</v>
      </c>
      <c r="AJ37" s="19">
        <f>AJ36*(1+AJ$66)</f>
        <v>9.7098161476687592E-8</v>
      </c>
      <c r="AK37" s="19">
        <f t="shared" ref="AK37:BQ44" si="0">AK36*(1+AK$66)</f>
        <v>1.2156657233532322E-7</v>
      </c>
      <c r="AL37" s="19">
        <f t="shared" si="0"/>
        <v>6.497560371295208E-8</v>
      </c>
      <c r="AM37" s="19">
        <f t="shared" si="0"/>
        <v>1.3556924072544188E-7</v>
      </c>
      <c r="AN37" s="19">
        <f t="shared" si="0"/>
        <v>1.3478874755009423E-7</v>
      </c>
      <c r="AO37" s="19">
        <f t="shared" si="0"/>
        <v>1.1270892270298947E-6</v>
      </c>
      <c r="AP37" s="19">
        <f t="shared" si="0"/>
        <v>8.7308828543003602E-8</v>
      </c>
      <c r="AQ37" s="19">
        <f t="shared" si="0"/>
        <v>7.1237520420465036E-8</v>
      </c>
      <c r="AR37" s="19">
        <f t="shared" si="0"/>
        <v>4.7420309855516597E-8</v>
      </c>
      <c r="AS37" s="19">
        <f t="shared" si="0"/>
        <v>6.0257108528651781E-8</v>
      </c>
      <c r="AT37" s="19">
        <f t="shared" si="0"/>
        <v>1.064644325999407E-7</v>
      </c>
      <c r="AU37" s="19">
        <f t="shared" si="0"/>
        <v>1.1642604088805393E-7</v>
      </c>
      <c r="AV37" s="19">
        <f t="shared" si="0"/>
        <v>9.0249661180969058E-8</v>
      </c>
      <c r="AW37" s="19">
        <f t="shared" si="0"/>
        <v>6.5438404208316271E-7</v>
      </c>
      <c r="AX37" s="19">
        <f t="shared" si="0"/>
        <v>7.522600373695142E-8</v>
      </c>
      <c r="AY37" s="19">
        <f t="shared" si="0"/>
        <v>8.2738222225338922E-8</v>
      </c>
      <c r="AZ37" s="19">
        <f t="shared" si="0"/>
        <v>7.8616922628454603E-8</v>
      </c>
      <c r="BA37" s="23">
        <f t="shared" si="0"/>
        <v>2.1129701020516585</v>
      </c>
      <c r="BB37" s="20">
        <f t="shared" si="0"/>
        <v>3.1989917122902325</v>
      </c>
      <c r="BC37" s="20">
        <f t="shared" si="0"/>
        <v>2.6247551867048631</v>
      </c>
      <c r="BD37" s="20">
        <f t="shared" si="0"/>
        <v>2.4632399477928777</v>
      </c>
      <c r="BE37" s="20">
        <f t="shared" si="0"/>
        <v>3.5730930110318999</v>
      </c>
      <c r="BF37" s="20">
        <f t="shared" si="0"/>
        <v>3.7660755247823805</v>
      </c>
      <c r="BG37" s="20">
        <f t="shared" si="0"/>
        <v>2.1130034419062333</v>
      </c>
      <c r="BH37" s="20">
        <f t="shared" si="0"/>
        <v>2.0017580314230452</v>
      </c>
      <c r="BI37" s="20">
        <f t="shared" si="0"/>
        <v>2.0035068030989884</v>
      </c>
      <c r="BJ37" s="20">
        <f t="shared" si="0"/>
        <v>2.4380354783321714</v>
      </c>
      <c r="BK37" s="20">
        <f t="shared" si="0"/>
        <v>2.6711106438158501</v>
      </c>
      <c r="BL37" s="20">
        <f t="shared" si="0"/>
        <v>2.6355919514539208</v>
      </c>
      <c r="BM37" s="20">
        <f t="shared" si="0"/>
        <v>1.5770654957381052</v>
      </c>
      <c r="BN37" s="20">
        <f t="shared" si="0"/>
        <v>3.8195147954400102</v>
      </c>
      <c r="BO37" s="20">
        <f t="shared" si="0"/>
        <v>2.6680782155935021</v>
      </c>
      <c r="BP37" s="20">
        <f t="shared" si="0"/>
        <v>2.529097593715373</v>
      </c>
      <c r="BQ37" s="20">
        <f t="shared" si="0"/>
        <v>2.7007212700859142</v>
      </c>
    </row>
    <row r="38" spans="1:69" x14ac:dyDescent="0.3">
      <c r="A38" s="3">
        <v>2025</v>
      </c>
      <c r="B38" s="6">
        <f>Data!T38</f>
        <v>51679316.742272936</v>
      </c>
      <c r="C38" s="6">
        <f>Data!U38</f>
        <v>1416973430.4995711</v>
      </c>
      <c r="D38" s="6">
        <f>Data!V38</f>
        <v>123356939.50200264</v>
      </c>
      <c r="E38" s="6">
        <f>Data!W38</f>
        <v>143455891.20495844</v>
      </c>
      <c r="F38" s="6">
        <f>Data!X38</f>
        <v>3573939.810464242</v>
      </c>
      <c r="G38" s="6">
        <f>Data!Y38</f>
        <v>26616890.856344365</v>
      </c>
      <c r="H38" s="6">
        <f>Data!Z38</f>
        <v>383349636.14990318</v>
      </c>
      <c r="I38" s="6">
        <f>Data!AA38</f>
        <v>663222824.55608559</v>
      </c>
      <c r="J38" s="6">
        <f>Data!AB38</f>
        <v>521415701.67140788</v>
      </c>
      <c r="K38" s="6">
        <f>Data!AC38</f>
        <v>116035060.1581952</v>
      </c>
      <c r="L38" s="6">
        <f>Data!AD38</f>
        <v>190653575.20295277</v>
      </c>
      <c r="M38" s="6">
        <f>Data!AE38</f>
        <v>588853131.30510616</v>
      </c>
      <c r="N38" s="6">
        <f>Data!AF38</f>
        <v>1240088480.7463462</v>
      </c>
      <c r="O38" s="6">
        <f>Data!AG38</f>
        <v>25618284.760966633</v>
      </c>
      <c r="P38" s="6">
        <f>Data!AH38</f>
        <v>1946960528.9794891</v>
      </c>
      <c r="Q38" s="6">
        <f>Data!AI38</f>
        <v>588099260.83542645</v>
      </c>
      <c r="R38" s="6">
        <f>Data!AJ38</f>
        <v>32726670.694034543</v>
      </c>
      <c r="S38" s="6">
        <f>Data!AK38/Data!T38</f>
        <v>56778.590176312522</v>
      </c>
      <c r="T38" s="6">
        <f>Data!AL38/Data!U38</f>
        <v>25179.897647681129</v>
      </c>
      <c r="U38" s="6">
        <f>Data!AM38/Data!V38</f>
        <v>47170.79384626713</v>
      </c>
      <c r="V38" s="6">
        <f>Data!AN38/Data!W38</f>
        <v>42863.172975639929</v>
      </c>
      <c r="W38" s="6">
        <f>Data!AO38/Data!X38</f>
        <v>17281.283295838795</v>
      </c>
      <c r="X38" s="6">
        <f>Data!AP38/Data!Y38</f>
        <v>664.12236734470355</v>
      </c>
      <c r="Y38" s="6">
        <f>Data!AQ38/Data!Z38</f>
        <v>74989.031478120858</v>
      </c>
      <c r="Z38" s="6">
        <f>Data!AR38/Data!AA38</f>
        <v>19065.374038555659</v>
      </c>
      <c r="AA38" s="6">
        <f>Data!AS38/Data!AB38</f>
        <v>55654.396133169546</v>
      </c>
      <c r="AB38" s="6">
        <f>Data!AT38/Data!AC38</f>
        <v>41769.965242879378</v>
      </c>
      <c r="AC38" s="6">
        <f>Data!AU38/Data!AD38</f>
        <v>13929.40914092849</v>
      </c>
      <c r="AD38" s="6">
        <f>Data!AV38/Data!AE38</f>
        <v>17383.096616035378</v>
      </c>
      <c r="AE38" s="6">
        <f>Data!AW38/Data!AF38</f>
        <v>5127.7066781968342</v>
      </c>
      <c r="AF38" s="6">
        <f>Data!AX38/Data!AG38</f>
        <v>7788.2267406940855</v>
      </c>
      <c r="AG38" s="6">
        <f>Data!AY38/Data!AH38</f>
        <v>9611.8345297744272</v>
      </c>
      <c r="AH38" s="6">
        <f>Data!AZ38/Data!AI38</f>
        <v>16590.922438915411</v>
      </c>
      <c r="AI38" s="6">
        <f>Data!BA38/Data!AJ38</f>
        <v>59833.201819646994</v>
      </c>
      <c r="AJ38" s="19">
        <f t="shared" ref="AJ38:AJ63" si="1">AJ37*(1+AJ$66)</f>
        <v>9.5446628450457013E-8</v>
      </c>
      <c r="AK38" s="19">
        <f t="shared" si="0"/>
        <v>1.1904874937963117E-7</v>
      </c>
      <c r="AL38" s="19">
        <f t="shared" si="0"/>
        <v>6.3704646264358189E-8</v>
      </c>
      <c r="AM38" s="19">
        <f t="shared" si="0"/>
        <v>1.3562270734679598E-7</v>
      </c>
      <c r="AN38" s="19">
        <f t="shared" si="0"/>
        <v>1.3543271890495722E-7</v>
      </c>
      <c r="AO38" s="19">
        <f t="shared" si="0"/>
        <v>1.1787106854777295E-6</v>
      </c>
      <c r="AP38" s="19">
        <f t="shared" si="0"/>
        <v>8.5327595103502259E-8</v>
      </c>
      <c r="AQ38" s="19">
        <f t="shared" si="0"/>
        <v>7.0465311547448186E-8</v>
      </c>
      <c r="AR38" s="19">
        <f t="shared" si="0"/>
        <v>4.6187490109712385E-8</v>
      </c>
      <c r="AS38" s="19">
        <f t="shared" si="0"/>
        <v>5.8570499947234805E-8</v>
      </c>
      <c r="AT38" s="19">
        <f t="shared" si="0"/>
        <v>1.0484164166745805E-7</v>
      </c>
      <c r="AU38" s="19">
        <f t="shared" si="0"/>
        <v>1.1614912124025277E-7</v>
      </c>
      <c r="AV38" s="19">
        <f t="shared" si="0"/>
        <v>8.9848864299739135E-8</v>
      </c>
      <c r="AW38" s="19">
        <f t="shared" si="0"/>
        <v>6.5299703123331529E-7</v>
      </c>
      <c r="AX38" s="19">
        <f t="shared" si="0"/>
        <v>7.3729122890384852E-8</v>
      </c>
      <c r="AY38" s="19">
        <f t="shared" si="0"/>
        <v>8.1746405345826065E-8</v>
      </c>
      <c r="AZ38" s="19">
        <f t="shared" si="0"/>
        <v>7.706155851988012E-8</v>
      </c>
      <c r="BA38" s="23">
        <f t="shared" si="0"/>
        <v>2.0871504503521883</v>
      </c>
      <c r="BB38" s="20">
        <f t="shared" si="0"/>
        <v>3.1615265485654072</v>
      </c>
      <c r="BC38" s="20">
        <f t="shared" si="0"/>
        <v>2.6007482917685953</v>
      </c>
      <c r="BD38" s="20">
        <f t="shared" si="0"/>
        <v>2.4627692885321801</v>
      </c>
      <c r="BE38" s="20">
        <f t="shared" si="0"/>
        <v>3.5621423643047199</v>
      </c>
      <c r="BF38" s="20">
        <f t="shared" si="0"/>
        <v>3.7942238863529982</v>
      </c>
      <c r="BG38" s="20">
        <f t="shared" si="0"/>
        <v>2.0927046588111535</v>
      </c>
      <c r="BH38" s="20">
        <f t="shared" si="0"/>
        <v>1.9861478400413164</v>
      </c>
      <c r="BI38" s="20">
        <f t="shared" si="0"/>
        <v>1.990693940470327</v>
      </c>
      <c r="BJ38" s="20">
        <f t="shared" si="0"/>
        <v>2.4135315738022451</v>
      </c>
      <c r="BK38" s="20">
        <f t="shared" si="0"/>
        <v>2.6602303628835067</v>
      </c>
      <c r="BL38" s="20">
        <f t="shared" si="0"/>
        <v>2.6252720062580934</v>
      </c>
      <c r="BM38" s="20">
        <f t="shared" si="0"/>
        <v>1.5557214739503427</v>
      </c>
      <c r="BN38" s="20">
        <f t="shared" si="0"/>
        <v>3.9734577134629792</v>
      </c>
      <c r="BO38" s="20">
        <f t="shared" si="0"/>
        <v>2.6696946720778874</v>
      </c>
      <c r="BP38" s="20">
        <f t="shared" si="0"/>
        <v>2.5372360393898719</v>
      </c>
      <c r="BQ38" s="20">
        <f t="shared" si="0"/>
        <v>2.6804809675149017</v>
      </c>
    </row>
    <row r="39" spans="1:69" x14ac:dyDescent="0.3">
      <c r="A39" s="3">
        <v>2026</v>
      </c>
      <c r="B39" s="6">
        <f>Data!T39</f>
        <v>51575156.334551692</v>
      </c>
      <c r="C39" s="6">
        <f>Data!U39</f>
        <v>1414977289.6472099</v>
      </c>
      <c r="D39" s="6">
        <f>Data!V39</f>
        <v>122727428.61234736</v>
      </c>
      <c r="E39" s="6">
        <f>Data!W39</f>
        <v>143067079.06259924</v>
      </c>
      <c r="F39" s="6">
        <f>Data!X39</f>
        <v>3617997.1132103829</v>
      </c>
      <c r="G39" s="6">
        <f>Data!Y39</f>
        <v>26643811.537509132</v>
      </c>
      <c r="H39" s="6">
        <f>Data!Z39</f>
        <v>385014659.37200016</v>
      </c>
      <c r="I39" s="6">
        <f>Data!AA39</f>
        <v>667634702.42600381</v>
      </c>
      <c r="J39" s="6">
        <f>Data!AB39</f>
        <v>522240422.78014779</v>
      </c>
      <c r="K39" s="6">
        <f>Data!AC39</f>
        <v>115502874.66018517</v>
      </c>
      <c r="L39" s="6">
        <f>Data!AD39</f>
        <v>192070518.92260709</v>
      </c>
      <c r="M39" s="6">
        <f>Data!AE39</f>
        <v>597564403.70755422</v>
      </c>
      <c r="N39" s="6">
        <f>Data!AF39</f>
        <v>1271486269.7206888</v>
      </c>
      <c r="O39" s="6">
        <f>Data!AG39</f>
        <v>25792458.324626777</v>
      </c>
      <c r="P39" s="6">
        <f>Data!AH39</f>
        <v>1965338201.0031219</v>
      </c>
      <c r="Q39" s="6">
        <f>Data!AI39</f>
        <v>592434467.23887455</v>
      </c>
      <c r="R39" s="6">
        <f>Data!AJ39</f>
        <v>32959236.076315243</v>
      </c>
      <c r="S39" s="6">
        <f>Data!AK39/Data!T39</f>
        <v>58190.558276086798</v>
      </c>
      <c r="T39" s="6">
        <f>Data!AL39/Data!U39</f>
        <v>26242.403119313869</v>
      </c>
      <c r="U39" s="6">
        <f>Data!AM39/Data!V39</f>
        <v>47965.211663351278</v>
      </c>
      <c r="V39" s="6">
        <f>Data!AN39/Data!W39</f>
        <v>43700.106806880431</v>
      </c>
      <c r="W39" s="6">
        <f>Data!AO39/Data!X39</f>
        <v>17590.579767114948</v>
      </c>
      <c r="X39" s="6">
        <f>Data!AP39/Data!Y39</f>
        <v>693.44373845405096</v>
      </c>
      <c r="Y39" s="6">
        <f>Data!AQ39/Data!Z39</f>
        <v>76292.205846009048</v>
      </c>
      <c r="Z39" s="6">
        <f>Data!AR39/Data!AA39</f>
        <v>19483.734094133026</v>
      </c>
      <c r="AA39" s="6">
        <f>Data!AS39/Data!AB39</f>
        <v>56798.701913695841</v>
      </c>
      <c r="AB39" s="6">
        <f>Data!AT39/Data!AC39</f>
        <v>43163.147703869836</v>
      </c>
      <c r="AC39" s="6">
        <f>Data!AU39/Data!AD39</f>
        <v>14215.1557043826</v>
      </c>
      <c r="AD39" s="6">
        <f>Data!AV39/Data!AE39</f>
        <v>17858.454383270084</v>
      </c>
      <c r="AE39" s="6">
        <f>Data!AW39/Data!AF39</f>
        <v>5223.2327389557759</v>
      </c>
      <c r="AF39" s="6">
        <f>Data!AX39/Data!AG39</f>
        <v>8124.5670542104308</v>
      </c>
      <c r="AG39" s="6">
        <f>Data!AY39/Data!AH39</f>
        <v>10063.149541523697</v>
      </c>
      <c r="AH39" s="6">
        <f>Data!AZ39/Data!AI39</f>
        <v>17117.239018587257</v>
      </c>
      <c r="AI39" s="6">
        <f>Data!BA39/Data!AJ39</f>
        <v>60936.412203699605</v>
      </c>
      <c r="AJ39" s="19">
        <f t="shared" si="1"/>
        <v>9.3823186186144562E-8</v>
      </c>
      <c r="AK39" s="19">
        <f t="shared" si="0"/>
        <v>1.165830742497306E-7</v>
      </c>
      <c r="AL39" s="19">
        <f t="shared" si="0"/>
        <v>6.2458549421035046E-8</v>
      </c>
      <c r="AM39" s="19">
        <f t="shared" si="0"/>
        <v>1.3567619505464127E-7</v>
      </c>
      <c r="AN39" s="19">
        <f t="shared" si="0"/>
        <v>1.3607976691950745E-7</v>
      </c>
      <c r="AO39" s="19">
        <f t="shared" si="0"/>
        <v>1.2326964420737275E-6</v>
      </c>
      <c r="AP39" s="19">
        <f t="shared" si="0"/>
        <v>8.3391320301143379E-8</v>
      </c>
      <c r="AQ39" s="19">
        <f t="shared" si="0"/>
        <v>6.9701473355219299E-8</v>
      </c>
      <c r="AR39" s="19">
        <f t="shared" si="0"/>
        <v>4.4986720861475045E-8</v>
      </c>
      <c r="AS39" s="19">
        <f t="shared" si="0"/>
        <v>5.6931099879076591E-8</v>
      </c>
      <c r="AT39" s="19">
        <f t="shared" si="0"/>
        <v>1.0324358622969637E-7</v>
      </c>
      <c r="AU39" s="19">
        <f t="shared" si="0"/>
        <v>1.1587286024657018E-7</v>
      </c>
      <c r="AV39" s="19">
        <f t="shared" si="0"/>
        <v>8.9449847349180436E-8</v>
      </c>
      <c r="AW39" s="19">
        <f t="shared" si="0"/>
        <v>6.5161296024595522E-7</v>
      </c>
      <c r="AX39" s="19">
        <f t="shared" si="0"/>
        <v>7.2262027651952585E-8</v>
      </c>
      <c r="AY39" s="19">
        <f t="shared" si="0"/>
        <v>8.0766477780538591E-8</v>
      </c>
      <c r="AZ39" s="19">
        <f t="shared" si="0"/>
        <v>7.5536965871563301E-8</v>
      </c>
      <c r="BA39" s="23">
        <f t="shared" si="0"/>
        <v>2.0616463044960023</v>
      </c>
      <c r="BB39" s="20">
        <f t="shared" si="0"/>
        <v>3.124500160123286</v>
      </c>
      <c r="BC39" s="20">
        <f t="shared" si="0"/>
        <v>2.5769609719787643</v>
      </c>
      <c r="BD39" s="20">
        <f t="shared" si="0"/>
        <v>2.4622987192018768</v>
      </c>
      <c r="BE39" s="20">
        <f t="shared" si="0"/>
        <v>3.5512252786025043</v>
      </c>
      <c r="BF39" s="20">
        <f t="shared" si="0"/>
        <v>3.8225826341078268</v>
      </c>
      <c r="BG39" s="20">
        <f t="shared" si="0"/>
        <v>2.0726008780463916</v>
      </c>
      <c r="BH39" s="20">
        <f t="shared" si="0"/>
        <v>1.9706593806927051</v>
      </c>
      <c r="BI39" s="20">
        <f t="shared" si="0"/>
        <v>1.9779630188904742</v>
      </c>
      <c r="BJ39" s="20">
        <f t="shared" si="0"/>
        <v>2.3892739500760842</v>
      </c>
      <c r="BK39" s="20">
        <f t="shared" si="0"/>
        <v>2.6493944007866412</v>
      </c>
      <c r="BL39" s="20">
        <f t="shared" si="0"/>
        <v>2.6149924699232763</v>
      </c>
      <c r="BM39" s="20">
        <f t="shared" si="0"/>
        <v>1.5346663223885204</v>
      </c>
      <c r="BN39" s="20">
        <f t="shared" si="0"/>
        <v>4.1336051949655079</v>
      </c>
      <c r="BO39" s="20">
        <f t="shared" si="0"/>
        <v>2.67131210789322</v>
      </c>
      <c r="BP39" s="20">
        <f t="shared" si="0"/>
        <v>2.5454006739699162</v>
      </c>
      <c r="BQ39" s="20">
        <f t="shared" si="0"/>
        <v>2.6603923539955154</v>
      </c>
    </row>
    <row r="40" spans="1:69" s="1" customFormat="1" x14ac:dyDescent="0.3">
      <c r="A40" s="3">
        <v>2027</v>
      </c>
      <c r="B40" s="6">
        <f>Data!T40</f>
        <v>51470995.926830448</v>
      </c>
      <c r="C40" s="6">
        <f>Data!U40</f>
        <v>1412981148.7948484</v>
      </c>
      <c r="D40" s="6">
        <f>Data!V40</f>
        <v>122097917.72269209</v>
      </c>
      <c r="E40" s="6">
        <f>Data!W40</f>
        <v>142678266.92024004</v>
      </c>
      <c r="F40" s="6">
        <f>Data!X40</f>
        <v>3662054.4159565242</v>
      </c>
      <c r="G40" s="6">
        <f>Data!Y40</f>
        <v>26670631.392152686</v>
      </c>
      <c r="H40" s="6">
        <f>Data!Z40</f>
        <v>386678684.37873626</v>
      </c>
      <c r="I40" s="6">
        <f>Data!AA40</f>
        <v>672046580.29592204</v>
      </c>
      <c r="J40" s="6">
        <f>Data!AB40</f>
        <v>523065143.88888782</v>
      </c>
      <c r="K40" s="6">
        <f>Data!AC40</f>
        <v>114971669.24596524</v>
      </c>
      <c r="L40" s="6">
        <f>Data!AD40</f>
        <v>193487462.64226142</v>
      </c>
      <c r="M40" s="6">
        <f>Data!AE40</f>
        <v>606275676.11000228</v>
      </c>
      <c r="N40" s="6">
        <f>Data!AF40</f>
        <v>1302884058.6950312</v>
      </c>
      <c r="O40" s="6">
        <f>Data!AG40</f>
        <v>25966631.888286922</v>
      </c>
      <c r="P40" s="6">
        <f>Data!AH40</f>
        <v>1983715873.0267549</v>
      </c>
      <c r="Q40" s="6">
        <f>Data!AI40</f>
        <v>596769673.64232254</v>
      </c>
      <c r="R40" s="6">
        <f>Data!AJ40</f>
        <v>33191698.371103797</v>
      </c>
      <c r="S40" s="6">
        <f>Data!AK40/Data!T40</f>
        <v>59863.66901082304</v>
      </c>
      <c r="T40" s="6">
        <f>Data!AL40/Data!U40</f>
        <v>27342.533247422565</v>
      </c>
      <c r="U40" s="6">
        <f>Data!AM40/Data!V40</f>
        <v>48807.607322785007</v>
      </c>
      <c r="V40" s="6">
        <f>Data!AN40/Data!W40</f>
        <v>44241.4043998294</v>
      </c>
      <c r="W40" s="6">
        <f>Data!AO40/Data!X40</f>
        <v>18001.988967460846</v>
      </c>
      <c r="X40" s="6">
        <f>Data!AP40/Data!Y40</f>
        <v>726.9223846521852</v>
      </c>
      <c r="Y40" s="6">
        <f>Data!AQ40/Data!Z40</f>
        <v>77548.304192437325</v>
      </c>
      <c r="Z40" s="6">
        <f>Data!AR40/Data!AA40</f>
        <v>19821.152881641108</v>
      </c>
      <c r="AA40" s="6">
        <f>Data!AS40/Data!AB40</f>
        <v>57938.874481849482</v>
      </c>
      <c r="AB40" s="6">
        <f>Data!AT40/Data!AC40</f>
        <v>44695.346965768163</v>
      </c>
      <c r="AC40" s="6">
        <f>Data!AU40/Data!AD40</f>
        <v>14513.139640063522</v>
      </c>
      <c r="AD40" s="6">
        <f>Data!AV40/Data!AE40</f>
        <v>18067.444995784324</v>
      </c>
      <c r="AE40" s="6">
        <f>Data!AW40/Data!AF40</f>
        <v>5291.6257448462329</v>
      </c>
      <c r="AF40" s="6">
        <f>Data!AX40/Data!AG40</f>
        <v>8482.449248811432</v>
      </c>
      <c r="AG40" s="6">
        <f>Data!AY40/Data!AH40</f>
        <v>10590.359012977664</v>
      </c>
      <c r="AH40" s="6">
        <f>Data!AZ40/Data!AI40</f>
        <v>17709.405680533891</v>
      </c>
      <c r="AI40" s="6">
        <f>Data!BA40/Data!AJ40</f>
        <v>62156.348767443684</v>
      </c>
      <c r="AJ40" s="19">
        <f t="shared" si="1"/>
        <v>9.2227356890758764E-8</v>
      </c>
      <c r="AK40" s="19">
        <f t="shared" si="0"/>
        <v>1.1416846688726053E-7</v>
      </c>
      <c r="AL40" s="19">
        <f t="shared" si="0"/>
        <v>6.1236826896289804E-8</v>
      </c>
      <c r="AM40" s="19">
        <f t="shared" si="0"/>
        <v>1.3572970385729395E-7</v>
      </c>
      <c r="AN40" s="19">
        <f t="shared" si="0"/>
        <v>1.3672990629290006E-7</v>
      </c>
      <c r="AO40" s="19">
        <f t="shared" si="0"/>
        <v>1.2891547832921862E-6</v>
      </c>
      <c r="AP40" s="19">
        <f t="shared" si="0"/>
        <v>8.1498983923460623E-8</v>
      </c>
      <c r="AQ40" s="19">
        <f t="shared" si="0"/>
        <v>6.8945915106285837E-8</v>
      </c>
      <c r="AR40" s="19">
        <f t="shared" si="0"/>
        <v>4.3817168871072836E-8</v>
      </c>
      <c r="AS40" s="19">
        <f t="shared" si="0"/>
        <v>5.5337586948400526E-8</v>
      </c>
      <c r="AT40" s="19">
        <f t="shared" si="0"/>
        <v>1.0166988925429319E-7</v>
      </c>
      <c r="AU40" s="19">
        <f t="shared" si="0"/>
        <v>1.1559725634039557E-7</v>
      </c>
      <c r="AV40" s="19">
        <f t="shared" si="0"/>
        <v>8.9052602424657621E-8</v>
      </c>
      <c r="AW40" s="19">
        <f t="shared" si="0"/>
        <v>6.5023182288984672E-7</v>
      </c>
      <c r="AX40" s="19">
        <f t="shared" si="0"/>
        <v>7.0824125334231316E-8</v>
      </c>
      <c r="AY40" s="19">
        <f t="shared" si="0"/>
        <v>7.9798297007408497E-8</v>
      </c>
      <c r="AZ40" s="19">
        <f t="shared" si="0"/>
        <v>7.4042535898229264E-8</v>
      </c>
      <c r="BA40" s="23">
        <f t="shared" si="0"/>
        <v>2.036453809127563</v>
      </c>
      <c r="BB40" s="20">
        <f t="shared" si="0"/>
        <v>3.0879074082235145</v>
      </c>
      <c r="BC40" s="20">
        <f t="shared" si="0"/>
        <v>2.5533912190271293</v>
      </c>
      <c r="BD40" s="20">
        <f t="shared" si="0"/>
        <v>2.4618282397847846</v>
      </c>
      <c r="BE40" s="20">
        <f t="shared" si="0"/>
        <v>3.5403416510690087</v>
      </c>
      <c r="BF40" s="20">
        <f t="shared" si="0"/>
        <v>3.8511533405130436</v>
      </c>
      <c r="BG40" s="20">
        <f t="shared" si="0"/>
        <v>2.0526902263021705</v>
      </c>
      <c r="BH40" s="20">
        <f t="shared" si="0"/>
        <v>1.9552917040814897</v>
      </c>
      <c r="BI40" s="20">
        <f t="shared" si="0"/>
        <v>1.9653135143285654</v>
      </c>
      <c r="BJ40" s="20">
        <f t="shared" si="0"/>
        <v>2.3652601318651389</v>
      </c>
      <c r="BK40" s="20">
        <f t="shared" si="0"/>
        <v>2.638602577000579</v>
      </c>
      <c r="BL40" s="20">
        <f t="shared" si="0"/>
        <v>2.6047531842242053</v>
      </c>
      <c r="BM40" s="20">
        <f t="shared" si="0"/>
        <v>1.5138961314798194</v>
      </c>
      <c r="BN40" s="20">
        <f t="shared" si="0"/>
        <v>4.3002073106131808</v>
      </c>
      <c r="BO40" s="20">
        <f t="shared" si="0"/>
        <v>2.6729305236328278</v>
      </c>
      <c r="BP40" s="20">
        <f t="shared" si="0"/>
        <v>2.5535915817294326</v>
      </c>
      <c r="BQ40" s="20">
        <f t="shared" si="0"/>
        <v>2.6404542927083674</v>
      </c>
    </row>
    <row r="41" spans="1:69" x14ac:dyDescent="0.3">
      <c r="A41" s="3">
        <v>2028</v>
      </c>
      <c r="B41" s="6">
        <f>Data!T41</f>
        <v>51366835.519109204</v>
      </c>
      <c r="C41" s="6">
        <f>Data!U41</f>
        <v>1410994889.8278952</v>
      </c>
      <c r="D41" s="6">
        <f>Data!V41</f>
        <v>121468406.83303681</v>
      </c>
      <c r="E41" s="6">
        <f>Data!W41</f>
        <v>142289454.77788085</v>
      </c>
      <c r="F41" s="6">
        <f>Data!X41</f>
        <v>3706111.7187026651</v>
      </c>
      <c r="G41" s="6">
        <f>Data!Y41</f>
        <v>26697552.073317453</v>
      </c>
      <c r="H41" s="6">
        <f>Data!Z41</f>
        <v>388343707.6008333</v>
      </c>
      <c r="I41" s="6">
        <f>Data!AA41</f>
        <v>676459498.70307374</v>
      </c>
      <c r="J41" s="6">
        <f>Data!AB41</f>
        <v>523889864.99762785</v>
      </c>
      <c r="K41" s="6">
        <f>Data!AC41</f>
        <v>114439483.74795522</v>
      </c>
      <c r="L41" s="6">
        <f>Data!AD41</f>
        <v>194904406.36191574</v>
      </c>
      <c r="M41" s="6">
        <f>Data!AE41</f>
        <v>614986948.51245046</v>
      </c>
      <c r="N41" s="6">
        <f>Data!AF41</f>
        <v>1334271499.0243587</v>
      </c>
      <c r="O41" s="6">
        <f>Data!AG41</f>
        <v>26140600.300517552</v>
      </c>
      <c r="P41" s="6">
        <f>Data!AH41</f>
        <v>2002093545.0503879</v>
      </c>
      <c r="Q41" s="6">
        <f>Data!AI41</f>
        <v>601103915.16564512</v>
      </c>
      <c r="R41" s="6">
        <f>Data!AJ41</f>
        <v>33424263.753384497</v>
      </c>
      <c r="S41" s="6">
        <f>Data!AK41/Data!T41</f>
        <v>61150.033343393916</v>
      </c>
      <c r="T41" s="6">
        <f>Data!AL41/Data!U41</f>
        <v>28362.209809931206</v>
      </c>
      <c r="U41" s="6">
        <f>Data!AM41/Data!V41</f>
        <v>49512.394757125199</v>
      </c>
      <c r="V41" s="6">
        <f>Data!AN41/Data!W41</f>
        <v>45202.791760849286</v>
      </c>
      <c r="W41" s="6">
        <f>Data!AO41/Data!X41</f>
        <v>18338.015100446431</v>
      </c>
      <c r="X41" s="6">
        <f>Data!AP41/Data!Y41</f>
        <v>761.93216550248997</v>
      </c>
      <c r="Y41" s="6">
        <f>Data!AQ41/Data!Z41</f>
        <v>78692.366125846878</v>
      </c>
      <c r="Z41" s="6">
        <f>Data!AR41/Data!AA41</f>
        <v>20208.060018732634</v>
      </c>
      <c r="AA41" s="6">
        <f>Data!AS41/Data!AB41</f>
        <v>58916.449473175351</v>
      </c>
      <c r="AB41" s="6">
        <f>Data!AT41/Data!AC41</f>
        <v>46066.645304221071</v>
      </c>
      <c r="AC41" s="6">
        <f>Data!AU41/Data!AD41</f>
        <v>15015.628268613098</v>
      </c>
      <c r="AD41" s="6">
        <f>Data!AV41/Data!AE41</f>
        <v>18658.354110345415</v>
      </c>
      <c r="AE41" s="6">
        <f>Data!AW41/Data!AF41</f>
        <v>5414.6113636333084</v>
      </c>
      <c r="AF41" s="6">
        <f>Data!AX41/Data!AG41</f>
        <v>8872.3311960075425</v>
      </c>
      <c r="AG41" s="6">
        <f>Data!AY41/Data!AH41</f>
        <v>11060.588837813177</v>
      </c>
      <c r="AH41" s="6">
        <f>Data!AZ41/Data!AI41</f>
        <v>18249.896113070954</v>
      </c>
      <c r="AI41" s="6">
        <f>Data!BA41/Data!AJ41</f>
        <v>63289.765639494006</v>
      </c>
      <c r="AJ41" s="19">
        <f t="shared" si="1"/>
        <v>9.0658670898041879E-8</v>
      </c>
      <c r="AK41" s="19">
        <f t="shared" si="0"/>
        <v>1.1180386960346109E-7</v>
      </c>
      <c r="AL41" s="19">
        <f t="shared" si="0"/>
        <v>6.0039001915456576E-8</v>
      </c>
      <c r="AM41" s="19">
        <f t="shared" si="0"/>
        <v>1.3578323376307352E-7</v>
      </c>
      <c r="AN41" s="19">
        <f t="shared" si="0"/>
        <v>1.3738315179451735E-7</v>
      </c>
      <c r="AO41" s="19">
        <f t="shared" si="0"/>
        <v>1.3481989552020821E-6</v>
      </c>
      <c r="AP41" s="19">
        <f t="shared" si="0"/>
        <v>7.9649588908900197E-8</v>
      </c>
      <c r="AQ41" s="19">
        <f t="shared" si="0"/>
        <v>6.8198547046742228E-8</v>
      </c>
      <c r="AR41" s="19">
        <f t="shared" si="0"/>
        <v>4.267802256110388E-8</v>
      </c>
      <c r="AS41" s="19">
        <f t="shared" si="0"/>
        <v>5.3788676765003638E-8</v>
      </c>
      <c r="AT41" s="19">
        <f t="shared" si="0"/>
        <v>1.0012017945582595E-7</v>
      </c>
      <c r="AU41" s="19">
        <f t="shared" si="0"/>
        <v>1.1532230795884456E-7</v>
      </c>
      <c r="AV41" s="19">
        <f t="shared" si="0"/>
        <v>8.8657121656639647E-8</v>
      </c>
      <c r="AW41" s="19">
        <f t="shared" si="0"/>
        <v>6.4885361294696178E-7</v>
      </c>
      <c r="AX41" s="19">
        <f t="shared" si="0"/>
        <v>6.9414835043358598E-8</v>
      </c>
      <c r="AY41" s="19">
        <f t="shared" si="0"/>
        <v>7.8841722212838041E-8</v>
      </c>
      <c r="AZ41" s="19">
        <f t="shared" si="0"/>
        <v>7.2577671858864516E-8</v>
      </c>
      <c r="BA41" s="23">
        <f t="shared" si="0"/>
        <v>2.0115691560022402</v>
      </c>
      <c r="BB41" s="20">
        <f t="shared" si="0"/>
        <v>3.0517432143083729</v>
      </c>
      <c r="BC41" s="20">
        <f t="shared" si="0"/>
        <v>2.5300370429741132</v>
      </c>
      <c r="BD41" s="20">
        <f t="shared" si="0"/>
        <v>2.461357850263723</v>
      </c>
      <c r="BE41" s="20">
        <f t="shared" si="0"/>
        <v>3.5294913791632174</v>
      </c>
      <c r="BF41" s="20">
        <f t="shared" si="0"/>
        <v>3.8799375897877355</v>
      </c>
      <c r="BG41" s="20">
        <f t="shared" si="0"/>
        <v>2.032970848264855</v>
      </c>
      <c r="BH41" s="20">
        <f t="shared" si="0"/>
        <v>1.940043868314786</v>
      </c>
      <c r="BI41" s="20">
        <f t="shared" si="0"/>
        <v>1.9527449061050277</v>
      </c>
      <c r="BJ41" s="20">
        <f t="shared" si="0"/>
        <v>2.3414876687591826</v>
      </c>
      <c r="BK41" s="20">
        <f t="shared" si="0"/>
        <v>2.6278547117359792</v>
      </c>
      <c r="BL41" s="20">
        <f t="shared" si="0"/>
        <v>2.594553991555165</v>
      </c>
      <c r="BM41" s="20">
        <f t="shared" si="0"/>
        <v>1.4934070445636216</v>
      </c>
      <c r="BN41" s="20">
        <f t="shared" si="0"/>
        <v>4.4735242099978407</v>
      </c>
      <c r="BO41" s="20">
        <f t="shared" si="0"/>
        <v>2.6745499198903984</v>
      </c>
      <c r="BP41" s="20">
        <f t="shared" si="0"/>
        <v>2.5618088472135345</v>
      </c>
      <c r="BQ41" s="20">
        <f t="shared" si="0"/>
        <v>2.6206656553538559</v>
      </c>
    </row>
    <row r="42" spans="1:69" x14ac:dyDescent="0.3">
      <c r="A42" s="3">
        <v>2029</v>
      </c>
      <c r="B42" s="6">
        <f>Data!T42</f>
        <v>51262675.111387953</v>
      </c>
      <c r="C42" s="6">
        <f>Data!U42</f>
        <v>1408998748.975534</v>
      </c>
      <c r="D42" s="6">
        <f>Data!V42</f>
        <v>120838895.94338152</v>
      </c>
      <c r="E42" s="6">
        <f>Data!W42</f>
        <v>141900642.63552168</v>
      </c>
      <c r="F42" s="6">
        <f>Data!X42</f>
        <v>3750158.8324333695</v>
      </c>
      <c r="G42" s="6">
        <f>Data!Y42</f>
        <v>26724371.927961003</v>
      </c>
      <c r="H42" s="6">
        <f>Data!Z42</f>
        <v>390008730.82293034</v>
      </c>
      <c r="I42" s="6">
        <f>Data!AA42</f>
        <v>680871376.57299197</v>
      </c>
      <c r="J42" s="6">
        <f>Data!AB42</f>
        <v>524714586.10636789</v>
      </c>
      <c r="K42" s="6">
        <f>Data!AC42</f>
        <v>113908278.33373527</v>
      </c>
      <c r="L42" s="6">
        <f>Data!AD42</f>
        <v>196320040.52175525</v>
      </c>
      <c r="M42" s="6">
        <f>Data!AE42</f>
        <v>623697143.18727231</v>
      </c>
      <c r="N42" s="6">
        <f>Data!AF42</f>
        <v>1365669287.9987013</v>
      </c>
      <c r="O42" s="6">
        <f>Data!AG42</f>
        <v>26314773.864177696</v>
      </c>
      <c r="P42" s="6">
        <f>Data!AH42</f>
        <v>2020481336.9374697</v>
      </c>
      <c r="Q42" s="6">
        <f>Data!AI42</f>
        <v>605439121.56909323</v>
      </c>
      <c r="R42" s="6">
        <f>Data!AJ42</f>
        <v>33656726.048173048</v>
      </c>
      <c r="S42" s="6">
        <f>Data!AK42/Data!T42</f>
        <v>62718.259207283714</v>
      </c>
      <c r="T42" s="6">
        <f>Data!AL42/Data!U42</f>
        <v>29431.391315301367</v>
      </c>
      <c r="U42" s="6">
        <f>Data!AM42/Data!V42</f>
        <v>50339.088292691078</v>
      </c>
      <c r="V42" s="6">
        <f>Data!AN42/Data!W42</f>
        <v>45821.541359516137</v>
      </c>
      <c r="W42" s="6">
        <f>Data!AO42/Data!X42</f>
        <v>18761.691074945222</v>
      </c>
      <c r="X42" s="6">
        <f>Data!AP42/Data!Y42</f>
        <v>800.03971064925497</v>
      </c>
      <c r="Y42" s="6">
        <f>Data!AQ42/Data!Z42</f>
        <v>79847.832042698283</v>
      </c>
      <c r="Z42" s="6">
        <f>Data!AR42/Data!AA42</f>
        <v>20551.105368823653</v>
      </c>
      <c r="AA42" s="6">
        <f>Data!AS42/Data!AB42</f>
        <v>59988.769322244632</v>
      </c>
      <c r="AB42" s="6">
        <f>Data!AT42/Data!AC42</f>
        <v>47579.276640250777</v>
      </c>
      <c r="AC42" s="6">
        <f>Data!AU42/Data!AD42</f>
        <v>15408.451326148628</v>
      </c>
      <c r="AD42" s="6">
        <f>Data!AV42/Data!AE42</f>
        <v>18907.964978406617</v>
      </c>
      <c r="AE42" s="6">
        <f>Data!AW42/Data!AF42</f>
        <v>5504.749026637196</v>
      </c>
      <c r="AF42" s="6">
        <f>Data!AX42/Data!AG42</f>
        <v>9254.2949920410701</v>
      </c>
      <c r="AG42" s="6">
        <f>Data!AY42/Data!AH42</f>
        <v>11603.679154110758</v>
      </c>
      <c r="AH42" s="6">
        <f>Data!AZ42/Data!AI42</f>
        <v>18843.147289203574</v>
      </c>
      <c r="AI42" s="6">
        <f>Data!BA42/Data!AJ42</f>
        <v>64515.769572629899</v>
      </c>
      <c r="AJ42" s="19">
        <f t="shared" si="1"/>
        <v>8.9116666530243084E-8</v>
      </c>
      <c r="AK42" s="19">
        <f t="shared" si="0"/>
        <v>1.0948824661586617E-7</v>
      </c>
      <c r="AL42" s="19">
        <f t="shared" si="0"/>
        <v>5.8864607029836115E-8</v>
      </c>
      <c r="AM42" s="19">
        <f t="shared" si="0"/>
        <v>1.3583678478030278E-7</v>
      </c>
      <c r="AN42" s="19">
        <f t="shared" si="0"/>
        <v>1.3803951826430431E-7</v>
      </c>
      <c r="AO42" s="19">
        <f t="shared" si="0"/>
        <v>1.4099473906199042E-6</v>
      </c>
      <c r="AP42" s="19">
        <f t="shared" si="0"/>
        <v>7.7842160821474629E-8</v>
      </c>
      <c r="AQ42" s="19">
        <f t="shared" si="0"/>
        <v>6.7459280395607882E-8</v>
      </c>
      <c r="AR42" s="19">
        <f t="shared" si="0"/>
        <v>4.1568491453325052E-8</v>
      </c>
      <c r="AS42" s="19">
        <f t="shared" si="0"/>
        <v>5.2283120889022929E-8</v>
      </c>
      <c r="AT42" s="19">
        <f t="shared" si="0"/>
        <v>9.8594091208213935E-8</v>
      </c>
      <c r="AU42" s="19">
        <f t="shared" si="0"/>
        <v>1.1504801354275009E-7</v>
      </c>
      <c r="AV42" s="19">
        <f t="shared" si="0"/>
        <v>8.8263397210543934E-8</v>
      </c>
      <c r="AW42" s="19">
        <f t="shared" si="0"/>
        <v>6.4747832421245173E-7</v>
      </c>
      <c r="AX42" s="19">
        <f t="shared" si="0"/>
        <v>6.8033587444359238E-8</v>
      </c>
      <c r="AY42" s="19">
        <f t="shared" si="0"/>
        <v>7.7896614271219634E-8</v>
      </c>
      <c r="AZ42" s="19">
        <f t="shared" si="0"/>
        <v>7.1141788818432246E-8</v>
      </c>
      <c r="BA42" s="23">
        <f t="shared" si="0"/>
        <v>1.9869885834106336</v>
      </c>
      <c r="BB42" s="20">
        <f t="shared" si="0"/>
        <v>3.0160025592979438</v>
      </c>
      <c r="BC42" s="20">
        <f t="shared" si="0"/>
        <v>2.5068964720807965</v>
      </c>
      <c r="BD42" s="20">
        <f t="shared" si="0"/>
        <v>2.460887550621516</v>
      </c>
      <c r="BE42" s="20">
        <f t="shared" si="0"/>
        <v>3.5186743606583781</v>
      </c>
      <c r="BF42" s="20">
        <f t="shared" si="0"/>
        <v>3.9089369779917429</v>
      </c>
      <c r="BG42" s="20">
        <f t="shared" si="0"/>
        <v>2.0134409064440693</v>
      </c>
      <c r="BH42" s="20">
        <f t="shared" si="0"/>
        <v>1.924914938844817</v>
      </c>
      <c r="BI42" s="20">
        <f t="shared" si="0"/>
        <v>1.9402566768701477</v>
      </c>
      <c r="BJ42" s="20">
        <f t="shared" si="0"/>
        <v>2.3179541349762678</v>
      </c>
      <c r="BK42" s="20">
        <f t="shared" si="0"/>
        <v>2.6171506259358401</v>
      </c>
      <c r="BL42" s="20">
        <f t="shared" si="0"/>
        <v>2.5843947349275624</v>
      </c>
      <c r="BM42" s="20">
        <f t="shared" si="0"/>
        <v>1.4731952571753968</v>
      </c>
      <c r="BN42" s="20">
        <f t="shared" si="0"/>
        <v>4.6538265278617859</v>
      </c>
      <c r="BO42" s="20">
        <f t="shared" si="0"/>
        <v>2.6761702972599792</v>
      </c>
      <c r="BP42" s="20">
        <f t="shared" si="0"/>
        <v>2.5700525552393958</v>
      </c>
      <c r="BQ42" s="20">
        <f t="shared" si="0"/>
        <v>2.6010253220883151</v>
      </c>
    </row>
    <row r="43" spans="1:69" x14ac:dyDescent="0.3">
      <c r="A43" s="3">
        <v>2030</v>
      </c>
      <c r="B43" s="6">
        <f>Data!T43</f>
        <v>51158514.703666709</v>
      </c>
      <c r="C43" s="6">
        <f>Data!U43</f>
        <v>1407002608.1231728</v>
      </c>
      <c r="D43" s="6">
        <f>Data!V43</f>
        <v>120209385.05372624</v>
      </c>
      <c r="E43" s="6">
        <f>Data!W43</f>
        <v>141511830.49316248</v>
      </c>
      <c r="F43" s="6">
        <f>Data!X43</f>
        <v>3794216.1351795103</v>
      </c>
      <c r="G43" s="6">
        <f>Data!Y43</f>
        <v>26751292.609125774</v>
      </c>
      <c r="H43" s="6">
        <f>Data!Z43</f>
        <v>391673754.04502738</v>
      </c>
      <c r="I43" s="6">
        <f>Data!AA43</f>
        <v>685284294.98014367</v>
      </c>
      <c r="J43" s="6">
        <f>Data!AB43</f>
        <v>525539307.21510792</v>
      </c>
      <c r="K43" s="6">
        <f>Data!AC43</f>
        <v>113376092.83572526</v>
      </c>
      <c r="L43" s="6">
        <f>Data!AD43</f>
        <v>197736984.24140957</v>
      </c>
      <c r="M43" s="6">
        <f>Data!AE43</f>
        <v>632408415.58972037</v>
      </c>
      <c r="N43" s="6">
        <f>Data!AF43</f>
        <v>1397067076.9730437</v>
      </c>
      <c r="O43" s="6">
        <f>Data!AG43</f>
        <v>26488947.427837841</v>
      </c>
      <c r="P43" s="6">
        <f>Data!AH43</f>
        <v>2038859008.9611027</v>
      </c>
      <c r="Q43" s="6">
        <f>Data!AI43</f>
        <v>609774327.97254133</v>
      </c>
      <c r="R43" s="6">
        <f>Data!AJ43</f>
        <v>33889188.342961602</v>
      </c>
      <c r="S43" s="6">
        <f>Data!AK43/Data!T43</f>
        <v>64020.801435112728</v>
      </c>
      <c r="T43" s="6">
        <f>Data!AL43/Data!U43</f>
        <v>30437.58312497431</v>
      </c>
      <c r="U43" s="6">
        <f>Data!AM43/Data!V43</f>
        <v>51125.874338830465</v>
      </c>
      <c r="V43" s="6">
        <f>Data!AN43/Data!W43</f>
        <v>46742.881525899204</v>
      </c>
      <c r="W43" s="6">
        <f>Data!AO43/Data!X43</f>
        <v>19108.513899849655</v>
      </c>
      <c r="X43" s="6">
        <f>Data!AP43/Data!Y43</f>
        <v>838.82704518779917</v>
      </c>
      <c r="Y43" s="6">
        <f>Data!AQ43/Data!Z43</f>
        <v>80952.404422788677</v>
      </c>
      <c r="Z43" s="6">
        <f>Data!AR43/Data!AA43</f>
        <v>20960.760985908648</v>
      </c>
      <c r="AA43" s="6">
        <f>Data!AS43/Data!AB43</f>
        <v>61016.203208265128</v>
      </c>
      <c r="AB43" s="6">
        <f>Data!AT43/Data!AC43</f>
        <v>48956.708332152572</v>
      </c>
      <c r="AC43" s="6">
        <f>Data!AU43/Data!AD43</f>
        <v>15858.73404107745</v>
      </c>
      <c r="AD43" s="6">
        <f>Data!AV43/Data!AE43</f>
        <v>19383.63859461726</v>
      </c>
      <c r="AE43" s="6">
        <f>Data!AW43/Data!AF43</f>
        <v>5633.5874110489494</v>
      </c>
      <c r="AF43" s="6">
        <f>Data!AX43/Data!AG43</f>
        <v>9631.2840228748937</v>
      </c>
      <c r="AG43" s="6">
        <f>Data!AY43/Data!AH43</f>
        <v>12094.064880462478</v>
      </c>
      <c r="AH43" s="6">
        <f>Data!AZ43/Data!AI43</f>
        <v>19380.917053756828</v>
      </c>
      <c r="AI43" s="6">
        <f>Data!BA43/Data!AJ43</f>
        <v>65656.23654258679</v>
      </c>
      <c r="AJ43" s="19">
        <f t="shared" si="1"/>
        <v>8.7600889962242768E-8</v>
      </c>
      <c r="AK43" s="19">
        <f t="shared" si="0"/>
        <v>1.0722058359459169E-7</v>
      </c>
      <c r="AL43" s="19">
        <f t="shared" si="0"/>
        <v>5.7713183934274956E-8</v>
      </c>
      <c r="AM43" s="19">
        <f t="shared" si="0"/>
        <v>1.3589035691730778E-7</v>
      </c>
      <c r="AN43" s="19">
        <f t="shared" si="0"/>
        <v>1.3869902061310578E-7</v>
      </c>
      <c r="AO43" s="19">
        <f t="shared" si="0"/>
        <v>1.474523946666241E-6</v>
      </c>
      <c r="AP43" s="19">
        <f t="shared" si="0"/>
        <v>7.6075747337337867E-8</v>
      </c>
      <c r="AQ43" s="19">
        <f t="shared" si="0"/>
        <v>6.6728027334280738E-8</v>
      </c>
      <c r="AR43" s="19">
        <f t="shared" si="0"/>
        <v>4.0487805620122064E-8</v>
      </c>
      <c r="AS43" s="19">
        <f t="shared" si="0"/>
        <v>5.0819705824678149E-8</v>
      </c>
      <c r="AT43" s="19">
        <f t="shared" si="0"/>
        <v>9.7091264458455375E-8</v>
      </c>
      <c r="AU43" s="19">
        <f t="shared" si="0"/>
        <v>1.1477437153665358E-7</v>
      </c>
      <c r="AV43" s="19">
        <f t="shared" si="0"/>
        <v>8.7871421286581089E-8</v>
      </c>
      <c r="AW43" s="19">
        <f t="shared" si="0"/>
        <v>6.4610595049461963E-7</v>
      </c>
      <c r="AX43" s="19">
        <f t="shared" si="0"/>
        <v>6.6679824531141376E-8</v>
      </c>
      <c r="AY43" s="19">
        <f t="shared" si="0"/>
        <v>7.6962835724701176E-8</v>
      </c>
      <c r="AZ43" s="19">
        <f t="shared" si="0"/>
        <v>6.9734313414301819E-8</v>
      </c>
      <c r="BA43" s="23">
        <f t="shared" si="0"/>
        <v>1.9627083756099308</v>
      </c>
      <c r="BB43" s="20">
        <f t="shared" si="0"/>
        <v>2.980680482893534</v>
      </c>
      <c r="BC43" s="20">
        <f t="shared" si="0"/>
        <v>2.4839675526424481</v>
      </c>
      <c r="BD43" s="20">
        <f t="shared" si="0"/>
        <v>2.4604173408409897</v>
      </c>
      <c r="BE43" s="20">
        <f t="shared" si="0"/>
        <v>3.5078904936410376</v>
      </c>
      <c r="BF43" s="20">
        <f t="shared" si="0"/>
        <v>3.9381531131141596</v>
      </c>
      <c r="BG43" s="20">
        <f t="shared" si="0"/>
        <v>1.9940985810014764</v>
      </c>
      <c r="BH43" s="20">
        <f t="shared" si="0"/>
        <v>1.9099039884116344</v>
      </c>
      <c r="BI43" s="20">
        <f t="shared" si="0"/>
        <v>1.9278483125827757</v>
      </c>
      <c r="BJ43" s="20">
        <f t="shared" si="0"/>
        <v>2.2946571291151958</v>
      </c>
      <c r="BK43" s="20">
        <f t="shared" si="0"/>
        <v>2.6064901412725163</v>
      </c>
      <c r="BL43" s="20">
        <f t="shared" si="0"/>
        <v>2.5742752579675106</v>
      </c>
      <c r="BM43" s="20">
        <f t="shared" si="0"/>
        <v>1.4532570163402796</v>
      </c>
      <c r="BN43" s="20">
        <f t="shared" si="0"/>
        <v>4.8413958066945471</v>
      </c>
      <c r="BO43" s="20">
        <f t="shared" si="0"/>
        <v>2.6777916563359776</v>
      </c>
      <c r="BP43" s="20">
        <f t="shared" si="0"/>
        <v>2.5783227908971256</v>
      </c>
      <c r="BQ43" s="20">
        <f t="shared" si="0"/>
        <v>2.5815321814606422</v>
      </c>
    </row>
    <row r="44" spans="1:69" x14ac:dyDescent="0.3">
      <c r="A44" s="3">
        <v>2031</v>
      </c>
      <c r="B44" s="6">
        <f>Data!T44</f>
        <v>51012509.507872485</v>
      </c>
      <c r="C44" s="6">
        <f>Data!U44</f>
        <v>1403553830.1158755</v>
      </c>
      <c r="D44" s="6">
        <f>Data!V44</f>
        <v>119544621.55425027</v>
      </c>
      <c r="E44" s="6">
        <f>Data!W44</f>
        <v>141149662.83771622</v>
      </c>
      <c r="F44" s="6">
        <f>Data!X44</f>
        <v>3837040.5670578708</v>
      </c>
      <c r="G44" s="6">
        <f>Data!Y44</f>
        <v>26719935.561027486</v>
      </c>
      <c r="H44" s="6">
        <f>Data!Z44</f>
        <v>393298848.65268564</v>
      </c>
      <c r="I44" s="6">
        <f>Data!AA44</f>
        <v>688975080.54726624</v>
      </c>
      <c r="J44" s="6">
        <f>Data!AB44</f>
        <v>526291916.01015264</v>
      </c>
      <c r="K44" s="6">
        <f>Data!AC44</f>
        <v>112821365.41054355</v>
      </c>
      <c r="L44" s="6">
        <f>Data!AD44</f>
        <v>198886777.75883701</v>
      </c>
      <c r="M44" s="6">
        <f>Data!AE44</f>
        <v>640699374.21795654</v>
      </c>
      <c r="N44" s="6">
        <f>Data!AF44</f>
        <v>1429882630.3143883</v>
      </c>
      <c r="O44" s="6">
        <f>Data!AG44</f>
        <v>26621680.402735502</v>
      </c>
      <c r="P44" s="6">
        <f>Data!AH44</f>
        <v>2054878752.8010867</v>
      </c>
      <c r="Q44" s="6">
        <f>Data!AI44</f>
        <v>613369471.31980312</v>
      </c>
      <c r="R44" s="6">
        <f>Data!AJ44</f>
        <v>34104847.376530401</v>
      </c>
      <c r="S44" s="6">
        <f>Data!AK44/Data!T44</f>
        <v>65465.432073426535</v>
      </c>
      <c r="T44" s="6">
        <f>Data!AL44/Data!U44</f>
        <v>31500.850599607951</v>
      </c>
      <c r="U44" s="6">
        <f>Data!AM44/Data!V44</f>
        <v>52022.173777840042</v>
      </c>
      <c r="V44" s="6">
        <f>Data!AN44/Data!W44</f>
        <v>47556.745887420431</v>
      </c>
      <c r="W44" s="6">
        <f>Data!AO44/Data!X44</f>
        <v>19534.967925033532</v>
      </c>
      <c r="X44" s="6">
        <f>Data!AP44/Data!Y44</f>
        <v>882.14337485585224</v>
      </c>
      <c r="Y44" s="6">
        <f>Data!AQ44/Data!Z44</f>
        <v>82070.406365088158</v>
      </c>
      <c r="Z44" s="6">
        <f>Data!AR44/Data!AA44</f>
        <v>21403.801855973867</v>
      </c>
      <c r="AA44" s="6">
        <f>Data!AS44/Data!AB44</f>
        <v>62130.014971066485</v>
      </c>
      <c r="AB44" s="6">
        <f>Data!AT44/Data!AC44</f>
        <v>50389.314265649489</v>
      </c>
      <c r="AC44" s="6">
        <f>Data!AU44/Data!AD44</f>
        <v>16246.64459939301</v>
      </c>
      <c r="AD44" s="6">
        <f>Data!AV44/Data!AE44</f>
        <v>19691.474839045815</v>
      </c>
      <c r="AE44" s="6">
        <f>Data!AW44/Data!AF44</f>
        <v>5750.6544402894342</v>
      </c>
      <c r="AF44" s="6">
        <f>Data!AX44/Data!AG44</f>
        <v>10012.205736822501</v>
      </c>
      <c r="AG44" s="6">
        <f>Data!AY44/Data!AH44</f>
        <v>12633.745004784651</v>
      </c>
      <c r="AH44" s="6">
        <f>Data!AZ44/Data!AI44</f>
        <v>19959.110777057002</v>
      </c>
      <c r="AI44" s="6">
        <f>Data!BA44/Data!AJ44</f>
        <v>66883.908672401929</v>
      </c>
      <c r="AJ44" s="19">
        <f t="shared" si="1"/>
        <v>8.6110895087987915E-8</v>
      </c>
      <c r="AK44" s="19">
        <f t="shared" si="0"/>
        <v>1.0499988721802108E-7</v>
      </c>
      <c r="AL44" s="19">
        <f t="shared" si="0"/>
        <v>5.6584283288312744E-8</v>
      </c>
      <c r="AM44" s="19">
        <f t="shared" si="0"/>
        <v>1.3594395018241786E-7</v>
      </c>
      <c r="AN44" s="19">
        <f t="shared" si="0"/>
        <v>1.3936167382300517E-7</v>
      </c>
      <c r="AO44" s="19">
        <f t="shared" si="0"/>
        <v>1.5420581532026236E-6</v>
      </c>
      <c r="AP44" s="19">
        <f t="shared" si="0"/>
        <v>7.4349417743011098E-8</v>
      </c>
      <c r="AQ44" s="19">
        <f t="shared" si="0"/>
        <v>6.6004700996105159E-8</v>
      </c>
      <c r="AR44" s="19">
        <f t="shared" si="0"/>
        <v>3.9435215150240042E-8</v>
      </c>
      <c r="AS44" s="19">
        <f t="shared" si="0"/>
        <v>4.9397252042179895E-8</v>
      </c>
      <c r="AT44" s="19">
        <f t="shared" si="0"/>
        <v>9.5611344641679456E-8</v>
      </c>
      <c r="AU44" s="19">
        <f t="shared" si="0"/>
        <v>1.1450138038879612E-7</v>
      </c>
      <c r="AV44" s="19">
        <f t="shared" si="0"/>
        <v>8.7481186119600444E-8</v>
      </c>
      <c r="AW44" s="19">
        <f t="shared" si="0"/>
        <v>6.4473648561489218E-7</v>
      </c>
      <c r="AX44" s="19">
        <f t="shared" si="0"/>
        <v>6.5352999401069279E-8</v>
      </c>
      <c r="AY44" s="19">
        <f t="shared" si="0"/>
        <v>7.6040250763194028E-8</v>
      </c>
      <c r="AZ44" s="19">
        <f t="shared" si="0"/>
        <v>6.8354683627299294E-8</v>
      </c>
      <c r="BA44" s="23">
        <f t="shared" si="0"/>
        <v>1.9387248622622144</v>
      </c>
      <c r="BB44" s="20">
        <f t="shared" si="0"/>
        <v>2.9457720828892562</v>
      </c>
      <c r="BC44" s="20">
        <f t="shared" si="0"/>
        <v>2.4612483488235779</v>
      </c>
      <c r="BD44" s="20">
        <f t="shared" si="0"/>
        <v>2.459947220904974</v>
      </c>
      <c r="BE44" s="20">
        <f t="shared" si="0"/>
        <v>3.4971396765100828</v>
      </c>
      <c r="BF44" s="20">
        <f t="shared" si="0"/>
        <v>3.9675876151624943</v>
      </c>
      <c r="BG44" s="20">
        <f t="shared" si="0"/>
        <v>1.9749420695812023</v>
      </c>
      <c r="BH44" s="20">
        <f t="shared" si="0"/>
        <v>1.8950100969862866</v>
      </c>
      <c r="BI44" s="20">
        <f t="shared" ref="BI44:BI63" si="2">BI43*(1+BI$66)</f>
        <v>1.9155193024891677</v>
      </c>
      <c r="BJ44" s="20">
        <f t="shared" ref="BJ44:BJ63" si="3">BJ43*(1+BJ$66)</f>
        <v>2.2715942739104724</v>
      </c>
      <c r="BK44" s="20">
        <f t="shared" ref="BK44:BK63" si="4">BK43*(1+BK$66)</f>
        <v>2.5958730801447469</v>
      </c>
      <c r="BL44" s="20">
        <f t="shared" ref="BL44:BL63" si="5">BL43*(1+BL$66)</f>
        <v>2.5641954049134204</v>
      </c>
      <c r="BM44" s="20">
        <f t="shared" ref="BM44:BM63" si="6">BM43*(1+BM$66)</f>
        <v>1.4335886198762073</v>
      </c>
      <c r="BN44" s="20">
        <f t="shared" ref="BN44:BN63" si="7">BN43*(1+BN$66)</f>
        <v>5.0365249363621452</v>
      </c>
      <c r="BO44" s="20">
        <f t="shared" ref="BO44:BO63" si="8">BO43*(1+BO$66)</f>
        <v>2.6794139977131604</v>
      </c>
      <c r="BP44" s="20">
        <f t="shared" ref="BP44:BP63" si="9">BP43*(1+BP$66)</f>
        <v>2.586619639550646</v>
      </c>
      <c r="BQ44" s="20">
        <f t="shared" ref="BQ44:BQ63" si="10">BQ43*(1+BQ$66)</f>
        <v>2.562185130349401</v>
      </c>
    </row>
    <row r="45" spans="1:69" x14ac:dyDescent="0.3">
      <c r="A45" s="3">
        <v>2032</v>
      </c>
      <c r="B45" s="6">
        <f>Data!T45</f>
        <v>50866504.31207826</v>
      </c>
      <c r="C45" s="6">
        <f>Data!U45</f>
        <v>1400114933.9939861</v>
      </c>
      <c r="D45" s="6">
        <f>Data!V45</f>
        <v>118880865.27219774</v>
      </c>
      <c r="E45" s="6">
        <f>Data!W45</f>
        <v>140788482.01511863</v>
      </c>
      <c r="F45" s="6">
        <f>Data!X45</f>
        <v>3879864.9989362312</v>
      </c>
      <c r="G45" s="6">
        <f>Data!Y45</f>
        <v>26688578.512929194</v>
      </c>
      <c r="H45" s="6">
        <f>Data!Z45</f>
        <v>394922945.04498297</v>
      </c>
      <c r="I45" s="6">
        <f>Data!AA45</f>
        <v>692664825.57715535</v>
      </c>
      <c r="J45" s="6">
        <f>Data!AB45</f>
        <v>527045540.47158754</v>
      </c>
      <c r="K45" s="6">
        <f>Data!AC45</f>
        <v>112266637.98536183</v>
      </c>
      <c r="L45" s="6">
        <f>Data!AD45</f>
        <v>200036571.27626449</v>
      </c>
      <c r="M45" s="6">
        <f>Data!AE45</f>
        <v>648990332.84619272</v>
      </c>
      <c r="N45" s="6">
        <f>Data!AF45</f>
        <v>1462698183.6557329</v>
      </c>
      <c r="O45" s="6">
        <f>Data!AG45</f>
        <v>26754413.377633166</v>
      </c>
      <c r="P45" s="6">
        <f>Data!AH45</f>
        <v>2070898496.6410706</v>
      </c>
      <c r="Q45" s="6">
        <f>Data!AI45</f>
        <v>616964614.66706491</v>
      </c>
      <c r="R45" s="6">
        <f>Data!AJ45</f>
        <v>34320403.322607055</v>
      </c>
      <c r="S45" s="6">
        <f>Data!AK45/Data!T45</f>
        <v>66672.026973894011</v>
      </c>
      <c r="T45" s="6">
        <f>Data!AL45/Data!U45</f>
        <v>32520.968263069662</v>
      </c>
      <c r="U45" s="6">
        <f>Data!AM45/Data!V45</f>
        <v>52883.704415866225</v>
      </c>
      <c r="V45" s="6">
        <f>Data!AN45/Data!W45</f>
        <v>48675.65267540409</v>
      </c>
      <c r="W45" s="6">
        <f>Data!AO45/Data!X45</f>
        <v>19943.163450956854</v>
      </c>
      <c r="X45" s="6">
        <f>Data!AP45/Data!Y45</f>
        <v>927.58741972113796</v>
      </c>
      <c r="Y45" s="6">
        <f>Data!AQ45/Data!Z45</f>
        <v>83133.52637690671</v>
      </c>
      <c r="Z45" s="6">
        <f>Data!AR45/Data!AA45</f>
        <v>21909.166740163015</v>
      </c>
      <c r="AA45" s="6">
        <f>Data!AS45/Data!AB45</f>
        <v>63186.363081046162</v>
      </c>
      <c r="AB45" s="6">
        <f>Data!AT45/Data!AC45</f>
        <v>51713.493348628726</v>
      </c>
      <c r="AC45" s="6">
        <f>Data!AU45/Data!AD45</f>
        <v>16725.135690942039</v>
      </c>
      <c r="AD45" s="6">
        <f>Data!AV45/Data!AE45</f>
        <v>20224.227170142949</v>
      </c>
      <c r="AE45" s="6">
        <f>Data!AW45/Data!AF45</f>
        <v>5912.0821445429356</v>
      </c>
      <c r="AF45" s="6">
        <f>Data!AX45/Data!AG45</f>
        <v>10407.954181567502</v>
      </c>
      <c r="AG45" s="6">
        <f>Data!AY45/Data!AH45</f>
        <v>13127.745133503393</v>
      </c>
      <c r="AH45" s="6">
        <f>Data!AZ45/Data!AI45</f>
        <v>20500.009345499784</v>
      </c>
      <c r="AI45" s="6">
        <f>Data!BA45/Data!AJ45</f>
        <v>68083.653474463659</v>
      </c>
      <c r="AJ45" s="19">
        <f t="shared" si="1"/>
        <v>8.4646243389199222E-8</v>
      </c>
      <c r="AK45" s="19">
        <f t="shared" ref="AK45:AK63" si="11">AK44*(1+AK$66)</f>
        <v>1.02825184737693E-7</v>
      </c>
      <c r="AL45" s="19">
        <f t="shared" ref="AL45:AL63" si="12">AL44*(1+AL$66)</f>
        <v>5.5477464540828105E-8</v>
      </c>
      <c r="AM45" s="19">
        <f t="shared" ref="AM45:AM63" si="13">AM44*(1+AM$66)</f>
        <v>1.3599756458396567E-7</v>
      </c>
      <c r="AN45" s="19">
        <f t="shared" ref="AN45:AN63" si="14">AN44*(1+AN$66)</f>
        <v>1.400274929476648E-7</v>
      </c>
      <c r="AO45" s="19">
        <f t="shared" ref="AO45:AO63" si="15">AO44*(1+AO$66)</f>
        <v>1.6126854726469452E-6</v>
      </c>
      <c r="AP45" s="19">
        <f t="shared" ref="AP45:AP63" si="16">AP44*(1+AP$66)</f>
        <v>7.2662262444994996E-8</v>
      </c>
      <c r="AQ45" s="19">
        <f t="shared" ref="AQ45:AQ63" si="17">AQ44*(1+AQ$66)</f>
        <v>6.528921545605295E-8</v>
      </c>
      <c r="AR45" s="19">
        <f t="shared" ref="AR45:AR63" si="18">AR44*(1+AR$66)</f>
        <v>3.8409989628403901E-8</v>
      </c>
      <c r="AS45" s="19">
        <f t="shared" ref="AS45:AS63" si="19">AS44*(1+AS$66)</f>
        <v>4.8014613027014696E-8</v>
      </c>
      <c r="AT45" s="19">
        <f t="shared" ref="AT45:AT63" si="20">AT44*(1+AT$66)</f>
        <v>9.4153982597493082E-8</v>
      </c>
      <c r="AU45" s="19">
        <f t="shared" ref="AU45:AU63" si="21">AU44*(1+AU$66)</f>
        <v>1.1422903855110965E-7</v>
      </c>
      <c r="AV45" s="19">
        <f t="shared" ref="AV45:AV63" si="22">AV44*(1+AV$66)</f>
        <v>8.7092683978936186E-8</v>
      </c>
      <c r="AW45" s="19">
        <f t="shared" ref="AW45:AW63" si="23">AW44*(1+AW$66)</f>
        <v>6.4336992340779195E-7</v>
      </c>
      <c r="AX45" s="19">
        <f t="shared" ref="AX45:AX63" si="24">AX44*(1+AX$66)</f>
        <v>6.4052576034021748E-8</v>
      </c>
      <c r="AY45" s="19">
        <f t="shared" ref="AY45:AY63" si="25">AY44*(1+AY$66)</f>
        <v>7.5128725204620574E-8</v>
      </c>
      <c r="AZ45" s="19">
        <f t="shared" ref="AZ45:AZ63" si="26">AZ44*(1+AZ$66)</f>
        <v>6.7002348557287472E-8</v>
      </c>
      <c r="BA45" s="23">
        <f t="shared" ref="BA45:BA63" si="27">BA44*(1+BA$66)</f>
        <v>1.9150344178796321</v>
      </c>
      <c r="BB45" s="20">
        <f t="shared" ref="BB45:BB63" si="28">BB44*(1+BB$66)</f>
        <v>2.9112725144916709</v>
      </c>
      <c r="BC45" s="20">
        <f t="shared" ref="BC45:BC63" si="29">BC44*(1+BC$66)</f>
        <v>2.4387369424944993</v>
      </c>
      <c r="BD45" s="20">
        <f t="shared" ref="BD45:BD63" si="30">BD44*(1+BD$66)</f>
        <v>2.459477190796302</v>
      </c>
      <c r="BE45" s="20">
        <f t="shared" ref="BE45:BE63" si="31">BE44*(1+BE$66)</f>
        <v>3.4864218079757827</v>
      </c>
      <c r="BF45" s="20">
        <f t="shared" ref="BF45:BF63" si="32">BF44*(1+BF$66)</f>
        <v>3.9972421162524987</v>
      </c>
      <c r="BG45" s="20">
        <f t="shared" ref="BG45:BG63" si="33">BG44*(1+BG$66)</f>
        <v>1.9559695871418881</v>
      </c>
      <c r="BH45" s="20">
        <f t="shared" ref="BH45:BH63" si="34">BH44*(1+BH$66)</f>
        <v>1.8802323517144293</v>
      </c>
      <c r="BI45" s="20">
        <f t="shared" si="2"/>
        <v>1.9032691391019609</v>
      </c>
      <c r="BJ45" s="20">
        <f t="shared" si="3"/>
        <v>2.2487632159897291</v>
      </c>
      <c r="BK45" s="20">
        <f t="shared" si="4"/>
        <v>2.5852992656746978</v>
      </c>
      <c r="BL45" s="20">
        <f t="shared" si="5"/>
        <v>2.5541550206136048</v>
      </c>
      <c r="BM45" s="20">
        <f t="shared" si="6"/>
        <v>1.4141864157064907</v>
      </c>
      <c r="BN45" s="20">
        <f t="shared" si="7"/>
        <v>5.2395186114552974</v>
      </c>
      <c r="BO45" s="20">
        <f t="shared" si="8"/>
        <v>2.6810373219866555</v>
      </c>
      <c r="BP45" s="20">
        <f t="shared" si="9"/>
        <v>2.5949431868385742</v>
      </c>
      <c r="BQ45" s="20">
        <f t="shared" si="10"/>
        <v>2.5429830739003951</v>
      </c>
    </row>
    <row r="46" spans="1:69" x14ac:dyDescent="0.3">
      <c r="A46" s="3">
        <v>2033</v>
      </c>
      <c r="B46" s="6">
        <f>Data!T46</f>
        <v>50720499.116284035</v>
      </c>
      <c r="C46" s="6">
        <f>Data!U46</f>
        <v>1396666155.9866889</v>
      </c>
      <c r="D46" s="6">
        <f>Data!V46</f>
        <v>118217108.99014522</v>
      </c>
      <c r="E46" s="6">
        <f>Data!W46</f>
        <v>140427301.19252101</v>
      </c>
      <c r="F46" s="6">
        <f>Data!X46</f>
        <v>3922689.4308145917</v>
      </c>
      <c r="G46" s="6">
        <f>Data!Y46</f>
        <v>26657221.464830905</v>
      </c>
      <c r="H46" s="6">
        <f>Data!Z46</f>
        <v>396548039.65264124</v>
      </c>
      <c r="I46" s="6">
        <f>Data!AA46</f>
        <v>696355611.14427793</v>
      </c>
      <c r="J46" s="6">
        <f>Data!AB46</f>
        <v>527798149.26663226</v>
      </c>
      <c r="K46" s="6">
        <f>Data!AC46</f>
        <v>111710930.47639003</v>
      </c>
      <c r="L46" s="6">
        <f>Data!AD46</f>
        <v>201186364.79369193</v>
      </c>
      <c r="M46" s="6">
        <f>Data!AE46</f>
        <v>657280213.74680269</v>
      </c>
      <c r="N46" s="6">
        <f>Data!AF46</f>
        <v>1495524085.6420922</v>
      </c>
      <c r="O46" s="6">
        <f>Data!AG46</f>
        <v>26887146.352530826</v>
      </c>
      <c r="P46" s="6">
        <f>Data!AH46</f>
        <v>2086918240.4810545</v>
      </c>
      <c r="Q46" s="6">
        <f>Data!AI46</f>
        <v>620560722.8944521</v>
      </c>
      <c r="R46" s="6">
        <f>Data!AJ46</f>
        <v>34535959.268683717</v>
      </c>
      <c r="S46" s="6">
        <f>Data!AK46/Data!T46</f>
        <v>68073.889413769779</v>
      </c>
      <c r="T46" s="6">
        <f>Data!AL46/Data!U46</f>
        <v>33572.321867688261</v>
      </c>
      <c r="U46" s="6">
        <f>Data!AM46/Data!V46</f>
        <v>53836.172686057267</v>
      </c>
      <c r="V46" s="6">
        <f>Data!AN46/Data!W46</f>
        <v>49579.510595083353</v>
      </c>
      <c r="W46" s="6">
        <f>Data!AO46/Data!X46</f>
        <v>20396.887928653512</v>
      </c>
      <c r="X46" s="6">
        <f>Data!AP46/Data!Y46</f>
        <v>976.5618633488134</v>
      </c>
      <c r="Y46" s="6">
        <f>Data!AQ46/Data!Z46</f>
        <v>84200.706994452499</v>
      </c>
      <c r="Z46" s="6">
        <f>Data!AR46/Data!AA46</f>
        <v>22398.166910160173</v>
      </c>
      <c r="AA46" s="6">
        <f>Data!AS46/Data!AB46</f>
        <v>64317.043242250722</v>
      </c>
      <c r="AB46" s="6">
        <f>Data!AT46/Data!AC46</f>
        <v>53137.800341976865</v>
      </c>
      <c r="AC46" s="6">
        <f>Data!AU46/Data!AD46</f>
        <v>17116.201369853829</v>
      </c>
      <c r="AD46" s="6">
        <f>Data!AV46/Data!AE46</f>
        <v>20506.605555389247</v>
      </c>
      <c r="AE46" s="6">
        <f>Data!AW46/Data!AF46</f>
        <v>6053.6340749449319</v>
      </c>
      <c r="AF46" s="6">
        <f>Data!AX46/Data!AG46</f>
        <v>10789.705099451257</v>
      </c>
      <c r="AG46" s="6">
        <f>Data!AY46/Data!AH46</f>
        <v>13681.053432872726</v>
      </c>
      <c r="AH46" s="6">
        <f>Data!AZ46/Data!AI46</f>
        <v>21073.16373267653</v>
      </c>
      <c r="AI46" s="6">
        <f>Data!BA46/Data!AJ46</f>
        <v>69321.996840118532</v>
      </c>
      <c r="AJ46" s="19">
        <f t="shared" si="1"/>
        <v>8.3206503806311463E-8</v>
      </c>
      <c r="AK46" s="19">
        <f t="shared" si="11"/>
        <v>1.0069552355220103E-7</v>
      </c>
      <c r="AL46" s="19">
        <f t="shared" si="12"/>
        <v>5.4392295758114452E-8</v>
      </c>
      <c r="AM46" s="19">
        <f t="shared" si="13"/>
        <v>1.360512001302871E-7</v>
      </c>
      <c r="AN46" s="19">
        <f t="shared" si="14"/>
        <v>1.406964931126679E-7</v>
      </c>
      <c r="AO46" s="19">
        <f t="shared" si="15"/>
        <v>1.686547571688606E-6</v>
      </c>
      <c r="AP46" s="19">
        <f t="shared" si="16"/>
        <v>7.1013392490509932E-8</v>
      </c>
      <c r="AQ46" s="19">
        <f t="shared" si="17"/>
        <v>6.4581485720516149E-8</v>
      </c>
      <c r="AR46" s="19">
        <f t="shared" si="18"/>
        <v>3.7411417628467412E-8</v>
      </c>
      <c r="AS46" s="19">
        <f t="shared" si="19"/>
        <v>4.6670674355840788E-8</v>
      </c>
      <c r="AT46" s="19">
        <f t="shared" si="20"/>
        <v>9.2718834487602845E-8</v>
      </c>
      <c r="AU46" s="19">
        <f t="shared" si="21"/>
        <v>1.1395734447920822E-7</v>
      </c>
      <c r="AV46" s="19">
        <f t="shared" si="22"/>
        <v>8.6705907168254243E-8</v>
      </c>
      <c r="AW46" s="19">
        <f t="shared" si="23"/>
        <v>6.4200625772090973E-7</v>
      </c>
      <c r="AX46" s="19">
        <f t="shared" si="24"/>
        <v>6.2778029075846977E-8</v>
      </c>
      <c r="AY46" s="19">
        <f t="shared" si="25"/>
        <v>7.4228126475398593E-8</v>
      </c>
      <c r="AZ46" s="19">
        <f t="shared" si="26"/>
        <v>6.5676768203185911E-8</v>
      </c>
      <c r="BA46" s="23">
        <f t="shared" si="27"/>
        <v>1.891633461276347</v>
      </c>
      <c r="BB46" s="20">
        <f t="shared" si="28"/>
        <v>2.8771769896473982</v>
      </c>
      <c r="BC46" s="20">
        <f t="shared" si="29"/>
        <v>2.4164314330693863</v>
      </c>
      <c r="BD46" s="20">
        <f t="shared" si="30"/>
        <v>2.4590072504978102</v>
      </c>
      <c r="BE46" s="20">
        <f t="shared" si="31"/>
        <v>3.475736787058834</v>
      </c>
      <c r="BF46" s="20">
        <f t="shared" si="32"/>
        <v>4.0271182606986669</v>
      </c>
      <c r="BG46" s="20">
        <f t="shared" si="33"/>
        <v>1.9371793657903567</v>
      </c>
      <c r="BH46" s="20">
        <f t="shared" si="34"/>
        <v>1.8655698468603761</v>
      </c>
      <c r="BI46" s="20">
        <f t="shared" si="2"/>
        <v>1.8910973181792849</v>
      </c>
      <c r="BJ46" s="20">
        <f t="shared" si="3"/>
        <v>2.2261616256335799</v>
      </c>
      <c r="BK46" s="20">
        <f t="shared" si="4"/>
        <v>2.5747685217050145</v>
      </c>
      <c r="BL46" s="20">
        <f t="shared" si="5"/>
        <v>2.5441539505238899</v>
      </c>
      <c r="BM46" s="20">
        <f t="shared" si="6"/>
        <v>1.3950468011816863</v>
      </c>
      <c r="BN46" s="20">
        <f t="shared" si="7"/>
        <v>5.4506938070707305</v>
      </c>
      <c r="BO46" s="20">
        <f t="shared" si="8"/>
        <v>2.682661629751951</v>
      </c>
      <c r="BP46" s="20">
        <f t="shared" si="9"/>
        <v>2.6032935186751058</v>
      </c>
      <c r="BQ46" s="20">
        <f t="shared" si="10"/>
        <v>2.5239249254647107</v>
      </c>
    </row>
    <row r="47" spans="1:69" x14ac:dyDescent="0.3">
      <c r="A47" s="3">
        <v>2034</v>
      </c>
      <c r="B47" s="6">
        <f>Data!T47</f>
        <v>50574493.92048981</v>
      </c>
      <c r="C47" s="6">
        <f>Data!U47</f>
        <v>1393217377.9793916</v>
      </c>
      <c r="D47" s="6">
        <f>Data!V47</f>
        <v>117552345.49066924</v>
      </c>
      <c r="E47" s="6">
        <f>Data!W47</f>
        <v>140065133.53707477</v>
      </c>
      <c r="F47" s="6">
        <f>Data!X47</f>
        <v>3965513.8626929522</v>
      </c>
      <c r="G47" s="6">
        <f>Data!Y47</f>
        <v>26625864.416732613</v>
      </c>
      <c r="H47" s="6">
        <f>Data!Z47</f>
        <v>398172136.04493856</v>
      </c>
      <c r="I47" s="6">
        <f>Data!AA47</f>
        <v>700046396.71140051</v>
      </c>
      <c r="J47" s="6">
        <f>Data!AB47</f>
        <v>528551773.72806704</v>
      </c>
      <c r="K47" s="6">
        <f>Data!AC47</f>
        <v>111156203.05120833</v>
      </c>
      <c r="L47" s="6">
        <f>Data!AD47</f>
        <v>202336158.31111941</v>
      </c>
      <c r="M47" s="6">
        <f>Data!AE47</f>
        <v>665571172.37503886</v>
      </c>
      <c r="N47" s="6">
        <f>Data!AF47</f>
        <v>1528339638.9834366</v>
      </c>
      <c r="O47" s="6">
        <f>Data!AG47</f>
        <v>27019879.327428486</v>
      </c>
      <c r="P47" s="6">
        <f>Data!AH47</f>
        <v>2102927864.4575896</v>
      </c>
      <c r="Q47" s="6">
        <f>Data!AI47</f>
        <v>624155866.24171388</v>
      </c>
      <c r="R47" s="6">
        <f>Data!AJ47</f>
        <v>34751515.214760371</v>
      </c>
      <c r="S47" s="6">
        <f>Data!AK47/Data!T47</f>
        <v>69192.158612664032</v>
      </c>
      <c r="T47" s="6">
        <f>Data!AL47/Data!U47</f>
        <v>34544.581184216644</v>
      </c>
      <c r="U47" s="6">
        <f>Data!AM47/Data!V47</f>
        <v>54713.511102150747</v>
      </c>
      <c r="V47" s="6">
        <f>Data!AN47/Data!W47</f>
        <v>50779.644541531605</v>
      </c>
      <c r="W47" s="6">
        <f>Data!AO47/Data!X47</f>
        <v>20806.383154037288</v>
      </c>
      <c r="X47" s="6">
        <f>Data!AP47/Data!Y47</f>
        <v>1027.0257044360344</v>
      </c>
      <c r="Y47" s="6">
        <f>Data!AQ47/Data!Z47</f>
        <v>85217.913526970835</v>
      </c>
      <c r="Z47" s="6">
        <f>Data!AR47/Data!AA47</f>
        <v>22944.263327549372</v>
      </c>
      <c r="AA47" s="6">
        <f>Data!AS47/Data!AB47</f>
        <v>65379.985380467857</v>
      </c>
      <c r="AB47" s="6">
        <f>Data!AT47/Data!AC47</f>
        <v>54429.044121701867</v>
      </c>
      <c r="AC47" s="6">
        <f>Data!AU47/Data!AD47</f>
        <v>17599.300683475227</v>
      </c>
      <c r="AD47" s="6">
        <f>Data!AV47/Data!AE47</f>
        <v>21051.940156179058</v>
      </c>
      <c r="AE47" s="6">
        <f>Data!AW47/Data!AF47</f>
        <v>6233.5012195801301</v>
      </c>
      <c r="AF47" s="6">
        <f>Data!AX47/Data!AG47</f>
        <v>11175.298975111886</v>
      </c>
      <c r="AG47" s="6">
        <f>Data!AY47/Data!AH47</f>
        <v>14178.527348442965</v>
      </c>
      <c r="AH47" s="6">
        <f>Data!AZ47/Data!AI47</f>
        <v>21594.478606787132</v>
      </c>
      <c r="AI47" s="6">
        <f>Data!BA47/Data!AJ47</f>
        <v>70524.476387767805</v>
      </c>
      <c r="AJ47" s="19">
        <f t="shared" si="1"/>
        <v>8.179125261160891E-8</v>
      </c>
      <c r="AK47" s="19">
        <f t="shared" si="11"/>
        <v>9.8609970789918433E-8</v>
      </c>
      <c r="AL47" s="19">
        <f t="shared" si="12"/>
        <v>5.3328353455318778E-8</v>
      </c>
      <c r="AM47" s="19">
        <f t="shared" si="13"/>
        <v>1.3610485682972136E-7</v>
      </c>
      <c r="AN47" s="19">
        <f t="shared" si="14"/>
        <v>1.4136868951586216E-7</v>
      </c>
      <c r="AO47" s="19">
        <f t="shared" si="15"/>
        <v>1.7637926054483961E-6</v>
      </c>
      <c r="AP47" s="19">
        <f t="shared" si="16"/>
        <v>6.9401939099111688E-8</v>
      </c>
      <c r="AQ47" s="19">
        <f t="shared" si="17"/>
        <v>6.3881427717210525E-8</v>
      </c>
      <c r="AR47" s="19">
        <f t="shared" si="18"/>
        <v>3.6438806219739197E-8</v>
      </c>
      <c r="AS47" s="19">
        <f t="shared" si="19"/>
        <v>4.5364352798249787E-8</v>
      </c>
      <c r="AT47" s="19">
        <f t="shared" si="20"/>
        <v>9.1305561714692526E-8</v>
      </c>
      <c r="AU47" s="19">
        <f t="shared" si="21"/>
        <v>1.1368629663237919E-7</v>
      </c>
      <c r="AV47" s="19">
        <f t="shared" si="22"/>
        <v>8.6320848025399805E-8</v>
      </c>
      <c r="AW47" s="19">
        <f t="shared" si="23"/>
        <v>6.4064548241487672E-7</v>
      </c>
      <c r="AX47" s="19">
        <f t="shared" si="24"/>
        <v>6.1528843626126286E-8</v>
      </c>
      <c r="AY47" s="19">
        <f t="shared" si="25"/>
        <v>7.3338323591159579E-8</v>
      </c>
      <c r="AZ47" s="19">
        <f t="shared" si="26"/>
        <v>6.4377413247343001E-8</v>
      </c>
      <c r="BA47" s="23">
        <f t="shared" si="27"/>
        <v>1.8685184550271841</v>
      </c>
      <c r="BB47" s="20">
        <f t="shared" si="28"/>
        <v>2.8434807763786032</v>
      </c>
      <c r="BC47" s="20">
        <f t="shared" si="29"/>
        <v>2.3943299373458102</v>
      </c>
      <c r="BD47" s="20">
        <f t="shared" si="30"/>
        <v>2.4585373999923381</v>
      </c>
      <c r="BE47" s="20">
        <f t="shared" si="31"/>
        <v>3.4650845130894101</v>
      </c>
      <c r="BF47" s="20">
        <f t="shared" si="32"/>
        <v>4.0572177051054101</v>
      </c>
      <c r="BG47" s="20">
        <f t="shared" si="33"/>
        <v>1.9185696546168773</v>
      </c>
      <c r="BH47" s="20">
        <f t="shared" si="34"/>
        <v>1.851021683751586</v>
      </c>
      <c r="BI47" s="20">
        <f t="shared" si="2"/>
        <v>1.8790033387040059</v>
      </c>
      <c r="BJ47" s="20">
        <f t="shared" si="3"/>
        <v>2.2037871965378937</v>
      </c>
      <c r="BK47" s="20">
        <f t="shared" si="4"/>
        <v>2.5642806727958862</v>
      </c>
      <c r="BL47" s="20">
        <f t="shared" si="5"/>
        <v>2.5341920407052361</v>
      </c>
      <c r="BM47" s="20">
        <f t="shared" si="6"/>
        <v>1.3761662224106479</v>
      </c>
      <c r="BN47" s="20">
        <f t="shared" si="7"/>
        <v>5.6703802737685329</v>
      </c>
      <c r="BO47" s="20">
        <f t="shared" si="8"/>
        <v>2.6842869216048961</v>
      </c>
      <c r="BP47" s="20">
        <f t="shared" si="9"/>
        <v>2.6116707212509023</v>
      </c>
      <c r="BQ47" s="20">
        <f t="shared" si="10"/>
        <v>2.5050096065372225</v>
      </c>
    </row>
    <row r="48" spans="1:69" x14ac:dyDescent="0.3">
      <c r="A48" s="3">
        <v>2035</v>
      </c>
      <c r="B48" s="6">
        <f>Data!T48</f>
        <v>50428488.724695578</v>
      </c>
      <c r="C48" s="6">
        <f>Data!U48</f>
        <v>1389778481.8575022</v>
      </c>
      <c r="D48" s="6">
        <f>Data!V48</f>
        <v>116888589.20861672</v>
      </c>
      <c r="E48" s="6">
        <f>Data!W48</f>
        <v>139703952.71447718</v>
      </c>
      <c r="F48" s="6">
        <f>Data!X48</f>
        <v>4008338.2945713126</v>
      </c>
      <c r="G48" s="6">
        <f>Data!Y48</f>
        <v>26594507.368634325</v>
      </c>
      <c r="H48" s="6">
        <f>Data!Z48</f>
        <v>399797230.65259683</v>
      </c>
      <c r="I48" s="6">
        <f>Data!AA48</f>
        <v>703737182.27852309</v>
      </c>
      <c r="J48" s="6">
        <f>Data!AB48</f>
        <v>529304382.52311176</v>
      </c>
      <c r="K48" s="6">
        <f>Data!AC48</f>
        <v>110601475.62602662</v>
      </c>
      <c r="L48" s="6">
        <f>Data!AD48</f>
        <v>203485951.82854685</v>
      </c>
      <c r="M48" s="6">
        <f>Data!AE48</f>
        <v>673861053.27564883</v>
      </c>
      <c r="N48" s="6">
        <f>Data!AF48</f>
        <v>1561155192.3247812</v>
      </c>
      <c r="O48" s="6">
        <f>Data!AG48</f>
        <v>27152612.30232615</v>
      </c>
      <c r="P48" s="6">
        <f>Data!AH48</f>
        <v>2118947608.2975736</v>
      </c>
      <c r="Q48" s="6">
        <f>Data!AI48</f>
        <v>627751009.58897567</v>
      </c>
      <c r="R48" s="6">
        <f>Data!AJ48</f>
        <v>34967071.160837024</v>
      </c>
      <c r="S48" s="6">
        <f>Data!AK48/Data!T48</f>
        <v>70488.260857938192</v>
      </c>
      <c r="T48" s="6">
        <f>Data!AL48/Data!U48</f>
        <v>35520.358643232081</v>
      </c>
      <c r="U48" s="6">
        <f>Data!AM48/Data!V48</f>
        <v>55649.083925830186</v>
      </c>
      <c r="V48" s="6">
        <f>Data!AN48/Data!W48</f>
        <v>51706.788297200117</v>
      </c>
      <c r="W48" s="6">
        <f>Data!AO48/Data!X48</f>
        <v>21245.015205086405</v>
      </c>
      <c r="X48" s="6">
        <f>Data!AP48/Data!Y48</f>
        <v>1080.8234969309899</v>
      </c>
      <c r="Y48" s="6">
        <f>Data!AQ48/Data!Z48</f>
        <v>86250.244980546573</v>
      </c>
      <c r="Z48" s="6">
        <f>Data!AR48/Data!AA48</f>
        <v>23461.96866037666</v>
      </c>
      <c r="AA48" s="6">
        <f>Data!AS48/Data!AB48</f>
        <v>66519.107706274808</v>
      </c>
      <c r="AB48" s="6">
        <f>Data!AT48/Data!AC48</f>
        <v>55816.979034056792</v>
      </c>
      <c r="AC48" s="6">
        <f>Data!AU48/Data!AD48</f>
        <v>17981.80150390137</v>
      </c>
      <c r="AD48" s="6">
        <f>Data!AV48/Data!AE48</f>
        <v>21345.919493010279</v>
      </c>
      <c r="AE48" s="6">
        <f>Data!AW48/Data!AF48</f>
        <v>6382.5163229120972</v>
      </c>
      <c r="AF48" s="6">
        <f>Data!AX48/Data!AG48</f>
        <v>11533.825140218451</v>
      </c>
      <c r="AG48" s="6">
        <f>Data!AY48/Data!AH48</f>
        <v>14737.037168304925</v>
      </c>
      <c r="AH48" s="6">
        <f>Data!AZ48/Data!AI48</f>
        <v>22141.501135140908</v>
      </c>
      <c r="AI48" s="6">
        <f>Data!BA48/Data!AJ48</f>
        <v>71761.395626147976</v>
      </c>
      <c r="AJ48" s="19">
        <f t="shared" si="1"/>
        <v>8.0400073284518637E-8</v>
      </c>
      <c r="AK48" s="19">
        <f t="shared" si="11"/>
        <v>9.6567612900365295E-8</v>
      </c>
      <c r="AL48" s="19">
        <f t="shared" si="12"/>
        <v>5.2285222431177568E-8</v>
      </c>
      <c r="AM48" s="19">
        <f t="shared" si="13"/>
        <v>1.3615853469061095E-7</v>
      </c>
      <c r="AN48" s="19">
        <f t="shared" si="14"/>
        <v>1.4204409742770508E-7</v>
      </c>
      <c r="AO48" s="19">
        <f t="shared" si="15"/>
        <v>1.8445755146530969E-6</v>
      </c>
      <c r="AP48" s="19">
        <f t="shared" si="16"/>
        <v>6.7827053204935819E-8</v>
      </c>
      <c r="AQ48" s="19">
        <f t="shared" si="17"/>
        <v>6.3188958285188533E-8</v>
      </c>
      <c r="AR48" s="19">
        <f t="shared" si="18"/>
        <v>3.5491480486143176E-8</v>
      </c>
      <c r="AS48" s="19">
        <f t="shared" si="19"/>
        <v>4.4094595443670212E-8</v>
      </c>
      <c r="AT48" s="19">
        <f t="shared" si="20"/>
        <v>8.9913830842537187E-8</v>
      </c>
      <c r="AU48" s="19">
        <f t="shared" si="21"/>
        <v>1.1341589347357448E-7</v>
      </c>
      <c r="AV48" s="19">
        <f t="shared" si="22"/>
        <v>8.5937498922245519E-8</v>
      </c>
      <c r="AW48" s="19">
        <f t="shared" si="23"/>
        <v>6.3928759136333695E-7</v>
      </c>
      <c r="AX48" s="19">
        <f t="shared" si="24"/>
        <v>6.0304515030161054E-8</v>
      </c>
      <c r="AY48" s="19">
        <f t="shared" si="25"/>
        <v>7.2459187137698153E-8</v>
      </c>
      <c r="AZ48" s="19">
        <f t="shared" si="26"/>
        <v>6.310376484417409E-8</v>
      </c>
      <c r="BA48" s="23">
        <f t="shared" si="27"/>
        <v>1.8456859049328929</v>
      </c>
      <c r="BB48" s="20">
        <f t="shared" si="28"/>
        <v>2.810179198126264</v>
      </c>
      <c r="BC48" s="20">
        <f t="shared" si="29"/>
        <v>2.3724305893457469</v>
      </c>
      <c r="BD48" s="20">
        <f t="shared" si="30"/>
        <v>2.4580676392627288</v>
      </c>
      <c r="BE48" s="20">
        <f t="shared" si="31"/>
        <v>3.454464885706213</v>
      </c>
      <c r="BF48" s="20">
        <f t="shared" si="32"/>
        <v>4.0875421184589147</v>
      </c>
      <c r="BG48" s="20">
        <f t="shared" si="33"/>
        <v>1.9001387195320123</v>
      </c>
      <c r="BH48" s="20">
        <f t="shared" si="34"/>
        <v>1.8365869707235829</v>
      </c>
      <c r="BI48" s="20">
        <f t="shared" si="2"/>
        <v>1.8669867028631038</v>
      </c>
      <c r="BJ48" s="20">
        <f t="shared" si="3"/>
        <v>2.181637645578455</v>
      </c>
      <c r="BK48" s="20">
        <f t="shared" si="4"/>
        <v>2.5538355442221254</v>
      </c>
      <c r="BL48" s="20">
        <f t="shared" si="5"/>
        <v>2.5242691378213689</v>
      </c>
      <c r="BM48" s="20">
        <f t="shared" si="6"/>
        <v>1.3575411736006311</v>
      </c>
      <c r="BN48" s="20">
        <f t="shared" si="7"/>
        <v>5.8989210524784239</v>
      </c>
      <c r="BO48" s="20">
        <f t="shared" si="8"/>
        <v>2.6859131981417006</v>
      </c>
      <c r="BP48" s="20">
        <f t="shared" si="9"/>
        <v>2.6200748810339793</v>
      </c>
      <c r="BQ48" s="20">
        <f t="shared" si="10"/>
        <v>2.4862360466955611</v>
      </c>
    </row>
    <row r="49" spans="1:69" x14ac:dyDescent="0.3">
      <c r="A49" s="3">
        <v>2036</v>
      </c>
      <c r="B49" s="6">
        <f>Data!T49</f>
        <v>50222275.20073878</v>
      </c>
      <c r="C49" s="6">
        <f>Data!U49</f>
        <v>1385193287.0283163</v>
      </c>
      <c r="D49" s="6">
        <f>Data!V49</f>
        <v>116206703.01294211</v>
      </c>
      <c r="E49" s="6">
        <f>Data!W49</f>
        <v>139431586.84825602</v>
      </c>
      <c r="F49" s="6">
        <f>Data!X49</f>
        <v>4051325.7506966526</v>
      </c>
      <c r="G49" s="6">
        <f>Data!Y49</f>
        <v>26534213.108946938</v>
      </c>
      <c r="H49" s="6">
        <f>Data!Z49</f>
        <v>401322503.72415817</v>
      </c>
      <c r="I49" s="6">
        <f>Data!AA49</f>
        <v>706618429.87800503</v>
      </c>
      <c r="J49" s="6">
        <f>Data!AB49</f>
        <v>530037693.65674508</v>
      </c>
      <c r="K49" s="6">
        <f>Data!AC49</f>
        <v>110056549.03874564</v>
      </c>
      <c r="L49" s="6">
        <f>Data!AD49</f>
        <v>204475979.04856411</v>
      </c>
      <c r="M49" s="6">
        <f>Data!AE49</f>
        <v>681773729.50709426</v>
      </c>
      <c r="N49" s="6">
        <f>Data!AF49</f>
        <v>1594912472.3624558</v>
      </c>
      <c r="O49" s="6">
        <f>Data!AG49</f>
        <v>27251084.98849443</v>
      </c>
      <c r="P49" s="6">
        <f>Data!AH49</f>
        <v>2132315947.9138837</v>
      </c>
      <c r="Q49" s="6">
        <f>Data!AI49</f>
        <v>630509601.86751056</v>
      </c>
      <c r="R49" s="6">
        <f>Data!AJ49</f>
        <v>35170153.520364046</v>
      </c>
      <c r="S49" s="6">
        <f>Data!AK49/Data!T49</f>
        <v>71619.557797674017</v>
      </c>
      <c r="T49" s="6">
        <f>Data!AL49/Data!U49</f>
        <v>36431.448322517987</v>
      </c>
      <c r="U49" s="6">
        <f>Data!AM49/Data!V49</f>
        <v>56505.944476983517</v>
      </c>
      <c r="V49" s="6">
        <f>Data!AN49/Data!W49</f>
        <v>52840.075433425198</v>
      </c>
      <c r="W49" s="6">
        <f>Data!AO49/Data!X49</f>
        <v>21634.034466760841</v>
      </c>
      <c r="X49" s="6">
        <f>Data!AP49/Data!Y49</f>
        <v>1137.7569142651207</v>
      </c>
      <c r="Y49" s="6">
        <f>Data!AQ49/Data!Z49</f>
        <v>87259.317366736723</v>
      </c>
      <c r="Z49" s="6">
        <f>Data!AR49/Data!AA49</f>
        <v>24057.549178203586</v>
      </c>
      <c r="AA49" s="6">
        <f>Data!AS49/Data!AB49</f>
        <v>67603.085552680481</v>
      </c>
      <c r="AB49" s="6">
        <f>Data!AT49/Data!AC49</f>
        <v>57082.523622594272</v>
      </c>
      <c r="AC49" s="6">
        <f>Data!AU49/Data!AD49</f>
        <v>18454.60221185959</v>
      </c>
      <c r="AD49" s="6">
        <f>Data!AV49/Data!AE49</f>
        <v>21890.939558700513</v>
      </c>
      <c r="AE49" s="6">
        <f>Data!AW49/Data!AF49</f>
        <v>6558.9351767887938</v>
      </c>
      <c r="AF49" s="6">
        <f>Data!AX49/Data!AG49</f>
        <v>11903.622053318491</v>
      </c>
      <c r="AG49" s="6">
        <f>Data!AY49/Data!AH49</f>
        <v>15262.29271101212</v>
      </c>
      <c r="AH49" s="6">
        <f>Data!AZ49/Data!AI49</f>
        <v>22666.96577599278</v>
      </c>
      <c r="AI49" s="6">
        <f>Data!BA49/Data!AJ49</f>
        <v>72990.599370787604</v>
      </c>
      <c r="AJ49" s="19">
        <f t="shared" si="1"/>
        <v>7.9032556389024982E-8</v>
      </c>
      <c r="AK49" s="19">
        <f t="shared" si="11"/>
        <v>9.4567555254039148E-8</v>
      </c>
      <c r="AL49" s="19">
        <f t="shared" si="12"/>
        <v>5.1262495605985372E-8</v>
      </c>
      <c r="AM49" s="19">
        <f t="shared" si="13"/>
        <v>1.3621223372130165E-7</v>
      </c>
      <c r="AN49" s="19">
        <f t="shared" si="14"/>
        <v>1.4272273219161082E-7</v>
      </c>
      <c r="AO49" s="19">
        <f t="shared" si="15"/>
        <v>1.9290583364208826E-6</v>
      </c>
      <c r="AP49" s="19">
        <f t="shared" si="16"/>
        <v>6.6287905009329622E-8</v>
      </c>
      <c r="AQ49" s="19">
        <f t="shared" si="17"/>
        <v>6.2503995164960431E-8</v>
      </c>
      <c r="AR49" s="19">
        <f t="shared" si="18"/>
        <v>3.4568783057879704E-8</v>
      </c>
      <c r="AS49" s="19">
        <f t="shared" si="19"/>
        <v>4.2860378852709136E-8</v>
      </c>
      <c r="AT49" s="19">
        <f t="shared" si="20"/>
        <v>8.8543313517334913E-8</v>
      </c>
      <c r="AU49" s="19">
        <f t="shared" si="21"/>
        <v>1.1314613346940192E-7</v>
      </c>
      <c r="AV49" s="19">
        <f t="shared" si="22"/>
        <v>8.5555852264540401E-8</v>
      </c>
      <c r="AW49" s="19">
        <f t="shared" si="23"/>
        <v>6.3793257845291961E-7</v>
      </c>
      <c r="AX49" s="19">
        <f t="shared" si="24"/>
        <v>5.9104548675098739E-8</v>
      </c>
      <c r="AY49" s="19">
        <f t="shared" si="25"/>
        <v>7.1590589252149916E-8</v>
      </c>
      <c r="AZ49" s="19">
        <f t="shared" si="26"/>
        <v>6.1855314412981191E-8</v>
      </c>
      <c r="BA49" s="23">
        <f t="shared" si="27"/>
        <v>1.8231323594919437</v>
      </c>
      <c r="BB49" s="20">
        <f t="shared" si="28"/>
        <v>2.7772676331011321</v>
      </c>
      <c r="BC49" s="20">
        <f t="shared" si="29"/>
        <v>2.3507315401580349</v>
      </c>
      <c r="BD49" s="20">
        <f t="shared" si="30"/>
        <v>2.4575979682918283</v>
      </c>
      <c r="BE49" s="20">
        <f t="shared" si="31"/>
        <v>3.4438778048555267</v>
      </c>
      <c r="BF49" s="20">
        <f t="shared" si="32"/>
        <v>4.1180931822196865</v>
      </c>
      <c r="BG49" s="20">
        <f t="shared" si="33"/>
        <v>1.8818848431050308</v>
      </c>
      <c r="BH49" s="20">
        <f t="shared" si="34"/>
        <v>1.8222648230653049</v>
      </c>
      <c r="BI49" s="20">
        <f t="shared" si="2"/>
        <v>1.8550469160271814</v>
      </c>
      <c r="BJ49" s="20">
        <f t="shared" si="3"/>
        <v>2.1597107125779895</v>
      </c>
      <c r="BK49" s="20">
        <f t="shared" si="4"/>
        <v>2.5434329619702551</v>
      </c>
      <c r="BL49" s="20">
        <f t="shared" si="5"/>
        <v>2.5143850891364181</v>
      </c>
      <c r="BM49" s="20">
        <f t="shared" si="6"/>
        <v>1.3391681964063293</v>
      </c>
      <c r="BN49" s="20">
        <f t="shared" si="7"/>
        <v>6.1366730101589644</v>
      </c>
      <c r="BO49" s="20">
        <f t="shared" si="8"/>
        <v>2.6875404599589361</v>
      </c>
      <c r="BP49" s="20">
        <f t="shared" si="9"/>
        <v>2.628506084770601</v>
      </c>
      <c r="BQ49" s="20">
        <f t="shared" si="10"/>
        <v>2.4676031835395364</v>
      </c>
    </row>
    <row r="50" spans="1:69" x14ac:dyDescent="0.3">
      <c r="A50" s="3">
        <v>2037</v>
      </c>
      <c r="B50" s="6">
        <f>Data!T50</f>
        <v>50016061.67678199</v>
      </c>
      <c r="C50" s="6">
        <f>Data!U50</f>
        <v>1380608092.1991303</v>
      </c>
      <c r="D50" s="6">
        <f>Data!V50</f>
        <v>115524816.81726751</v>
      </c>
      <c r="E50" s="6">
        <f>Data!W50</f>
        <v>139160207.8148835</v>
      </c>
      <c r="F50" s="6">
        <f>Data!X50</f>
        <v>4094313.2068219925</v>
      </c>
      <c r="G50" s="6">
        <f>Data!Y50</f>
        <v>26473918.849259552</v>
      </c>
      <c r="H50" s="6">
        <f>Data!Z50</f>
        <v>402847776.79571944</v>
      </c>
      <c r="I50" s="6">
        <f>Data!AA50</f>
        <v>709500718.01472044</v>
      </c>
      <c r="J50" s="6">
        <f>Data!AB50</f>
        <v>530769989.12398839</v>
      </c>
      <c r="K50" s="6">
        <f>Data!AC50</f>
        <v>109512602.53525473</v>
      </c>
      <c r="L50" s="6">
        <f>Data!AD50</f>
        <v>205467315.8283962</v>
      </c>
      <c r="M50" s="6">
        <f>Data!AE50</f>
        <v>689685328.01091349</v>
      </c>
      <c r="N50" s="6">
        <f>Data!AF50</f>
        <v>1628680101.045145</v>
      </c>
      <c r="O50" s="6">
        <f>Data!AG50</f>
        <v>27349762.826092225</v>
      </c>
      <c r="P50" s="6">
        <f>Data!AH50</f>
        <v>2145684287.5301938</v>
      </c>
      <c r="Q50" s="6">
        <f>Data!AI50</f>
        <v>633269159.02617097</v>
      </c>
      <c r="R50" s="6">
        <f>Data!AJ50</f>
        <v>35373132.79239893</v>
      </c>
      <c r="S50" s="6">
        <f>Data!AK50/Data!T50</f>
        <v>72915.059802125543</v>
      </c>
      <c r="T50" s="6">
        <f>Data!AL50/Data!U50</f>
        <v>37347.660723825269</v>
      </c>
      <c r="U50" s="6">
        <f>Data!AM50/Data!V50</f>
        <v>57414.970166702369</v>
      </c>
      <c r="V50" s="6">
        <f>Data!AN50/Data!W50</f>
        <v>53759.557638265673</v>
      </c>
      <c r="W50" s="6">
        <f>Data!AO50/Data!X50</f>
        <v>22053.848471151952</v>
      </c>
      <c r="X50" s="6">
        <f>Data!AP50/Data!Y50</f>
        <v>1199.1565331852255</v>
      </c>
      <c r="Y50" s="6">
        <f>Data!AQ50/Data!Z50</f>
        <v>88273.260151207724</v>
      </c>
      <c r="Z50" s="6">
        <f>Data!AR50/Data!AA50</f>
        <v>24640.549234355753</v>
      </c>
      <c r="AA50" s="6">
        <f>Data!AS50/Data!AB50</f>
        <v>68753.493995952958</v>
      </c>
      <c r="AB50" s="6">
        <f>Data!AT50/Data!AC50</f>
        <v>58439.736900609249</v>
      </c>
      <c r="AC50" s="6">
        <f>Data!AU50/Data!AD50</f>
        <v>18847.457614019757</v>
      </c>
      <c r="AD50" s="6">
        <f>Data!AV50/Data!AE50</f>
        <v>22222.960897461584</v>
      </c>
      <c r="AE50" s="6">
        <f>Data!AW50/Data!AF50</f>
        <v>6713.6872834982369</v>
      </c>
      <c r="AF50" s="6">
        <f>Data!AX50/Data!AG50</f>
        <v>12253.304884164634</v>
      </c>
      <c r="AG50" s="6">
        <f>Data!AY50/Data!AH50</f>
        <v>15844.26993741847</v>
      </c>
      <c r="AH50" s="6">
        <f>Data!AZ50/Data!AI50</f>
        <v>23215.84038755154</v>
      </c>
      <c r="AI50" s="6">
        <f>Data!BA50/Data!AJ50</f>
        <v>74247.390201103699</v>
      </c>
      <c r="AJ50" s="19">
        <f t="shared" si="1"/>
        <v>7.7688299453168953E-8</v>
      </c>
      <c r="AK50" s="19">
        <f t="shared" si="11"/>
        <v>9.2608921750533591E-8</v>
      </c>
      <c r="AL50" s="19">
        <f t="shared" si="12"/>
        <v>5.0259773862732814E-8</v>
      </c>
      <c r="AM50" s="19">
        <f t="shared" si="13"/>
        <v>1.3626595393014255E-7</v>
      </c>
      <c r="AN50" s="19">
        <f t="shared" si="14"/>
        <v>1.4340460922429874E-7</v>
      </c>
      <c r="AO50" s="19">
        <f t="shared" si="15"/>
        <v>2.0174105292809057E-6</v>
      </c>
      <c r="AP50" s="19">
        <f t="shared" si="16"/>
        <v>6.4783683543635746E-8</v>
      </c>
      <c r="AQ50" s="19">
        <f t="shared" si="17"/>
        <v>6.1826456988722634E-8</v>
      </c>
      <c r="AR50" s="19">
        <f t="shared" si="18"/>
        <v>3.3670073655262454E-8</v>
      </c>
      <c r="AS50" s="19">
        <f t="shared" si="19"/>
        <v>4.1660708232247995E-8</v>
      </c>
      <c r="AT50" s="19">
        <f t="shared" si="20"/>
        <v>8.7193686390237627E-8</v>
      </c>
      <c r="AU50" s="19">
        <f t="shared" si="21"/>
        <v>1.1287701509011651E-7</v>
      </c>
      <c r="AV50" s="19">
        <f t="shared" si="22"/>
        <v>8.5175900491759379E-8</v>
      </c>
      <c r="AW50" s="19">
        <f t="shared" si="23"/>
        <v>6.3658043758321167E-7</v>
      </c>
      <c r="AX50" s="19">
        <f t="shared" si="24"/>
        <v>5.7928459790115766E-8</v>
      </c>
      <c r="AY50" s="19">
        <f t="shared" si="25"/>
        <v>7.0732403604394861E-8</v>
      </c>
      <c r="AZ50" s="19">
        <f t="shared" si="26"/>
        <v>6.0631563434871559E-8</v>
      </c>
      <c r="BA50" s="23">
        <f t="shared" si="27"/>
        <v>1.8008544093787791</v>
      </c>
      <c r="BB50" s="20">
        <f t="shared" si="28"/>
        <v>2.7447415136422921</v>
      </c>
      <c r="BC50" s="20">
        <f t="shared" si="29"/>
        <v>2.3292309577822774</v>
      </c>
      <c r="BD50" s="20">
        <f t="shared" si="30"/>
        <v>2.4571283870624865</v>
      </c>
      <c r="BE50" s="20">
        <f t="shared" si="31"/>
        <v>3.4333231707902754</v>
      </c>
      <c r="BF50" s="20">
        <f t="shared" si="32"/>
        <v>4.1488725904157855</v>
      </c>
      <c r="BG50" s="20">
        <f t="shared" si="33"/>
        <v>1.8638063244038756</v>
      </c>
      <c r="BH50" s="20">
        <f t="shared" si="34"/>
        <v>1.8080543629648804</v>
      </c>
      <c r="BI50" s="20">
        <f t="shared" si="2"/>
        <v>1.8431834867301042</v>
      </c>
      <c r="BJ50" s="20">
        <f t="shared" si="3"/>
        <v>2.1380041600755324</v>
      </c>
      <c r="BK50" s="20">
        <f t="shared" si="4"/>
        <v>2.5330727527356105</v>
      </c>
      <c r="BL50" s="20">
        <f t="shared" si="5"/>
        <v>2.5045397425125682</v>
      </c>
      <c r="BM50" s="20">
        <f t="shared" si="6"/>
        <v>1.3210438792877195</v>
      </c>
      <c r="BN50" s="20">
        <f t="shared" si="7"/>
        <v>6.3840073970461448</v>
      </c>
      <c r="BO50" s="20">
        <f t="shared" si="8"/>
        <v>2.6891687076535349</v>
      </c>
      <c r="BP50" s="20">
        <f t="shared" si="9"/>
        <v>2.6369644194861741</v>
      </c>
      <c r="BQ50" s="20">
        <f t="shared" si="10"/>
        <v>2.449109962631018</v>
      </c>
    </row>
    <row r="51" spans="1:69" x14ac:dyDescent="0.3">
      <c r="A51" s="3">
        <v>2038</v>
      </c>
      <c r="B51" s="6">
        <f>Data!T51</f>
        <v>49809848.152825192</v>
      </c>
      <c r="C51" s="6">
        <f>Data!U51</f>
        <v>1376032779.2553523</v>
      </c>
      <c r="D51" s="6">
        <f>Data!V51</f>
        <v>114842930.62159289</v>
      </c>
      <c r="E51" s="6">
        <f>Data!W51</f>
        <v>138887841.94866237</v>
      </c>
      <c r="F51" s="6">
        <f>Data!X51</f>
        <v>4137290.4739318951</v>
      </c>
      <c r="G51" s="6">
        <f>Data!Y51</f>
        <v>26413624.589572161</v>
      </c>
      <c r="H51" s="6">
        <f>Data!Z51</f>
        <v>404373049.86728078</v>
      </c>
      <c r="I51" s="6">
        <f>Data!AA51</f>
        <v>712383006.15143585</v>
      </c>
      <c r="J51" s="6">
        <f>Data!AB51</f>
        <v>531503300.25762171</v>
      </c>
      <c r="K51" s="6">
        <f>Data!AC51</f>
        <v>108967675.94797376</v>
      </c>
      <c r="L51" s="6">
        <f>Data!AD51</f>
        <v>206457343.04841346</v>
      </c>
      <c r="M51" s="6">
        <f>Data!AE51</f>
        <v>697596926.51473272</v>
      </c>
      <c r="N51" s="6">
        <f>Data!AF51</f>
        <v>1662437381.0828197</v>
      </c>
      <c r="O51" s="6">
        <f>Data!AG51</f>
        <v>27448235.512260504</v>
      </c>
      <c r="P51" s="6">
        <f>Data!AH51</f>
        <v>2159052627.1465039</v>
      </c>
      <c r="Q51" s="6">
        <f>Data!AI51</f>
        <v>636027751.30470598</v>
      </c>
      <c r="R51" s="6">
        <f>Data!AJ51</f>
        <v>35576215.151925959</v>
      </c>
      <c r="S51" s="6">
        <f>Data!AK51/Data!T51</f>
        <v>74005.670431987048</v>
      </c>
      <c r="T51" s="6">
        <f>Data!AL51/Data!U51</f>
        <v>38203.925928413781</v>
      </c>
      <c r="U51" s="6">
        <f>Data!AM51/Data!V51</f>
        <v>58268.875404142731</v>
      </c>
      <c r="V51" s="6">
        <f>Data!AN51/Data!W51</f>
        <v>54901.070671003246</v>
      </c>
      <c r="W51" s="6">
        <f>Data!AO51/Data!X51</f>
        <v>22445.052685285507</v>
      </c>
      <c r="X51" s="6">
        <f>Data!AP51/Data!Y51</f>
        <v>1262.753391954446</v>
      </c>
      <c r="Y51" s="6">
        <f>Data!AQ51/Data!Z51</f>
        <v>89247.995164986642</v>
      </c>
      <c r="Z51" s="6">
        <f>Data!AR51/Data!AA51</f>
        <v>25272.330211702843</v>
      </c>
      <c r="AA51" s="6">
        <f>Data!AS51/Data!AB51</f>
        <v>69854.12202913902</v>
      </c>
      <c r="AB51" s="6">
        <f>Data!AT51/Data!AC51</f>
        <v>59690.176804141011</v>
      </c>
      <c r="AC51" s="6">
        <f>Data!AU51/Data!AD51</f>
        <v>19308.740433541327</v>
      </c>
      <c r="AD51" s="6">
        <f>Data!AV51/Data!AE51</f>
        <v>22762.882448321794</v>
      </c>
      <c r="AE51" s="6">
        <f>Data!AW51/Data!AF51</f>
        <v>6900.2036913478223</v>
      </c>
      <c r="AF51" s="6">
        <f>Data!AX51/Data!AG51</f>
        <v>12603.753505888235</v>
      </c>
      <c r="AG51" s="6">
        <f>Data!AY51/Data!AH51</f>
        <v>16380.700121083268</v>
      </c>
      <c r="AH51" s="6">
        <f>Data!AZ51/Data!AI51</f>
        <v>23723.957920754325</v>
      </c>
      <c r="AI51" s="6">
        <f>Data!BA51/Data!AJ51</f>
        <v>75485.436479231721</v>
      </c>
      <c r="AJ51" s="19">
        <f t="shared" si="1"/>
        <v>7.6366906850597329E-8</v>
      </c>
      <c r="AK51" s="19">
        <f t="shared" si="11"/>
        <v>9.0690854434773384E-8</v>
      </c>
      <c r="AL51" s="19">
        <f t="shared" si="12"/>
        <v>4.9276665891351988E-8</v>
      </c>
      <c r="AM51" s="19">
        <f t="shared" si="13"/>
        <v>1.3631969532548601E-7</v>
      </c>
      <c r="AN51" s="19">
        <f t="shared" si="14"/>
        <v>1.4408974401614364E-7</v>
      </c>
      <c r="AO51" s="19">
        <f t="shared" si="15"/>
        <v>2.1098093130790018E-6</v>
      </c>
      <c r="AP51" s="19">
        <f t="shared" si="16"/>
        <v>6.331359624189736E-8</v>
      </c>
      <c r="AQ51" s="19">
        <f t="shared" si="17"/>
        <v>6.1156263270691834E-8</v>
      </c>
      <c r="AR51" s="19">
        <f t="shared" si="18"/>
        <v>3.2794728644414516E-8</v>
      </c>
      <c r="AS51" s="19">
        <f t="shared" si="19"/>
        <v>4.0494616633627598E-8</v>
      </c>
      <c r="AT51" s="19">
        <f t="shared" si="20"/>
        <v>8.58646310410628E-8</v>
      </c>
      <c r="AU51" s="19">
        <f t="shared" si="21"/>
        <v>1.1260853680961176E-7</v>
      </c>
      <c r="AV51" s="19">
        <f t="shared" si="22"/>
        <v>8.4797636076953505E-8</v>
      </c>
      <c r="AW51" s="19">
        <f t="shared" si="23"/>
        <v>6.3523116266673027E-7</v>
      </c>
      <c r="AX51" s="19">
        <f t="shared" si="24"/>
        <v>5.6775773250576356E-8</v>
      </c>
      <c r="AY51" s="19">
        <f t="shared" si="25"/>
        <v>6.9884505378683772E-8</v>
      </c>
      <c r="AZ51" s="19">
        <f t="shared" si="26"/>
        <v>5.9432023253694027E-8</v>
      </c>
      <c r="BA51" s="23">
        <f t="shared" si="27"/>
        <v>1.778848686928439</v>
      </c>
      <c r="BB51" s="20">
        <f t="shared" si="28"/>
        <v>2.7125963255832355</v>
      </c>
      <c r="BC51" s="20">
        <f t="shared" si="29"/>
        <v>2.3079270269741703</v>
      </c>
      <c r="BD51" s="20">
        <f t="shared" si="30"/>
        <v>2.4566588955575561</v>
      </c>
      <c r="BE51" s="20">
        <f t="shared" si="31"/>
        <v>3.4228008840690829</v>
      </c>
      <c r="BF51" s="20">
        <f t="shared" si="32"/>
        <v>4.1798820497367579</v>
      </c>
      <c r="BG51" s="20">
        <f t="shared" si="33"/>
        <v>1.8459014788366666</v>
      </c>
      <c r="BH51" s="20">
        <f t="shared" si="34"/>
        <v>1.7939547194558261</v>
      </c>
      <c r="BI51" s="20">
        <f t="shared" si="2"/>
        <v>1.8313959266487707</v>
      </c>
      <c r="BJ51" s="20">
        <f t="shared" si="3"/>
        <v>2.1165157730981146</v>
      </c>
      <c r="BK51" s="20">
        <f t="shared" si="4"/>
        <v>2.5227547439194518</v>
      </c>
      <c r="BL51" s="20">
        <f t="shared" si="5"/>
        <v>2.4947329464077148</v>
      </c>
      <c r="BM51" s="20">
        <f t="shared" si="6"/>
        <v>1.3031648568765986</v>
      </c>
      <c r="BN51" s="20">
        <f t="shared" si="7"/>
        <v>6.6413104263614917</v>
      </c>
      <c r="BO51" s="20">
        <f t="shared" si="8"/>
        <v>2.6907979418227912</v>
      </c>
      <c r="BP51" s="20">
        <f t="shared" si="9"/>
        <v>2.6454499724861464</v>
      </c>
      <c r="BQ51" s="20">
        <f t="shared" si="10"/>
        <v>2.4307553374342623</v>
      </c>
    </row>
    <row r="52" spans="1:69" x14ac:dyDescent="0.3">
      <c r="A52" s="3">
        <v>2039</v>
      </c>
      <c r="B52" s="6">
        <f>Data!T52</f>
        <v>49603634.628868394</v>
      </c>
      <c r="C52" s="6">
        <f>Data!U52</f>
        <v>1371447584.4261663</v>
      </c>
      <c r="D52" s="6">
        <f>Data!V52</f>
        <v>114161044.4259183</v>
      </c>
      <c r="E52" s="6">
        <f>Data!W52</f>
        <v>138616462.91528985</v>
      </c>
      <c r="F52" s="6">
        <f>Data!X52</f>
        <v>4180277.9300572355</v>
      </c>
      <c r="G52" s="6">
        <f>Data!Y52</f>
        <v>26353431.156405993</v>
      </c>
      <c r="H52" s="6">
        <f>Data!Z52</f>
        <v>405897324.72348112</v>
      </c>
      <c r="I52" s="6">
        <f>Data!AA52</f>
        <v>715264253.75091779</v>
      </c>
      <c r="J52" s="6">
        <f>Data!AB52</f>
        <v>532235595.72486502</v>
      </c>
      <c r="K52" s="6">
        <f>Data!AC52</f>
        <v>108423729.44448285</v>
      </c>
      <c r="L52" s="6">
        <f>Data!AD52</f>
        <v>207448679.82824555</v>
      </c>
      <c r="M52" s="6">
        <f>Data!AE52</f>
        <v>705509602.74617815</v>
      </c>
      <c r="N52" s="6">
        <f>Data!AF52</f>
        <v>1696194661.1204941</v>
      </c>
      <c r="O52" s="6">
        <f>Data!AG52</f>
        <v>27546913.349858306</v>
      </c>
      <c r="P52" s="6">
        <f>Data!AH52</f>
        <v>2172420966.762814</v>
      </c>
      <c r="Q52" s="6">
        <f>Data!AI52</f>
        <v>638786343.58324099</v>
      </c>
      <c r="R52" s="6">
        <f>Data!AJ52</f>
        <v>35779297.511452988</v>
      </c>
      <c r="S52" s="6">
        <f>Data!AK52/Data!T52</f>
        <v>75229.471453532053</v>
      </c>
      <c r="T52" s="6">
        <f>Data!AL52/Data!U52</f>
        <v>39088.897751532102</v>
      </c>
      <c r="U52" s="6">
        <f>Data!AM52/Data!V52</f>
        <v>59186.028583614207</v>
      </c>
      <c r="V52" s="6">
        <f>Data!AN52/Data!W52</f>
        <v>55860.421033737366</v>
      </c>
      <c r="W52" s="6">
        <f>Data!AO52/Data!X52</f>
        <v>22867.978909034791</v>
      </c>
      <c r="X52" s="6">
        <f>Data!AP52/Data!Y52</f>
        <v>1330.1988432741882</v>
      </c>
      <c r="Y52" s="6">
        <f>Data!AQ52/Data!Z52</f>
        <v>90232.006981265949</v>
      </c>
      <c r="Z52" s="6">
        <f>Data!AR52/Data!AA52</f>
        <v>25890.804041075804</v>
      </c>
      <c r="AA52" s="6">
        <f>Data!AS52/Data!AB52</f>
        <v>71009.095113088595</v>
      </c>
      <c r="AB52" s="6">
        <f>Data!AT52/Data!AC52</f>
        <v>61004.193140118383</v>
      </c>
      <c r="AC52" s="6">
        <f>Data!AU52/Data!AD52</f>
        <v>19700.851444213971</v>
      </c>
      <c r="AD52" s="6">
        <f>Data!AV52/Data!AE52</f>
        <v>23117.131241632149</v>
      </c>
      <c r="AE52" s="6">
        <f>Data!AW52/Data!AF52</f>
        <v>7068.8350842667642</v>
      </c>
      <c r="AF52" s="6">
        <f>Data!AX52/Data!AG52</f>
        <v>12938.035219978006</v>
      </c>
      <c r="AG52" s="6">
        <f>Data!AY52/Data!AH52</f>
        <v>16968.188215997194</v>
      </c>
      <c r="AH52" s="6">
        <f>Data!AZ52/Data!AI52</f>
        <v>24252.004847937566</v>
      </c>
      <c r="AI52" s="6">
        <f>Data!BA52/Data!AJ52</f>
        <v>76753.41447754814</v>
      </c>
      <c r="AJ52" s="19">
        <f t="shared" si="1"/>
        <v>7.5067989684126403E-8</v>
      </c>
      <c r="AK52" s="19">
        <f t="shared" si="11"/>
        <v>8.8812513121197917E-8</v>
      </c>
      <c r="AL52" s="19">
        <f t="shared" si="12"/>
        <v>4.8312788036008531E-8</v>
      </c>
      <c r="AM52" s="19">
        <f t="shared" si="13"/>
        <v>1.3637345791568768E-7</v>
      </c>
      <c r="AN52" s="19">
        <f t="shared" si="14"/>
        <v>1.447781521315277E-7</v>
      </c>
      <c r="AO52" s="19">
        <f t="shared" si="15"/>
        <v>2.206440024451309E-6</v>
      </c>
      <c r="AP52" s="19">
        <f t="shared" si="16"/>
        <v>6.1876868523259503E-8</v>
      </c>
      <c r="AQ52" s="19">
        <f t="shared" si="17"/>
        <v>6.0493334397544026E-8</v>
      </c>
      <c r="AR52" s="19">
        <f t="shared" si="18"/>
        <v>3.1942140604515365E-8</v>
      </c>
      <c r="AS52" s="19">
        <f t="shared" si="19"/>
        <v>3.9361164173276111E-8</v>
      </c>
      <c r="AT52" s="19">
        <f t="shared" si="20"/>
        <v>8.4555833903167908E-8</v>
      </c>
      <c r="AU52" s="19">
        <f t="shared" si="21"/>
        <v>1.12340697105411E-7</v>
      </c>
      <c r="AV52" s="19">
        <f t="shared" si="22"/>
        <v>8.4421051526600871E-8</v>
      </c>
      <c r="AW52" s="19">
        <f t="shared" si="23"/>
        <v>6.3388474762889541E-7</v>
      </c>
      <c r="AX52" s="19">
        <f t="shared" si="24"/>
        <v>5.5646023386088369E-8</v>
      </c>
      <c r="AY52" s="19">
        <f t="shared" si="25"/>
        <v>6.9046771255484803E-8</v>
      </c>
      <c r="AZ52" s="19">
        <f t="shared" si="26"/>
        <v>5.8256214880913707E-8</v>
      </c>
      <c r="BA52" s="23">
        <f t="shared" si="27"/>
        <v>1.7571118656274864</v>
      </c>
      <c r="BB52" s="20">
        <f t="shared" si="28"/>
        <v>2.6808276076253583</v>
      </c>
      <c r="BC52" s="20">
        <f t="shared" si="29"/>
        <v>2.2868179490922445</v>
      </c>
      <c r="BD52" s="20">
        <f t="shared" si="30"/>
        <v>2.4561894937598931</v>
      </c>
      <c r="BE52" s="20">
        <f t="shared" si="31"/>
        <v>3.412310845555337</v>
      </c>
      <c r="BF52" s="20">
        <f t="shared" si="32"/>
        <v>4.2111232796282705</v>
      </c>
      <c r="BG52" s="20">
        <f t="shared" si="33"/>
        <v>1.8281686379947275</v>
      </c>
      <c r="BH52" s="20">
        <f t="shared" si="34"/>
        <v>1.779965028363665</v>
      </c>
      <c r="BI52" s="20">
        <f t="shared" si="2"/>
        <v>1.8196837505830121</v>
      </c>
      <c r="BJ52" s="20">
        <f t="shared" si="3"/>
        <v>2.0952433589347415</v>
      </c>
      <c r="BK52" s="20">
        <f t="shared" si="4"/>
        <v>2.5124787636260884</v>
      </c>
      <c r="BL52" s="20">
        <f t="shared" si="5"/>
        <v>2.4849645498731339</v>
      </c>
      <c r="BM52" s="20">
        <f t="shared" si="6"/>
        <v>1.2855278093516938</v>
      </c>
      <c r="BN52" s="20">
        <f t="shared" si="7"/>
        <v>6.9089838773849159</v>
      </c>
      <c r="BO52" s="20">
        <f t="shared" si="8"/>
        <v>2.6924281630643612</v>
      </c>
      <c r="BP52" s="20">
        <f t="shared" si="9"/>
        <v>2.6539628313569086</v>
      </c>
      <c r="BQ52" s="20">
        <f t="shared" si="10"/>
        <v>2.4125382692566908</v>
      </c>
    </row>
    <row r="53" spans="1:69" x14ac:dyDescent="0.3">
      <c r="A53" s="3">
        <v>2040</v>
      </c>
      <c r="B53" s="6">
        <f>Data!T53</f>
        <v>49397421.104911596</v>
      </c>
      <c r="C53" s="6">
        <f>Data!U53</f>
        <v>1366862389.5969806</v>
      </c>
      <c r="D53" s="6">
        <f>Data!V53</f>
        <v>113479158.23024368</v>
      </c>
      <c r="E53" s="6">
        <f>Data!W53</f>
        <v>138344097.04906869</v>
      </c>
      <c r="F53" s="6">
        <f>Data!X53</f>
        <v>4223265.3861825746</v>
      </c>
      <c r="G53" s="6">
        <f>Data!Y53</f>
        <v>26293136.896718606</v>
      </c>
      <c r="H53" s="6">
        <f>Data!Z53</f>
        <v>407422597.79504246</v>
      </c>
      <c r="I53" s="6">
        <f>Data!AA53</f>
        <v>718146541.8876332</v>
      </c>
      <c r="J53" s="6">
        <f>Data!AB53</f>
        <v>532968906.85849845</v>
      </c>
      <c r="K53" s="6">
        <f>Data!AC53</f>
        <v>107878802.85720187</v>
      </c>
      <c r="L53" s="6">
        <f>Data!AD53</f>
        <v>208438707.0482628</v>
      </c>
      <c r="M53" s="6">
        <f>Data!AE53</f>
        <v>713421201.24999738</v>
      </c>
      <c r="N53" s="6">
        <f>Data!AF53</f>
        <v>1729951941.1581688</v>
      </c>
      <c r="O53" s="6">
        <f>Data!AG53</f>
        <v>27645386.036026586</v>
      </c>
      <c r="P53" s="6">
        <f>Data!AH53</f>
        <v>2185789306.3791242</v>
      </c>
      <c r="Q53" s="6">
        <f>Data!AI53</f>
        <v>641545900.7419014</v>
      </c>
      <c r="R53" s="6">
        <f>Data!AJ53</f>
        <v>35982379.870980009</v>
      </c>
      <c r="S53" s="6">
        <f>Data!AK53/Data!T53</f>
        <v>76279.184358823608</v>
      </c>
      <c r="T53" s="6">
        <f>Data!AL53/Data!U53</f>
        <v>39949.780176575718</v>
      </c>
      <c r="U53" s="6">
        <f>Data!AM53/Data!V53</f>
        <v>60077.730842199409</v>
      </c>
      <c r="V53" s="6">
        <f>Data!AN53/Data!W53</f>
        <v>57004.621103709935</v>
      </c>
      <c r="W53" s="6">
        <f>Data!AO53/Data!X53</f>
        <v>23272.787128297805</v>
      </c>
      <c r="X53" s="6">
        <f>Data!AP53/Data!Y53</f>
        <v>1399.3614257474753</v>
      </c>
      <c r="Y53" s="6">
        <f>Data!AQ53/Data!Z53</f>
        <v>91188.954573411771</v>
      </c>
      <c r="Z53" s="6">
        <f>Data!AR53/Data!AA53</f>
        <v>26547.828088719463</v>
      </c>
      <c r="AA53" s="6">
        <f>Data!AS53/Data!AB53</f>
        <v>72120.845187957239</v>
      </c>
      <c r="AB53" s="6">
        <f>Data!AT53/Data!AC53</f>
        <v>62210.384817050079</v>
      </c>
      <c r="AC53" s="6">
        <f>Data!AU53/Data!AD53</f>
        <v>20147.832757050277</v>
      </c>
      <c r="AD53" s="6">
        <f>Data!AV53/Data!AE53</f>
        <v>23645.324382952782</v>
      </c>
      <c r="AE53" s="6">
        <f>Data!AW53/Data!AF53</f>
        <v>7265.5153040292798</v>
      </c>
      <c r="AF53" s="6">
        <f>Data!AX53/Data!AG53</f>
        <v>13273.037877609009</v>
      </c>
      <c r="AG53" s="6">
        <f>Data!AY53/Data!AH53</f>
        <v>17515.831883651077</v>
      </c>
      <c r="AH53" s="6">
        <f>Data!AZ53/Data!AI53</f>
        <v>24746.274890106375</v>
      </c>
      <c r="AI53" s="6">
        <f>Data!BA53/Data!AJ53</f>
        <v>78015.649920307464</v>
      </c>
      <c r="AJ53" s="19">
        <f t="shared" si="1"/>
        <v>7.3791165671286189E-8</v>
      </c>
      <c r="AK53" s="19">
        <f t="shared" si="11"/>
        <v>8.6973075025728323E-8</v>
      </c>
      <c r="AL53" s="19">
        <f t="shared" si="12"/>
        <v>4.7367764145380747E-8</v>
      </c>
      <c r="AM53" s="19">
        <f t="shared" si="13"/>
        <v>1.3642724170910653E-7</v>
      </c>
      <c r="AN53" s="19">
        <f t="shared" si="14"/>
        <v>1.4546984920919398E-7</v>
      </c>
      <c r="AO53" s="19">
        <f t="shared" si="15"/>
        <v>2.3074964885788216E-6</v>
      </c>
      <c r="AP53" s="19">
        <f t="shared" si="16"/>
        <v>6.047274338384674E-8</v>
      </c>
      <c r="AQ53" s="19">
        <f t="shared" si="17"/>
        <v>5.9837591618957092E-8</v>
      </c>
      <c r="AR53" s="19">
        <f t="shared" si="18"/>
        <v>3.1111717906298433E-8</v>
      </c>
      <c r="AS53" s="19">
        <f t="shared" si="19"/>
        <v>3.8259437275151826E-8</v>
      </c>
      <c r="AT53" s="19">
        <f t="shared" si="20"/>
        <v>8.3266986189470076E-8</v>
      </c>
      <c r="AU53" s="19">
        <f t="shared" si="21"/>
        <v>1.120734944586588E-7</v>
      </c>
      <c r="AV53" s="19">
        <f t="shared" si="22"/>
        <v>8.4046139380458134E-8</v>
      </c>
      <c r="AW53" s="19">
        <f t="shared" si="23"/>
        <v>6.3254118640800252E-7</v>
      </c>
      <c r="AX53" s="19">
        <f t="shared" si="24"/>
        <v>5.4538753792378511E-8</v>
      </c>
      <c r="AY53" s="19">
        <f t="shared" si="25"/>
        <v>6.8219079393547739E-8</v>
      </c>
      <c r="AZ53" s="19">
        <f t="shared" si="26"/>
        <v>5.7103668804346973E-8</v>
      </c>
      <c r="BA53" s="23">
        <f t="shared" si="27"/>
        <v>1.7356406596111511</v>
      </c>
      <c r="BB53" s="20">
        <f t="shared" si="28"/>
        <v>2.649430950718795</v>
      </c>
      <c r="BC53" s="20">
        <f t="shared" si="29"/>
        <v>2.2659019419460127</v>
      </c>
      <c r="BD53" s="20">
        <f t="shared" si="30"/>
        <v>2.4557201816523566</v>
      </c>
      <c r="BE53" s="20">
        <f t="shared" si="31"/>
        <v>3.4018529564162545</v>
      </c>
      <c r="BF53" s="20">
        <f t="shared" si="32"/>
        <v>4.242598012387452</v>
      </c>
      <c r="BG53" s="20">
        <f t="shared" si="33"/>
        <v>1.8106061494971204</v>
      </c>
      <c r="BH53" s="20">
        <f t="shared" si="34"/>
        <v>1.766084432252961</v>
      </c>
      <c r="BI53" s="20">
        <f t="shared" si="2"/>
        <v>1.8080464764356203</v>
      </c>
      <c r="BJ53" s="20">
        <f t="shared" si="3"/>
        <v>2.0741847469126471</v>
      </c>
      <c r="BK53" s="20">
        <f t="shared" si="4"/>
        <v>2.5022446406600154</v>
      </c>
      <c r="BL53" s="20">
        <f t="shared" si="5"/>
        <v>2.4752344025511568</v>
      </c>
      <c r="BM53" s="20">
        <f t="shared" si="6"/>
        <v>1.2681294618222303</v>
      </c>
      <c r="BN53" s="20">
        <f t="shared" si="7"/>
        <v>7.1874457228339939</v>
      </c>
      <c r="BO53" s="20">
        <f t="shared" si="8"/>
        <v>2.6940593719762629</v>
      </c>
      <c r="BP53" s="20">
        <f t="shared" si="9"/>
        <v>2.6625030839666972</v>
      </c>
      <c r="BQ53" s="20">
        <f t="shared" si="10"/>
        <v>2.3944577271901086</v>
      </c>
    </row>
    <row r="54" spans="1:69" x14ac:dyDescent="0.3">
      <c r="A54" s="3">
        <v>2041</v>
      </c>
      <c r="B54" s="6">
        <f>Data!T54</f>
        <v>49135615.224618025</v>
      </c>
      <c r="C54" s="6">
        <f>Data!U54</f>
        <v>1360854203.2690816</v>
      </c>
      <c r="D54" s="6">
        <f>Data!V54</f>
        <v>112793243.16487528</v>
      </c>
      <c r="E54" s="6">
        <f>Data!W54</f>
        <v>138175348.63195342</v>
      </c>
      <c r="F54" s="6">
        <f>Data!X54</f>
        <v>4266344.5434468398</v>
      </c>
      <c r="G54" s="6">
        <f>Data!Y54</f>
        <v>26211366.588012137</v>
      </c>
      <c r="H54" s="6">
        <f>Data!Z54</f>
        <v>408827086.80792648</v>
      </c>
      <c r="I54" s="6">
        <f>Data!AA54</f>
        <v>720204724.53543949</v>
      </c>
      <c r="J54" s="6">
        <f>Data!AB54</f>
        <v>533658544.33735859</v>
      </c>
      <c r="K54" s="6">
        <f>Data!AC54</f>
        <v>107361318.61604297</v>
      </c>
      <c r="L54" s="6">
        <f>Data!AD54</f>
        <v>209291230.48772213</v>
      </c>
      <c r="M54" s="6">
        <f>Data!AE54</f>
        <v>720812257.31036973</v>
      </c>
      <c r="N54" s="6">
        <f>Data!AF54</f>
        <v>1764061075.1263404</v>
      </c>
      <c r="O54" s="6">
        <f>Data!AG54</f>
        <v>27711649.94776066</v>
      </c>
      <c r="P54" s="6">
        <f>Data!AH54</f>
        <v>2196273484.9124303</v>
      </c>
      <c r="Q54" s="6">
        <f>Data!AI54</f>
        <v>643515221.07785451</v>
      </c>
      <c r="R54" s="6">
        <f>Data!AJ54</f>
        <v>36181544.905805506</v>
      </c>
      <c r="S54" s="6">
        <f>Data!AK54/Data!T54</f>
        <v>77525.693710982639</v>
      </c>
      <c r="T54" s="6">
        <f>Data!AL54/Data!U54</f>
        <v>40892.528597772289</v>
      </c>
      <c r="U54" s="6">
        <f>Data!AM54/Data!V54</f>
        <v>61031.737349253563</v>
      </c>
      <c r="V54" s="6">
        <f>Data!AN54/Data!W54</f>
        <v>57957.826247438337</v>
      </c>
      <c r="W54" s="6">
        <f>Data!AO54/Data!X54</f>
        <v>23703.411996846527</v>
      </c>
      <c r="X54" s="6">
        <f>Data!AP54/Data!Y54</f>
        <v>1473.6543799029846</v>
      </c>
      <c r="Y54" s="6">
        <f>Data!AQ54/Data!Z54</f>
        <v>92181.199306917173</v>
      </c>
      <c r="Z54" s="6">
        <f>Data!AR54/Data!AA54</f>
        <v>27227.818127980467</v>
      </c>
      <c r="AA54" s="6">
        <f>Data!AS54/Data!AB54</f>
        <v>73285.679657986533</v>
      </c>
      <c r="AB54" s="6">
        <f>Data!AT54/Data!AC54</f>
        <v>63441.954714301988</v>
      </c>
      <c r="AC54" s="6">
        <f>Data!AU54/Data!AD54</f>
        <v>20549.740320617104</v>
      </c>
      <c r="AD54" s="6">
        <f>Data!AV54/Data!AE54</f>
        <v>24037.066817726645</v>
      </c>
      <c r="AE54" s="6">
        <f>Data!AW54/Data!AF54</f>
        <v>7448.0993274158391</v>
      </c>
      <c r="AF54" s="6">
        <f>Data!AX54/Data!AG54</f>
        <v>13611.809267690571</v>
      </c>
      <c r="AG54" s="6">
        <f>Data!AY54/Data!AH54</f>
        <v>18131.91168377869</v>
      </c>
      <c r="AH54" s="6">
        <f>Data!AZ54/Data!AI54</f>
        <v>25287.554306568607</v>
      </c>
      <c r="AI54" s="6">
        <f>Data!BA54/Data!AJ54</f>
        <v>79320.204555399192</v>
      </c>
      <c r="AJ54" s="19">
        <f t="shared" si="1"/>
        <v>7.2536059031811445E-8</v>
      </c>
      <c r="AK54" s="19">
        <f t="shared" si="11"/>
        <v>8.5171734405357164E-8</v>
      </c>
      <c r="AL54" s="19">
        <f t="shared" si="12"/>
        <v>4.6441225425867322E-8</v>
      </c>
      <c r="AM54" s="19">
        <f t="shared" si="13"/>
        <v>1.3648104671410481E-7</v>
      </c>
      <c r="AN54" s="19">
        <f t="shared" si="14"/>
        <v>1.4616485096260178E-7</v>
      </c>
      <c r="AO54" s="19">
        <f t="shared" si="15"/>
        <v>2.4131814079685593E-6</v>
      </c>
      <c r="AP54" s="19">
        <f t="shared" si="16"/>
        <v>5.9100480997902023E-8</v>
      </c>
      <c r="AQ54" s="19">
        <f t="shared" si="17"/>
        <v>5.9188957038255943E-8</v>
      </c>
      <c r="AR54" s="19">
        <f t="shared" si="18"/>
        <v>3.030288430150677E-8</v>
      </c>
      <c r="AS54" s="19">
        <f t="shared" si="19"/>
        <v>3.7188547934390103E-8</v>
      </c>
      <c r="AT54" s="19">
        <f t="shared" si="20"/>
        <v>8.1997783819593299E-8</v>
      </c>
      <c r="AU54" s="19">
        <f t="shared" si="21"/>
        <v>1.1180692735411234E-7</v>
      </c>
      <c r="AV54" s="19">
        <f t="shared" si="22"/>
        <v>8.367289221141273E-8</v>
      </c>
      <c r="AW54" s="19">
        <f t="shared" si="23"/>
        <v>6.3120047295519535E-7</v>
      </c>
      <c r="AX54" s="19">
        <f t="shared" si="24"/>
        <v>5.3453517146910928E-8</v>
      </c>
      <c r="AY54" s="19">
        <f t="shared" si="25"/>
        <v>6.7401309412183231E-8</v>
      </c>
      <c r="AZ54" s="19">
        <f t="shared" si="26"/>
        <v>5.5973924800680523E-8</v>
      </c>
      <c r="BA54" s="23">
        <f t="shared" si="27"/>
        <v>1.7144318231666196</v>
      </c>
      <c r="BB54" s="20">
        <f t="shared" si="28"/>
        <v>2.6184019974505057</v>
      </c>
      <c r="BC54" s="20">
        <f t="shared" si="29"/>
        <v>2.2451772396455008</v>
      </c>
      <c r="BD54" s="20">
        <f t="shared" si="30"/>
        <v>2.4552509592178096</v>
      </c>
      <c r="BE54" s="20">
        <f t="shared" si="31"/>
        <v>3.3914271181219502</v>
      </c>
      <c r="BF54" s="20">
        <f t="shared" si="32"/>
        <v>4.2743079932589501</v>
      </c>
      <c r="BG54" s="20">
        <f t="shared" si="33"/>
        <v>1.7932123768366732</v>
      </c>
      <c r="BH54" s="20">
        <f t="shared" si="34"/>
        <v>1.7523120803747663</v>
      </c>
      <c r="BI54" s="20">
        <f t="shared" si="2"/>
        <v>1.7964836251925043</v>
      </c>
      <c r="BJ54" s="20">
        <f t="shared" si="3"/>
        <v>2.053337788175793</v>
      </c>
      <c r="BK54" s="20">
        <f t="shared" si="4"/>
        <v>2.4920522045230613</v>
      </c>
      <c r="BL54" s="20">
        <f t="shared" si="5"/>
        <v>2.4655423546728565</v>
      </c>
      <c r="BM54" s="20">
        <f t="shared" si="6"/>
        <v>1.2509665837198412</v>
      </c>
      <c r="BN54" s="20">
        <f t="shared" si="7"/>
        <v>7.477130781529338</v>
      </c>
      <c r="BO54" s="20">
        <f t="shared" si="8"/>
        <v>2.6956915691568772</v>
      </c>
      <c r="BP54" s="20">
        <f t="shared" si="9"/>
        <v>2.671070818466502</v>
      </c>
      <c r="BQ54" s="20">
        <f t="shared" si="10"/>
        <v>2.3765126880523657</v>
      </c>
    </row>
    <row r="55" spans="1:69" x14ac:dyDescent="0.3">
      <c r="A55" s="3">
        <v>2042</v>
      </c>
      <c r="B55" s="6">
        <f>Data!T55</f>
        <v>48873708.997110851</v>
      </c>
      <c r="C55" s="6">
        <f>Data!U55</f>
        <v>1354836135.0557752</v>
      </c>
      <c r="D55" s="6">
        <f>Data!V55</f>
        <v>112108335.31693034</v>
      </c>
      <c r="E55" s="6">
        <f>Data!W55</f>
        <v>138005613.38198951</v>
      </c>
      <c r="F55" s="6">
        <f>Data!X55</f>
        <v>4309423.700711105</v>
      </c>
      <c r="G55" s="6">
        <f>Data!Y55</f>
        <v>26129596.279305667</v>
      </c>
      <c r="H55" s="6">
        <f>Data!Z55</f>
        <v>410231575.8208105</v>
      </c>
      <c r="I55" s="6">
        <f>Data!AA55</f>
        <v>722262907.18324566</v>
      </c>
      <c r="J55" s="6">
        <f>Data!AB55</f>
        <v>534347166.14982867</v>
      </c>
      <c r="K55" s="6">
        <f>Data!AC55</f>
        <v>106843834.37488405</v>
      </c>
      <c r="L55" s="6">
        <f>Data!AD55</f>
        <v>210142444.36736655</v>
      </c>
      <c r="M55" s="6">
        <f>Data!AE55</f>
        <v>728203313.37074184</v>
      </c>
      <c r="N55" s="6">
        <f>Data!AF55</f>
        <v>1798170209.0945117</v>
      </c>
      <c r="O55" s="6">
        <f>Data!AG55</f>
        <v>27777708.708065215</v>
      </c>
      <c r="P55" s="6">
        <f>Data!AH55</f>
        <v>2206757663.4457359</v>
      </c>
      <c r="Q55" s="6">
        <f>Data!AI55</f>
        <v>645484541.41380763</v>
      </c>
      <c r="R55" s="6">
        <f>Data!AJ55</f>
        <v>36380709.940630995</v>
      </c>
      <c r="S55" s="6">
        <f>Data!AK55/Data!T55</f>
        <v>78643.325068243357</v>
      </c>
      <c r="T55" s="6">
        <f>Data!AL55/Data!U55</f>
        <v>41815.408435937075</v>
      </c>
      <c r="U55" s="6">
        <f>Data!AM55/Data!V55</f>
        <v>61962.953531567757</v>
      </c>
      <c r="V55" s="6">
        <f>Data!AN55/Data!W55</f>
        <v>59060.396419045486</v>
      </c>
      <c r="W55" s="6">
        <f>Data!AO55/Data!X55</f>
        <v>24116.19388707</v>
      </c>
      <c r="X55" s="6">
        <f>Data!AP55/Data!Y55</f>
        <v>1550.7948803712316</v>
      </c>
      <c r="Y55" s="6">
        <f>Data!AQ55/Data!Z55</f>
        <v>93148.089605390909</v>
      </c>
      <c r="Z55" s="6">
        <f>Data!AR55/Data!AA55</f>
        <v>27948.841796729201</v>
      </c>
      <c r="AA55" s="6">
        <f>Data!AS55/Data!AB55</f>
        <v>74421.195412154862</v>
      </c>
      <c r="AB55" s="6">
        <f>Data!AT55/Data!AC55</f>
        <v>64589.237960759805</v>
      </c>
      <c r="AC55" s="6">
        <f>Data!AU55/Data!AD55</f>
        <v>20994.254864981598</v>
      </c>
      <c r="AD55" s="6">
        <f>Data!AV55/Data!AE55</f>
        <v>24571.508243533423</v>
      </c>
      <c r="AE55" s="6">
        <f>Data!AW55/Data!AF55</f>
        <v>7656.8385997012356</v>
      </c>
      <c r="AF55" s="6">
        <f>Data!AX55/Data!AG55</f>
        <v>13949.528098641147</v>
      </c>
      <c r="AG55" s="6">
        <f>Data!AY55/Data!AH55</f>
        <v>18717.688547816968</v>
      </c>
      <c r="AH55" s="6">
        <f>Data!AZ55/Data!AI55</f>
        <v>25800.980985028742</v>
      </c>
      <c r="AI55" s="6">
        <f>Data!BA55/Data!AJ55</f>
        <v>80626.551618534038</v>
      </c>
      <c r="AJ55" s="19">
        <f t="shared" si="1"/>
        <v>7.1302300377046289E-8</v>
      </c>
      <c r="AK55" s="19">
        <f t="shared" si="11"/>
        <v>8.3407702205202724E-8</v>
      </c>
      <c r="AL55" s="19">
        <f t="shared" si="12"/>
        <v>4.553281029766639E-8</v>
      </c>
      <c r="AM55" s="19">
        <f t="shared" si="13"/>
        <v>1.3653487293904808E-7</v>
      </c>
      <c r="AN55" s="19">
        <f t="shared" si="14"/>
        <v>1.4686317318028355E-7</v>
      </c>
      <c r="AO55" s="19">
        <f t="shared" si="15"/>
        <v>2.5237067690411768E-6</v>
      </c>
      <c r="AP55" s="19">
        <f t="shared" si="16"/>
        <v>5.7759358327976566E-8</v>
      </c>
      <c r="AQ55" s="19">
        <f t="shared" si="17"/>
        <v>5.8547353603159057E-8</v>
      </c>
      <c r="AR55" s="19">
        <f t="shared" si="18"/>
        <v>2.9515078523021919E-8</v>
      </c>
      <c r="AS55" s="19">
        <f t="shared" si="19"/>
        <v>3.6147633001560975E-8</v>
      </c>
      <c r="AT55" s="19">
        <f t="shared" si="20"/>
        <v>8.074792734812619E-8</v>
      </c>
      <c r="AU55" s="19">
        <f t="shared" si="21"/>
        <v>1.1154099428013279E-7</v>
      </c>
      <c r="AV55" s="19">
        <f t="shared" si="22"/>
        <v>8.3301302625335768E-8</v>
      </c>
      <c r="AW55" s="19">
        <f t="shared" si="23"/>
        <v>6.2986260123443846E-7</v>
      </c>
      <c r="AX55" s="19">
        <f t="shared" si="24"/>
        <v>5.2389875028174729E-8</v>
      </c>
      <c r="AY55" s="19">
        <f t="shared" si="25"/>
        <v>6.6593342373754416E-8</v>
      </c>
      <c r="AZ55" s="19">
        <f t="shared" si="26"/>
        <v>5.4866531751699551E-8</v>
      </c>
      <c r="BA55" s="23">
        <f t="shared" si="27"/>
        <v>1.693482150242394</v>
      </c>
      <c r="BB55" s="20">
        <f t="shared" si="28"/>
        <v>2.5877364414395272</v>
      </c>
      <c r="BC55" s="20">
        <f t="shared" si="29"/>
        <v>2.2246420924521599</v>
      </c>
      <c r="BD55" s="20">
        <f t="shared" si="30"/>
        <v>2.4547818264391177</v>
      </c>
      <c r="BE55" s="20">
        <f t="shared" si="31"/>
        <v>3.3810332324445085</v>
      </c>
      <c r="BF55" s="20">
        <f t="shared" si="32"/>
        <v>4.3062549805316985</v>
      </c>
      <c r="BG55" s="20">
        <f t="shared" si="33"/>
        <v>1.7759856992274867</v>
      </c>
      <c r="BH55" s="20">
        <f t="shared" si="34"/>
        <v>1.738647128614478</v>
      </c>
      <c r="BI55" s="20">
        <f t="shared" si="2"/>
        <v>1.784994720902972</v>
      </c>
      <c r="BJ55" s="20">
        <f t="shared" si="3"/>
        <v>2.0327003554655976</v>
      </c>
      <c r="BK55" s="20">
        <f t="shared" si="4"/>
        <v>2.4819012854115483</v>
      </c>
      <c r="BL55" s="20">
        <f t="shared" si="5"/>
        <v>2.4558882570557432</v>
      </c>
      <c r="BM55" s="20">
        <f t="shared" si="6"/>
        <v>1.2340359881987069</v>
      </c>
      <c r="BN55" s="20">
        <f t="shared" si="7"/>
        <v>7.7784913973652001</v>
      </c>
      <c r="BO55" s="20">
        <f t="shared" si="8"/>
        <v>2.6973247552049471</v>
      </c>
      <c r="BP55" s="20">
        <f t="shared" si="9"/>
        <v>2.6796661232909766</v>
      </c>
      <c r="BQ55" s="20">
        <f t="shared" si="10"/>
        <v>2.3587021363294554</v>
      </c>
    </row>
    <row r="56" spans="1:69" x14ac:dyDescent="0.3">
      <c r="A56" s="3">
        <v>2043</v>
      </c>
      <c r="B56" s="6">
        <f>Data!T56</f>
        <v>48611903.116817281</v>
      </c>
      <c r="C56" s="6">
        <f>Data!U56</f>
        <v>1348827948.7278764</v>
      </c>
      <c r="D56" s="6">
        <f>Data!V56</f>
        <v>111422420.25156192</v>
      </c>
      <c r="E56" s="6">
        <f>Data!W56</f>
        <v>137835878.1320256</v>
      </c>
      <c r="F56" s="6">
        <f>Data!X56</f>
        <v>4352502.8579753703</v>
      </c>
      <c r="G56" s="6">
        <f>Data!Y56</f>
        <v>26047926.797120407</v>
      </c>
      <c r="H56" s="6">
        <f>Data!Z56</f>
        <v>411636064.83369458</v>
      </c>
      <c r="I56" s="6">
        <f>Data!AA56</f>
        <v>724322130.3682853</v>
      </c>
      <c r="J56" s="6">
        <f>Data!AB56</f>
        <v>535036803.62868881</v>
      </c>
      <c r="K56" s="6">
        <f>Data!AC56</f>
        <v>106325370.04993507</v>
      </c>
      <c r="L56" s="6">
        <f>Data!AD56</f>
        <v>210994967.80682588</v>
      </c>
      <c r="M56" s="6">
        <f>Data!AE56</f>
        <v>735594369.4311142</v>
      </c>
      <c r="N56" s="6">
        <f>Data!AF56</f>
        <v>1832279343.0626833</v>
      </c>
      <c r="O56" s="6">
        <f>Data!AG56</f>
        <v>27843767.468369771</v>
      </c>
      <c r="P56" s="6">
        <f>Data!AH56</f>
        <v>2217231722.115593</v>
      </c>
      <c r="Q56" s="6">
        <f>Data!AI56</f>
        <v>647453861.74976075</v>
      </c>
      <c r="R56" s="6">
        <f>Data!AJ56</f>
        <v>36579874.975456484</v>
      </c>
      <c r="S56" s="6">
        <f>Data!AK56/Data!T56</f>
        <v>79844.25657006698</v>
      </c>
      <c r="T56" s="6">
        <f>Data!AL56/Data!U56</f>
        <v>42762.375381010046</v>
      </c>
      <c r="U56" s="6">
        <f>Data!AM56/Data!V56</f>
        <v>62941.866584898031</v>
      </c>
      <c r="V56" s="6">
        <f>Data!AN56/Data!W56</f>
        <v>60049.15302856316</v>
      </c>
      <c r="W56" s="6">
        <f>Data!AO56/Data!X56</f>
        <v>24549.908477834739</v>
      </c>
      <c r="X56" s="6">
        <f>Data!AP56/Data!Y56</f>
        <v>1632.0527657048106</v>
      </c>
      <c r="Y56" s="6">
        <f>Data!AQ56/Data!Z56</f>
        <v>94119.063222212906</v>
      </c>
      <c r="Z56" s="6">
        <f>Data!AR56/Data!AA56</f>
        <v>28667.528209753862</v>
      </c>
      <c r="AA56" s="6">
        <f>Data!AS56/Data!AB56</f>
        <v>75592.119678689545</v>
      </c>
      <c r="AB56" s="6">
        <f>Data!AT56/Data!AC56</f>
        <v>65777.033160560983</v>
      </c>
      <c r="AC56" s="6">
        <f>Data!AU56/Data!AD56</f>
        <v>21394.798532900306</v>
      </c>
      <c r="AD56" s="6">
        <f>Data!AV56/Data!AE56</f>
        <v>24986.123670319434</v>
      </c>
      <c r="AE56" s="6">
        <f>Data!AW56/Data!AF56</f>
        <v>7857.0511951570688</v>
      </c>
      <c r="AF56" s="6">
        <f>Data!AX56/Data!AG56</f>
        <v>14277.7393619996</v>
      </c>
      <c r="AG56" s="6">
        <f>Data!AY56/Data!AH56</f>
        <v>19341.916262512666</v>
      </c>
      <c r="AH56" s="6">
        <f>Data!AZ56/Data!AI56</f>
        <v>26326.140351961581</v>
      </c>
      <c r="AI56" s="6">
        <f>Data!BA56/Data!AJ56</f>
        <v>81953.266499007485</v>
      </c>
      <c r="AJ56" s="19">
        <f t="shared" si="1"/>
        <v>7.008952660122997E-8</v>
      </c>
      <c r="AK56" s="19">
        <f t="shared" si="11"/>
        <v>8.1680205712873268E-8</v>
      </c>
      <c r="AL56" s="19">
        <f t="shared" si="12"/>
        <v>4.4642164253669787E-8</v>
      </c>
      <c r="AM56" s="19">
        <f t="shared" si="13"/>
        <v>1.3658872039230516E-7</v>
      </c>
      <c r="AN56" s="19">
        <f t="shared" si="14"/>
        <v>1.475648317262036E-7</v>
      </c>
      <c r="AO56" s="19">
        <f t="shared" si="15"/>
        <v>2.6392942673405665E-6</v>
      </c>
      <c r="AP56" s="19">
        <f t="shared" si="16"/>
        <v>5.6448668743965447E-8</v>
      </c>
      <c r="AQ56" s="19">
        <f t="shared" si="17"/>
        <v>5.7912705096625322E-8</v>
      </c>
      <c r="AR56" s="19">
        <f t="shared" si="18"/>
        <v>2.8747753895388551E-8</v>
      </c>
      <c r="AS56" s="19">
        <f t="shared" si="19"/>
        <v>3.5135853486960552E-8</v>
      </c>
      <c r="AT56" s="19">
        <f t="shared" si="20"/>
        <v>7.9517121893973222E-8</v>
      </c>
      <c r="AU56" s="19">
        <f t="shared" si="21"/>
        <v>1.1127569372867674E-7</v>
      </c>
      <c r="AV56" s="19">
        <f t="shared" si="22"/>
        <v>8.2931363260935524E-8</v>
      </c>
      <c r="AW56" s="19">
        <f t="shared" si="23"/>
        <v>6.2852756522249018E-7</v>
      </c>
      <c r="AX56" s="19">
        <f t="shared" si="24"/>
        <v>5.1347397738567368E-8</v>
      </c>
      <c r="AY56" s="19">
        <f t="shared" si="25"/>
        <v>6.5795060766378517E-8</v>
      </c>
      <c r="AZ56" s="19">
        <f t="shared" si="26"/>
        <v>5.3781047464151664E-8</v>
      </c>
      <c r="BA56" s="23">
        <f t="shared" si="27"/>
        <v>1.6727884739636467</v>
      </c>
      <c r="BB56" s="20">
        <f t="shared" si="28"/>
        <v>2.5574300267393091</v>
      </c>
      <c r="BC56" s="20">
        <f t="shared" si="29"/>
        <v>2.2042947666311394</v>
      </c>
      <c r="BD56" s="20">
        <f t="shared" si="30"/>
        <v>2.4543127832991503</v>
      </c>
      <c r="BE56" s="20">
        <f t="shared" si="31"/>
        <v>3.3706712014570579</v>
      </c>
      <c r="BF56" s="20">
        <f t="shared" si="32"/>
        <v>4.3384407456364178</v>
      </c>
      <c r="BG56" s="20">
        <f t="shared" si="33"/>
        <v>1.7589245114539072</v>
      </c>
      <c r="BH56" s="20">
        <f t="shared" si="34"/>
        <v>1.7250887394401027</v>
      </c>
      <c r="BI56" s="20">
        <f t="shared" si="2"/>
        <v>1.7735792906601402</v>
      </c>
      <c r="BJ56" s="20">
        <f t="shared" si="3"/>
        <v>2.0122703429038649</v>
      </c>
      <c r="BK56" s="20">
        <f t="shared" si="4"/>
        <v>2.4717917142134627</v>
      </c>
      <c r="BL56" s="20">
        <f t="shared" si="5"/>
        <v>2.4462719611014663</v>
      </c>
      <c r="BM56" s="20">
        <f t="shared" si="6"/>
        <v>1.2173345315438147</v>
      </c>
      <c r="BN56" s="20">
        <f t="shared" si="7"/>
        <v>8.0919981456455172</v>
      </c>
      <c r="BO56" s="20">
        <f t="shared" si="8"/>
        <v>2.6989589307195785</v>
      </c>
      <c r="BP56" s="20">
        <f t="shared" si="9"/>
        <v>2.6882890871593506</v>
      </c>
      <c r="BQ56" s="20">
        <f t="shared" si="10"/>
        <v>2.3410250641180448</v>
      </c>
    </row>
    <row r="57" spans="1:69" x14ac:dyDescent="0.3">
      <c r="A57" s="3">
        <v>2044</v>
      </c>
      <c r="B57" s="6">
        <f>Data!T57</f>
        <v>48349996.889310107</v>
      </c>
      <c r="C57" s="6">
        <f>Data!U57</f>
        <v>1342819762.3999774</v>
      </c>
      <c r="D57" s="6">
        <f>Data!V57</f>
        <v>110737512.40361698</v>
      </c>
      <c r="E57" s="6">
        <f>Data!W57</f>
        <v>137667129.7149103</v>
      </c>
      <c r="F57" s="6">
        <f>Data!X57</f>
        <v>4395571.8262241995</v>
      </c>
      <c r="G57" s="6">
        <f>Data!Y57</f>
        <v>25966156.488413937</v>
      </c>
      <c r="H57" s="6">
        <f>Data!Z57</f>
        <v>413039555.63121766</v>
      </c>
      <c r="I57" s="6">
        <f>Data!AA57</f>
        <v>726380313.01609147</v>
      </c>
      <c r="J57" s="6">
        <f>Data!AB57</f>
        <v>535726441.10754895</v>
      </c>
      <c r="K57" s="6">
        <f>Data!AC57</f>
        <v>105807885.80877616</v>
      </c>
      <c r="L57" s="6">
        <f>Data!AD57</f>
        <v>211846181.68647036</v>
      </c>
      <c r="M57" s="6">
        <f>Data!AE57</f>
        <v>742986503.21911252</v>
      </c>
      <c r="N57" s="6">
        <f>Data!AF57</f>
        <v>1866388477.0308549</v>
      </c>
      <c r="O57" s="6">
        <f>Data!AG57</f>
        <v>27909826.228674319</v>
      </c>
      <c r="P57" s="6">
        <f>Data!AH57</f>
        <v>2227715900.6488991</v>
      </c>
      <c r="Q57" s="6">
        <f>Data!AI57</f>
        <v>649423182.08571386</v>
      </c>
      <c r="R57" s="6">
        <f>Data!AJ57</f>
        <v>36779040.01028198</v>
      </c>
      <c r="S57" s="6">
        <f>Data!AK57/Data!T57</f>
        <v>80939.638089686836</v>
      </c>
      <c r="T57" s="6">
        <f>Data!AL57/Data!U57</f>
        <v>43687.661348190442</v>
      </c>
      <c r="U57" s="6">
        <f>Data!AM57/Data!V57</f>
        <v>63909.309327288793</v>
      </c>
      <c r="V57" s="6">
        <f>Data!AN57/Data!W57</f>
        <v>61149.185756793784</v>
      </c>
      <c r="W57" s="6">
        <f>Data!AO57/Data!X57</f>
        <v>24974.432214716096</v>
      </c>
      <c r="X57" s="6">
        <f>Data!AP57/Data!Y57</f>
        <v>1715.7667370554807</v>
      </c>
      <c r="Y57" s="6">
        <f>Data!AQ57/Data!Z57</f>
        <v>95070.941203105103</v>
      </c>
      <c r="Z57" s="6">
        <f>Data!AR57/Data!AA57</f>
        <v>29415.801094086761</v>
      </c>
      <c r="AA57" s="6">
        <f>Data!AS57/Data!AB57</f>
        <v>76735.18090021117</v>
      </c>
      <c r="AB57" s="6">
        <f>Data!AT57/Data!AC57</f>
        <v>66905.777999080863</v>
      </c>
      <c r="AC57" s="6">
        <f>Data!AU57/Data!AD57</f>
        <v>21829.409259345077</v>
      </c>
      <c r="AD57" s="6">
        <f>Data!AV57/Data!AE57</f>
        <v>25509.254406249016</v>
      </c>
      <c r="AE57" s="6">
        <f>Data!AW57/Data!AF57</f>
        <v>8077.7741644250209</v>
      </c>
      <c r="AF57" s="6">
        <f>Data!AX57/Data!AG57</f>
        <v>14603.999586057938</v>
      </c>
      <c r="AG57" s="6">
        <f>Data!AY57/Data!AH57</f>
        <v>19942.569590700474</v>
      </c>
      <c r="AH57" s="6">
        <f>Data!AZ57/Data!AI57</f>
        <v>26829.601023031264</v>
      </c>
      <c r="AI57" s="6">
        <f>Data!BA57/Data!AJ57</f>
        <v>83269.949442054</v>
      </c>
      <c r="AJ57" s="19">
        <f t="shared" si="1"/>
        <v>6.8897380774631695E-8</v>
      </c>
      <c r="AK57" s="19">
        <f t="shared" si="11"/>
        <v>7.9988488219990032E-8</v>
      </c>
      <c r="AL57" s="19">
        <f t="shared" si="12"/>
        <v>4.3768939721117374E-8</v>
      </c>
      <c r="AM57" s="19">
        <f t="shared" si="13"/>
        <v>1.3664258908224823E-7</v>
      </c>
      <c r="AN57" s="19">
        <f t="shared" si="14"/>
        <v>1.4826984254011842E-7</v>
      </c>
      <c r="AO57" s="19">
        <f t="shared" si="15"/>
        <v>2.7601757522183519E-6</v>
      </c>
      <c r="AP57" s="19">
        <f t="shared" si="16"/>
        <v>5.5167721650788114E-8</v>
      </c>
      <c r="AQ57" s="19">
        <f t="shared" si="17"/>
        <v>5.7284936127800079E-8</v>
      </c>
      <c r="AR57" s="19">
        <f t="shared" si="18"/>
        <v>2.800037795546453E-8</v>
      </c>
      <c r="AS57" s="19">
        <f t="shared" si="19"/>
        <v>3.4152393884375417E-8</v>
      </c>
      <c r="AT57" s="19">
        <f t="shared" si="20"/>
        <v>7.8305077070782851E-8</v>
      </c>
      <c r="AU57" s="19">
        <f t="shared" si="21"/>
        <v>1.110110241952877E-7</v>
      </c>
      <c r="AV57" s="19">
        <f t="shared" si="22"/>
        <v>8.2563066789611615E-8</v>
      </c>
      <c r="AW57" s="19">
        <f t="shared" si="23"/>
        <v>6.2719535890887567E-7</v>
      </c>
      <c r="AX57" s="19">
        <f t="shared" si="24"/>
        <v>5.0325664130802397E-8</v>
      </c>
      <c r="AY57" s="19">
        <f t="shared" si="25"/>
        <v>6.5006348486835692E-8</v>
      </c>
      <c r="AZ57" s="19">
        <f t="shared" si="26"/>
        <v>5.2717038493174644E-8</v>
      </c>
      <c r="BA57" s="23">
        <f t="shared" si="27"/>
        <v>1.6523476661534973</v>
      </c>
      <c r="BB57" s="20">
        <f t="shared" si="28"/>
        <v>2.5274785472470485</v>
      </c>
      <c r="BC57" s="20">
        <f t="shared" si="29"/>
        <v>2.184133544304911</v>
      </c>
      <c r="BD57" s="20">
        <f t="shared" si="30"/>
        <v>2.4538438297807796</v>
      </c>
      <c r="BE57" s="20">
        <f t="shared" si="31"/>
        <v>3.3603409275328491</v>
      </c>
      <c r="BF57" s="20">
        <f t="shared" si="32"/>
        <v>4.3708670732438364</v>
      </c>
      <c r="BG57" s="20">
        <f t="shared" si="33"/>
        <v>1.7420272237209482</v>
      </c>
      <c r="BH57" s="20">
        <f t="shared" si="34"/>
        <v>1.7116360818509226</v>
      </c>
      <c r="BI57" s="20">
        <f t="shared" si="2"/>
        <v>1.7622368645814681</v>
      </c>
      <c r="BJ57" s="20">
        <f t="shared" si="3"/>
        <v>1.9920456657778989</v>
      </c>
      <c r="BK57" s="20">
        <f t="shared" si="4"/>
        <v>2.461723322505637</v>
      </c>
      <c r="BL57" s="20">
        <f t="shared" si="5"/>
        <v>2.4366933187935289</v>
      </c>
      <c r="BM57" s="20">
        <f t="shared" si="6"/>
        <v>1.2008591125872252</v>
      </c>
      <c r="BN57" s="20">
        <f t="shared" si="7"/>
        <v>8.4181405678883454</v>
      </c>
      <c r="BO57" s="20">
        <f t="shared" si="8"/>
        <v>2.7005940963002399</v>
      </c>
      <c r="BP57" s="20">
        <f t="shared" si="9"/>
        <v>2.6969397990763446</v>
      </c>
      <c r="BQ57" s="20">
        <f t="shared" si="10"/>
        <v>2.3234804710684385</v>
      </c>
    </row>
    <row r="58" spans="1:69" x14ac:dyDescent="0.3">
      <c r="A58" s="3">
        <v>2045</v>
      </c>
      <c r="B58" s="6">
        <f>Data!T58</f>
        <v>48088191.009016536</v>
      </c>
      <c r="C58" s="6">
        <f>Data!U58</f>
        <v>1336801694.186671</v>
      </c>
      <c r="D58" s="6">
        <f>Data!V58</f>
        <v>110051597.33824858</v>
      </c>
      <c r="E58" s="6">
        <f>Data!W58</f>
        <v>137497394.46494639</v>
      </c>
      <c r="F58" s="6">
        <f>Data!X58</f>
        <v>4438650.9834884647</v>
      </c>
      <c r="G58" s="6">
        <f>Data!Y58</f>
        <v>25884487.006228682</v>
      </c>
      <c r="H58" s="6">
        <f>Data!Z58</f>
        <v>414444044.64410168</v>
      </c>
      <c r="I58" s="6">
        <f>Data!AA58</f>
        <v>728438495.66389763</v>
      </c>
      <c r="J58" s="6">
        <f>Data!AB58</f>
        <v>536416078.58640921</v>
      </c>
      <c r="K58" s="6">
        <f>Data!AC58</f>
        <v>105290401.56761725</v>
      </c>
      <c r="L58" s="6">
        <f>Data!AD58</f>
        <v>212698705.12592965</v>
      </c>
      <c r="M58" s="6">
        <f>Data!AE58</f>
        <v>750377559.27948475</v>
      </c>
      <c r="N58" s="6">
        <f>Data!AF58</f>
        <v>1900507959.6440411</v>
      </c>
      <c r="O58" s="6">
        <f>Data!AG58</f>
        <v>27976090.140408393</v>
      </c>
      <c r="P58" s="6">
        <f>Data!AH58</f>
        <v>2238200079.1822052</v>
      </c>
      <c r="Q58" s="6">
        <f>Data!AI58</f>
        <v>651392502.42166698</v>
      </c>
      <c r="R58" s="6">
        <f>Data!AJ58</f>
        <v>36978205.045107469</v>
      </c>
      <c r="S58" s="6">
        <f>Data!AK58/Data!T58</f>
        <v>82084.965757743485</v>
      </c>
      <c r="T58" s="6">
        <f>Data!AL58/Data!U58</f>
        <v>44626.939832810822</v>
      </c>
      <c r="U58" s="6">
        <f>Data!AM58/Data!V58</f>
        <v>64918.782077327807</v>
      </c>
      <c r="V58" s="6">
        <f>Data!AN58/Data!W58</f>
        <v>62166.12703493482</v>
      </c>
      <c r="W58" s="6">
        <f>Data!AO58/Data!X58</f>
        <v>25418.622389485761</v>
      </c>
      <c r="X58" s="6">
        <f>Data!AP58/Data!Y58</f>
        <v>1802.9816818762695</v>
      </c>
      <c r="Y58" s="6">
        <f>Data!AQ58/Data!Z58</f>
        <v>96025.714874636076</v>
      </c>
      <c r="Z58" s="6">
        <f>Data!AR58/Data!AA58</f>
        <v>30160.129874535334</v>
      </c>
      <c r="AA58" s="6">
        <f>Data!AS58/Data!AB58</f>
        <v>77897.305207802638</v>
      </c>
      <c r="AB58" s="6">
        <f>Data!AT58/Data!AC58</f>
        <v>68071.039394537293</v>
      </c>
      <c r="AC58" s="6">
        <f>Data!AU58/Data!AD58</f>
        <v>22234.694057826135</v>
      </c>
      <c r="AD58" s="6">
        <f>Data!AV58/Data!AE58</f>
        <v>25942.946907026435</v>
      </c>
      <c r="AE58" s="6">
        <f>Data!AW58/Data!AF58</f>
        <v>8292.4755508329708</v>
      </c>
      <c r="AF58" s="6">
        <f>Data!AX58/Data!AG58</f>
        <v>14922.861244324902</v>
      </c>
      <c r="AG58" s="6">
        <f>Data!AY58/Data!AH58</f>
        <v>20573.669804733348</v>
      </c>
      <c r="AH58" s="6">
        <f>Data!AZ58/Data!AI58</f>
        <v>27340.87066316963</v>
      </c>
      <c r="AI58" s="6">
        <f>Data!BA58/Data!AJ58</f>
        <v>84589.415470675202</v>
      </c>
      <c r="AJ58" s="19">
        <f t="shared" si="1"/>
        <v>6.7725512038503177E-8</v>
      </c>
      <c r="AK58" s="19">
        <f t="shared" si="11"/>
        <v>7.8331808690720502E-8</v>
      </c>
      <c r="AL58" s="19">
        <f t="shared" si="12"/>
        <v>4.2912795925957491E-8</v>
      </c>
      <c r="AM58" s="19">
        <f t="shared" si="13"/>
        <v>1.3669647901725275E-7</v>
      </c>
      <c r="AN58" s="19">
        <f t="shared" si="14"/>
        <v>1.4897822163793885E-7</v>
      </c>
      <c r="AO58" s="19">
        <f t="shared" si="15"/>
        <v>2.8865936918852364E-6</v>
      </c>
      <c r="AP58" s="19">
        <f t="shared" si="16"/>
        <v>5.3915842124517662E-8</v>
      </c>
      <c r="AQ58" s="19">
        <f t="shared" si="17"/>
        <v>5.6663972123059357E-8</v>
      </c>
      <c r="AR58" s="19">
        <f t="shared" si="18"/>
        <v>2.727243208293325E-8</v>
      </c>
      <c r="AS58" s="19">
        <f t="shared" si="19"/>
        <v>3.3196461513775007E-8</v>
      </c>
      <c r="AT58" s="19">
        <f t="shared" si="20"/>
        <v>7.7111506918436095E-8</v>
      </c>
      <c r="AU58" s="19">
        <f t="shared" si="21"/>
        <v>1.1074698417908753E-7</v>
      </c>
      <c r="AV58" s="19">
        <f t="shared" si="22"/>
        <v>8.2196405915309828E-8</v>
      </c>
      <c r="AW58" s="19">
        <f t="shared" si="23"/>
        <v>6.2586597629585955E-7</v>
      </c>
      <c r="AX58" s="19">
        <f t="shared" si="24"/>
        <v>4.9324261437771442E-8</v>
      </c>
      <c r="AY58" s="19">
        <f t="shared" si="25"/>
        <v>6.4227090823682848E-8</v>
      </c>
      <c r="AZ58" s="19">
        <f t="shared" si="26"/>
        <v>5.1674079969217535E-8</v>
      </c>
      <c r="BA58" s="23">
        <f t="shared" si="27"/>
        <v>1.6321566368601388</v>
      </c>
      <c r="BB58" s="20">
        <f t="shared" si="28"/>
        <v>2.497877846119942</v>
      </c>
      <c r="BC58" s="20">
        <f t="shared" si="29"/>
        <v>2.1641567233082331</v>
      </c>
      <c r="BD58" s="20">
        <f t="shared" si="30"/>
        <v>2.4533749658668818</v>
      </c>
      <c r="BE58" s="20">
        <f t="shared" si="31"/>
        <v>3.3500423133443342</v>
      </c>
      <c r="BF58" s="20">
        <f t="shared" si="32"/>
        <v>4.4035357613636492</v>
      </c>
      <c r="BG58" s="20">
        <f t="shared" si="33"/>
        <v>1.7252922615061519</v>
      </c>
      <c r="BH58" s="20">
        <f t="shared" si="34"/>
        <v>1.6982883313265644</v>
      </c>
      <c r="BI58" s="20">
        <f t="shared" si="2"/>
        <v>1.7509669757894162</v>
      </c>
      <c r="BJ58" s="20">
        <f t="shared" si="3"/>
        <v>1.9720242603277751</v>
      </c>
      <c r="BK58" s="20">
        <f t="shared" si="4"/>
        <v>2.4516959425509453</v>
      </c>
      <c r="BL58" s="20">
        <f t="shared" si="5"/>
        <v>2.4271521826950084</v>
      </c>
      <c r="BM58" s="20">
        <f t="shared" si="6"/>
        <v>1.1846066721322404</v>
      </c>
      <c r="BN58" s="20">
        <f t="shared" si="7"/>
        <v>8.7574279362460778</v>
      </c>
      <c r="BO58" s="20">
        <f t="shared" si="8"/>
        <v>2.7022302525467636</v>
      </c>
      <c r="BP58" s="20">
        <f t="shared" si="9"/>
        <v>2.7056183483330907</v>
      </c>
      <c r="BQ58" s="20">
        <f t="shared" si="10"/>
        <v>2.3060673643279683</v>
      </c>
    </row>
    <row r="59" spans="1:69" x14ac:dyDescent="0.3">
      <c r="A59" s="3">
        <v>2046</v>
      </c>
      <c r="B59" s="6">
        <f>Data!T59</f>
        <v>47795478.186932847</v>
      </c>
      <c r="C59" s="6">
        <f>Data!U59</f>
        <v>1329034532.2561967</v>
      </c>
      <c r="D59" s="6">
        <f>Data!V59</f>
        <v>109390862.70846638</v>
      </c>
      <c r="E59" s="6">
        <f>Data!W59</f>
        <v>137383908.68735427</v>
      </c>
      <c r="F59" s="6">
        <f>Data!X59</f>
        <v>4480558.4039775664</v>
      </c>
      <c r="G59" s="6">
        <f>Data!Y59</f>
        <v>25791524.953667197</v>
      </c>
      <c r="H59" s="6">
        <f>Data!Z59</f>
        <v>415775663.93563491</v>
      </c>
      <c r="I59" s="6">
        <f>Data!AA59</f>
        <v>729692343.03023052</v>
      </c>
      <c r="J59" s="6">
        <f>Data!AB59</f>
        <v>537013290.42377257</v>
      </c>
      <c r="K59" s="6">
        <f>Data!AC59</f>
        <v>104810160.51048113</v>
      </c>
      <c r="L59" s="6">
        <f>Data!AD59</f>
        <v>213386224.02871943</v>
      </c>
      <c r="M59" s="6">
        <f>Data!AE59</f>
        <v>757001273.27001369</v>
      </c>
      <c r="N59" s="6">
        <f>Data!AF59</f>
        <v>1934358377.4868472</v>
      </c>
      <c r="O59" s="6">
        <f>Data!AG59</f>
        <v>28013632.852010049</v>
      </c>
      <c r="P59" s="6">
        <f>Data!AH59</f>
        <v>2245901295.2669988</v>
      </c>
      <c r="Q59" s="6">
        <f>Data!AI59</f>
        <v>652605356.73930204</v>
      </c>
      <c r="R59" s="6">
        <f>Data!AJ59</f>
        <v>37178813.304823004</v>
      </c>
      <c r="S59" s="6">
        <f>Data!AK59/Data!T59</f>
        <v>83207.23142837896</v>
      </c>
      <c r="T59" s="6">
        <f>Data!AL59/Data!U59</f>
        <v>45608.636568874768</v>
      </c>
      <c r="U59" s="6">
        <f>Data!AM59/Data!V59</f>
        <v>65912.495695033896</v>
      </c>
      <c r="V59" s="6">
        <f>Data!AN59/Data!W59</f>
        <v>63238.609856984061</v>
      </c>
      <c r="W59" s="6">
        <f>Data!AO59/Data!X59</f>
        <v>25867.063782784619</v>
      </c>
      <c r="X59" s="6">
        <f>Data!AP59/Data!Y59</f>
        <v>1893.7552478892119</v>
      </c>
      <c r="Y59" s="6">
        <f>Data!AQ59/Data!Z59</f>
        <v>96983.039397832079</v>
      </c>
      <c r="Z59" s="6">
        <f>Data!AR59/Data!AA59</f>
        <v>30961.575673143747</v>
      </c>
      <c r="AA59" s="6">
        <f>Data!AS59/Data!AB59</f>
        <v>79049.351683979243</v>
      </c>
      <c r="AB59" s="6">
        <f>Data!AT59/Data!AC59</f>
        <v>69174.615262614054</v>
      </c>
      <c r="AC59" s="6">
        <f>Data!AU59/Data!AD59</f>
        <v>22683.175124001245</v>
      </c>
      <c r="AD59" s="6">
        <f>Data!AV59/Data!AE59</f>
        <v>26483.029163682164</v>
      </c>
      <c r="AE59" s="6">
        <f>Data!AW59/Data!AF59</f>
        <v>8526.4550654991817</v>
      </c>
      <c r="AF59" s="6">
        <f>Data!AX59/Data!AG59</f>
        <v>15254.485909178537</v>
      </c>
      <c r="AG59" s="6">
        <f>Data!AY59/Data!AH59</f>
        <v>21215.073810195201</v>
      </c>
      <c r="AH59" s="6">
        <f>Data!AZ59/Data!AI59</f>
        <v>27867.853462286523</v>
      </c>
      <c r="AI59" s="6">
        <f>Data!BA59/Data!AJ59</f>
        <v>85892.268065577417</v>
      </c>
      <c r="AJ59" s="19">
        <f t="shared" si="1"/>
        <v>6.6573575501817885E-8</v>
      </c>
      <c r="AK59" s="19">
        <f t="shared" si="11"/>
        <v>7.6709441437176852E-8</v>
      </c>
      <c r="AL59" s="19">
        <f t="shared" si="12"/>
        <v>4.2073398759860621E-8</v>
      </c>
      <c r="AM59" s="19">
        <f t="shared" si="13"/>
        <v>1.3675039020569744E-7</v>
      </c>
      <c r="AN59" s="19">
        <f t="shared" si="14"/>
        <v>1.4968998511209389E-7</v>
      </c>
      <c r="AO59" s="19">
        <f t="shared" si="15"/>
        <v>3.0188016597620184E-6</v>
      </c>
      <c r="AP59" s="19">
        <f t="shared" si="16"/>
        <v>5.2692370556767149E-8</v>
      </c>
      <c r="AQ59" s="19">
        <f t="shared" si="17"/>
        <v>5.604973931715114E-8</v>
      </c>
      <c r="AR59" s="19">
        <f t="shared" si="18"/>
        <v>2.6563411140421777E-8</v>
      </c>
      <c r="AS59" s="19">
        <f t="shared" si="19"/>
        <v>3.2267285882402173E-8</v>
      </c>
      <c r="AT59" s="19">
        <f t="shared" si="20"/>
        <v>7.5936129835579398E-8</v>
      </c>
      <c r="AU59" s="19">
        <f t="shared" si="21"/>
        <v>1.1048357218276789E-7</v>
      </c>
      <c r="AV59" s="19">
        <f t="shared" si="22"/>
        <v>8.1831373374377568E-8</v>
      </c>
      <c r="AW59" s="19">
        <f t="shared" si="23"/>
        <v>6.2453941139841914E-7</v>
      </c>
      <c r="AX59" s="19">
        <f t="shared" si="24"/>
        <v>4.8342785105791642E-8</v>
      </c>
      <c r="AY59" s="19">
        <f t="shared" si="25"/>
        <v>6.3457174440569834E-8</v>
      </c>
      <c r="AZ59" s="19">
        <f t="shared" si="26"/>
        <v>5.0651755428385934E-8</v>
      </c>
      <c r="BA59" s="23">
        <f t="shared" si="27"/>
        <v>1.6122123338897425</v>
      </c>
      <c r="BB59" s="20">
        <f t="shared" si="28"/>
        <v>2.4686238151982742</v>
      </c>
      <c r="BC59" s="20">
        <f t="shared" si="29"/>
        <v>2.1443626170444401</v>
      </c>
      <c r="BD59" s="20">
        <f t="shared" si="30"/>
        <v>2.4529061915403352</v>
      </c>
      <c r="BE59" s="20">
        <f t="shared" si="31"/>
        <v>3.33977526186225</v>
      </c>
      <c r="BF59" s="20">
        <f t="shared" si="32"/>
        <v>4.4364486214442156</v>
      </c>
      <c r="BG59" s="20">
        <f t="shared" si="33"/>
        <v>1.7087180654128702</v>
      </c>
      <c r="BH59" s="20">
        <f t="shared" si="34"/>
        <v>1.6850446697764627</v>
      </c>
      <c r="BI59" s="20">
        <f t="shared" si="2"/>
        <v>1.7397691603922283</v>
      </c>
      <c r="BJ59" s="20">
        <f t="shared" si="3"/>
        <v>1.9522040835357513</v>
      </c>
      <c r="BK59" s="20">
        <f t="shared" si="4"/>
        <v>2.4417094072955083</v>
      </c>
      <c r="BL59" s="20">
        <f t="shared" si="5"/>
        <v>2.417648405946287</v>
      </c>
      <c r="BM59" s="20">
        <f t="shared" si="6"/>
        <v>1.1685741923853636</v>
      </c>
      <c r="BN59" s="20">
        <f t="shared" si="7"/>
        <v>9.1103900487351019</v>
      </c>
      <c r="BO59" s="20">
        <f t="shared" si="8"/>
        <v>2.703867400059345</v>
      </c>
      <c r="BP59" s="20">
        <f t="shared" si="9"/>
        <v>2.7143248245080525</v>
      </c>
      <c r="BQ59" s="20">
        <f t="shared" si="10"/>
        <v>2.2887847584848076</v>
      </c>
    </row>
    <row r="60" spans="1:69" x14ac:dyDescent="0.3">
      <c r="A60" s="3">
        <v>2047</v>
      </c>
      <c r="B60" s="6">
        <f>Data!T60</f>
        <v>47502765.364849158</v>
      </c>
      <c r="C60" s="6">
        <f>Data!U60</f>
        <v>1321257488.4403145</v>
      </c>
      <c r="D60" s="6">
        <f>Data!V60</f>
        <v>108729120.86126074</v>
      </c>
      <c r="E60" s="6">
        <f>Data!W60</f>
        <v>137270422.90976211</v>
      </c>
      <c r="F60" s="6">
        <f>Data!X60</f>
        <v>4522465.824466669</v>
      </c>
      <c r="G60" s="6">
        <f>Data!Y60</f>
        <v>25698462.074584492</v>
      </c>
      <c r="H60" s="6">
        <f>Data!Z60</f>
        <v>417107283.22716814</v>
      </c>
      <c r="I60" s="6">
        <f>Data!AA60</f>
        <v>730947230.93379688</v>
      </c>
      <c r="J60" s="6">
        <f>Data!AB60</f>
        <v>537610502.26113594</v>
      </c>
      <c r="K60" s="6">
        <f>Data!AC60</f>
        <v>104329919.45334503</v>
      </c>
      <c r="L60" s="6">
        <f>Data!AD60</f>
        <v>214073742.9315092</v>
      </c>
      <c r="M60" s="6">
        <f>Data!AE60</f>
        <v>763624987.26054275</v>
      </c>
      <c r="N60" s="6">
        <f>Data!AF60</f>
        <v>1968219143.974668</v>
      </c>
      <c r="O60" s="6">
        <f>Data!AG60</f>
        <v>28051380.715041228</v>
      </c>
      <c r="P60" s="6">
        <f>Data!AH60</f>
        <v>2253612631.215241</v>
      </c>
      <c r="Q60" s="6">
        <f>Data!AI60</f>
        <v>653819175.93706238</v>
      </c>
      <c r="R60" s="6">
        <f>Data!AJ60</f>
        <v>37379421.564538538</v>
      </c>
      <c r="S60" s="6">
        <f>Data!AK60/Data!T60</f>
        <v>84371.264367205746</v>
      </c>
      <c r="T60" s="6">
        <f>Data!AL60/Data!U60</f>
        <v>46604.442589144935</v>
      </c>
      <c r="U60" s="6">
        <f>Data!AM60/Data!V60</f>
        <v>66940.544274199201</v>
      </c>
      <c r="V60" s="6">
        <f>Data!AN60/Data!W60</f>
        <v>64255.438233074303</v>
      </c>
      <c r="W60" s="6">
        <f>Data!AO60/Data!X60</f>
        <v>26332.136828756906</v>
      </c>
      <c r="X60" s="6">
        <f>Data!AP60/Data!Y60</f>
        <v>1988.7642053225748</v>
      </c>
      <c r="Y60" s="6">
        <f>Data!AQ60/Data!Z60</f>
        <v>97939.90764229359</v>
      </c>
      <c r="Z60" s="6">
        <f>Data!AR60/Data!AA60</f>
        <v>31768.161016627684</v>
      </c>
      <c r="AA60" s="6">
        <f>Data!AS60/Data!AB60</f>
        <v>80216.962889677074</v>
      </c>
      <c r="AB60" s="6">
        <f>Data!AT60/Data!AC60</f>
        <v>70301.519138192714</v>
      </c>
      <c r="AC60" s="6">
        <f>Data!AU60/Data!AD60</f>
        <v>23111.551910570262</v>
      </c>
      <c r="AD60" s="6">
        <f>Data!AV60/Data!AE60</f>
        <v>26962.900252747273</v>
      </c>
      <c r="AE60" s="6">
        <f>Data!AW60/Data!AF60</f>
        <v>8761.2027275324108</v>
      </c>
      <c r="AF60" s="6">
        <f>Data!AX60/Data!AG60</f>
        <v>15581.124797435426</v>
      </c>
      <c r="AG60" s="6">
        <f>Data!AY60/Data!AH60</f>
        <v>21881.963684648439</v>
      </c>
      <c r="AH60" s="6">
        <f>Data!AZ60/Data!AI60</f>
        <v>28399.643229358706</v>
      </c>
      <c r="AI60" s="6">
        <f>Data!BA60/Data!AJ60</f>
        <v>87200.765447378959</v>
      </c>
      <c r="AJ60" s="19">
        <f t="shared" si="1"/>
        <v>6.5441232139766635E-8</v>
      </c>
      <c r="AK60" s="19">
        <f t="shared" si="11"/>
        <v>7.5120675801537405E-8</v>
      </c>
      <c r="AL60" s="19">
        <f t="shared" si="12"/>
        <v>4.1250420649834277E-8</v>
      </c>
      <c r="AM60" s="19">
        <f t="shared" si="13"/>
        <v>1.3680432265596441E-7</v>
      </c>
      <c r="AN60" s="19">
        <f t="shared" si="14"/>
        <v>1.5040514913189628E-7</v>
      </c>
      <c r="AO60" s="19">
        <f t="shared" si="15"/>
        <v>3.1570648431058214E-6</v>
      </c>
      <c r="AP60" s="19">
        <f t="shared" si="16"/>
        <v>5.1496662307145601E-8</v>
      </c>
      <c r="AQ60" s="19">
        <f t="shared" si="17"/>
        <v>5.5442164744432694E-8</v>
      </c>
      <c r="AR60" s="19">
        <f t="shared" si="18"/>
        <v>2.5872823122975115E-8</v>
      </c>
      <c r="AS60" s="19">
        <f t="shared" si="19"/>
        <v>3.1364118063746939E-8</v>
      </c>
      <c r="AT60" s="19">
        <f t="shared" si="20"/>
        <v>7.4778668513185867E-8</v>
      </c>
      <c r="AU60" s="19">
        <f t="shared" si="21"/>
        <v>1.1022078671258186E-7</v>
      </c>
      <c r="AV60" s="19">
        <f t="shared" si="22"/>
        <v>8.1467961935419965E-8</v>
      </c>
      <c r="AW60" s="19">
        <f t="shared" si="23"/>
        <v>6.2321565824421735E-7</v>
      </c>
      <c r="AX60" s="19">
        <f t="shared" si="24"/>
        <v>4.7380838631171227E-8</v>
      </c>
      <c r="AY60" s="19">
        <f t="shared" si="25"/>
        <v>6.2696487359755646E-8</v>
      </c>
      <c r="AZ60" s="19">
        <f t="shared" si="26"/>
        <v>4.9649656646143725E-8</v>
      </c>
      <c r="BA60" s="23">
        <f t="shared" si="27"/>
        <v>1.5925117423450708</v>
      </c>
      <c r="BB60" s="20">
        <f t="shared" si="28"/>
        <v>2.4397123944352637</v>
      </c>
      <c r="BC60" s="20">
        <f t="shared" si="29"/>
        <v>2.1247495543430484</v>
      </c>
      <c r="BD60" s="20">
        <f t="shared" si="30"/>
        <v>2.4524375067840225</v>
      </c>
      <c r="BE60" s="20">
        <f t="shared" si="31"/>
        <v>3.3295396763547047</v>
      </c>
      <c r="BF60" s="20">
        <f t="shared" si="32"/>
        <v>4.4696074784730042</v>
      </c>
      <c r="BG60" s="20">
        <f t="shared" si="33"/>
        <v>1.6923030910249584</v>
      </c>
      <c r="BH60" s="20">
        <f t="shared" si="34"/>
        <v>1.6719042854897199</v>
      </c>
      <c r="BI60" s="20">
        <f t="shared" si="2"/>
        <v>1.7286429574648376</v>
      </c>
      <c r="BJ60" s="20">
        <f t="shared" si="3"/>
        <v>1.9325831129177944</v>
      </c>
      <c r="BK60" s="20">
        <f t="shared" si="4"/>
        <v>2.4317635503659099</v>
      </c>
      <c r="BL60" s="20">
        <f t="shared" si="5"/>
        <v>2.4081818422627923</v>
      </c>
      <c r="BM60" s="20">
        <f t="shared" si="6"/>
        <v>1.1527586963959491</v>
      </c>
      <c r="BN60" s="20">
        <f t="shared" si="7"/>
        <v>9.4775780565166325</v>
      </c>
      <c r="BO60" s="20">
        <f t="shared" si="8"/>
        <v>2.7055055394385432</v>
      </c>
      <c r="BP60" s="20">
        <f t="shared" si="9"/>
        <v>2.7230593174679507</v>
      </c>
      <c r="BQ60" s="20">
        <f t="shared" si="10"/>
        <v>2.2716316755122059</v>
      </c>
    </row>
    <row r="61" spans="1:69" x14ac:dyDescent="0.3">
      <c r="A61" s="3">
        <v>2048</v>
      </c>
      <c r="B61" s="6">
        <f>Data!T61</f>
        <v>47210052.542765468</v>
      </c>
      <c r="C61" s="6">
        <f>Data!U61</f>
        <v>1313490326.5098403</v>
      </c>
      <c r="D61" s="6">
        <f>Data!V61</f>
        <v>108068386.23147854</v>
      </c>
      <c r="E61" s="6">
        <f>Data!W61</f>
        <v>137156937.13216996</v>
      </c>
      <c r="F61" s="6">
        <f>Data!X61</f>
        <v>4564373.2449557707</v>
      </c>
      <c r="G61" s="6">
        <f>Data!Y61</f>
        <v>25605500.022023007</v>
      </c>
      <c r="H61" s="6">
        <f>Data!Z61</f>
        <v>418439900.73406231</v>
      </c>
      <c r="I61" s="6">
        <f>Data!AA61</f>
        <v>732201078.30012977</v>
      </c>
      <c r="J61" s="6">
        <f>Data!AB61</f>
        <v>538206698.43210936</v>
      </c>
      <c r="K61" s="6">
        <f>Data!AC61</f>
        <v>103849678.39620891</v>
      </c>
      <c r="L61" s="6">
        <f>Data!AD61</f>
        <v>214761261.83429897</v>
      </c>
      <c r="M61" s="6">
        <f>Data!AE61</f>
        <v>770249778.9786979</v>
      </c>
      <c r="N61" s="6">
        <f>Data!AF61</f>
        <v>2002069561.8174739</v>
      </c>
      <c r="O61" s="6">
        <f>Data!AG61</f>
        <v>28089128.578072403</v>
      </c>
      <c r="P61" s="6">
        <f>Data!AH61</f>
        <v>2261313847.3000345</v>
      </c>
      <c r="Q61" s="6">
        <f>Data!AI61</f>
        <v>655032030.25469744</v>
      </c>
      <c r="R61" s="6">
        <f>Data!AJ61</f>
        <v>37580132.911746211</v>
      </c>
      <c r="S61" s="6">
        <f>Data!AK61/Data!T61</f>
        <v>85484.360573490601</v>
      </c>
      <c r="T61" s="6">
        <f>Data!AL61/Data!U61</f>
        <v>47591.595371320691</v>
      </c>
      <c r="U61" s="6">
        <f>Data!AM61/Data!V61</f>
        <v>67973.192114682446</v>
      </c>
      <c r="V61" s="6">
        <f>Data!AN61/Data!W61</f>
        <v>65329.269238728491</v>
      </c>
      <c r="W61" s="6">
        <f>Data!AO61/Data!X61</f>
        <v>26796.907683163867</v>
      </c>
      <c r="X61" s="6">
        <f>Data!AP61/Data!Y61</f>
        <v>2086.9461057556282</v>
      </c>
      <c r="Y61" s="6">
        <f>Data!AQ61/Data!Z61</f>
        <v>98884.298984126188</v>
      </c>
      <c r="Z61" s="6">
        <f>Data!AR61/Data!AA61</f>
        <v>32598.618935590359</v>
      </c>
      <c r="AA61" s="6">
        <f>Data!AS61/Data!AB61</f>
        <v>81370.406967207004</v>
      </c>
      <c r="AB61" s="6">
        <f>Data!AT61/Data!AC61</f>
        <v>71398.473737827284</v>
      </c>
      <c r="AC61" s="6">
        <f>Data!AU61/Data!AD61</f>
        <v>23556.862168939635</v>
      </c>
      <c r="AD61" s="6">
        <f>Data!AV61/Data!AE61</f>
        <v>27497.997293530727</v>
      </c>
      <c r="AE61" s="6">
        <f>Data!AW61/Data!AF61</f>
        <v>9010.8442192318926</v>
      </c>
      <c r="AF61" s="6">
        <f>Data!AX61/Data!AG61</f>
        <v>15904.911572028126</v>
      </c>
      <c r="AG61" s="6">
        <f>Data!AY61/Data!AH61</f>
        <v>22541.069184423071</v>
      </c>
      <c r="AH61" s="6">
        <f>Data!AZ61/Data!AI61</f>
        <v>28919.446096210151</v>
      </c>
      <c r="AI61" s="6">
        <f>Data!BA61/Data!AJ61</f>
        <v>88502.973028523018</v>
      </c>
      <c r="AJ61" s="19">
        <f t="shared" si="1"/>
        <v>6.4328148693979705E-8</v>
      </c>
      <c r="AK61" s="19">
        <f t="shared" si="11"/>
        <v>7.3564815844751796E-8</v>
      </c>
      <c r="AL61" s="19">
        <f t="shared" si="12"/>
        <v>4.0443540430388353E-8</v>
      </c>
      <c r="AM61" s="19">
        <f t="shared" si="13"/>
        <v>1.3685827637643898E-7</v>
      </c>
      <c r="AN61" s="19">
        <f t="shared" si="14"/>
        <v>1.5112372994390982E-7</v>
      </c>
      <c r="AO61" s="19">
        <f t="shared" si="15"/>
        <v>3.301660574931749E-6</v>
      </c>
      <c r="AP61" s="19">
        <f t="shared" si="16"/>
        <v>5.032808736360055E-8</v>
      </c>
      <c r="AQ61" s="19">
        <f t="shared" si="17"/>
        <v>5.4841176230202853E-8</v>
      </c>
      <c r="AR61" s="19">
        <f t="shared" si="18"/>
        <v>2.5200188816643332E-8</v>
      </c>
      <c r="AS61" s="19">
        <f t="shared" si="19"/>
        <v>3.0486230093902886E-8</v>
      </c>
      <c r="AT61" s="19">
        <f t="shared" si="20"/>
        <v>7.3638849869129228E-8</v>
      </c>
      <c r="AU61" s="19">
        <f t="shared" si="21"/>
        <v>1.0995862627833534E-7</v>
      </c>
      <c r="AV61" s="19">
        <f t="shared" si="22"/>
        <v>8.1106164399156638E-8</v>
      </c>
      <c r="AW61" s="19">
        <f t="shared" si="23"/>
        <v>6.2189471087357579E-7</v>
      </c>
      <c r="AX61" s="19">
        <f t="shared" si="24"/>
        <v>4.6438033400027154E-8</v>
      </c>
      <c r="AY61" s="19">
        <f t="shared" si="25"/>
        <v>6.1944918945822211E-8</v>
      </c>
      <c r="AZ61" s="19">
        <f t="shared" si="26"/>
        <v>4.8667383474304915E-8</v>
      </c>
      <c r="BA61" s="23">
        <f t="shared" si="27"/>
        <v>1.5730518841697274</v>
      </c>
      <c r="BB61" s="20">
        <f t="shared" si="28"/>
        <v>2.4111395713335857</v>
      </c>
      <c r="BC61" s="20">
        <f t="shared" si="29"/>
        <v>2.1053158793186619</v>
      </c>
      <c r="BD61" s="20">
        <f t="shared" si="30"/>
        <v>2.451968911580829</v>
      </c>
      <c r="BE61" s="20">
        <f t="shared" si="31"/>
        <v>3.3193354603862657</v>
      </c>
      <c r="BF61" s="20">
        <f t="shared" si="32"/>
        <v>4.5030141710777851</v>
      </c>
      <c r="BG61" s="20">
        <f t="shared" si="33"/>
        <v>1.6760458087628629</v>
      </c>
      <c r="BH61" s="20">
        <f t="shared" si="34"/>
        <v>1.6588663730853552</v>
      </c>
      <c r="BI61" s="20">
        <f t="shared" si="2"/>
        <v>1.7175879090298933</v>
      </c>
      <c r="BJ61" s="20">
        <f t="shared" si="3"/>
        <v>1.913159346317203</v>
      </c>
      <c r="BK61" s="20">
        <f t="shared" si="4"/>
        <v>2.4218582060664255</v>
      </c>
      <c r="BL61" s="20">
        <f t="shared" si="5"/>
        <v>2.3987523459327447</v>
      </c>
      <c r="BM61" s="20">
        <f t="shared" si="6"/>
        <v>1.1371572475034335</v>
      </c>
      <c r="BN61" s="20">
        <f t="shared" si="7"/>
        <v>9.8595653245205401</v>
      </c>
      <c r="BO61" s="20">
        <f t="shared" si="8"/>
        <v>2.7071446712852807</v>
      </c>
      <c r="BP61" s="20">
        <f t="shared" si="9"/>
        <v>2.7318219173686904</v>
      </c>
      <c r="BQ61" s="20">
        <f t="shared" si="10"/>
        <v>2.2546071447131428</v>
      </c>
    </row>
    <row r="62" spans="1:69" x14ac:dyDescent="0.3">
      <c r="A62" s="3">
        <v>2049</v>
      </c>
      <c r="B62" s="6">
        <f>Data!T62</f>
        <v>46917440.067895383</v>
      </c>
      <c r="C62" s="6">
        <f>Data!U62</f>
        <v>1305713282.693958</v>
      </c>
      <c r="D62" s="6">
        <f>Data!V62</f>
        <v>107407651.60169636</v>
      </c>
      <c r="E62" s="6">
        <f>Data!W62</f>
        <v>137043451.35457784</v>
      </c>
      <c r="F62" s="6">
        <f>Data!X62</f>
        <v>4606290.8544603083</v>
      </c>
      <c r="G62" s="6">
        <f>Data!Y62</f>
        <v>25512537.969461519</v>
      </c>
      <c r="H62" s="6">
        <f>Data!Z62</f>
        <v>419771520.02559555</v>
      </c>
      <c r="I62" s="6">
        <f>Data!AA62</f>
        <v>733454925.66646254</v>
      </c>
      <c r="J62" s="6">
        <f>Data!AB62</f>
        <v>538803910.26947284</v>
      </c>
      <c r="K62" s="6">
        <f>Data!AC62</f>
        <v>103369437.33907281</v>
      </c>
      <c r="L62" s="6">
        <f>Data!AD62</f>
        <v>215448780.73708874</v>
      </c>
      <c r="M62" s="6">
        <f>Data!AE62</f>
        <v>776873492.96922696</v>
      </c>
      <c r="N62" s="6">
        <f>Data!AF62</f>
        <v>2035930328.3052948</v>
      </c>
      <c r="O62" s="6">
        <f>Data!AG62</f>
        <v>28126876.441103578</v>
      </c>
      <c r="P62" s="6">
        <f>Data!AH62</f>
        <v>2269025183.2482767</v>
      </c>
      <c r="Q62" s="6">
        <f>Data!AI62</f>
        <v>656244884.57233238</v>
      </c>
      <c r="R62" s="6">
        <f>Data!AJ62</f>
        <v>37780741.171461746</v>
      </c>
      <c r="S62" s="6">
        <f>Data!AK62/Data!T62</f>
        <v>86613.79169640968</v>
      </c>
      <c r="T62" s="6">
        <f>Data!AL62/Data!U62</f>
        <v>48588.19396627375</v>
      </c>
      <c r="U62" s="6">
        <f>Data!AM62/Data!V62</f>
        <v>69034.161691256057</v>
      </c>
      <c r="V62" s="6">
        <f>Data!AN62/Data!W62</f>
        <v>66370.844360943534</v>
      </c>
      <c r="W62" s="6">
        <f>Data!AO62/Data!X62</f>
        <v>27274.083782454476</v>
      </c>
      <c r="X62" s="6">
        <f>Data!AP62/Data!Y62</f>
        <v>2188.881860098933</v>
      </c>
      <c r="Y62" s="6">
        <f>Data!AQ62/Data!Z62</f>
        <v>99826.252660913466</v>
      </c>
      <c r="Z62" s="6">
        <f>Data!AR62/Data!AA62</f>
        <v>33436.968692595539</v>
      </c>
      <c r="AA62" s="6">
        <f>Data!AS62/Data!AB62</f>
        <v>82532.859342018768</v>
      </c>
      <c r="AB62" s="6">
        <f>Data!AT62/Data!AC62</f>
        <v>72505.850104967409</v>
      </c>
      <c r="AC62" s="6">
        <f>Data!AU62/Data!AD62</f>
        <v>23990.100520878077</v>
      </c>
      <c r="AD62" s="6">
        <f>Data!AV62/Data!AE62</f>
        <v>27995.122656312273</v>
      </c>
      <c r="AE62" s="6">
        <f>Data!AW62/Data!AF62</f>
        <v>9261.517411435314</v>
      </c>
      <c r="AF62" s="6">
        <f>Data!AX62/Data!AG62</f>
        <v>16224.189481311007</v>
      </c>
      <c r="AG62" s="6">
        <f>Data!AY62/Data!AH62</f>
        <v>23218.211234215873</v>
      </c>
      <c r="AH62" s="6">
        <f>Data!AZ62/Data!AI62</f>
        <v>29440.625415193375</v>
      </c>
      <c r="AI62" s="6">
        <f>Data!BA62/Data!AJ62</f>
        <v>89808.477096767194</v>
      </c>
      <c r="AJ62" s="19">
        <f t="shared" si="1"/>
        <v>6.323399757444603E-8</v>
      </c>
      <c r="AK62" s="19">
        <f t="shared" si="11"/>
        <v>7.2041180041693497E-8</v>
      </c>
      <c r="AL62" s="19">
        <f t="shared" si="12"/>
        <v>3.9652443218200944E-8</v>
      </c>
      <c r="AM62" s="19">
        <f t="shared" si="13"/>
        <v>1.3691225137550986E-7</v>
      </c>
      <c r="AN62" s="19">
        <f t="shared" si="14"/>
        <v>1.5184574387231848E-7</v>
      </c>
      <c r="AO62" s="19">
        <f t="shared" si="15"/>
        <v>3.4528788902969197E-6</v>
      </c>
      <c r="AP62" s="19">
        <f t="shared" si="16"/>
        <v>4.9186030010468187E-8</v>
      </c>
      <c r="AQ62" s="19">
        <f t="shared" si="17"/>
        <v>5.4246702382128293E-8</v>
      </c>
      <c r="AR62" s="19">
        <f t="shared" si="18"/>
        <v>2.4545041465944647E-8</v>
      </c>
      <c r="AS62" s="19">
        <f t="shared" si="19"/>
        <v>2.9632914384819701E-8</v>
      </c>
      <c r="AT62" s="19">
        <f t="shared" si="20"/>
        <v>7.2516404983754979E-8</v>
      </c>
      <c r="AU62" s="19">
        <f t="shared" si="21"/>
        <v>1.096970893933787E-7</v>
      </c>
      <c r="AV62" s="19">
        <f t="shared" si="22"/>
        <v>8.0745973598279059E-8</v>
      </c>
      <c r="AW62" s="19">
        <f t="shared" si="23"/>
        <v>6.2057656333944818E-7</v>
      </c>
      <c r="AX62" s="19">
        <f t="shared" si="24"/>
        <v>4.5513988531290176E-8</v>
      </c>
      <c r="AY62" s="19">
        <f t="shared" si="25"/>
        <v>6.1202359889583435E-8</v>
      </c>
      <c r="AZ62" s="19">
        <f t="shared" si="26"/>
        <v>4.7704543681250388E-8</v>
      </c>
      <c r="BA62" s="23">
        <f t="shared" si="27"/>
        <v>1.5538298176979772</v>
      </c>
      <c r="BB62" s="20">
        <f t="shared" si="28"/>
        <v>2.382901380388494</v>
      </c>
      <c r="BC62" s="20">
        <f t="shared" si="29"/>
        <v>2.0860599512311704</v>
      </c>
      <c r="BD62" s="20">
        <f t="shared" si="30"/>
        <v>2.4515004059136438</v>
      </c>
      <c r="BE62" s="20">
        <f t="shared" si="31"/>
        <v>3.3091625178170503</v>
      </c>
      <c r="BF62" s="20">
        <f t="shared" si="32"/>
        <v>4.5366705516285801</v>
      </c>
      <c r="BG62" s="20">
        <f t="shared" si="33"/>
        <v>1.6599447037410924</v>
      </c>
      <c r="BH62" s="20">
        <f t="shared" si="34"/>
        <v>1.645930133462943</v>
      </c>
      <c r="BI62" s="20">
        <f t="shared" si="2"/>
        <v>1.7066035600389093</v>
      </c>
      <c r="BJ62" s="20">
        <f t="shared" si="3"/>
        <v>1.893930801700304</v>
      </c>
      <c r="BK62" s="20">
        <f t="shared" si="4"/>
        <v>2.4119932093762624</v>
      </c>
      <c r="BL62" s="20">
        <f t="shared" si="5"/>
        <v>2.3893597718149144</v>
      </c>
      <c r="BM62" s="20">
        <f t="shared" si="6"/>
        <v>1.1217669487920501</v>
      </c>
      <c r="BN62" s="20">
        <f t="shared" si="7"/>
        <v>10.256948326756017</v>
      </c>
      <c r="BO62" s="20">
        <f t="shared" si="8"/>
        <v>2.7087847962008449</v>
      </c>
      <c r="BP62" s="20">
        <f t="shared" si="9"/>
        <v>2.7406127146562911</v>
      </c>
      <c r="BQ62" s="20">
        <f t="shared" si="10"/>
        <v>2.2377102026653954</v>
      </c>
    </row>
    <row r="63" spans="1:69" x14ac:dyDescent="0.3">
      <c r="A63" s="3">
        <v>2050</v>
      </c>
      <c r="B63" s="6">
        <f>Data!T63</f>
        <v>46624727.245811693</v>
      </c>
      <c r="C63" s="6">
        <f>Data!U63</f>
        <v>1297946120.7634838</v>
      </c>
      <c r="D63" s="6">
        <f>Data!V63</f>
        <v>106746916.97191416</v>
      </c>
      <c r="E63" s="6">
        <f>Data!W63</f>
        <v>136928978.74413705</v>
      </c>
      <c r="F63" s="6">
        <f>Data!X63</f>
        <v>4648198.27494941</v>
      </c>
      <c r="G63" s="6">
        <f>Data!Y63</f>
        <v>25419575.916900031</v>
      </c>
      <c r="H63" s="6">
        <f>Data!Z63</f>
        <v>421103139.31712878</v>
      </c>
      <c r="I63" s="6">
        <f>Data!AA63</f>
        <v>734708773.03279543</v>
      </c>
      <c r="J63" s="6">
        <f>Data!AB63</f>
        <v>539401122.1068362</v>
      </c>
      <c r="K63" s="6">
        <f>Data!AC63</f>
        <v>102889196.28193671</v>
      </c>
      <c r="L63" s="6">
        <f>Data!AD63</f>
        <v>216136299.63987848</v>
      </c>
      <c r="M63" s="6">
        <f>Data!AE63</f>
        <v>783497206.9597559</v>
      </c>
      <c r="N63" s="6">
        <f>Data!AF63</f>
        <v>2069780746.1481009</v>
      </c>
      <c r="O63" s="6">
        <f>Data!AG63</f>
        <v>28164419.152705234</v>
      </c>
      <c r="P63" s="6">
        <f>Data!AH63</f>
        <v>2276726399.3330703</v>
      </c>
      <c r="Q63" s="6">
        <f>Data!AI63</f>
        <v>657457738.88996744</v>
      </c>
      <c r="R63" s="6">
        <f>Data!AJ63</f>
        <v>37981349.431177281</v>
      </c>
      <c r="S63" s="6">
        <f>Data!AK63/Data!T63</f>
        <v>87701.655895049495</v>
      </c>
      <c r="T63" s="6">
        <f>Data!AL63/Data!U63</f>
        <v>49580.547374461465</v>
      </c>
      <c r="U63" s="6">
        <f>Data!AM63/Data!V63</f>
        <v>70105.918689983111</v>
      </c>
      <c r="V63" s="6">
        <f>Data!AN63/Data!W63</f>
        <v>67451.57318219429</v>
      </c>
      <c r="W63" s="6">
        <f>Data!AO63/Data!X63</f>
        <v>27751.903158823465</v>
      </c>
      <c r="X63" s="6">
        <f>Data!AP63/Data!Y63</f>
        <v>2293.7936327436669</v>
      </c>
      <c r="Y63" s="6">
        <f>Data!AQ63/Data!Z63</f>
        <v>100757.91974403754</v>
      </c>
      <c r="Z63" s="6">
        <f>Data!AR63/Data!AA63</f>
        <v>34294.728510319903</v>
      </c>
      <c r="AA63" s="6">
        <f>Data!AS63/Data!AB63</f>
        <v>83686.122617627567</v>
      </c>
      <c r="AB63" s="6">
        <f>Data!AT63/Data!AC63</f>
        <v>73589.721872162729</v>
      </c>
      <c r="AC63" s="6">
        <f>Data!AU63/Data!AD63</f>
        <v>24433.616675555153</v>
      </c>
      <c r="AD63" s="6">
        <f>Data!AV63/Data!AE63</f>
        <v>28526.900442055907</v>
      </c>
      <c r="AE63" s="6">
        <f>Data!AW63/Data!AF63</f>
        <v>9521.9085278684652</v>
      </c>
      <c r="AF63" s="6">
        <f>Data!AX63/Data!AG63</f>
        <v>16540.157314200656</v>
      </c>
      <c r="AG63" s="6">
        <f>Data!AY63/Data!AH63</f>
        <v>23891.535370015135</v>
      </c>
      <c r="AH63" s="6">
        <f>Data!AZ63/Data!AI63</f>
        <v>29952.822874894457</v>
      </c>
      <c r="AI63" s="6">
        <f>Data!BA63/Data!AJ63</f>
        <v>91109.709483745522</v>
      </c>
      <c r="AJ63" s="19">
        <f t="shared" si="1"/>
        <v>6.2158456763100644E-8</v>
      </c>
      <c r="AK63" s="19">
        <f t="shared" si="11"/>
        <v>7.0549100982626244E-8</v>
      </c>
      <c r="AL63" s="19">
        <f t="shared" si="12"/>
        <v>3.8876820289235791E-8</v>
      </c>
      <c r="AM63" s="19">
        <f t="shared" si="13"/>
        <v>1.36966247661569E-7</v>
      </c>
      <c r="AN63" s="19">
        <f t="shared" si="14"/>
        <v>1.525712073192972E-7</v>
      </c>
      <c r="AO63" s="19">
        <f t="shared" si="15"/>
        <v>3.6110231080626887E-6</v>
      </c>
      <c r="AP63" s="19">
        <f t="shared" si="16"/>
        <v>4.8069888504056175E-8</v>
      </c>
      <c r="AQ63" s="19">
        <f t="shared" si="17"/>
        <v>5.3658672581762728E-8</v>
      </c>
      <c r="AR63" s="19">
        <f t="shared" si="18"/>
        <v>2.390692644997371E-8</v>
      </c>
      <c r="AS63" s="19">
        <f t="shared" si="19"/>
        <v>2.8803483153978832E-8</v>
      </c>
      <c r="AT63" s="19">
        <f t="shared" si="20"/>
        <v>7.1411069036433708E-8</v>
      </c>
      <c r="AU63" s="19">
        <f t="shared" si="21"/>
        <v>1.094361745745983E-7</v>
      </c>
      <c r="AV63" s="19">
        <f t="shared" si="22"/>
        <v>8.0387382397308559E-8</v>
      </c>
      <c r="AW63" s="19">
        <f t="shared" si="23"/>
        <v>6.1926120970739336E-7</v>
      </c>
      <c r="AX63" s="19">
        <f t="shared" si="24"/>
        <v>4.4608330722833801E-8</v>
      </c>
      <c r="AY63" s="19">
        <f t="shared" si="25"/>
        <v>6.0468702192187092E-8</v>
      </c>
      <c r="AZ63" s="19">
        <f t="shared" si="26"/>
        <v>4.6760752795305874E-8</v>
      </c>
      <c r="BA63" s="23">
        <f t="shared" si="27"/>
        <v>1.534842637210067</v>
      </c>
      <c r="BB63" s="20">
        <f t="shared" si="28"/>
        <v>2.3549939025374642</v>
      </c>
      <c r="BC63" s="20">
        <f t="shared" si="29"/>
        <v>2.0669801443472253</v>
      </c>
      <c r="BD63" s="20">
        <f t="shared" si="30"/>
        <v>2.4510319897653585</v>
      </c>
      <c r="BE63" s="20">
        <f t="shared" si="31"/>
        <v>3.2990207528018218</v>
      </c>
      <c r="BF63" s="20">
        <f t="shared" si="32"/>
        <v>4.5705784863403762</v>
      </c>
      <c r="BG63" s="20">
        <f t="shared" si="33"/>
        <v>1.643998275627057</v>
      </c>
      <c r="BH63" s="20">
        <f t="shared" si="34"/>
        <v>1.633094773753635</v>
      </c>
      <c r="BI63" s="20">
        <f t="shared" si="2"/>
        <v>1.6956894583535342</v>
      </c>
      <c r="BJ63" s="20">
        <f t="shared" si="3"/>
        <v>1.8748955169542025</v>
      </c>
      <c r="BK63" s="20">
        <f t="shared" si="4"/>
        <v>2.4021683959468092</v>
      </c>
      <c r="BL63" s="20">
        <f t="shared" si="5"/>
        <v>2.3800039753363884</v>
      </c>
      <c r="BM63" s="20">
        <f t="shared" si="6"/>
        <v>1.1065849425529222</v>
      </c>
      <c r="BN63" s="20">
        <f t="shared" si="7"/>
        <v>10.67034757770714</v>
      </c>
      <c r="BO63" s="20">
        <f t="shared" si="8"/>
        <v>2.7104259147868865</v>
      </c>
      <c r="BP63" s="20">
        <f t="shared" si="9"/>
        <v>2.7494318000678213</v>
      </c>
      <c r="BQ63" s="20">
        <f t="shared" si="10"/>
        <v>2.220939893167019</v>
      </c>
    </row>
    <row r="66" spans="1:69" x14ac:dyDescent="0.3">
      <c r="A66" s="3" t="s">
        <v>29</v>
      </c>
      <c r="AJ66" s="18">
        <f>(AJ36/AJ27)^(1/10)-1</f>
        <v>-1.7008901107021468E-2</v>
      </c>
      <c r="AK66" s="18">
        <f t="shared" ref="AK66:BQ66" si="35">(AK36/AK27)^(1/10)-1</f>
        <v>-2.0711474440087141E-2</v>
      </c>
      <c r="AL66" s="18">
        <f t="shared" si="35"/>
        <v>-1.9560533122688684E-2</v>
      </c>
      <c r="AM66" s="18">
        <f t="shared" si="35"/>
        <v>3.9438607952657634E-4</v>
      </c>
      <c r="AN66" s="18">
        <f t="shared" si="35"/>
        <v>4.7776343839358582E-3</v>
      </c>
      <c r="AO66" s="18">
        <f t="shared" si="35"/>
        <v>4.5800684817002058E-2</v>
      </c>
      <c r="AP66" s="18">
        <f t="shared" si="35"/>
        <v>-2.2692246277539851E-2</v>
      </c>
      <c r="AQ66" s="18">
        <f t="shared" si="35"/>
        <v>-1.0839917903641916E-2</v>
      </c>
      <c r="AR66" s="18">
        <f t="shared" si="35"/>
        <v>-2.599771594830258E-2</v>
      </c>
      <c r="AS66" s="18">
        <f t="shared" si="35"/>
        <v>-2.7990201033542883E-2</v>
      </c>
      <c r="AT66" s="18">
        <f t="shared" si="35"/>
        <v>-1.5242564045596207E-2</v>
      </c>
      <c r="AU66" s="18">
        <f t="shared" si="35"/>
        <v>-2.3785026587601621E-3</v>
      </c>
      <c r="AV66" s="18">
        <f t="shared" si="35"/>
        <v>-4.4409793453544788E-3</v>
      </c>
      <c r="AW66" s="18">
        <f t="shared" si="35"/>
        <v>-2.1195670441962466E-3</v>
      </c>
      <c r="AX66" s="18">
        <f t="shared" si="35"/>
        <v>-1.9898449634528248E-2</v>
      </c>
      <c r="AY66" s="18">
        <f t="shared" si="35"/>
        <v>-1.1987408634568264E-2</v>
      </c>
      <c r="AZ66" s="18">
        <f t="shared" si="35"/>
        <v>-1.9784087911010828E-2</v>
      </c>
      <c r="BA66" s="22">
        <f t="shared" si="35"/>
        <v>-1.2219601060327268E-2</v>
      </c>
      <c r="BB66" s="18">
        <f t="shared" si="35"/>
        <v>-1.1711553856450285E-2</v>
      </c>
      <c r="BC66" s="18">
        <f t="shared" si="35"/>
        <v>-9.1463367928061867E-3</v>
      </c>
      <c r="BD66" s="18">
        <f t="shared" si="35"/>
        <v>-1.9107324932732261E-4</v>
      </c>
      <c r="BE66" s="18">
        <f t="shared" si="35"/>
        <v>-3.0647527767595495E-3</v>
      </c>
      <c r="BF66" s="18">
        <f t="shared" si="35"/>
        <v>7.4741893478740273E-3</v>
      </c>
      <c r="BG66" s="18">
        <f t="shared" si="35"/>
        <v>-9.6066020019197618E-3</v>
      </c>
      <c r="BH66" s="18">
        <f t="shared" si="35"/>
        <v>-7.7982409145782583E-3</v>
      </c>
      <c r="BI66" s="18">
        <f t="shared" si="35"/>
        <v>-6.3952179293040867E-3</v>
      </c>
      <c r="BJ66" s="18">
        <f t="shared" si="35"/>
        <v>-1.0050675942865683E-2</v>
      </c>
      <c r="BK66" s="18">
        <f t="shared" si="35"/>
        <v>-4.0733172014170149E-3</v>
      </c>
      <c r="BL66" s="18">
        <f t="shared" si="35"/>
        <v>-3.9156081009179555E-3</v>
      </c>
      <c r="BM66" s="18">
        <f t="shared" si="35"/>
        <v>-1.3534011013139891E-2</v>
      </c>
      <c r="BN66" s="18">
        <f t="shared" si="35"/>
        <v>4.0304312528585129E-2</v>
      </c>
      <c r="BO66" s="18">
        <f t="shared" si="35"/>
        <v>6.0585048629313576E-4</v>
      </c>
      <c r="BP66" s="18">
        <f t="shared" si="35"/>
        <v>3.2179247233172781E-3</v>
      </c>
      <c r="BQ66" s="18">
        <f t="shared" si="35"/>
        <v>-7.4944063258954863E-3</v>
      </c>
    </row>
  </sheetData>
  <mergeCells count="4">
    <mergeCell ref="BA1:BQ1"/>
    <mergeCell ref="B1:R1"/>
    <mergeCell ref="S1:AI1"/>
    <mergeCell ref="AJ1:AZ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72F1-A645-438E-941C-5B50408689D6}">
  <dimension ref="A1:S63"/>
  <sheetViews>
    <sheetView zoomScale="40" zoomScaleNormal="40" workbookViewId="0">
      <selection activeCell="B32" sqref="B32:B63"/>
    </sheetView>
  </sheetViews>
  <sheetFormatPr defaultRowHeight="14.4" x14ac:dyDescent="0.3"/>
  <cols>
    <col min="1" max="1" width="9.77734375" style="14" customWidth="1"/>
    <col min="3" max="3" width="10.44140625" bestFit="1" customWidth="1"/>
    <col min="4" max="4" width="13" bestFit="1" customWidth="1"/>
    <col min="5" max="5" width="11.77734375" bestFit="1" customWidth="1"/>
    <col min="6" max="6" width="12.21875" bestFit="1" customWidth="1"/>
    <col min="7" max="7" width="9.5546875" bestFit="1" customWidth="1"/>
    <col min="8" max="8" width="10.44140625" bestFit="1" customWidth="1"/>
    <col min="9" max="11" width="12.21875" bestFit="1" customWidth="1"/>
    <col min="12" max="12" width="11.77734375" bestFit="1" customWidth="1"/>
    <col min="13" max="13" width="11.44140625" bestFit="1" customWidth="1"/>
    <col min="14" max="14" width="12.21875" bestFit="1" customWidth="1"/>
    <col min="15" max="15" width="11.77734375" bestFit="1" customWidth="1"/>
    <col min="16" max="18" width="12.21875" bestFit="1" customWidth="1"/>
    <col min="19" max="19" width="10.44140625" bestFit="1" customWidth="1"/>
  </cols>
  <sheetData>
    <row r="1" spans="1:19" x14ac:dyDescent="0.3">
      <c r="B1" t="s">
        <v>28</v>
      </c>
    </row>
    <row r="2" spans="1:19" x14ac:dyDescent="0.3"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14</v>
      </c>
      <c r="N2" s="3" t="s">
        <v>10</v>
      </c>
      <c r="O2" s="3" t="s">
        <v>11</v>
      </c>
      <c r="P2" s="3" t="s">
        <v>15</v>
      </c>
      <c r="Q2" s="3" t="s">
        <v>12</v>
      </c>
      <c r="R2" s="3" t="s">
        <v>16</v>
      </c>
      <c r="S2" s="3" t="s">
        <v>17</v>
      </c>
    </row>
    <row r="3" spans="1:19" x14ac:dyDescent="0.3">
      <c r="A3" s="28" t="s">
        <v>13</v>
      </c>
      <c r="B3" s="3">
        <v>1990</v>
      </c>
      <c r="C3" s="6">
        <f>KAYA!B3*KAYA!S3*KAYA!AJ3*KAYA!BA3</f>
        <v>260232.55642396593</v>
      </c>
      <c r="D3" s="6">
        <f>KAYA!C3*KAYA!T3*KAYA!AK3*KAYA!BB3</f>
        <v>2449320.5072107152</v>
      </c>
      <c r="E3" s="6">
        <f>KAYA!D3*KAYA!U3*KAYA!AL3*KAYA!BC3</f>
        <v>1162286.2551307005</v>
      </c>
      <c r="F3" s="6">
        <f>KAYA!E3*KAYA!V3*KAYA!AM3*KAYA!BD3</f>
        <v>2436269.5414054999</v>
      </c>
      <c r="G3" s="6">
        <f>KAYA!F3*KAYA!W3*KAYA!AN3*KAYA!BE3</f>
        <v>13147.884609649996</v>
      </c>
      <c r="H3" s="6">
        <f>KAYA!G3*KAYA!X3*KAYA!AO3*KAYA!BF3</f>
        <v>131964.51319481601</v>
      </c>
      <c r="I3" s="6">
        <f>KAYA!H3*KAYA!Y3*KAYA!AP3*KAYA!BG3</f>
        <v>5443214.6994715109</v>
      </c>
      <c r="J3" s="6">
        <f>KAYA!I3*KAYA!Z3*KAYA!AQ3*KAYA!BH3</f>
        <v>950935.01724872109</v>
      </c>
      <c r="K3" s="6">
        <f>KAYA!J3*KAYA!AA3*KAYA!AR3*KAYA!BI3</f>
        <v>3555586.5817636102</v>
      </c>
      <c r="L3" s="6">
        <f>KAYA!K3*KAYA!AB3*KAYA!AS3*KAYA!BJ3</f>
        <v>1179817.0313260867</v>
      </c>
      <c r="M3" s="6">
        <f>KAYA!L3*KAYA!AC3*KAYA!AT3*KAYA!BK3</f>
        <v>1492441.4543889724</v>
      </c>
      <c r="N3" s="6">
        <f>KAYA!M3*KAYA!AD3*KAYA!AU3*KAYA!BL3</f>
        <v>917112.56296051317</v>
      </c>
      <c r="O3" s="6">
        <f>KAYA!N3*KAYA!AE3*KAYA!AV3*KAYA!BM3</f>
        <v>477656.37652241683</v>
      </c>
      <c r="P3" s="6">
        <f>KAYA!O3*KAYA!AF3*KAYA!AW3*KAYA!BN3</f>
        <v>21263.408524213992</v>
      </c>
      <c r="Q3" s="6">
        <f>KAYA!P3*KAYA!AG3*KAYA!AX3*KAYA!BO3</f>
        <v>689599.67953420291</v>
      </c>
      <c r="R3" s="6">
        <f>KAYA!Q3*KAYA!AH3*KAYA!AY3*KAYA!BP3</f>
        <v>544604.01383672806</v>
      </c>
      <c r="S3" s="6">
        <f>KAYA!R3*KAYA!AI3*KAYA!AZ3*KAYA!BQ3</f>
        <v>302698.52989109809</v>
      </c>
    </row>
    <row r="4" spans="1:19" x14ac:dyDescent="0.3">
      <c r="A4" s="28"/>
      <c r="B4" s="3">
        <v>1991</v>
      </c>
      <c r="C4" s="6">
        <f>KAYA!B4*KAYA!S4*KAYA!AJ4*KAYA!BA4</f>
        <v>292360.92776459106</v>
      </c>
      <c r="D4" s="6">
        <f>KAYA!C4*KAYA!T4*KAYA!AK4*KAYA!BB4</f>
        <v>2588695.3769451738</v>
      </c>
      <c r="E4" s="6">
        <f>KAYA!D4*KAYA!U4*KAYA!AL4*KAYA!BC4</f>
        <v>1172036.7936685993</v>
      </c>
      <c r="F4" s="6">
        <f>KAYA!E4*KAYA!V4*KAYA!AM4*KAYA!BD4</f>
        <v>2393540.4935129001</v>
      </c>
      <c r="G4" s="6">
        <f>KAYA!F4*KAYA!W4*KAYA!AN4*KAYA!BE4</f>
        <v>14858.263055650003</v>
      </c>
      <c r="H4" s="6">
        <f>KAYA!G4*KAYA!X4*KAYA!AO4*KAYA!BF4</f>
        <v>126915.60665708099</v>
      </c>
      <c r="I4" s="6">
        <f>KAYA!H4*KAYA!Y4*KAYA!AP4*KAYA!BG4</f>
        <v>5393199.5801253002</v>
      </c>
      <c r="J4" s="6">
        <f>KAYA!I4*KAYA!Z4*KAYA!AQ4*KAYA!BH4</f>
        <v>979649.49793473375</v>
      </c>
      <c r="K4" s="6">
        <f>KAYA!J4*KAYA!AA4*KAYA!AR4*KAYA!BI4</f>
        <v>3601521.5978613622</v>
      </c>
      <c r="L4" s="6">
        <f>KAYA!K4*KAYA!AB4*KAYA!AS4*KAYA!BJ4</f>
        <v>1072019.673881165</v>
      </c>
      <c r="M4" s="6">
        <f>KAYA!L4*KAYA!AC4*KAYA!AT4*KAYA!BK4</f>
        <v>1431030.7347127425</v>
      </c>
      <c r="N4" s="6">
        <f>KAYA!M4*KAYA!AD4*KAYA!AU4*KAYA!BL4</f>
        <v>959075.29058560485</v>
      </c>
      <c r="O4" s="6">
        <f>KAYA!N4*KAYA!AE4*KAYA!AV4*KAYA!BM4</f>
        <v>476328.84166825173</v>
      </c>
      <c r="P4" s="6">
        <f>KAYA!O4*KAYA!AF4*KAYA!AW4*KAYA!BN4</f>
        <v>21507.377260689995</v>
      </c>
      <c r="Q4" s="6">
        <f>KAYA!P4*KAYA!AG4*KAYA!AX4*KAYA!BO4</f>
        <v>737460.84283235099</v>
      </c>
      <c r="R4" s="6">
        <f>KAYA!Q4*KAYA!AH4*KAYA!AY4*KAYA!BP4</f>
        <v>589575.18834594183</v>
      </c>
      <c r="S4" s="6">
        <f>KAYA!R4*KAYA!AI4*KAYA!AZ4*KAYA!BQ4</f>
        <v>305394.51392184984</v>
      </c>
    </row>
    <row r="5" spans="1:19" x14ac:dyDescent="0.3">
      <c r="A5" s="28"/>
      <c r="B5" s="3">
        <v>1992</v>
      </c>
      <c r="C5" s="6">
        <f>KAYA!B5*KAYA!S5*KAYA!AJ5*KAYA!BA5</f>
        <v>321092.18870631704</v>
      </c>
      <c r="D5" s="6">
        <f>KAYA!C5*KAYA!T5*KAYA!AK5*KAYA!BB5</f>
        <v>2713280.8260958404</v>
      </c>
      <c r="E5" s="6">
        <f>KAYA!D5*KAYA!U5*KAYA!AL5*KAYA!BC5</f>
        <v>1177372.0676768001</v>
      </c>
      <c r="F5" s="6">
        <f>KAYA!E5*KAYA!V5*KAYA!AM5*KAYA!BD5</f>
        <v>2205465.0503112003</v>
      </c>
      <c r="G5" s="6">
        <f>KAYA!F5*KAYA!W5*KAYA!AN5*KAYA!BE5</f>
        <v>12957.341083609002</v>
      </c>
      <c r="H5" s="6">
        <f>KAYA!G5*KAYA!X5*KAYA!AO5*KAYA!BF5</f>
        <v>112244.28550481801</v>
      </c>
      <c r="I5" s="6">
        <f>KAYA!H5*KAYA!Y5*KAYA!AP5*KAYA!BG5</f>
        <v>5484641.9326276723</v>
      </c>
      <c r="J5" s="6">
        <f>KAYA!I5*KAYA!Z5*KAYA!AQ5*KAYA!BH5</f>
        <v>996489.83691906859</v>
      </c>
      <c r="K5" s="6">
        <f>KAYA!J5*KAYA!AA5*KAYA!AR5*KAYA!BI5</f>
        <v>3526821.2937485077</v>
      </c>
      <c r="L5" s="6">
        <f>KAYA!K5*KAYA!AB5*KAYA!AS5*KAYA!BJ5</f>
        <v>985980.64460233413</v>
      </c>
      <c r="M5" s="6">
        <f>KAYA!L5*KAYA!AC5*KAYA!AT5*KAYA!BK5</f>
        <v>1275412.214370107</v>
      </c>
      <c r="N5" s="6">
        <f>KAYA!M5*KAYA!AD5*KAYA!AU5*KAYA!BL5</f>
        <v>1020478.7262494948</v>
      </c>
      <c r="O5" s="6">
        <f>KAYA!N5*KAYA!AE5*KAYA!AV5*KAYA!BM5</f>
        <v>478803.52604773961</v>
      </c>
      <c r="P5" s="6">
        <f>KAYA!O5*KAYA!AF5*KAYA!AW5*KAYA!BN5</f>
        <v>22566.565129474995</v>
      </c>
      <c r="Q5" s="6">
        <f>KAYA!P5*KAYA!AG5*KAYA!AX5*KAYA!BO5</f>
        <v>769328.16160703497</v>
      </c>
      <c r="R5" s="6">
        <f>KAYA!Q5*KAYA!AH5*KAYA!AY5*KAYA!BP5</f>
        <v>624591.45730218478</v>
      </c>
      <c r="S5" s="6">
        <f>KAYA!R5*KAYA!AI5*KAYA!AZ5*KAYA!BQ5</f>
        <v>310412.8825892898</v>
      </c>
    </row>
    <row r="6" spans="1:19" x14ac:dyDescent="0.3">
      <c r="A6" s="28"/>
      <c r="B6" s="3">
        <v>1993</v>
      </c>
      <c r="C6" s="6">
        <f>KAYA!B6*KAYA!S6*KAYA!AJ6*KAYA!BA6</f>
        <v>349635.312394323</v>
      </c>
      <c r="D6" s="6">
        <f>KAYA!C6*KAYA!T6*KAYA!AK6*KAYA!BB6</f>
        <v>2934645.1603470109</v>
      </c>
      <c r="E6" s="6">
        <f>KAYA!D6*KAYA!U6*KAYA!AL6*KAYA!BC6</f>
        <v>1169827.6179620996</v>
      </c>
      <c r="F6" s="6">
        <f>KAYA!E6*KAYA!V6*KAYA!AM6*KAYA!BD6</f>
        <v>2012962.4902572003</v>
      </c>
      <c r="G6" s="6">
        <f>KAYA!F6*KAYA!W6*KAYA!AN6*KAYA!BE6</f>
        <v>11937.255400437001</v>
      </c>
      <c r="H6" s="6">
        <f>KAYA!G6*KAYA!X6*KAYA!AO6*KAYA!BF6</f>
        <v>104007.01992451299</v>
      </c>
      <c r="I6" s="6">
        <f>KAYA!H6*KAYA!Y6*KAYA!AP6*KAYA!BG6</f>
        <v>5603056.8096259395</v>
      </c>
      <c r="J6" s="6">
        <f>KAYA!I6*KAYA!Z6*KAYA!AQ6*KAYA!BH6</f>
        <v>1029878.1006014004</v>
      </c>
      <c r="K6" s="6">
        <f>KAYA!J6*KAYA!AA6*KAYA!AR6*KAYA!BI6</f>
        <v>3471941.2250395268</v>
      </c>
      <c r="L6" s="6">
        <f>KAYA!K6*KAYA!AB6*KAYA!AS6*KAYA!BJ6</f>
        <v>955970.86946763122</v>
      </c>
      <c r="M6" s="6">
        <f>KAYA!L6*KAYA!AC6*KAYA!AT6*KAYA!BK6</f>
        <v>1114426.1510702651</v>
      </c>
      <c r="N6" s="6">
        <f>KAYA!M6*KAYA!AD6*KAYA!AU6*KAYA!BL6</f>
        <v>1074708.4173423341</v>
      </c>
      <c r="O6" s="6">
        <f>KAYA!N6*KAYA!AE6*KAYA!AV6*KAYA!BM6</f>
        <v>478621.92433880764</v>
      </c>
      <c r="P6" s="6">
        <f>KAYA!O6*KAYA!AF6*KAYA!AW6*KAYA!BN6</f>
        <v>26303.315289373273</v>
      </c>
      <c r="Q6" s="6">
        <f>KAYA!P6*KAYA!AG6*KAYA!AX6*KAYA!BO6</f>
        <v>809046.76559936628</v>
      </c>
      <c r="R6" s="6">
        <f>KAYA!Q6*KAYA!AH6*KAYA!AY6*KAYA!BP6</f>
        <v>677597.99247088702</v>
      </c>
      <c r="S6" s="6">
        <f>KAYA!R6*KAYA!AI6*KAYA!AZ6*KAYA!BQ6</f>
        <v>314345.14024335978</v>
      </c>
    </row>
    <row r="7" spans="1:19" x14ac:dyDescent="0.3">
      <c r="A7" s="28"/>
      <c r="B7" s="3">
        <v>1994</v>
      </c>
      <c r="C7" s="6">
        <f>KAYA!B7*KAYA!S7*KAYA!AJ7*KAYA!BA7</f>
        <v>377449.76610086701</v>
      </c>
      <c r="D7" s="6">
        <f>KAYA!C7*KAYA!T7*KAYA!AK7*KAYA!BB7</f>
        <v>3085058.8514091549</v>
      </c>
      <c r="E7" s="6">
        <f>KAYA!D7*KAYA!U7*KAYA!AL7*KAYA!BC7</f>
        <v>1223346.4208354002</v>
      </c>
      <c r="F7" s="6">
        <f>KAYA!E7*KAYA!V7*KAYA!AM7*KAYA!BD7</f>
        <v>1814911.8665441999</v>
      </c>
      <c r="G7" s="6">
        <f>KAYA!F7*KAYA!W7*KAYA!AN7*KAYA!BE7</f>
        <v>10406.290506082998</v>
      </c>
      <c r="H7" s="6">
        <f>KAYA!G7*KAYA!X7*KAYA!AO7*KAYA!BF7</f>
        <v>95190.12347134405</v>
      </c>
      <c r="I7" s="6">
        <f>KAYA!H7*KAYA!Y7*KAYA!AP7*KAYA!BG7</f>
        <v>5703237.0550328074</v>
      </c>
      <c r="J7" s="6">
        <f>KAYA!I7*KAYA!Z7*KAYA!AQ7*KAYA!BH7</f>
        <v>1093035.9005035067</v>
      </c>
      <c r="K7" s="6">
        <f>KAYA!J7*KAYA!AA7*KAYA!AR7*KAYA!BI7</f>
        <v>3476457.8363585402</v>
      </c>
      <c r="L7" s="6">
        <f>KAYA!K7*KAYA!AB7*KAYA!AS7*KAYA!BJ7</f>
        <v>919653.7545534469</v>
      </c>
      <c r="M7" s="6">
        <f>KAYA!L7*KAYA!AC7*KAYA!AT7*KAYA!BK7</f>
        <v>962199.14094608999</v>
      </c>
      <c r="N7" s="6">
        <f>KAYA!M7*KAYA!AD7*KAYA!AU7*KAYA!BL7</f>
        <v>1161081.1988364104</v>
      </c>
      <c r="O7" s="6">
        <f>KAYA!N7*KAYA!AE7*KAYA!AV7*KAYA!BM7</f>
        <v>481841.50763703621</v>
      </c>
      <c r="P7" s="6">
        <f>KAYA!O7*KAYA!AF7*KAYA!AW7*KAYA!BN7</f>
        <v>30821.812239519983</v>
      </c>
      <c r="Q7" s="6">
        <f>KAYA!P7*KAYA!AG7*KAYA!AX7*KAYA!BO7</f>
        <v>857759.75831333699</v>
      </c>
      <c r="R7" s="6">
        <f>KAYA!Q7*KAYA!AH7*KAYA!AY7*KAYA!BP7</f>
        <v>731162.66123095911</v>
      </c>
      <c r="S7" s="6">
        <f>KAYA!R7*KAYA!AI7*KAYA!AZ7*KAYA!BQ7</f>
        <v>320281.20333359001</v>
      </c>
    </row>
    <row r="8" spans="1:19" x14ac:dyDescent="0.3">
      <c r="A8" s="28"/>
      <c r="B8" s="3">
        <v>1995</v>
      </c>
      <c r="C8" s="6">
        <f>KAYA!B8*KAYA!S8*KAYA!AJ8*KAYA!BA8</f>
        <v>407088.32865010411</v>
      </c>
      <c r="D8" s="6">
        <f>KAYA!C8*KAYA!T8*KAYA!AK8*KAYA!BB8</f>
        <v>3404402.5325543024</v>
      </c>
      <c r="E8" s="6">
        <f>KAYA!D8*KAYA!U8*KAYA!AL8*KAYA!BC8</f>
        <v>1233224.2879423997</v>
      </c>
      <c r="F8" s="6">
        <f>KAYA!E8*KAYA!V8*KAYA!AM8*KAYA!BD8</f>
        <v>1768562.1502159999</v>
      </c>
      <c r="G8" s="6">
        <f>KAYA!F8*KAYA!W8*KAYA!AN8*KAYA!BE8</f>
        <v>10343.856822975999</v>
      </c>
      <c r="H8" s="6">
        <f>KAYA!G8*KAYA!X8*KAYA!AO8*KAYA!BF8</f>
        <v>89100.934482063007</v>
      </c>
      <c r="I8" s="6">
        <f>KAYA!H8*KAYA!Y8*KAYA!AP8*KAYA!BG8</f>
        <v>5769303.0087698111</v>
      </c>
      <c r="J8" s="6">
        <f>KAYA!I8*KAYA!Z8*KAYA!AQ8*KAYA!BH8</f>
        <v>1110071.3267776107</v>
      </c>
      <c r="K8" s="6">
        <f>KAYA!J8*KAYA!AA8*KAYA!AR8*KAYA!BI8</f>
        <v>3531993.7262651343</v>
      </c>
      <c r="L8" s="6">
        <f>KAYA!K8*KAYA!AB8*KAYA!AS8*KAYA!BJ8</f>
        <v>930359.48030135396</v>
      </c>
      <c r="M8" s="6">
        <f>KAYA!L8*KAYA!AC8*KAYA!AT8*KAYA!BK8</f>
        <v>910528.40689613705</v>
      </c>
      <c r="N8" s="6">
        <f>KAYA!M8*KAYA!AD8*KAYA!AU8*KAYA!BL8</f>
        <v>1194933.8941411444</v>
      </c>
      <c r="O8" s="6">
        <f>KAYA!N8*KAYA!AE8*KAYA!AV8*KAYA!BM8</f>
        <v>512119.89899110317</v>
      </c>
      <c r="P8" s="6">
        <f>KAYA!O8*KAYA!AF8*KAYA!AW8*KAYA!BN8</f>
        <v>36266.532295608005</v>
      </c>
      <c r="Q8" s="6">
        <f>KAYA!P8*KAYA!AG8*KAYA!AX8*KAYA!BO8</f>
        <v>920512.06693008402</v>
      </c>
      <c r="R8" s="6">
        <f>KAYA!Q8*KAYA!AH8*KAYA!AY8*KAYA!BP8</f>
        <v>800344.77001825883</v>
      </c>
      <c r="S8" s="6">
        <f>KAYA!R8*KAYA!AI8*KAYA!AZ8*KAYA!BQ8</f>
        <v>331507.60563975986</v>
      </c>
    </row>
    <row r="9" spans="1:19" x14ac:dyDescent="0.3">
      <c r="A9" s="28"/>
      <c r="B9" s="3">
        <v>1996</v>
      </c>
      <c r="C9" s="6">
        <f>KAYA!B9*KAYA!S9*KAYA!AJ9*KAYA!BA9</f>
        <v>436496.6196833899</v>
      </c>
      <c r="D9" s="6">
        <f>KAYA!C9*KAYA!T9*KAYA!AK9*KAYA!BB9</f>
        <v>3376352.721545619</v>
      </c>
      <c r="E9" s="6">
        <f>KAYA!D9*KAYA!U9*KAYA!AL9*KAYA!BC9</f>
        <v>1246029.0392773005</v>
      </c>
      <c r="F9" s="6">
        <f>KAYA!E9*KAYA!V9*KAYA!AM9*KAYA!BD9</f>
        <v>1727191.3837546001</v>
      </c>
      <c r="G9" s="6">
        <f>KAYA!F9*KAYA!W9*KAYA!AN9*KAYA!BE9</f>
        <v>8742.7978769540005</v>
      </c>
      <c r="H9" s="6">
        <f>KAYA!G9*KAYA!X9*KAYA!AO9*KAYA!BF9</f>
        <v>79057.979687368992</v>
      </c>
      <c r="I9" s="6">
        <f>KAYA!H9*KAYA!Y9*KAYA!AP9*KAYA!BG9</f>
        <v>5938551.0536294542</v>
      </c>
      <c r="J9" s="6">
        <f>KAYA!I9*KAYA!Z9*KAYA!AQ9*KAYA!BH9</f>
        <v>1185727.6757260952</v>
      </c>
      <c r="K9" s="6">
        <f>KAYA!J9*KAYA!AA9*KAYA!AR9*KAYA!BI9</f>
        <v>3640655.2406890048</v>
      </c>
      <c r="L9" s="6">
        <f>KAYA!K9*KAYA!AB9*KAYA!AS9*KAYA!BJ9</f>
        <v>968421.90152690595</v>
      </c>
      <c r="M9" s="6">
        <f>KAYA!L9*KAYA!AC9*KAYA!AT9*KAYA!BK9</f>
        <v>813741.61480704602</v>
      </c>
      <c r="N9" s="6">
        <f>KAYA!M9*KAYA!AD9*KAYA!AU9*KAYA!BL9</f>
        <v>1231365.3230477062</v>
      </c>
      <c r="O9" s="6">
        <f>KAYA!N9*KAYA!AE9*KAYA!AV9*KAYA!BM9</f>
        <v>546038.70025465393</v>
      </c>
      <c r="P9" s="6">
        <f>KAYA!O9*KAYA!AF9*KAYA!AW9*KAYA!BN9</f>
        <v>40833.908541843979</v>
      </c>
      <c r="Q9" s="6">
        <f>KAYA!P9*KAYA!AG9*KAYA!AX9*KAYA!BO9</f>
        <v>964846.41181900434</v>
      </c>
      <c r="R9" s="6">
        <f>KAYA!Q9*KAYA!AH9*KAYA!AY9*KAYA!BP9</f>
        <v>860502.66366652492</v>
      </c>
      <c r="S9" s="6">
        <f>KAYA!R9*KAYA!AI9*KAYA!AZ9*KAYA!BQ9</f>
        <v>342482.0817876599</v>
      </c>
    </row>
    <row r="10" spans="1:19" x14ac:dyDescent="0.3">
      <c r="A10" s="28"/>
      <c r="B10" s="3">
        <v>1997</v>
      </c>
      <c r="C10" s="6">
        <f>KAYA!B10*KAYA!S10*KAYA!AJ10*KAYA!BA10</f>
        <v>458862.69405728002</v>
      </c>
      <c r="D10" s="6">
        <f>KAYA!C10*KAYA!T10*KAYA!AK10*KAYA!BB10</f>
        <v>3471729.4627687992</v>
      </c>
      <c r="E10" s="6">
        <f>KAYA!D10*KAYA!U10*KAYA!AL10*KAYA!BC10</f>
        <v>1231696.7640262002</v>
      </c>
      <c r="F10" s="6">
        <f>KAYA!E10*KAYA!V10*KAYA!AM10*KAYA!BD10</f>
        <v>1607381.1016698005</v>
      </c>
      <c r="G10" s="6">
        <f>KAYA!F10*KAYA!W10*KAYA!AN10*KAYA!BE10</f>
        <v>8569.3156928569988</v>
      </c>
      <c r="H10" s="6">
        <f>KAYA!G10*KAYA!X10*KAYA!AO10*KAYA!BF10</f>
        <v>76671.965872618006</v>
      </c>
      <c r="I10" s="6">
        <f>KAYA!H10*KAYA!Y10*KAYA!AP10*KAYA!BG10</f>
        <v>6227975.9007020602</v>
      </c>
      <c r="J10" s="6">
        <f>KAYA!I10*KAYA!Z10*KAYA!AQ10*KAYA!BH10</f>
        <v>1252429.9233571531</v>
      </c>
      <c r="K10" s="6">
        <f>KAYA!J10*KAYA!AA10*KAYA!AR10*KAYA!BI10</f>
        <v>3588436.1971742194</v>
      </c>
      <c r="L10" s="6">
        <f>KAYA!K10*KAYA!AB10*KAYA!AS10*KAYA!BJ10</f>
        <v>946912.80198108731</v>
      </c>
      <c r="M10" s="6">
        <f>KAYA!L10*KAYA!AC10*KAYA!AT10*KAYA!BK10</f>
        <v>776129.94874603022</v>
      </c>
      <c r="N10" s="6">
        <f>KAYA!M10*KAYA!AD10*KAYA!AU10*KAYA!BL10</f>
        <v>1288349.1946268305</v>
      </c>
      <c r="O10" s="6">
        <f>KAYA!N10*KAYA!AE10*KAYA!AV10*KAYA!BM10</f>
        <v>561018.3269646524</v>
      </c>
      <c r="P10" s="6">
        <f>KAYA!O10*KAYA!AF10*KAYA!AW10*KAYA!BN10</f>
        <v>46932.465554187002</v>
      </c>
      <c r="Q10" s="6">
        <f>KAYA!P10*KAYA!AG10*KAYA!AX10*KAYA!BO10</f>
        <v>1014005.0890316918</v>
      </c>
      <c r="R10" s="6">
        <f>KAYA!Q10*KAYA!AH10*KAYA!AY10*KAYA!BP10</f>
        <v>920270.39020338585</v>
      </c>
      <c r="S10" s="6">
        <f>KAYA!R10*KAYA!AI10*KAYA!AZ10*KAYA!BQ10</f>
        <v>353715.19606986002</v>
      </c>
    </row>
    <row r="11" spans="1:19" x14ac:dyDescent="0.3">
      <c r="A11" s="28"/>
      <c r="B11" s="3">
        <v>1998</v>
      </c>
      <c r="C11" s="6">
        <f>KAYA!B11*KAYA!S11*KAYA!AJ11*KAYA!BA11</f>
        <v>393614.14552949008</v>
      </c>
      <c r="D11" s="6">
        <f>KAYA!C11*KAYA!T11*KAYA!AK11*KAYA!BB11</f>
        <v>3564606.2480604448</v>
      </c>
      <c r="E11" s="6">
        <f>KAYA!D11*KAYA!U11*KAYA!AL11*KAYA!BC11</f>
        <v>1184390.3865181003</v>
      </c>
      <c r="F11" s="6">
        <f>KAYA!E11*KAYA!V11*KAYA!AM11*KAYA!BD11</f>
        <v>1613220.9352161998</v>
      </c>
      <c r="G11" s="6">
        <f>KAYA!F11*KAYA!W11*KAYA!AN11*KAYA!BE11</f>
        <v>8596.3138291959986</v>
      </c>
      <c r="H11" s="6">
        <f>KAYA!G11*KAYA!X11*KAYA!AO11*KAYA!BF11</f>
        <v>62868.572259763998</v>
      </c>
      <c r="I11" s="6">
        <f>KAYA!H11*KAYA!Y11*KAYA!AP11*KAYA!BG11</f>
        <v>6281934.6318257675</v>
      </c>
      <c r="J11" s="6">
        <f>KAYA!I11*KAYA!Z11*KAYA!AQ11*KAYA!BH11</f>
        <v>1304115.2138315032</v>
      </c>
      <c r="K11" s="6">
        <f>KAYA!J11*KAYA!AA11*KAYA!AR11*KAYA!BI11</f>
        <v>3640966.7824457912</v>
      </c>
      <c r="L11" s="6">
        <f>KAYA!K11*KAYA!AB11*KAYA!AS11*KAYA!BJ11</f>
        <v>895788.72777180106</v>
      </c>
      <c r="M11" s="6">
        <f>KAYA!L11*KAYA!AC11*KAYA!AT11*KAYA!BK11</f>
        <v>777044.59385427507</v>
      </c>
      <c r="N11" s="6">
        <f>KAYA!M11*KAYA!AD11*KAYA!AU11*KAYA!BL11</f>
        <v>1300422.1685783791</v>
      </c>
      <c r="O11" s="6">
        <f>KAYA!N11*KAYA!AE11*KAYA!AV11*KAYA!BM11</f>
        <v>564772.5721720641</v>
      </c>
      <c r="P11" s="6">
        <f>KAYA!O11*KAYA!AF11*KAYA!AW11*KAYA!BN11</f>
        <v>52432.275273541003</v>
      </c>
      <c r="Q11" s="6">
        <f>KAYA!P11*KAYA!AG11*KAYA!AX11*KAYA!BO11</f>
        <v>1038921.3619443864</v>
      </c>
      <c r="R11" s="6">
        <f>KAYA!Q11*KAYA!AH11*KAYA!AY11*KAYA!BP11</f>
        <v>908266.20110252895</v>
      </c>
      <c r="S11" s="6">
        <f>KAYA!R11*KAYA!AI11*KAYA!AZ11*KAYA!BQ11</f>
        <v>372570.49844133999</v>
      </c>
    </row>
    <row r="12" spans="1:19" x14ac:dyDescent="0.3">
      <c r="A12" s="28"/>
      <c r="B12" s="3">
        <v>1999</v>
      </c>
      <c r="C12" s="6">
        <f>KAYA!B12*KAYA!S12*KAYA!AJ12*KAYA!BA12</f>
        <v>430610.17626598006</v>
      </c>
      <c r="D12" s="6">
        <f>KAYA!C12*KAYA!T12*KAYA!AK12*KAYA!BB12</f>
        <v>3493310.8724653432</v>
      </c>
      <c r="E12" s="6">
        <f>KAYA!D12*KAYA!U12*KAYA!AL12*KAYA!BC12</f>
        <v>1225171.5740601998</v>
      </c>
      <c r="F12" s="6">
        <f>KAYA!E12*KAYA!V12*KAYA!AM12*KAYA!BD12</f>
        <v>1660911.2380100002</v>
      </c>
      <c r="G12" s="6">
        <f>KAYA!F12*KAYA!W12*KAYA!AN12*KAYA!BE12</f>
        <v>8653.9361370000988</v>
      </c>
      <c r="H12" s="6">
        <f>KAYA!G12*KAYA!X12*KAYA!AO12*KAYA!BF12</f>
        <v>68566.356122568992</v>
      </c>
      <c r="I12" s="6">
        <f>KAYA!H12*KAYA!Y12*KAYA!AP12*KAYA!BG12</f>
        <v>6310487.9560503131</v>
      </c>
      <c r="J12" s="6">
        <f>KAYA!I12*KAYA!Z12*KAYA!AQ12*KAYA!BH12</f>
        <v>1293950.8186340218</v>
      </c>
      <c r="K12" s="6">
        <f>KAYA!J12*KAYA!AA12*KAYA!AR12*KAYA!BI12</f>
        <v>3618063.5416742959</v>
      </c>
      <c r="L12" s="6">
        <f>KAYA!K12*KAYA!AB12*KAYA!AS12*KAYA!BJ12</f>
        <v>833794.8898191757</v>
      </c>
      <c r="M12" s="6">
        <f>KAYA!L12*KAYA!AC12*KAYA!AT12*KAYA!BK12</f>
        <v>765713.39856588782</v>
      </c>
      <c r="N12" s="6">
        <f>KAYA!M12*KAYA!AD12*KAYA!AU12*KAYA!BL12</f>
        <v>1346078.3666115156</v>
      </c>
      <c r="O12" s="6">
        <f>KAYA!N12*KAYA!AE12*KAYA!AV12*KAYA!BM12</f>
        <v>553427.82187205693</v>
      </c>
      <c r="P12" s="6">
        <f>KAYA!O12*KAYA!AF12*KAYA!AW12*KAYA!BN12</f>
        <v>53574.996124938902</v>
      </c>
      <c r="Q12" s="6">
        <f>KAYA!P12*KAYA!AG12*KAYA!AX12*KAYA!BO12</f>
        <v>1112775.8769083119</v>
      </c>
      <c r="R12" s="6">
        <f>KAYA!Q12*KAYA!AH12*KAYA!AY12*KAYA!BP12</f>
        <v>951144.80479120696</v>
      </c>
      <c r="S12" s="6">
        <f>KAYA!R12*KAYA!AI12*KAYA!AZ12*KAYA!BQ12</f>
        <v>380162.1502200198</v>
      </c>
    </row>
    <row r="13" spans="1:19" x14ac:dyDescent="0.3">
      <c r="A13" s="28"/>
      <c r="B13" s="3">
        <v>2000</v>
      </c>
      <c r="C13" s="6">
        <f>KAYA!B13*KAYA!S13*KAYA!AJ13*KAYA!BA13</f>
        <v>466403.11451197596</v>
      </c>
      <c r="D13" s="6">
        <f>KAYA!C13*KAYA!T13*KAYA!AK13*KAYA!BB13</f>
        <v>3689778.2690802519</v>
      </c>
      <c r="E13" s="6">
        <f>KAYA!D13*KAYA!U13*KAYA!AL13*KAYA!BC13</f>
        <v>1243576.7602013</v>
      </c>
      <c r="F13" s="6">
        <f>KAYA!E13*KAYA!V13*KAYA!AM13*KAYA!BD13</f>
        <v>1681152.0951439</v>
      </c>
      <c r="G13" s="6">
        <f>KAYA!F13*KAYA!W13*KAYA!AN13*KAYA!BE13</f>
        <v>9040.4927864619021</v>
      </c>
      <c r="H13" s="6">
        <f>KAYA!G13*KAYA!X13*KAYA!AO13*KAYA!BF13</f>
        <v>73806.33290264399</v>
      </c>
      <c r="I13" s="6">
        <f>KAYA!H13*KAYA!Y13*KAYA!AP13*KAYA!BG13</f>
        <v>6497070.9808827555</v>
      </c>
      <c r="J13" s="6">
        <f>KAYA!I13*KAYA!Z13*KAYA!AQ13*KAYA!BH13</f>
        <v>1333142.4197998734</v>
      </c>
      <c r="K13" s="6">
        <f>KAYA!J13*KAYA!AA13*KAYA!AR13*KAYA!BI13</f>
        <v>3664962.9851661101</v>
      </c>
      <c r="L13" s="6">
        <f>KAYA!K13*KAYA!AB13*KAYA!AS13*KAYA!BJ13</f>
        <v>840541.73694853159</v>
      </c>
      <c r="M13" s="6">
        <f>KAYA!L13*KAYA!AC13*KAYA!AT13*KAYA!BK13</f>
        <v>772428.62269534182</v>
      </c>
      <c r="N13" s="6">
        <f>KAYA!M13*KAYA!AD13*KAYA!AU13*KAYA!BL13</f>
        <v>1407109.2219788793</v>
      </c>
      <c r="O13" s="6">
        <f>KAYA!N13*KAYA!AE13*KAYA!AV13*KAYA!BM13</f>
        <v>568324.42548670794</v>
      </c>
      <c r="P13" s="6">
        <f>KAYA!O13*KAYA!AF13*KAYA!AW13*KAYA!BN13</f>
        <v>59471.517720845914</v>
      </c>
      <c r="Q13" s="6">
        <f>KAYA!P13*KAYA!AG13*KAYA!AX13*KAYA!BO13</f>
        <v>1152686.6445321976</v>
      </c>
      <c r="R13" s="6">
        <f>KAYA!Q13*KAYA!AH13*KAYA!AY13*KAYA!BP13</f>
        <v>989752.35586244683</v>
      </c>
      <c r="S13" s="6">
        <f>KAYA!R13*KAYA!AI13*KAYA!AZ13*KAYA!BQ13</f>
        <v>386893.79343244986</v>
      </c>
    </row>
    <row r="14" spans="1:19" x14ac:dyDescent="0.3">
      <c r="A14" s="28"/>
      <c r="B14" s="3">
        <v>2001</v>
      </c>
      <c r="C14" s="6">
        <f>KAYA!B14*KAYA!S14*KAYA!AJ14*KAYA!BA14</f>
        <v>477110.97354202502</v>
      </c>
      <c r="D14" s="6">
        <f>KAYA!C14*KAYA!T14*KAYA!AK14*KAYA!BB14</f>
        <v>3866914.769839291</v>
      </c>
      <c r="E14" s="6">
        <f>KAYA!D14*KAYA!U14*KAYA!AL14*KAYA!BC14</f>
        <v>1229989.4626205</v>
      </c>
      <c r="F14" s="6">
        <f>KAYA!E14*KAYA!V14*KAYA!AM14*KAYA!BD14</f>
        <v>1684276.7952804998</v>
      </c>
      <c r="G14" s="6">
        <f>KAYA!F14*KAYA!W14*KAYA!AN14*KAYA!BE14</f>
        <v>9012.3217267930995</v>
      </c>
      <c r="H14" s="6">
        <f>KAYA!G14*KAYA!X14*KAYA!AO14*KAYA!BF14</f>
        <v>76673.024275567004</v>
      </c>
      <c r="I14" s="6">
        <f>KAYA!H14*KAYA!Y14*KAYA!AP14*KAYA!BG14</f>
        <v>6436885.7259263229</v>
      </c>
      <c r="J14" s="6">
        <f>KAYA!I14*KAYA!Z14*KAYA!AQ14*KAYA!BH14</f>
        <v>1335077.6332571334</v>
      </c>
      <c r="K14" s="6">
        <f>KAYA!J14*KAYA!AA14*KAYA!AR14*KAYA!BI14</f>
        <v>3697764.2814055849</v>
      </c>
      <c r="L14" s="6">
        <f>KAYA!K14*KAYA!AB14*KAYA!AS14*KAYA!BJ14</f>
        <v>856791.11179762613</v>
      </c>
      <c r="M14" s="6">
        <f>KAYA!L14*KAYA!AC14*KAYA!AT14*KAYA!BK14</f>
        <v>767748.95682981564</v>
      </c>
      <c r="N14" s="6">
        <f>KAYA!M14*KAYA!AD14*KAYA!AU14*KAYA!BL14</f>
        <v>1480690.3668242474</v>
      </c>
      <c r="O14" s="6">
        <f>KAYA!N14*KAYA!AE14*KAYA!AV14*KAYA!BM14</f>
        <v>588570.50154325482</v>
      </c>
      <c r="P14" s="6">
        <f>KAYA!O14*KAYA!AF14*KAYA!AW14*KAYA!BN14</f>
        <v>65308.369648516993</v>
      </c>
      <c r="Q14" s="6">
        <f>KAYA!P14*KAYA!AG14*KAYA!AX14*KAYA!BO14</f>
        <v>1176570.9189771877</v>
      </c>
      <c r="R14" s="6">
        <f>KAYA!Q14*KAYA!AH14*KAYA!AY14*KAYA!BP14</f>
        <v>1029906.3698209196</v>
      </c>
      <c r="S14" s="6">
        <f>KAYA!R14*KAYA!AI14*KAYA!AZ14*KAYA!BQ14</f>
        <v>395335.91023659013</v>
      </c>
    </row>
    <row r="15" spans="1:19" x14ac:dyDescent="0.3">
      <c r="A15" s="28"/>
      <c r="B15" s="3">
        <v>2002</v>
      </c>
      <c r="C15" s="6">
        <f>KAYA!B15*KAYA!S15*KAYA!AJ15*KAYA!BA15</f>
        <v>494470.37924260192</v>
      </c>
      <c r="D15" s="6">
        <f>KAYA!C15*KAYA!T15*KAYA!AK15*KAYA!BB15</f>
        <v>4174024.3063440896</v>
      </c>
      <c r="E15" s="6">
        <f>KAYA!D15*KAYA!U15*KAYA!AL15*KAYA!BC15</f>
        <v>1264500.8542479002</v>
      </c>
      <c r="F15" s="6">
        <f>KAYA!E15*KAYA!V15*KAYA!AM15*KAYA!BD15</f>
        <v>1675294.6977253899</v>
      </c>
      <c r="G15" s="6">
        <f>KAYA!F15*KAYA!W15*KAYA!AN15*KAYA!BE15</f>
        <v>9658.0318206360025</v>
      </c>
      <c r="H15" s="6">
        <f>KAYA!G15*KAYA!X15*KAYA!AO15*KAYA!BF15</f>
        <v>73443.085852088974</v>
      </c>
      <c r="I15" s="6">
        <f>KAYA!H15*KAYA!Y15*KAYA!AP15*KAYA!BG15</f>
        <v>6300956.4443065161</v>
      </c>
      <c r="J15" s="6">
        <f>KAYA!I15*KAYA!Z15*KAYA!AQ15*KAYA!BH15</f>
        <v>1340822.2933148351</v>
      </c>
      <c r="K15" s="6">
        <f>KAYA!J15*KAYA!AA15*KAYA!AR15*KAYA!BI15</f>
        <v>3696516.5328535992</v>
      </c>
      <c r="L15" s="6">
        <f>KAYA!K15*KAYA!AB15*KAYA!AS15*KAYA!BJ15</f>
        <v>844662.49906196026</v>
      </c>
      <c r="M15" s="6">
        <f>KAYA!L15*KAYA!AC15*KAYA!AT15*KAYA!BK15</f>
        <v>790664.74983322085</v>
      </c>
      <c r="N15" s="6">
        <f>KAYA!M15*KAYA!AD15*KAYA!AU15*KAYA!BL15</f>
        <v>1535742.0689589237</v>
      </c>
      <c r="O15" s="6">
        <f>KAYA!N15*KAYA!AE15*KAYA!AV15*KAYA!BM15</f>
        <v>591070.90041995479</v>
      </c>
      <c r="P15" s="6">
        <f>KAYA!O15*KAYA!AF15*KAYA!AW15*KAYA!BN15</f>
        <v>76484.170552010022</v>
      </c>
      <c r="Q15" s="6">
        <f>KAYA!P15*KAYA!AG15*KAYA!AX15*KAYA!BO15</f>
        <v>1215732.0750960417</v>
      </c>
      <c r="R15" s="6">
        <f>KAYA!Q15*KAYA!AH15*KAYA!AY15*KAYA!BP15</f>
        <v>1062324.3020551954</v>
      </c>
      <c r="S15" s="6">
        <f>KAYA!R15*KAYA!AI15*KAYA!AZ15*KAYA!BQ15</f>
        <v>403644.39849490998</v>
      </c>
    </row>
    <row r="16" spans="1:19" x14ac:dyDescent="0.3">
      <c r="A16" s="28"/>
      <c r="B16" s="3">
        <v>2003</v>
      </c>
      <c r="C16" s="6">
        <f>KAYA!B16*KAYA!S16*KAYA!AJ16*KAYA!BA16</f>
        <v>502986.01964319684</v>
      </c>
      <c r="D16" s="6">
        <f>KAYA!C16*KAYA!T16*KAYA!AK16*KAYA!BB16</f>
        <v>4817625.6012606202</v>
      </c>
      <c r="E16" s="6">
        <f>KAYA!D16*KAYA!U16*KAYA!AL16*KAYA!BC16</f>
        <v>1271926.7493026003</v>
      </c>
      <c r="F16" s="6">
        <f>KAYA!E16*KAYA!V16*KAYA!AM16*KAYA!BD16</f>
        <v>1737252.3741505994</v>
      </c>
      <c r="G16" s="6">
        <f>KAYA!F16*KAYA!W16*KAYA!AN16*KAYA!BE16</f>
        <v>9362.4745304559983</v>
      </c>
      <c r="H16" s="6">
        <f>KAYA!G16*KAYA!X16*KAYA!AO16*KAYA!BF16</f>
        <v>74982.051558282998</v>
      </c>
      <c r="I16" s="6">
        <f>KAYA!H16*KAYA!Y16*KAYA!AP16*KAYA!BG16</f>
        <v>6392763.7894853093</v>
      </c>
      <c r="J16" s="6">
        <f>KAYA!I16*KAYA!Z16*KAYA!AQ16*KAYA!BH16</f>
        <v>1366984.7290049002</v>
      </c>
      <c r="K16" s="6">
        <f>KAYA!J16*KAYA!AA16*KAYA!AR16*KAYA!BI16</f>
        <v>3792622.3085155981</v>
      </c>
      <c r="L16" s="6">
        <f>KAYA!K16*KAYA!AB16*KAYA!AS16*KAYA!BJ16</f>
        <v>882975.30312557705</v>
      </c>
      <c r="M16" s="6">
        <f>KAYA!L16*KAYA!AC16*KAYA!AT16*KAYA!BK16</f>
        <v>841640.2732685752</v>
      </c>
      <c r="N16" s="6">
        <f>KAYA!M16*KAYA!AD16*KAYA!AU16*KAYA!BL16</f>
        <v>1591083.5523418987</v>
      </c>
      <c r="O16" s="6">
        <f>KAYA!N16*KAYA!AE16*KAYA!AV16*KAYA!BM16</f>
        <v>626835.4704276165</v>
      </c>
      <c r="P16" s="6">
        <f>KAYA!O16*KAYA!AF16*KAYA!AW16*KAYA!BN16</f>
        <v>81264.463305059995</v>
      </c>
      <c r="Q16" s="6">
        <f>KAYA!P16*KAYA!AG16*KAYA!AX16*KAYA!BO16</f>
        <v>1254838.3297621512</v>
      </c>
      <c r="R16" s="6">
        <f>KAYA!Q16*KAYA!AH16*KAYA!AY16*KAYA!BP16</f>
        <v>1122544.4021390148</v>
      </c>
      <c r="S16" s="6">
        <f>KAYA!R16*KAYA!AI16*KAYA!AZ16*KAYA!BQ16</f>
        <v>404062.37281040999</v>
      </c>
    </row>
    <row r="17" spans="1:19" x14ac:dyDescent="0.3">
      <c r="A17" s="28"/>
      <c r="B17" s="3">
        <v>2004</v>
      </c>
      <c r="C17" s="6">
        <f>KAYA!B17*KAYA!S17*KAYA!AJ17*KAYA!BA17</f>
        <v>519470.599496671</v>
      </c>
      <c r="D17" s="6">
        <f>KAYA!C17*KAYA!T17*KAYA!AK17*KAYA!BB17</f>
        <v>5537013.6406955747</v>
      </c>
      <c r="E17" s="6">
        <f>KAYA!D17*KAYA!U17*KAYA!AL17*KAYA!BC17</f>
        <v>1267044.9355865999</v>
      </c>
      <c r="F17" s="6">
        <f>KAYA!E17*KAYA!V17*KAYA!AM17*KAYA!BD17</f>
        <v>1738870.4120480001</v>
      </c>
      <c r="G17" s="6">
        <f>KAYA!F17*KAYA!W17*KAYA!AN17*KAYA!BE17</f>
        <v>9577.0001772880005</v>
      </c>
      <c r="H17" s="6">
        <f>KAYA!G17*KAYA!X17*KAYA!AO17*KAYA!BF17</f>
        <v>76524.566541194028</v>
      </c>
      <c r="I17" s="6">
        <f>KAYA!H17*KAYA!Y17*KAYA!AP17*KAYA!BG17</f>
        <v>6465940.3859225102</v>
      </c>
      <c r="J17" s="6">
        <f>KAYA!I17*KAYA!Z17*KAYA!AQ17*KAYA!BH17</f>
        <v>1430754.459754559</v>
      </c>
      <c r="K17" s="6">
        <f>KAYA!J17*KAYA!AA17*KAYA!AR17*KAYA!BI17</f>
        <v>3810482.6430847486</v>
      </c>
      <c r="L17" s="6">
        <f>KAYA!K17*KAYA!AB17*KAYA!AS17*KAYA!BJ17</f>
        <v>886134.00979453605</v>
      </c>
      <c r="M17" s="6">
        <f>KAYA!L17*KAYA!AC17*KAYA!AT17*KAYA!BK17</f>
        <v>840458.04106138099</v>
      </c>
      <c r="N17" s="6">
        <f>KAYA!M17*KAYA!AD17*KAYA!AU17*KAYA!BL17</f>
        <v>1682786.9980123865</v>
      </c>
      <c r="O17" s="6">
        <f>KAYA!N17*KAYA!AE17*KAYA!AV17*KAYA!BM17</f>
        <v>661445.26690882409</v>
      </c>
      <c r="P17" s="6">
        <f>KAYA!O17*KAYA!AF17*KAYA!AW17*KAYA!BN17</f>
        <v>95604.870493906987</v>
      </c>
      <c r="Q17" s="6">
        <f>KAYA!P17*KAYA!AG17*KAYA!AX17*KAYA!BO17</f>
        <v>1355754.255904631</v>
      </c>
      <c r="R17" s="6">
        <f>KAYA!Q17*KAYA!AH17*KAYA!AY17*KAYA!BP17</f>
        <v>1174851.9624657037</v>
      </c>
      <c r="S17" s="6">
        <f>KAYA!R17*KAYA!AI17*KAYA!AZ17*KAYA!BQ17</f>
        <v>417500.58945860976</v>
      </c>
    </row>
    <row r="18" spans="1:19" x14ac:dyDescent="0.3">
      <c r="A18" s="28"/>
      <c r="B18" s="3">
        <v>2005</v>
      </c>
      <c r="C18" s="6">
        <f>KAYA!B18*KAYA!S18*KAYA!AJ18*KAYA!BA18</f>
        <v>515979.59275975003</v>
      </c>
      <c r="D18" s="6">
        <f>KAYA!C18*KAYA!T18*KAYA!AK18*KAYA!BB18</f>
        <v>6278690.626974728</v>
      </c>
      <c r="E18" s="6">
        <f>KAYA!D18*KAYA!U18*KAYA!AL18*KAYA!BC18</f>
        <v>1278684.9382310002</v>
      </c>
      <c r="F18" s="6">
        <f>KAYA!E18*KAYA!V18*KAYA!AM18*KAYA!BD18</f>
        <v>1739302.0661222003</v>
      </c>
      <c r="G18" s="6">
        <f>KAYA!F18*KAYA!W18*KAYA!AN18*KAYA!BE18</f>
        <v>11129.106805102003</v>
      </c>
      <c r="H18" s="6">
        <f>KAYA!G18*KAYA!X18*KAYA!AO18*KAYA!BF18</f>
        <v>79737.424912707997</v>
      </c>
      <c r="I18" s="6">
        <f>KAYA!H18*KAYA!Y18*KAYA!AP18*KAYA!BG18</f>
        <v>6496809.0408679498</v>
      </c>
      <c r="J18" s="6">
        <f>KAYA!I18*KAYA!Z18*KAYA!AQ18*KAYA!BH18</f>
        <v>1477158.427170208</v>
      </c>
      <c r="K18" s="6">
        <f>KAYA!J18*KAYA!AA18*KAYA!AR18*KAYA!BI18</f>
        <v>3796756.9882708346</v>
      </c>
      <c r="L18" s="6">
        <f>KAYA!K18*KAYA!AB18*KAYA!AS18*KAYA!BJ18</f>
        <v>881375.35624478769</v>
      </c>
      <c r="M18" s="6">
        <f>KAYA!L18*KAYA!AC18*KAYA!AT18*KAYA!BK18</f>
        <v>840933.65886276658</v>
      </c>
      <c r="N18" s="6">
        <f>KAYA!M18*KAYA!AD18*KAYA!AU18*KAYA!BL18</f>
        <v>1798621.6737719756</v>
      </c>
      <c r="O18" s="6">
        <f>KAYA!N18*KAYA!AE18*KAYA!AV18*KAYA!BM18</f>
        <v>675515.82841174654</v>
      </c>
      <c r="P18" s="6">
        <f>KAYA!O18*KAYA!AF18*KAYA!AW18*KAYA!BN18</f>
        <v>104553.37490390689</v>
      </c>
      <c r="Q18" s="6">
        <f>KAYA!P18*KAYA!AG18*KAYA!AX18*KAYA!BO18</f>
        <v>1412241.5395958968</v>
      </c>
      <c r="R18" s="6">
        <f>KAYA!Q18*KAYA!AH18*KAYA!AY18*KAYA!BP18</f>
        <v>1206559.556735947</v>
      </c>
      <c r="S18" s="6">
        <f>KAYA!R18*KAYA!AI18*KAYA!AZ18*KAYA!BQ18</f>
        <v>420314.85688505007</v>
      </c>
    </row>
    <row r="19" spans="1:19" x14ac:dyDescent="0.3">
      <c r="A19" s="28"/>
      <c r="B19" s="3">
        <v>2006</v>
      </c>
      <c r="C19" s="6">
        <f>KAYA!B19*KAYA!S19*KAYA!AJ19*KAYA!BA19</f>
        <v>523700.88963601005</v>
      </c>
      <c r="D19" s="6">
        <f>KAYA!C19*KAYA!T19*KAYA!AK19*KAYA!BB19</f>
        <v>6965306.3154996652</v>
      </c>
      <c r="E19" s="6">
        <f>KAYA!D19*KAYA!U19*KAYA!AL19*KAYA!BC19</f>
        <v>1256038.30561586</v>
      </c>
      <c r="F19" s="6">
        <f>KAYA!E19*KAYA!V19*KAYA!AM19*KAYA!BD19</f>
        <v>1776196.8520944996</v>
      </c>
      <c r="G19" s="6">
        <f>KAYA!F19*KAYA!W19*KAYA!AN19*KAYA!BE19</f>
        <v>12717.367885005997</v>
      </c>
      <c r="H19" s="6">
        <f>KAYA!G19*KAYA!X19*KAYA!AO19*KAYA!BF19</f>
        <v>81248.530407483981</v>
      </c>
      <c r="I19" s="6">
        <f>KAYA!H19*KAYA!Y19*KAYA!AP19*KAYA!BG19</f>
        <v>6381699.5525947828</v>
      </c>
      <c r="J19" s="6">
        <f>KAYA!I19*KAYA!Z19*KAYA!AQ19*KAYA!BH19</f>
        <v>1522967.2823275812</v>
      </c>
      <c r="K19" s="6">
        <f>KAYA!J19*KAYA!AA19*KAYA!AR19*KAYA!BI19</f>
        <v>3818382.1156715141</v>
      </c>
      <c r="L19" s="6">
        <f>KAYA!K19*KAYA!AB19*KAYA!AS19*KAYA!BJ19</f>
        <v>909208.29079037404</v>
      </c>
      <c r="M19" s="6">
        <f>KAYA!L19*KAYA!AC19*KAYA!AT19*KAYA!BK19</f>
        <v>877675.26585897803</v>
      </c>
      <c r="N19" s="6">
        <f>KAYA!M19*KAYA!AD19*KAYA!AU19*KAYA!BL19</f>
        <v>1902616.2733374457</v>
      </c>
      <c r="O19" s="6">
        <f>KAYA!N19*KAYA!AE19*KAYA!AV19*KAYA!BM19</f>
        <v>674913.6404651053</v>
      </c>
      <c r="P19" s="6">
        <f>KAYA!O19*KAYA!AF19*KAYA!AW19*KAYA!BN19</f>
        <v>107876.51887877897</v>
      </c>
      <c r="Q19" s="6">
        <f>KAYA!P19*KAYA!AG19*KAYA!AX19*KAYA!BO19</f>
        <v>1507212.6206103847</v>
      </c>
      <c r="R19" s="6">
        <f>KAYA!Q19*KAYA!AH19*KAYA!AY19*KAYA!BP19</f>
        <v>1239291.9718403942</v>
      </c>
      <c r="S19" s="6">
        <f>KAYA!R19*KAYA!AI19*KAYA!AZ19*KAYA!BQ19</f>
        <v>426494.7231344388</v>
      </c>
    </row>
    <row r="20" spans="1:19" x14ac:dyDescent="0.3">
      <c r="A20" s="28"/>
      <c r="B20" s="3">
        <v>2007</v>
      </c>
      <c r="C20" s="6">
        <f>KAYA!B20*KAYA!S20*KAYA!AJ20*KAYA!BA20</f>
        <v>541002.78570118989</v>
      </c>
      <c r="D20" s="6">
        <f>KAYA!C20*KAYA!T20*KAYA!AK20*KAYA!BB20</f>
        <v>7566434.3616921827</v>
      </c>
      <c r="E20" s="6">
        <f>KAYA!D20*KAYA!U20*KAYA!AL20*KAYA!BC20</f>
        <v>1291735.2110711003</v>
      </c>
      <c r="F20" s="6">
        <f>KAYA!E20*KAYA!V20*KAYA!AM20*KAYA!BD20</f>
        <v>1779045.9896598989</v>
      </c>
      <c r="G20" s="6">
        <f>KAYA!F20*KAYA!W20*KAYA!AN20*KAYA!BE20</f>
        <v>13210.391703480997</v>
      </c>
      <c r="H20" s="6">
        <f>KAYA!G20*KAYA!X20*KAYA!AO20*KAYA!BF20</f>
        <v>67985.648690639995</v>
      </c>
      <c r="I20" s="6">
        <f>KAYA!H20*KAYA!Y20*KAYA!AP20*KAYA!BG20</f>
        <v>6485334.5392699363</v>
      </c>
      <c r="J20" s="6">
        <f>KAYA!I20*KAYA!Z20*KAYA!AQ20*KAYA!BH20</f>
        <v>1576571.4107726803</v>
      </c>
      <c r="K20" s="6">
        <f>KAYA!J20*KAYA!AA20*KAYA!AR20*KAYA!BI20</f>
        <v>3791741.4809645033</v>
      </c>
      <c r="L20" s="6">
        <f>KAYA!K20*KAYA!AB20*KAYA!AS20*KAYA!BJ20</f>
        <v>914982.47295589524</v>
      </c>
      <c r="M20" s="6">
        <f>KAYA!L20*KAYA!AC20*KAYA!AT20*KAYA!BK20</f>
        <v>900037.35066919297</v>
      </c>
      <c r="N20" s="6">
        <f>KAYA!M20*KAYA!AD20*KAYA!AU20*KAYA!BL20</f>
        <v>1991108.4514941669</v>
      </c>
      <c r="O20" s="6">
        <f>KAYA!N20*KAYA!AE20*KAYA!AV20*KAYA!BM20</f>
        <v>691971.43144024431</v>
      </c>
      <c r="P20" s="6">
        <f>KAYA!O20*KAYA!AF20*KAYA!AW20*KAYA!BN20</f>
        <v>119817.31896302792</v>
      </c>
      <c r="Q20" s="6">
        <f>KAYA!P20*KAYA!AG20*KAYA!AX20*KAYA!BO20</f>
        <v>1643884.6759854055</v>
      </c>
      <c r="R20" s="6">
        <f>KAYA!Q20*KAYA!AH20*KAYA!AY20*KAYA!BP20</f>
        <v>1291645.2759510681</v>
      </c>
      <c r="S20" s="6">
        <f>KAYA!R20*KAYA!AI20*KAYA!AZ20*KAYA!BQ20</f>
        <v>435790.89991861</v>
      </c>
    </row>
    <row r="21" spans="1:19" x14ac:dyDescent="0.3">
      <c r="A21" s="28"/>
      <c r="B21" s="3">
        <v>2008</v>
      </c>
      <c r="C21" s="6">
        <f>KAYA!B21*KAYA!S21*KAYA!AJ21*KAYA!BA21</f>
        <v>552369.20878666011</v>
      </c>
      <c r="D21" s="6">
        <f>KAYA!C21*KAYA!T21*KAYA!AK21*KAYA!BB21</f>
        <v>7795354.180955993</v>
      </c>
      <c r="E21" s="6">
        <f>KAYA!D21*KAYA!U21*KAYA!AL21*KAYA!BC21</f>
        <v>1220765.2931136999</v>
      </c>
      <c r="F21" s="6">
        <f>KAYA!E21*KAYA!V21*KAYA!AM21*KAYA!BD21</f>
        <v>1764355.5275254298</v>
      </c>
      <c r="G21" s="6">
        <f>KAYA!F21*KAYA!W21*KAYA!AN21*KAYA!BE21</f>
        <v>13205.999923864001</v>
      </c>
      <c r="H21" s="6">
        <f>KAYA!G21*KAYA!X21*KAYA!AO21*KAYA!BF21</f>
        <v>74478.636033917035</v>
      </c>
      <c r="I21" s="6">
        <f>KAYA!H21*KAYA!Y21*KAYA!AP21*KAYA!BG21</f>
        <v>6280108.5213092063</v>
      </c>
      <c r="J21" s="6">
        <f>KAYA!I21*KAYA!Z21*KAYA!AQ21*KAYA!BH21</f>
        <v>1618200.1386970044</v>
      </c>
      <c r="K21" s="6">
        <f>KAYA!J21*KAYA!AA21*KAYA!AR21*KAYA!BI21</f>
        <v>3710371.588351815</v>
      </c>
      <c r="L21" s="6">
        <f>KAYA!K21*KAYA!AB21*KAYA!AS21*KAYA!BJ21</f>
        <v>896326.90943316475</v>
      </c>
      <c r="M21" s="6">
        <f>KAYA!L21*KAYA!AC21*KAYA!AT21*KAYA!BK21</f>
        <v>927761.49733277783</v>
      </c>
      <c r="N21" s="6">
        <f>KAYA!M21*KAYA!AD21*KAYA!AU21*KAYA!BL21</f>
        <v>2110370.5088550313</v>
      </c>
      <c r="O21" s="6">
        <f>KAYA!N21*KAYA!AE21*KAYA!AV21*KAYA!BM21</f>
        <v>731201.24473234441</v>
      </c>
      <c r="P21" s="6">
        <f>KAYA!O21*KAYA!AF21*KAYA!AW21*KAYA!BN21</f>
        <v>131998.59859181399</v>
      </c>
      <c r="Q21" s="6">
        <f>KAYA!P21*KAYA!AG21*KAYA!AX21*KAYA!BO21</f>
        <v>1749305.7637979416</v>
      </c>
      <c r="R21" s="6">
        <f>KAYA!Q21*KAYA!AH21*KAYA!AY21*KAYA!BP21</f>
        <v>1284377.7129560518</v>
      </c>
      <c r="S21" s="6">
        <f>KAYA!R21*KAYA!AI21*KAYA!AZ21*KAYA!BQ21</f>
        <v>440520.75909928989</v>
      </c>
    </row>
    <row r="22" spans="1:19" x14ac:dyDescent="0.3">
      <c r="A22" s="28"/>
      <c r="B22" s="3">
        <v>2009</v>
      </c>
      <c r="C22" s="6">
        <f>KAYA!B22*KAYA!S22*KAYA!AJ22*KAYA!BA22</f>
        <v>556373.91676296003</v>
      </c>
      <c r="D22" s="6">
        <f>KAYA!C22*KAYA!T22*KAYA!AK22*KAYA!BB22</f>
        <v>8364309.3313967427</v>
      </c>
      <c r="E22" s="6">
        <f>KAYA!D22*KAYA!U22*KAYA!AL22*KAYA!BC22</f>
        <v>1157494.9523125996</v>
      </c>
      <c r="F22" s="6">
        <f>KAYA!E22*KAYA!V22*KAYA!AM22*KAYA!BD22</f>
        <v>1662101.6698878997</v>
      </c>
      <c r="G22" s="6">
        <f>KAYA!F22*KAYA!W22*KAYA!AN22*KAYA!BE22</f>
        <v>13928.652316498999</v>
      </c>
      <c r="H22" s="6">
        <f>KAYA!G22*KAYA!X22*KAYA!AO22*KAYA!BF22</f>
        <v>71671.174726786994</v>
      </c>
      <c r="I22" s="6">
        <f>KAYA!H22*KAYA!Y22*KAYA!AP22*KAYA!BG22</f>
        <v>5829911.9904442504</v>
      </c>
      <c r="J22" s="6">
        <f>KAYA!I22*KAYA!Z22*KAYA!AQ22*KAYA!BH22</f>
        <v>1571763.4595089022</v>
      </c>
      <c r="K22" s="6">
        <f>KAYA!J22*KAYA!AA22*KAYA!AR22*KAYA!BI22</f>
        <v>3451534.4596290556</v>
      </c>
      <c r="L22" s="6">
        <f>KAYA!K22*KAYA!AB22*KAYA!AS22*KAYA!BJ22</f>
        <v>823169.45480821584</v>
      </c>
      <c r="M22" s="6">
        <f>KAYA!L22*KAYA!AC22*KAYA!AT22*KAYA!BK22</f>
        <v>814319.63979274197</v>
      </c>
      <c r="N22" s="6">
        <f>KAYA!M22*KAYA!AD22*KAYA!AU22*KAYA!BL22</f>
        <v>2180392.7322780974</v>
      </c>
      <c r="O22" s="6">
        <f>KAYA!N22*KAYA!AE22*KAYA!AV22*KAYA!BM22</f>
        <v>696507.77137708163</v>
      </c>
      <c r="P22" s="6">
        <f>KAYA!O22*KAYA!AF22*KAYA!AW22*KAYA!BN22</f>
        <v>148342.88014473702</v>
      </c>
      <c r="Q22" s="6">
        <f>KAYA!P22*KAYA!AG22*KAYA!AX22*KAYA!BO22</f>
        <v>1861177.1730364014</v>
      </c>
      <c r="R22" s="6">
        <f>KAYA!Q22*KAYA!AH22*KAYA!AY22*KAYA!BP22</f>
        <v>1260582.4752165969</v>
      </c>
      <c r="S22" s="6">
        <f>KAYA!R22*KAYA!AI22*KAYA!AZ22*KAYA!BQ22</f>
        <v>443717.82079208991</v>
      </c>
    </row>
    <row r="23" spans="1:19" x14ac:dyDescent="0.3">
      <c r="A23" s="28"/>
      <c r="B23" s="3">
        <v>2010</v>
      </c>
      <c r="C23" s="6">
        <f>KAYA!B23*KAYA!S23*KAYA!AJ23*KAYA!BA23</f>
        <v>612937.22387306008</v>
      </c>
      <c r="D23" s="6">
        <f>KAYA!C23*KAYA!T23*KAYA!AK23*KAYA!BB23</f>
        <v>9148232.850141108</v>
      </c>
      <c r="E23" s="6">
        <f>KAYA!D23*KAYA!U23*KAYA!AL23*KAYA!BC23</f>
        <v>1217064.0641959999</v>
      </c>
      <c r="F23" s="6">
        <f>KAYA!E23*KAYA!V23*KAYA!AM23*KAYA!BD23</f>
        <v>1746896.7614406999</v>
      </c>
      <c r="G23" s="6">
        <f>KAYA!F23*KAYA!W23*KAYA!AN23*KAYA!BE23</f>
        <v>14905.670804279003</v>
      </c>
      <c r="H23" s="6">
        <f>KAYA!G23*KAYA!X23*KAYA!AO23*KAYA!BF23</f>
        <v>69042.618007525016</v>
      </c>
      <c r="I23" s="6">
        <f>KAYA!H23*KAYA!Y23*KAYA!AP23*KAYA!BG23</f>
        <v>6097079.4355673091</v>
      </c>
      <c r="J23" s="6">
        <f>KAYA!I23*KAYA!Z23*KAYA!AQ23*KAYA!BH23</f>
        <v>1684626.2334968678</v>
      </c>
      <c r="K23" s="6">
        <f>KAYA!J23*KAYA!AA23*KAYA!AR23*KAYA!BI23</f>
        <v>3562819.5327998614</v>
      </c>
      <c r="L23" s="6">
        <f>KAYA!K23*KAYA!AB23*KAYA!AS23*KAYA!BJ23</f>
        <v>855582.8910265452</v>
      </c>
      <c r="M23" s="6">
        <f>KAYA!L23*KAYA!AC23*KAYA!AT23*KAYA!BK23</f>
        <v>877111.34033484478</v>
      </c>
      <c r="N23" s="6">
        <f>KAYA!M23*KAYA!AD23*KAYA!AU23*KAYA!BL23</f>
        <v>2279647.389216492</v>
      </c>
      <c r="O23" s="6">
        <f>KAYA!N23*KAYA!AE23*KAYA!AV23*KAYA!BM23</f>
        <v>728979.80298690579</v>
      </c>
      <c r="P23" s="6">
        <f>KAYA!O23*KAYA!AF23*KAYA!AW23*KAYA!BN23</f>
        <v>164904.63557148792</v>
      </c>
      <c r="Q23" s="6">
        <f>KAYA!P23*KAYA!AG23*KAYA!AX23*KAYA!BO23</f>
        <v>1974610.5718642389</v>
      </c>
      <c r="R23" s="6">
        <f>KAYA!Q23*KAYA!AH23*KAYA!AY23*KAYA!BP23</f>
        <v>1355055.2042969738</v>
      </c>
      <c r="S23" s="6">
        <f>KAYA!R23*KAYA!AI23*KAYA!AZ23*KAYA!BQ23</f>
        <v>448764.02273256902</v>
      </c>
    </row>
    <row r="24" spans="1:19" x14ac:dyDescent="0.3">
      <c r="A24" s="28"/>
      <c r="B24" s="3">
        <v>2011</v>
      </c>
      <c r="C24" s="6">
        <f>KAYA!B24*KAYA!S24*KAYA!AJ24*KAYA!BA24</f>
        <v>647691.55605754</v>
      </c>
      <c r="D24" s="6">
        <f>KAYA!C24*KAYA!T24*KAYA!AK24*KAYA!BB24</f>
        <v>10000930.412095455</v>
      </c>
      <c r="E24" s="6">
        <f>KAYA!D24*KAYA!U24*KAYA!AL24*KAYA!BC24</f>
        <v>1269889.6561140998</v>
      </c>
      <c r="F24" s="6">
        <f>KAYA!E24*KAYA!V24*KAYA!AM24*KAYA!BD24</f>
        <v>1832612.3125258998</v>
      </c>
      <c r="G24" s="6">
        <f>KAYA!F24*KAYA!W24*KAYA!AN24*KAYA!BE24</f>
        <v>16235.978551163998</v>
      </c>
      <c r="H24" s="6">
        <f>KAYA!G24*KAYA!X24*KAYA!AO24*KAYA!BF24</f>
        <v>50811.542817759007</v>
      </c>
      <c r="I24" s="6">
        <f>KAYA!H24*KAYA!Y24*KAYA!AP24*KAYA!BG24</f>
        <v>5895106.9576515779</v>
      </c>
      <c r="J24" s="6">
        <f>KAYA!I24*KAYA!Z24*KAYA!AQ24*KAYA!BH24</f>
        <v>1743927.5721644626</v>
      </c>
      <c r="K24" s="6">
        <f>KAYA!J24*KAYA!AA24*KAYA!AR24*KAYA!BI24</f>
        <v>3438724.5870537017</v>
      </c>
      <c r="L24" s="6">
        <f>KAYA!K24*KAYA!AB24*KAYA!AS24*KAYA!BJ24</f>
        <v>866201.07457000588</v>
      </c>
      <c r="M24" s="6">
        <f>KAYA!L24*KAYA!AC24*KAYA!AT24*KAYA!BK24</f>
        <v>925193.19429456082</v>
      </c>
      <c r="N24" s="6">
        <f>KAYA!M24*KAYA!AD24*KAYA!AU24*KAYA!BL24</f>
        <v>2334258.6488044462</v>
      </c>
      <c r="O24" s="6">
        <f>KAYA!N24*KAYA!AE24*KAYA!AV24*KAYA!BM24</f>
        <v>733256.31208390964</v>
      </c>
      <c r="P24" s="6">
        <f>KAYA!O24*KAYA!AF24*KAYA!AW24*KAYA!BN24</f>
        <v>165257.76025404298</v>
      </c>
      <c r="Q24" s="6">
        <f>KAYA!P24*KAYA!AG24*KAYA!AX24*KAYA!BO24</f>
        <v>2101232.6558121573</v>
      </c>
      <c r="R24" s="6">
        <f>KAYA!Q24*KAYA!AH24*KAYA!AY24*KAYA!BP24</f>
        <v>1424288.5572679352</v>
      </c>
      <c r="S24" s="6">
        <f>KAYA!R24*KAYA!AI24*KAYA!AZ24*KAYA!BQ24</f>
        <v>445572.664736579</v>
      </c>
    </row>
    <row r="25" spans="1:19" x14ac:dyDescent="0.3">
      <c r="A25" s="28"/>
      <c r="B25" s="3">
        <v>2012</v>
      </c>
      <c r="C25" s="6">
        <f>KAYA!B25*KAYA!S25*KAYA!AJ25*KAYA!BA25</f>
        <v>645211.52812753967</v>
      </c>
      <c r="D25" s="6">
        <f>KAYA!C25*KAYA!T25*KAYA!AK25*KAYA!BB25</f>
        <v>10315387.936116679</v>
      </c>
      <c r="E25" s="6">
        <f>KAYA!D25*KAYA!U25*KAYA!AL25*KAYA!BC25</f>
        <v>1308401.6345976</v>
      </c>
      <c r="F25" s="6">
        <f>KAYA!E25*KAYA!V25*KAYA!AM25*KAYA!BD25</f>
        <v>1819801.9768655698</v>
      </c>
      <c r="G25" s="6">
        <f>KAYA!F25*KAYA!W25*KAYA!AN25*KAYA!BE25</f>
        <v>17659.486240462997</v>
      </c>
      <c r="H25" s="6">
        <f>KAYA!G25*KAYA!X25*KAYA!AO25*KAYA!BF25</f>
        <v>49021.690111427997</v>
      </c>
      <c r="I25" s="6">
        <f>KAYA!H25*KAYA!Y25*KAYA!AP25*KAYA!BG25</f>
        <v>5666261.3656159574</v>
      </c>
      <c r="J25" s="6">
        <f>KAYA!I25*KAYA!Z25*KAYA!AQ25*KAYA!BH25</f>
        <v>1827890.0691337602</v>
      </c>
      <c r="K25" s="6">
        <f>KAYA!J25*KAYA!AA25*KAYA!AR25*KAYA!BI25</f>
        <v>3434613.0330374502</v>
      </c>
      <c r="L25" s="6">
        <f>KAYA!K25*KAYA!AB25*KAYA!AS25*KAYA!BJ25</f>
        <v>828615.83594094601</v>
      </c>
      <c r="M25" s="6">
        <f>KAYA!L25*KAYA!AC25*KAYA!AT25*KAYA!BK25</f>
        <v>907999.07104319078</v>
      </c>
      <c r="N25" s="6">
        <f>KAYA!M25*KAYA!AD25*KAYA!AU25*KAYA!BL25</f>
        <v>2466260.8554778346</v>
      </c>
      <c r="O25" s="6">
        <f>KAYA!N25*KAYA!AE25*KAYA!AV25*KAYA!BM25</f>
        <v>755394.99671070208</v>
      </c>
      <c r="P25" s="6">
        <f>KAYA!O25*KAYA!AF25*KAYA!AW25*KAYA!BN25</f>
        <v>165192.99011903288</v>
      </c>
      <c r="Q25" s="6">
        <f>KAYA!P25*KAYA!AG25*KAYA!AX25*KAYA!BO25</f>
        <v>2278770.5287655098</v>
      </c>
      <c r="R25" s="6">
        <f>KAYA!Q25*KAYA!AH25*KAYA!AY25*KAYA!BP25</f>
        <v>1452436.5904246531</v>
      </c>
      <c r="S25" s="6">
        <f>KAYA!R25*KAYA!AI25*KAYA!AZ25*KAYA!BQ25</f>
        <v>448159.43503364001</v>
      </c>
    </row>
    <row r="26" spans="1:19" x14ac:dyDescent="0.3">
      <c r="A26" s="28"/>
      <c r="B26" s="3">
        <v>2013</v>
      </c>
      <c r="C26" s="6">
        <f>KAYA!B26*KAYA!S26*KAYA!AJ26*KAYA!BA26</f>
        <v>642047.18558741699</v>
      </c>
      <c r="D26" s="6">
        <f>KAYA!C26*KAYA!T26*KAYA!AK26*KAYA!BB26</f>
        <v>10806615.836231431</v>
      </c>
      <c r="E26" s="6">
        <f>KAYA!D26*KAYA!U26*KAYA!AL26*KAYA!BC26</f>
        <v>1323489.9326440995</v>
      </c>
      <c r="F26" s="6">
        <f>KAYA!E26*KAYA!V26*KAYA!AM26*KAYA!BD26</f>
        <v>1764247.1865535399</v>
      </c>
      <c r="G26" s="6">
        <f>KAYA!F26*KAYA!W26*KAYA!AN26*KAYA!BE26</f>
        <v>19179.129263466002</v>
      </c>
      <c r="H26" s="6">
        <f>KAYA!G26*KAYA!X26*KAYA!AO26*KAYA!BF26</f>
        <v>37908.409327216999</v>
      </c>
      <c r="I26" s="6">
        <f>KAYA!H26*KAYA!Y26*KAYA!AP26*KAYA!BG26</f>
        <v>5810895.6275613587</v>
      </c>
      <c r="J26" s="6">
        <f>KAYA!I26*KAYA!Z26*KAYA!AQ26*KAYA!BH26</f>
        <v>1862742.9616270484</v>
      </c>
      <c r="K26" s="6">
        <f>KAYA!J26*KAYA!AA26*KAYA!AR26*KAYA!BI26</f>
        <v>3354829.7508598734</v>
      </c>
      <c r="L26" s="6">
        <f>KAYA!K26*KAYA!AB26*KAYA!AS26*KAYA!BJ26</f>
        <v>804217.75575364765</v>
      </c>
      <c r="M26" s="6">
        <f>KAYA!L26*KAYA!AC26*KAYA!AT26*KAYA!BK26</f>
        <v>911139.21995999513</v>
      </c>
      <c r="N26" s="6">
        <f>KAYA!M26*KAYA!AD26*KAYA!AU26*KAYA!BL26</f>
        <v>2515201.6040618834</v>
      </c>
      <c r="O26" s="6">
        <f>KAYA!N26*KAYA!AE26*KAYA!AV26*KAYA!BM26</f>
        <v>796707.19073967589</v>
      </c>
      <c r="P26" s="6">
        <f>KAYA!O26*KAYA!AF26*KAYA!AW26*KAYA!BN26</f>
        <v>172799.332025171</v>
      </c>
      <c r="Q26" s="6">
        <f>KAYA!P26*KAYA!AG26*KAYA!AX26*KAYA!BO26</f>
        <v>2337794.1689249156</v>
      </c>
      <c r="R26" s="6">
        <f>KAYA!Q26*KAYA!AH26*KAYA!AY26*KAYA!BP26</f>
        <v>1468671.2834681417</v>
      </c>
      <c r="S26" s="6">
        <f>KAYA!R26*KAYA!AI26*KAYA!AZ26*KAYA!BQ26</f>
        <v>440323.04868845985</v>
      </c>
    </row>
    <row r="27" spans="1:19" x14ac:dyDescent="0.3">
      <c r="A27" s="28"/>
      <c r="B27" s="3">
        <v>2014</v>
      </c>
      <c r="C27" s="6">
        <f>KAYA!B27*KAYA!S27*KAYA!AJ27*KAYA!BA27</f>
        <v>630586.54857635999</v>
      </c>
      <c r="D27" s="6">
        <f>KAYA!C27*KAYA!T27*KAYA!AK27*KAYA!BB27</f>
        <v>10928658.563677954</v>
      </c>
      <c r="E27" s="6">
        <f>KAYA!D27*KAYA!U27*KAYA!AL27*KAYA!BC27</f>
        <v>1273569.786515</v>
      </c>
      <c r="F27" s="6">
        <f>KAYA!E27*KAYA!V27*KAYA!AM27*KAYA!BD27</f>
        <v>1750198.9144907701</v>
      </c>
      <c r="G27" s="6">
        <f>KAYA!F27*KAYA!W27*KAYA!AN27*KAYA!BE27</f>
        <v>19530.335690941996</v>
      </c>
      <c r="H27" s="6">
        <f>KAYA!G27*KAYA!X27*KAYA!AO27*KAYA!BF27</f>
        <v>41610.538572242993</v>
      </c>
      <c r="I27" s="6">
        <f>KAYA!H27*KAYA!Y27*KAYA!AP27*KAYA!BG27</f>
        <v>5835640.9223101316</v>
      </c>
      <c r="J27" s="6">
        <f>KAYA!I27*KAYA!Z27*KAYA!AQ27*KAYA!BH27</f>
        <v>1869895.7583041224</v>
      </c>
      <c r="K27" s="6">
        <f>KAYA!J27*KAYA!AA27*KAYA!AR27*KAYA!BI27</f>
        <v>3210040.9836581978</v>
      </c>
      <c r="L27" s="6">
        <f>KAYA!K27*KAYA!AB27*KAYA!AS27*KAYA!BJ27</f>
        <v>774614.54073534126</v>
      </c>
      <c r="M27" s="6">
        <f>KAYA!L27*KAYA!AC27*KAYA!AT27*KAYA!BK27</f>
        <v>815766.91710253293</v>
      </c>
      <c r="N27" s="6">
        <f>KAYA!M27*KAYA!AD27*KAYA!AU27*KAYA!BL27</f>
        <v>2604716.732283656</v>
      </c>
      <c r="O27" s="6">
        <f>KAYA!N27*KAYA!AE27*KAYA!AV27*KAYA!BM27</f>
        <v>828978.03643427847</v>
      </c>
      <c r="P27" s="6">
        <f>KAYA!O27*KAYA!AF27*KAYA!AW27*KAYA!BN27</f>
        <v>190362.98447044994</v>
      </c>
      <c r="Q27" s="6">
        <f>KAYA!P27*KAYA!AG27*KAYA!AX27*KAYA!BO27</f>
        <v>2520035.6547609139</v>
      </c>
      <c r="R27" s="6">
        <f>KAYA!Q27*KAYA!AH27*KAYA!AY27*KAYA!BP27</f>
        <v>1527061.2682614708</v>
      </c>
      <c r="S27" s="6">
        <f>KAYA!R27*KAYA!AI27*KAYA!AZ27*KAYA!BQ27</f>
        <v>431733.1349187101</v>
      </c>
    </row>
    <row r="28" spans="1:19" x14ac:dyDescent="0.3">
      <c r="A28" s="28"/>
      <c r="B28" s="3">
        <v>2015</v>
      </c>
      <c r="C28" s="6">
        <f>KAYA!B28*KAYA!S28*KAYA!AJ28*KAYA!BA28</f>
        <v>643799.39822141896</v>
      </c>
      <c r="D28" s="6">
        <f>KAYA!C28*KAYA!T28*KAYA!AK28*KAYA!BB28</f>
        <v>10794142.078822259</v>
      </c>
      <c r="E28" s="6">
        <f>KAYA!D28*KAYA!U28*KAYA!AL28*KAYA!BC28</f>
        <v>1232576.2244020004</v>
      </c>
      <c r="F28" s="6">
        <f>KAYA!E28*KAYA!V28*KAYA!AM28*KAYA!BD28</f>
        <v>1757113.9179390999</v>
      </c>
      <c r="G28" s="6">
        <f>KAYA!F28*KAYA!W28*KAYA!AN28*KAYA!BE28</f>
        <v>18025.909963842001</v>
      </c>
      <c r="H28" s="6">
        <f>KAYA!G28*KAYA!X28*KAYA!AO28*KAYA!BF28</f>
        <v>32654.126324968995</v>
      </c>
      <c r="I28" s="6">
        <f>KAYA!H28*KAYA!Y28*KAYA!AP28*KAYA!BG28</f>
        <v>5719498.7526079826</v>
      </c>
      <c r="J28" s="6">
        <f>KAYA!I28*KAYA!Z28*KAYA!AQ28*KAYA!BH28</f>
        <v>1859542.676894452</v>
      </c>
      <c r="K28" s="6">
        <f>KAYA!J28*KAYA!AA28*KAYA!AR28*KAYA!BI28</f>
        <v>3257729.5722095654</v>
      </c>
      <c r="L28" s="6">
        <f>KAYA!K28*KAYA!AB28*KAYA!AS28*KAYA!BJ28</f>
        <v>792550.65729857807</v>
      </c>
      <c r="M28" s="6">
        <f>KAYA!L28*KAYA!AC28*KAYA!AT28*KAYA!BK28</f>
        <v>737984.5888090916</v>
      </c>
      <c r="N28" s="6">
        <f>KAYA!M28*KAYA!AD28*KAYA!AU28*KAYA!BL28</f>
        <v>2643217.0970746623</v>
      </c>
      <c r="O28" s="6">
        <f>KAYA!N28*KAYA!AE28*KAYA!AV28*KAYA!BM28</f>
        <v>815140.02264052886</v>
      </c>
      <c r="P28" s="6">
        <f>KAYA!O28*KAYA!AF28*KAYA!AW28*KAYA!BN28</f>
        <v>218265.34402809292</v>
      </c>
      <c r="Q28" s="6">
        <f>KAYA!P28*KAYA!AG28*KAYA!AX28*KAYA!BO28</f>
        <v>2580317.2587528792</v>
      </c>
      <c r="R28" s="6">
        <f>KAYA!Q28*KAYA!AH28*KAYA!AY28*KAYA!BP28</f>
        <v>1557203.2337952815</v>
      </c>
      <c r="S28" s="6">
        <f>KAYA!R28*KAYA!AI28*KAYA!AZ28*KAYA!BQ28</f>
        <v>436020.28117610997</v>
      </c>
    </row>
    <row r="29" spans="1:19" x14ac:dyDescent="0.3">
      <c r="A29" s="28"/>
      <c r="B29" s="3">
        <v>2016</v>
      </c>
      <c r="C29" s="6">
        <f>KAYA!B29*KAYA!S29*KAYA!AJ29*KAYA!BA29</f>
        <v>648815.83675828506</v>
      </c>
      <c r="D29" s="6">
        <f>KAYA!C29*KAYA!T29*KAYA!AK29*KAYA!BB29</f>
        <v>10818805.227687428</v>
      </c>
      <c r="E29" s="6">
        <f>KAYA!D29*KAYA!U29*KAYA!AL29*KAYA!BC29</f>
        <v>1228653.7196605003</v>
      </c>
      <c r="F29" s="6">
        <f>KAYA!E29*KAYA!V29*KAYA!AM29*KAYA!BD29</f>
        <v>1734638.2443525994</v>
      </c>
      <c r="G29" s="6">
        <f>KAYA!F29*KAYA!W29*KAYA!AN29*KAYA!BE29</f>
        <v>19116.819168114002</v>
      </c>
      <c r="H29" s="6">
        <f>KAYA!G29*KAYA!X29*KAYA!AO29*KAYA!BF29</f>
        <v>36027.056849278008</v>
      </c>
      <c r="I29" s="6">
        <f>KAYA!H29*KAYA!Y29*KAYA!AP29*KAYA!BG29</f>
        <v>5614440.9588420093</v>
      </c>
      <c r="J29" s="6">
        <f>KAYA!I29*KAYA!Z29*KAYA!AQ29*KAYA!BH29</f>
        <v>1823090.1188806985</v>
      </c>
      <c r="K29" s="6">
        <f>KAYA!J29*KAYA!AA29*KAYA!AR29*KAYA!BI29</f>
        <v>3254554.5087913335</v>
      </c>
      <c r="L29" s="6">
        <f>KAYA!K29*KAYA!AB29*KAYA!AS29*KAYA!BJ29</f>
        <v>806591.07045113901</v>
      </c>
      <c r="M29" s="6">
        <f>KAYA!L29*KAYA!AC29*KAYA!AT29*KAYA!BK29</f>
        <v>758427.20103358955</v>
      </c>
      <c r="N29" s="6">
        <f>KAYA!M29*KAYA!AD29*KAYA!AU29*KAYA!BL29</f>
        <v>2680061.0132742757</v>
      </c>
      <c r="O29" s="6">
        <f>KAYA!N29*KAYA!AE29*KAYA!AV29*KAYA!BM29</f>
        <v>827914.53539473086</v>
      </c>
      <c r="P29" s="6">
        <f>KAYA!O29*KAYA!AF29*KAYA!AW29*KAYA!BN29</f>
        <v>250272.18032619395</v>
      </c>
      <c r="Q29" s="6">
        <f>KAYA!P29*KAYA!AG29*KAYA!AX29*KAYA!BO29</f>
        <v>2647787.1053137099</v>
      </c>
      <c r="R29" s="6">
        <f>KAYA!Q29*KAYA!AH29*KAYA!AY29*KAYA!BP29</f>
        <v>1557727.2240750948</v>
      </c>
      <c r="S29" s="6">
        <f>KAYA!R29*KAYA!AI29*KAYA!AZ29*KAYA!BQ29</f>
        <v>443355.78800436592</v>
      </c>
    </row>
    <row r="30" spans="1:19" x14ac:dyDescent="0.3">
      <c r="A30" s="28"/>
      <c r="B30" s="3">
        <v>2017</v>
      </c>
      <c r="C30" s="6">
        <f>KAYA!B30*KAYA!S30*KAYA!AJ30*KAYA!BA30</f>
        <v>665287.9512951998</v>
      </c>
      <c r="D30" s="6">
        <f>KAYA!C30*KAYA!T30*KAYA!AK30*KAYA!BB30</f>
        <v>11043553.635596819</v>
      </c>
      <c r="E30" s="6">
        <f>KAYA!D30*KAYA!U30*KAYA!AL30*KAYA!BC30</f>
        <v>1212942.3327829998</v>
      </c>
      <c r="F30" s="6">
        <f>KAYA!E30*KAYA!V30*KAYA!AM30*KAYA!BD30</f>
        <v>1763240.1319565</v>
      </c>
      <c r="G30" s="6">
        <f>KAYA!F30*KAYA!W30*KAYA!AN30*KAYA!BE30</f>
        <v>21075.325461040997</v>
      </c>
      <c r="H30" s="6">
        <f>KAYA!G30*KAYA!X30*KAYA!AO30*KAYA!BF30</f>
        <v>73542.726472114999</v>
      </c>
      <c r="I30" s="6">
        <f>KAYA!H30*KAYA!Y30*KAYA!AP30*KAYA!BG30</f>
        <v>5563018.5958724981</v>
      </c>
      <c r="J30" s="6">
        <f>KAYA!I30*KAYA!Z30*KAYA!AQ30*KAYA!BH30</f>
        <v>1809384.0659038781</v>
      </c>
      <c r="K30" s="6">
        <f>KAYA!J30*KAYA!AA30*KAYA!AR30*KAYA!BI30</f>
        <v>3282284.1802985752</v>
      </c>
      <c r="L30" s="6">
        <f>KAYA!K30*KAYA!AB30*KAYA!AS30*KAYA!BJ30</f>
        <v>835265.0100973068</v>
      </c>
      <c r="M30" s="6">
        <f>KAYA!L30*KAYA!AC30*KAYA!AT30*KAYA!BK30</f>
        <v>758654.56631852733</v>
      </c>
      <c r="N30" s="6">
        <f>KAYA!M30*KAYA!AD30*KAYA!AU30*KAYA!BL30</f>
        <v>2734194.2550738212</v>
      </c>
      <c r="O30" s="6">
        <f>KAYA!N30*KAYA!AE30*KAYA!AV30*KAYA!BM30</f>
        <v>833679.91891765327</v>
      </c>
      <c r="P30" s="6">
        <f>KAYA!O30*KAYA!AF30*KAYA!AW30*KAYA!BN30</f>
        <v>260326.09461660884</v>
      </c>
      <c r="Q30" s="6">
        <f>KAYA!P30*KAYA!AG30*KAYA!AX30*KAYA!BO30</f>
        <v>2805628.2982747802</v>
      </c>
      <c r="R30" s="6">
        <f>KAYA!Q30*KAYA!AH30*KAYA!AY30*KAYA!BP30</f>
        <v>1613481.8620895226</v>
      </c>
      <c r="S30" s="6">
        <f>KAYA!R30*KAYA!AI30*KAYA!AZ30*KAYA!BQ30</f>
        <v>447477.71408451372</v>
      </c>
    </row>
    <row r="31" spans="1:19" x14ac:dyDescent="0.3">
      <c r="A31" s="28"/>
      <c r="B31" s="3">
        <v>2018</v>
      </c>
      <c r="C31" s="6">
        <f>KAYA!B31*KAYA!S31*KAYA!AJ31*KAYA!BA31</f>
        <v>680496.01195379684</v>
      </c>
      <c r="D31" s="6">
        <f>KAYA!C31*KAYA!T31*KAYA!AK31*KAYA!BB31</f>
        <v>11571570.806444392</v>
      </c>
      <c r="E31" s="6">
        <f>KAYA!D31*KAYA!U31*KAYA!AL31*KAYA!BC31</f>
        <v>1163127.7647893999</v>
      </c>
      <c r="F31" s="6">
        <f>KAYA!E31*KAYA!V31*KAYA!AM31*KAYA!BD31</f>
        <v>1831132.7549142991</v>
      </c>
      <c r="G31" s="6">
        <f>KAYA!F31*KAYA!W31*KAYA!AN31*KAYA!BE31</f>
        <v>22956.680500436996</v>
      </c>
      <c r="H31" s="6">
        <f>KAYA!G31*KAYA!X31*KAYA!AO31*KAYA!BF31</f>
        <v>66396.486535342992</v>
      </c>
      <c r="I31" s="6">
        <f>KAYA!H31*KAYA!Y31*KAYA!AP31*KAYA!BG31</f>
        <v>5744702.276826473</v>
      </c>
      <c r="J31" s="6">
        <f>KAYA!I31*KAYA!Z31*KAYA!AQ31*KAYA!BH31</f>
        <v>1758009.8888555835</v>
      </c>
      <c r="K31" s="6">
        <f>KAYA!J31*KAYA!AA31*KAYA!AR31*KAYA!BI31</f>
        <v>3205712.830158479</v>
      </c>
      <c r="L31" s="6">
        <f>KAYA!K31*KAYA!AB31*KAYA!AS31*KAYA!BJ31</f>
        <v>831688.42484742519</v>
      </c>
      <c r="M31" s="6">
        <f>KAYA!L31*KAYA!AC31*KAYA!AT31*KAYA!BK31</f>
        <v>778547.8283281849</v>
      </c>
      <c r="N31" s="6">
        <f>KAYA!M31*KAYA!AD31*KAYA!AU31*KAYA!BL31</f>
        <v>2711649.0144765358</v>
      </c>
      <c r="O31" s="6">
        <f>KAYA!N31*KAYA!AE31*KAYA!AV31*KAYA!BM31</f>
        <v>855375.03679822572</v>
      </c>
      <c r="P31" s="6">
        <f>KAYA!O31*KAYA!AF31*KAYA!AW31*KAYA!BN31</f>
        <v>314272.07426963787</v>
      </c>
      <c r="Q31" s="6">
        <f>KAYA!P31*KAYA!AG31*KAYA!AX31*KAYA!BO31</f>
        <v>2916069.2272708104</v>
      </c>
      <c r="R31" s="6">
        <f>KAYA!Q31*KAYA!AH31*KAYA!AY31*KAYA!BP31</f>
        <v>1683619.8100426146</v>
      </c>
      <c r="S31" s="6">
        <f>KAYA!R31*KAYA!AI31*KAYA!AZ31*KAYA!BQ31</f>
        <v>444881.10041042994</v>
      </c>
    </row>
    <row r="32" spans="1:19" x14ac:dyDescent="0.3">
      <c r="A32" s="28"/>
      <c r="B32" s="3">
        <v>2019</v>
      </c>
      <c r="C32" s="6">
        <f>KAYA!B32*KAYA!S32*KAYA!AJ32*KAYA!BA32</f>
        <v>654990.08643719018</v>
      </c>
      <c r="D32" s="6">
        <f>KAYA!C32*KAYA!T32*KAYA!AK32*KAYA!BB32</f>
        <v>11856566.398923336</v>
      </c>
      <c r="E32" s="6">
        <f>KAYA!D32*KAYA!U32*KAYA!AL32*KAYA!BC32</f>
        <v>1123812.9657778998</v>
      </c>
      <c r="F32" s="6">
        <f>KAYA!E32*KAYA!V32*KAYA!AM32*KAYA!BD32</f>
        <v>1858002.0311127005</v>
      </c>
      <c r="G32" s="6">
        <f>KAYA!F32*KAYA!W32*KAYA!AN32*KAYA!BE32</f>
        <v>25335.529056799009</v>
      </c>
      <c r="H32" s="6">
        <f>KAYA!G32*KAYA!X32*KAYA!AO32*KAYA!BF32</f>
        <v>73411.126972741011</v>
      </c>
      <c r="I32" s="6">
        <f>KAYA!H32*KAYA!Y32*KAYA!AP32*KAYA!BG32</f>
        <v>5589649.2596156886</v>
      </c>
      <c r="J32" s="6">
        <f>KAYA!I32*KAYA!Z32*KAYA!AQ32*KAYA!BH32</f>
        <v>1761515.5367244959</v>
      </c>
      <c r="K32" s="6">
        <f>KAYA!J32*KAYA!AA32*KAYA!AR32*KAYA!BI32</f>
        <v>3071622.0919556739</v>
      </c>
      <c r="L32" s="6">
        <f>KAYA!K32*KAYA!AB32*KAYA!AS32*KAYA!BJ32</f>
        <v>793810.9140163759</v>
      </c>
      <c r="M32" s="6">
        <f>KAYA!L32*KAYA!AC32*KAYA!AT32*KAYA!BK32</f>
        <v>760046.34131409507</v>
      </c>
      <c r="N32" s="6">
        <f>KAYA!M32*KAYA!AD32*KAYA!AU32*KAYA!BL32</f>
        <v>2783929.179446118</v>
      </c>
      <c r="O32" s="6">
        <f>KAYA!N32*KAYA!AE32*KAYA!AV32*KAYA!BM32</f>
        <v>874436.7995548019</v>
      </c>
      <c r="P32" s="6">
        <f>KAYA!O32*KAYA!AF32*KAYA!AW32*KAYA!BN32</f>
        <v>371609.68592596595</v>
      </c>
      <c r="Q32" s="6">
        <f>KAYA!P32*KAYA!AG32*KAYA!AX32*KAYA!BO32</f>
        <v>2912508.466030193</v>
      </c>
      <c r="R32" s="6">
        <f>KAYA!Q32*KAYA!AH32*KAYA!AY32*KAYA!BP32</f>
        <v>1734161.2572689587</v>
      </c>
      <c r="S32" s="6">
        <f>KAYA!R32*KAYA!AI32*KAYA!AZ32*KAYA!BQ32</f>
        <v>445153.87604490976</v>
      </c>
    </row>
    <row r="33" spans="1:19" x14ac:dyDescent="0.3">
      <c r="A33" s="28"/>
      <c r="B33" s="3">
        <v>2020</v>
      </c>
      <c r="C33" s="6">
        <f>KAYA!B33*KAYA!S33*KAYA!AJ33*KAYA!BA33</f>
        <v>617340.76360012777</v>
      </c>
      <c r="D33" s="6">
        <f>KAYA!C33*KAYA!T33*KAYA!AK33*KAYA!BB33</f>
        <v>11998190.412577732</v>
      </c>
      <c r="E33" s="6">
        <f>KAYA!D33*KAYA!U33*KAYA!AL33*KAYA!BC33</f>
        <v>1060226.9232821998</v>
      </c>
      <c r="F33" s="6">
        <f>KAYA!E33*KAYA!V33*KAYA!AM33*KAYA!BD33</f>
        <v>1784199.1488612001</v>
      </c>
      <c r="G33" s="6">
        <f>KAYA!F33*KAYA!W33*KAYA!AN33*KAYA!BE33</f>
        <v>22515.519167894006</v>
      </c>
      <c r="H33" s="6">
        <f>KAYA!G33*KAYA!X33*KAYA!AO33*KAYA!BF33</f>
        <v>69045.008425627995</v>
      </c>
      <c r="I33" s="6">
        <f>KAYA!H33*KAYA!Y33*KAYA!AP33*KAYA!BG33</f>
        <v>5027820.6554803103</v>
      </c>
      <c r="J33" s="6">
        <f>KAYA!I33*KAYA!Z33*KAYA!AQ33*KAYA!BH33</f>
        <v>1575906.1320678825</v>
      </c>
      <c r="K33" s="6">
        <f>KAYA!J33*KAYA!AA33*KAYA!AR33*KAYA!BI33</f>
        <v>2811537.023431859</v>
      </c>
      <c r="L33" s="6">
        <f>KAYA!K33*KAYA!AB33*KAYA!AS33*KAYA!BJ33</f>
        <v>747275.05060840782</v>
      </c>
      <c r="M33" s="6">
        <f>KAYA!L33*KAYA!AC33*KAYA!AT33*KAYA!BK33</f>
        <v>764730.28270885989</v>
      </c>
      <c r="N33" s="6">
        <f>KAYA!M33*KAYA!AD33*KAYA!AU33*KAYA!BL33</f>
        <v>2749051.1036235364</v>
      </c>
      <c r="O33" s="6">
        <f>KAYA!N33*KAYA!AE33*KAYA!AV33*KAYA!BM33</f>
        <v>831844.69301787135</v>
      </c>
      <c r="P33" s="6">
        <f>KAYA!O33*KAYA!AF33*KAYA!AW33*KAYA!BN33</f>
        <v>386402.52117248788</v>
      </c>
      <c r="Q33" s="6">
        <f>KAYA!P33*KAYA!AG33*KAYA!AX33*KAYA!BO33</f>
        <v>2737516.8762698648</v>
      </c>
      <c r="R33" s="6">
        <f>KAYA!Q33*KAYA!AH33*KAYA!AY33*KAYA!BP33</f>
        <v>1667656.9351061466</v>
      </c>
      <c r="S33" s="6">
        <f>KAYA!R33*KAYA!AI33*KAYA!AZ33*KAYA!BQ33</f>
        <v>427215.68461900001</v>
      </c>
    </row>
    <row r="34" spans="1:19" x14ac:dyDescent="0.3">
      <c r="A34" s="28"/>
      <c r="B34" s="3">
        <v>2021</v>
      </c>
      <c r="C34" s="6">
        <f>KAYA!B34*KAYA!S34*KAYA!AJ34*KAYA!BA34</f>
        <v>638770.19776422996</v>
      </c>
      <c r="D34" s="6">
        <f>KAYA!C34*KAYA!T34*KAYA!AK34*KAYA!BB34</f>
        <v>12586401.855185144</v>
      </c>
      <c r="E34" s="6">
        <f>KAYA!D34*KAYA!U34*KAYA!AL34*KAYA!BC34</f>
        <v>1080205.9879127999</v>
      </c>
      <c r="F34" s="6">
        <f>KAYA!E34*KAYA!V34*KAYA!AM34*KAYA!BD34</f>
        <v>1938459.5531066998</v>
      </c>
      <c r="G34" s="6">
        <f>KAYA!F34*KAYA!W34*KAYA!AN34*KAYA!BE34</f>
        <v>24888.666368096994</v>
      </c>
      <c r="H34" s="6">
        <f>KAYA!G34*KAYA!X34*KAYA!AO34*KAYA!BF34</f>
        <v>57290.629617697014</v>
      </c>
      <c r="I34" s="6">
        <f>KAYA!H34*KAYA!Y34*KAYA!AP34*KAYA!BG34</f>
        <v>5328809.1133200545</v>
      </c>
      <c r="J34" s="6">
        <f>KAYA!I34*KAYA!Z34*KAYA!AQ34*KAYA!BH34</f>
        <v>1708816.599222366</v>
      </c>
      <c r="K34" s="6">
        <f>KAYA!J34*KAYA!AA34*KAYA!AR34*KAYA!BI34</f>
        <v>2999409.4546087971</v>
      </c>
      <c r="L34" s="6">
        <f>KAYA!K34*KAYA!AB34*KAYA!AS34*KAYA!BJ34</f>
        <v>797731.98308526888</v>
      </c>
      <c r="M34" s="6">
        <f>KAYA!L34*KAYA!AC34*KAYA!AT34*KAYA!BK34</f>
        <v>811304.58878378116</v>
      </c>
      <c r="N34" s="6">
        <f>KAYA!M34*KAYA!AD34*KAYA!AU34*KAYA!BL34</f>
        <v>2889133.8052163273</v>
      </c>
      <c r="O34" s="6">
        <f>KAYA!N34*KAYA!AE34*KAYA!AV34*KAYA!BM34</f>
        <v>866967.22120039561</v>
      </c>
      <c r="P34" s="6">
        <f>KAYA!O34*KAYA!AF34*KAYA!AW34*KAYA!BN34</f>
        <v>378469.54222479207</v>
      </c>
      <c r="Q34" s="6">
        <f>KAYA!P34*KAYA!AG34*KAYA!AX34*KAYA!BO34</f>
        <v>3000753.4201970957</v>
      </c>
      <c r="R34" s="6">
        <f>KAYA!Q34*KAYA!AH34*KAYA!AY34*KAYA!BP34</f>
        <v>1709431.802147561</v>
      </c>
      <c r="S34" s="6">
        <f>KAYA!R34*KAYA!AI34*KAYA!AZ34*KAYA!BQ34</f>
        <v>419444.03080859984</v>
      </c>
    </row>
    <row r="35" spans="1:19" x14ac:dyDescent="0.3">
      <c r="A35" s="28"/>
      <c r="B35" s="3">
        <v>2022</v>
      </c>
      <c r="C35" s="6">
        <f>KAYA!B35*KAYA!S35*KAYA!AJ35*KAYA!BA35</f>
        <v>613546.70921691018</v>
      </c>
      <c r="D35" s="6">
        <f>KAYA!C35*KAYA!T35*KAYA!AK35*KAYA!BB35</f>
        <v>12550816.592827979</v>
      </c>
      <c r="E35" s="6">
        <f>KAYA!D35*KAYA!U35*KAYA!AL35*KAYA!BC35</f>
        <v>1050503.2369010001</v>
      </c>
      <c r="F35" s="6">
        <f>KAYA!E35*KAYA!V35*KAYA!AM35*KAYA!BD35</f>
        <v>1895472.8804899002</v>
      </c>
      <c r="G35" s="6">
        <f>KAYA!F35*KAYA!W35*KAYA!AN35*KAYA!BE35</f>
        <v>24955.332479761</v>
      </c>
      <c r="H35" s="6">
        <f>KAYA!G35*KAYA!X35*KAYA!AO35*KAYA!BF35</f>
        <v>59803.620062326001</v>
      </c>
      <c r="I35" s="6">
        <f>KAYA!H35*KAYA!Y35*KAYA!AP35*KAYA!BG35</f>
        <v>5405548.6635778388</v>
      </c>
      <c r="J35" s="6">
        <f>KAYA!I35*KAYA!Z35*KAYA!AQ35*KAYA!BH35</f>
        <v>1716086.4124693195</v>
      </c>
      <c r="K35" s="6">
        <f>KAYA!J35*KAYA!AA35*KAYA!AR35*KAYA!BI35</f>
        <v>2922891.4018823826</v>
      </c>
      <c r="L35" s="6">
        <f>KAYA!K35*KAYA!AB35*KAYA!AS35*KAYA!BJ35</f>
        <v>771359.72343627701</v>
      </c>
      <c r="M35" s="6">
        <f>KAYA!L35*KAYA!AC35*KAYA!AT35*KAYA!BK35</f>
        <v>741207.18498841894</v>
      </c>
      <c r="N35" s="6">
        <f>KAYA!M35*KAYA!AD35*KAYA!AU35*KAYA!BL35</f>
        <v>2954914.86254685</v>
      </c>
      <c r="O35" s="6">
        <f>KAYA!N35*KAYA!AE35*KAYA!AV35*KAYA!BM35</f>
        <v>859947.64791076141</v>
      </c>
      <c r="P35" s="6">
        <f>KAYA!O35*KAYA!AF35*KAYA!AW35*KAYA!BN35</f>
        <v>386416.27412189613</v>
      </c>
      <c r="Q35" s="6">
        <f>KAYA!P35*KAYA!AG35*KAYA!AX35*KAYA!BO35</f>
        <v>3213765.7798536164</v>
      </c>
      <c r="R35" s="6">
        <f>KAYA!Q35*KAYA!AH35*KAYA!AY35*KAYA!BP35</f>
        <v>1839924.027489241</v>
      </c>
      <c r="S35" s="6">
        <f>KAYA!R35*KAYA!AI35*KAYA!AZ35*KAYA!BQ35</f>
        <v>410189.64342049992</v>
      </c>
    </row>
    <row r="36" spans="1:19" x14ac:dyDescent="0.3">
      <c r="A36" s="28"/>
      <c r="B36" s="3">
        <v>2023</v>
      </c>
      <c r="C36" s="6">
        <f>KAYA!B36*KAYA!S36*KAYA!AJ36*KAYA!BA36</f>
        <v>590364.98780552589</v>
      </c>
      <c r="D36" s="6">
        <f>KAYA!C36*KAYA!T36*KAYA!AK36*KAYA!BB36</f>
        <v>13055361.364117403</v>
      </c>
      <c r="E36" s="6">
        <f>KAYA!D36*KAYA!U36*KAYA!AL36*KAYA!BC36</f>
        <v>1002438.1935555</v>
      </c>
      <c r="F36" s="6">
        <f>KAYA!E36*KAYA!V36*KAYA!AM36*KAYA!BD36</f>
        <v>1948302.3699143003</v>
      </c>
      <c r="G36" s="6">
        <f>KAYA!F36*KAYA!W36*KAYA!AN36*KAYA!BE36</f>
        <v>27152.554038172999</v>
      </c>
      <c r="H36" s="6">
        <f>KAYA!G36*KAYA!X36*KAYA!AO36*KAYA!BF36</f>
        <v>65658.792360701002</v>
      </c>
      <c r="I36" s="6">
        <f>KAYA!H36*KAYA!Y36*KAYA!AP36*KAYA!BG36</f>
        <v>5200023.6096046651</v>
      </c>
      <c r="J36" s="6">
        <f>KAYA!I36*KAYA!Z36*KAYA!AQ36*KAYA!BH36</f>
        <v>1738813.3526304998</v>
      </c>
      <c r="K36" s="6">
        <f>KAYA!J36*KAYA!AA36*KAYA!AR36*KAYA!BI36</f>
        <v>2730381.0634566238</v>
      </c>
      <c r="L36" s="6">
        <f>KAYA!K36*KAYA!AB36*KAYA!AS36*KAYA!BJ36</f>
        <v>700085.58818117494</v>
      </c>
      <c r="M36" s="6">
        <f>KAYA!L36*KAYA!AC36*KAYA!AT36*KAYA!BK36</f>
        <v>748868.07484550599</v>
      </c>
      <c r="N36" s="6">
        <f>KAYA!M36*KAYA!AD36*KAYA!AU36*KAYA!BL36</f>
        <v>3041205.6266857334</v>
      </c>
      <c r="O36" s="6">
        <f>KAYA!N36*KAYA!AE36*KAYA!AV36*KAYA!BM36</f>
        <v>852828.67238791671</v>
      </c>
      <c r="P36" s="6">
        <f>KAYA!O36*KAYA!AF36*KAYA!AW36*KAYA!BN36</f>
        <v>435385.16395935119</v>
      </c>
      <c r="Q36" s="6">
        <f>KAYA!P36*KAYA!AG36*KAYA!AX36*KAYA!BO36</f>
        <v>3394417.1551743527</v>
      </c>
      <c r="R36" s="6">
        <f>KAYA!Q36*KAYA!AH36*KAYA!AY36*KAYA!BP36</f>
        <v>1889024.1302442623</v>
      </c>
      <c r="S36" s="6">
        <f>KAYA!R36*KAYA!AI36*KAYA!AZ36*KAYA!BQ36</f>
        <v>409271.66956799902</v>
      </c>
    </row>
    <row r="37" spans="1:19" x14ac:dyDescent="0.3">
      <c r="A37" s="28"/>
      <c r="B37" s="3">
        <v>2024</v>
      </c>
      <c r="C37" s="24">
        <f>KAYA!B37*KAYA!S37*KAYA!AJ37*KAYA!BA37</f>
        <v>584717.54975406686</v>
      </c>
      <c r="D37" s="24">
        <f>KAYA!C37*KAYA!T37*KAYA!AK37*KAYA!BB37</f>
        <v>13259465.600076711</v>
      </c>
      <c r="E37" s="24">
        <f>KAYA!D37*KAYA!U37*KAYA!AL37*KAYA!BC37</f>
        <v>974856.47784986196</v>
      </c>
      <c r="F37" s="24">
        <f>KAYA!E37*KAYA!V37*KAYA!AM37*KAYA!BD37</f>
        <v>2033357.0966097489</v>
      </c>
      <c r="G37" s="24">
        <f>KAYA!F37*KAYA!W37*KAYA!AN37*KAYA!BE37</f>
        <v>28591.793570080423</v>
      </c>
      <c r="H37" s="24">
        <f>KAYA!G37*KAYA!X37*KAYA!AO37*KAYA!BF37</f>
        <v>71741.038429810709</v>
      </c>
      <c r="I37" s="24">
        <f>KAYA!H37*KAYA!Y37*KAYA!AP37*KAYA!BG37</f>
        <v>5168513.3947515478</v>
      </c>
      <c r="J37" s="24">
        <f>KAYA!I37*KAYA!Z37*KAYA!AQ37*KAYA!BH37</f>
        <v>1744696.2200563971</v>
      </c>
      <c r="K37" s="24">
        <f>KAYA!J37*KAYA!AA37*KAYA!AR37*KAYA!BI37</f>
        <v>2676174.6428881395</v>
      </c>
      <c r="L37" s="24">
        <f>KAYA!K37*KAYA!AB37*KAYA!AS37*KAYA!BJ37</f>
        <v>688403.99888468313</v>
      </c>
      <c r="M37" s="24">
        <f>KAYA!L37*KAYA!AC37*KAYA!AT37*KAYA!BK37</f>
        <v>745707.61216469249</v>
      </c>
      <c r="N37" s="24">
        <f>KAYA!M37*KAYA!AD37*KAYA!AU37*KAYA!BL37</f>
        <v>3063422.7931243503</v>
      </c>
      <c r="O37" s="24">
        <f>KAYA!N37*KAYA!AE37*KAYA!AV37*KAYA!BM37</f>
        <v>872181.54438460432</v>
      </c>
      <c r="P37" s="24">
        <f>KAYA!O37*KAYA!AF37*KAYA!AW37*KAYA!BN37</f>
        <v>476019.77699190169</v>
      </c>
      <c r="Q37" s="24">
        <f>KAYA!P37*KAYA!AG37*KAYA!AX37*KAYA!BO37</f>
        <v>3525171.3578421664</v>
      </c>
      <c r="R37" s="24">
        <f>KAYA!Q37*KAYA!AH37*KAYA!AY37*KAYA!BP37</f>
        <v>1955575.5789476747</v>
      </c>
      <c r="S37" s="24">
        <f>KAYA!R37*KAYA!AI37*KAYA!AZ37*KAYA!BQ37</f>
        <v>403590.16228954715</v>
      </c>
    </row>
    <row r="38" spans="1:19" x14ac:dyDescent="0.3">
      <c r="A38" s="28" t="s">
        <v>19</v>
      </c>
      <c r="B38" s="3">
        <v>2025</v>
      </c>
      <c r="C38" s="25">
        <f>KAYA!B38*KAYA!S38*KAYA!AJ38*KAYA!BA38</f>
        <v>584541.99279203755</v>
      </c>
      <c r="D38" s="25">
        <f>KAYA!C38*KAYA!T38*KAYA!AK38*KAYA!BB38</f>
        <v>13428804.086023372</v>
      </c>
      <c r="E38" s="25">
        <f>KAYA!D38*KAYA!U38*KAYA!AL38*KAYA!BC38</f>
        <v>964064.7452897419</v>
      </c>
      <c r="F38" s="25">
        <f>KAYA!E38*KAYA!V38*KAYA!AM38*KAYA!BD38</f>
        <v>2053803.2818499897</v>
      </c>
      <c r="G38" s="25">
        <f>KAYA!F38*KAYA!W38*KAYA!AN38*KAYA!BE38</f>
        <v>29796.008787539005</v>
      </c>
      <c r="H38" s="25">
        <f>KAYA!G38*KAYA!X38*KAYA!AO38*KAYA!BF38</f>
        <v>79056.139971856159</v>
      </c>
      <c r="I38" s="25">
        <f>KAYA!H38*KAYA!Y38*KAYA!AP38*KAYA!BG38</f>
        <v>5133224.3599343691</v>
      </c>
      <c r="J38" s="25">
        <f>KAYA!I38*KAYA!Z38*KAYA!AQ38*KAYA!BH38</f>
        <v>1769667.7749534242</v>
      </c>
      <c r="K38" s="25">
        <f>KAYA!J38*KAYA!AA38*KAYA!AR38*KAYA!BI38</f>
        <v>2668163.4907300621</v>
      </c>
      <c r="L38" s="25">
        <f>KAYA!K38*KAYA!AB38*KAYA!AS38*KAYA!BJ38</f>
        <v>685149.36785689788</v>
      </c>
      <c r="M38" s="25">
        <f>KAYA!L38*KAYA!AC38*KAYA!AT38*KAYA!BK38</f>
        <v>740680.15259806963</v>
      </c>
      <c r="N38" s="25">
        <f>KAYA!M38*KAYA!AD38*KAYA!AU38*KAYA!BL38</f>
        <v>3121219.9116755575</v>
      </c>
      <c r="O38" s="25">
        <f>KAYA!N38*KAYA!AE38*KAYA!AV38*KAYA!BM38</f>
        <v>888833.23617467983</v>
      </c>
      <c r="P38" s="25">
        <f>KAYA!O38*KAYA!AF38*KAYA!AW38*KAYA!BN38</f>
        <v>517688.40490916226</v>
      </c>
      <c r="Q38" s="25">
        <f>KAYA!P38*KAYA!AG38*KAYA!AX38*KAYA!BO38</f>
        <v>3683529.0136657422</v>
      </c>
      <c r="R38" s="25">
        <f>KAYA!Q38*KAYA!AH38*KAYA!AY38*KAYA!BP38</f>
        <v>2023721.2993010813</v>
      </c>
      <c r="S38" s="25">
        <f>KAYA!R38*KAYA!AI38*KAYA!AZ38*KAYA!BQ38</f>
        <v>404477.70314366336</v>
      </c>
    </row>
    <row r="39" spans="1:19" x14ac:dyDescent="0.3">
      <c r="A39" s="28"/>
      <c r="B39" s="3">
        <v>2026</v>
      </c>
      <c r="C39" s="25">
        <f>KAYA!B39*KAYA!S39*KAYA!AJ39*KAYA!BA39</f>
        <v>580520.30404245097</v>
      </c>
      <c r="D39" s="25">
        <f>KAYA!C39*KAYA!T39*KAYA!AK39*KAYA!BB39</f>
        <v>13525992.012782337</v>
      </c>
      <c r="E39" s="25">
        <f>KAYA!D39*KAYA!U39*KAYA!AL39*KAYA!BC39</f>
        <v>947474.94678639539</v>
      </c>
      <c r="F39" s="25">
        <f>KAYA!E39*KAYA!V39*KAYA!AM39*KAYA!BD39</f>
        <v>2088654.4886229958</v>
      </c>
      <c r="G39" s="25">
        <f>KAYA!F39*KAYA!W39*KAYA!AN39*KAYA!BE39</f>
        <v>30755.31289639619</v>
      </c>
      <c r="H39" s="25">
        <f>KAYA!G39*KAYA!X39*KAYA!AO39*KAYA!BF39</f>
        <v>87060.390139189039</v>
      </c>
      <c r="I39" s="25">
        <f>KAYA!H39*KAYA!Y39*KAYA!AP39*KAYA!BG39</f>
        <v>5076845.7113099154</v>
      </c>
      <c r="J39" s="25">
        <f>KAYA!I39*KAYA!Z39*KAYA!AQ39*KAYA!BH39</f>
        <v>1786753.4100190687</v>
      </c>
      <c r="K39" s="25">
        <f>KAYA!J39*KAYA!AA39*KAYA!AR39*KAYA!BI39</f>
        <v>2639437.6070285374</v>
      </c>
      <c r="L39" s="25">
        <f>KAYA!K39*KAYA!AB39*KAYA!AS39*KAYA!BJ39</f>
        <v>678143.219691779</v>
      </c>
      <c r="M39" s="25">
        <f>KAYA!L39*KAYA!AC39*KAYA!AT39*KAYA!BK39</f>
        <v>746830.46671397972</v>
      </c>
      <c r="N39" s="25">
        <f>KAYA!M39*KAYA!AD39*KAYA!AU39*KAYA!BL39</f>
        <v>3233558.7641643919</v>
      </c>
      <c r="O39" s="25">
        <f>KAYA!N39*KAYA!AE39*KAYA!AV39*KAYA!BM39</f>
        <v>911684.60047930991</v>
      </c>
      <c r="P39" s="25">
        <f>KAYA!O39*KAYA!AF39*KAYA!AW39*KAYA!BN39</f>
        <v>564432.05858338124</v>
      </c>
      <c r="Q39" s="25">
        <f>KAYA!P39*KAYA!AG39*KAYA!AX39*KAYA!BO39</f>
        <v>3817736.9250985105</v>
      </c>
      <c r="R39" s="25">
        <f>KAYA!Q39*KAYA!AH39*KAYA!AY39*KAYA!BP39</f>
        <v>2084785.2750989506</v>
      </c>
      <c r="S39" s="25">
        <f>KAYA!R39*KAYA!AI39*KAYA!AZ39*KAYA!BQ39</f>
        <v>403607.51576456771</v>
      </c>
    </row>
    <row r="40" spans="1:19" x14ac:dyDescent="0.3">
      <c r="A40" s="28"/>
      <c r="B40" s="3">
        <v>2027</v>
      </c>
      <c r="C40" s="25">
        <f>KAYA!B40*KAYA!S40*KAYA!AJ40*KAYA!BA40</f>
        <v>578708.990000566</v>
      </c>
      <c r="D40" s="25">
        <f>KAYA!C40*KAYA!T40*KAYA!AK40*KAYA!BB40</f>
        <v>13620264.931042008</v>
      </c>
      <c r="E40" s="25">
        <f>KAYA!D40*KAYA!U40*KAYA!AL40*KAYA!BC40</f>
        <v>931806.6697434244</v>
      </c>
      <c r="F40" s="25">
        <f>KAYA!E40*KAYA!V40*KAYA!AM40*KAYA!BD40</f>
        <v>2109207.8592520333</v>
      </c>
      <c r="G40" s="25">
        <f>KAYA!F40*KAYA!W40*KAYA!AN40*KAYA!BE40</f>
        <v>31911.996465270728</v>
      </c>
      <c r="H40" s="25">
        <f>KAYA!G40*KAYA!X40*KAYA!AO40*KAYA!BF40</f>
        <v>96253.651793259953</v>
      </c>
      <c r="I40" s="25">
        <f>KAYA!H40*KAYA!Y40*KAYA!AP40*KAYA!BG40</f>
        <v>5016469.155193436</v>
      </c>
      <c r="J40" s="25">
        <f>KAYA!I40*KAYA!Z40*KAYA!AQ40*KAYA!BH40</f>
        <v>1795760.3770443394</v>
      </c>
      <c r="K40" s="25">
        <f>KAYA!J40*KAYA!AA40*KAYA!AR40*KAYA!BI40</f>
        <v>2609768.5228195712</v>
      </c>
      <c r="L40" s="25">
        <f>KAYA!K40*KAYA!AB40*KAYA!AS40*KAYA!BJ40</f>
        <v>672592.90030059847</v>
      </c>
      <c r="M40" s="25">
        <f>KAYA!L40*KAYA!AC40*KAYA!AT40*KAYA!BK40</f>
        <v>753321.80105623475</v>
      </c>
      <c r="N40" s="25">
        <f>KAYA!M40*KAYA!AD40*KAYA!AU40*KAYA!BL40</f>
        <v>3298230.3966023233</v>
      </c>
      <c r="O40" s="25">
        <f>KAYA!N40*KAYA!AE40*KAYA!AV40*KAYA!BM40</f>
        <v>929474.72768553556</v>
      </c>
      <c r="P40" s="25">
        <f>KAYA!O40*KAYA!AF40*KAYA!AW40*KAYA!BN40</f>
        <v>615877.73623966449</v>
      </c>
      <c r="Q40" s="25">
        <f>KAYA!P40*KAYA!AG40*KAYA!AX40*KAYA!BO40</f>
        <v>3977031.5985290506</v>
      </c>
      <c r="R40" s="25">
        <f>KAYA!Q40*KAYA!AH40*KAYA!AY40*KAYA!BP40</f>
        <v>2153554.133442522</v>
      </c>
      <c r="S40" s="25">
        <f>KAYA!R40*KAYA!AI40*KAYA!AZ40*KAYA!BQ40</f>
        <v>403343.35717216175</v>
      </c>
    </row>
    <row r="41" spans="1:19" x14ac:dyDescent="0.3">
      <c r="A41" s="28"/>
      <c r="B41" s="3">
        <v>2028</v>
      </c>
      <c r="C41" s="25">
        <f>KAYA!B41*KAYA!S41*KAYA!AJ41*KAYA!BA41</f>
        <v>572827.45546230848</v>
      </c>
      <c r="D41" s="25">
        <f>KAYA!C41*KAYA!T41*KAYA!AK41*KAYA!BB41</f>
        <v>13654327.929140154</v>
      </c>
      <c r="E41" s="25">
        <f>KAYA!D41*KAYA!U41*KAYA!AL41*KAYA!BC41</f>
        <v>913561.12666605483</v>
      </c>
      <c r="F41" s="25">
        <f>KAYA!E41*KAYA!V41*KAYA!AM41*KAYA!BD41</f>
        <v>2149606.0708076693</v>
      </c>
      <c r="G41" s="25">
        <f>KAYA!F41*KAYA!W41*KAYA!AN41*KAYA!BE41</f>
        <v>32954.629534754691</v>
      </c>
      <c r="H41" s="25">
        <f>KAYA!G41*KAYA!X41*KAYA!AO41*KAYA!BF41</f>
        <v>106406.08791598317</v>
      </c>
      <c r="I41" s="25">
        <f>KAYA!H41*KAYA!Y41*KAYA!AP41*KAYA!BG41</f>
        <v>4948385.9628956905</v>
      </c>
      <c r="J41" s="25">
        <f>KAYA!I41*KAYA!Z41*KAYA!AQ41*KAYA!BH41</f>
        <v>1808644.012776792</v>
      </c>
      <c r="K41" s="25">
        <f>KAYA!J41*KAYA!AA41*KAYA!AR41*KAYA!BI41</f>
        <v>2572328.122691181</v>
      </c>
      <c r="L41" s="25">
        <f>KAYA!K41*KAYA!AB41*KAYA!AS41*KAYA!BJ41</f>
        <v>663965.03915623319</v>
      </c>
      <c r="M41" s="25">
        <f>KAYA!L41*KAYA!AC41*KAYA!AT41*KAYA!BK41</f>
        <v>769995.40879408712</v>
      </c>
      <c r="N41" s="25">
        <f>KAYA!M41*KAYA!AD41*KAYA!AU41*KAYA!BL41</f>
        <v>3433327.7857117001</v>
      </c>
      <c r="O41" s="25">
        <f>KAYA!N41*KAYA!AE41*KAYA!AV41*KAYA!BM41</f>
        <v>956540.41156627948</v>
      </c>
      <c r="P41" s="25">
        <f>KAYA!O41*KAYA!AF41*KAYA!AW41*KAYA!BN41</f>
        <v>673208.85704624793</v>
      </c>
      <c r="Q41" s="25">
        <f>KAYA!P41*KAYA!AG41*KAYA!AX41*KAYA!BO41</f>
        <v>4111171.7271862864</v>
      </c>
      <c r="R41" s="25">
        <f>KAYA!Q41*KAYA!AH41*KAYA!AY41*KAYA!BP41</f>
        <v>2215709.2808933803</v>
      </c>
      <c r="S41" s="25">
        <f>KAYA!R41*KAYA!AI41*KAYA!AZ41*KAYA!BQ41</f>
        <v>402355.54159291915</v>
      </c>
    </row>
    <row r="42" spans="1:19" x14ac:dyDescent="0.3">
      <c r="A42" s="28"/>
      <c r="B42" s="3">
        <v>2029</v>
      </c>
      <c r="C42" s="25">
        <f>KAYA!B42*KAYA!S42*KAYA!AJ42*KAYA!BA42</f>
        <v>569310.98846494127</v>
      </c>
      <c r="D42" s="25">
        <f>KAYA!C42*KAYA!T42*KAYA!AK42*KAYA!BB42</f>
        <v>13693693.631187895</v>
      </c>
      <c r="E42" s="25">
        <f>KAYA!D42*KAYA!U42*KAYA!AL42*KAYA!BC42</f>
        <v>897641.1274182034</v>
      </c>
      <c r="F42" s="25">
        <f>KAYA!E42*KAYA!V42*KAYA!AM42*KAYA!BD42</f>
        <v>2173517.8887813394</v>
      </c>
      <c r="G42" s="25">
        <f>KAYA!F42*KAYA!W42*KAYA!AN42*KAYA!BE42</f>
        <v>34174.656197838398</v>
      </c>
      <c r="H42" s="25">
        <f>KAYA!G42*KAYA!X42*KAYA!AO42*KAYA!BF42</f>
        <v>117836.71530613606</v>
      </c>
      <c r="I42" s="25">
        <f>KAYA!H42*KAYA!Y42*KAYA!AP42*KAYA!BG42</f>
        <v>4880802.4412660347</v>
      </c>
      <c r="J42" s="25">
        <f>KAYA!I42*KAYA!Z42*KAYA!AQ42*KAYA!BH42</f>
        <v>1816994.0709983343</v>
      </c>
      <c r="K42" s="25">
        <f>KAYA!J42*KAYA!AA42*KAYA!AR42*KAYA!BI42</f>
        <v>2538730.1455217376</v>
      </c>
      <c r="L42" s="25">
        <f>KAYA!K42*KAYA!AB42*KAYA!AS42*KAYA!BJ42</f>
        <v>656809.55916157097</v>
      </c>
      <c r="M42" s="25">
        <f>KAYA!L42*KAYA!AC42*KAYA!AT42*KAYA!BK42</f>
        <v>780554.5013024311</v>
      </c>
      <c r="N42" s="25">
        <f>KAYA!M42*KAYA!AD42*KAYA!AU42*KAYA!BL42</f>
        <v>3506360.1025582626</v>
      </c>
      <c r="O42" s="25">
        <f>KAYA!N42*KAYA!AE42*KAYA!AV42*KAYA!BM42</f>
        <v>977516.32123006904</v>
      </c>
      <c r="P42" s="25">
        <f>KAYA!O42*KAYA!AF42*KAYA!AW42*KAYA!BN42</f>
        <v>733801.18066767883</v>
      </c>
      <c r="Q42" s="25">
        <f>KAYA!P42*KAYA!AG42*KAYA!AX42*KAYA!BO42</f>
        <v>4268621.7550960537</v>
      </c>
      <c r="R42" s="25">
        <f>KAYA!Q42*KAYA!AH42*KAYA!AY42*KAYA!BP42</f>
        <v>2283939.045810496</v>
      </c>
      <c r="S42" s="25">
        <f>KAYA!R42*KAYA!AI42*KAYA!AZ42*KAYA!BQ42</f>
        <v>401797.38988336781</v>
      </c>
    </row>
    <row r="43" spans="1:19" x14ac:dyDescent="0.3">
      <c r="A43" s="28"/>
      <c r="B43" s="3">
        <v>2030</v>
      </c>
      <c r="C43" s="25">
        <f>KAYA!B43*KAYA!S43*KAYA!AJ43*KAYA!BA43</f>
        <v>563123.08003621642</v>
      </c>
      <c r="D43" s="25">
        <f>KAYA!C43*KAYA!T43*KAYA!AK43*KAYA!BB43</f>
        <v>13686697.153874574</v>
      </c>
      <c r="E43" s="25">
        <f>KAYA!D43*KAYA!U43*KAYA!AL43*KAYA!BC43</f>
        <v>881049.02804686839</v>
      </c>
      <c r="F43" s="25">
        <f>KAYA!E43*KAYA!V43*KAYA!AM43*KAYA!BD43</f>
        <v>2211595.2515497548</v>
      </c>
      <c r="G43" s="25">
        <f>KAYA!F43*KAYA!W43*KAYA!AN43*KAYA!BE43</f>
        <v>35275.11197711678</v>
      </c>
      <c r="H43" s="25">
        <f>KAYA!G43*KAYA!X43*KAYA!AO43*KAYA!BF43</f>
        <v>130305.16287336088</v>
      </c>
      <c r="I43" s="25">
        <f>KAYA!H43*KAYA!Y43*KAYA!AP43*KAYA!BG43</f>
        <v>4810022.1352339881</v>
      </c>
      <c r="J43" s="25">
        <f>KAYA!I43*KAYA!Z43*KAYA!AQ43*KAYA!BH43</f>
        <v>1830617.6549305206</v>
      </c>
      <c r="K43" s="25">
        <f>KAYA!J43*KAYA!AA43*KAYA!AR43*KAYA!BI43</f>
        <v>2502922.963954953</v>
      </c>
      <c r="L43" s="25">
        <f>KAYA!K43*KAYA!AB43*KAYA!AS43*KAYA!BJ43</f>
        <v>647267.26668545627</v>
      </c>
      <c r="M43" s="25">
        <f>KAYA!L43*KAYA!AC43*KAYA!AT43*KAYA!BK43</f>
        <v>793583.56641959085</v>
      </c>
      <c r="N43" s="25">
        <f>KAYA!M43*KAYA!AD43*KAYA!AU43*KAYA!BL43</f>
        <v>3621869.9356551766</v>
      </c>
      <c r="O43" s="25">
        <f>KAYA!N43*KAYA!AE43*KAYA!AV43*KAYA!BM43</f>
        <v>1005060.8931021441</v>
      </c>
      <c r="P43" s="25">
        <f>KAYA!O43*KAYA!AF43*KAYA!AW43*KAYA!BN43</f>
        <v>798037.35792579409</v>
      </c>
      <c r="Q43" s="25">
        <f>KAYA!P43*KAYA!AG43*KAYA!AX43*KAYA!BO43</f>
        <v>4402817.8745428761</v>
      </c>
      <c r="R43" s="25">
        <f>KAYA!Q43*KAYA!AH43*KAYA!AY43*KAYA!BP43</f>
        <v>2345102.3815459805</v>
      </c>
      <c r="S43" s="25">
        <f>KAYA!R43*KAYA!AI43*KAYA!AZ43*KAYA!BQ43</f>
        <v>400554.14034044801</v>
      </c>
    </row>
    <row r="44" spans="1:19" x14ac:dyDescent="0.3">
      <c r="A44" s="28"/>
      <c r="B44" s="3">
        <v>2031</v>
      </c>
      <c r="C44" s="25">
        <f>KAYA!B44*KAYA!S44*KAYA!AJ44*KAYA!BA44</f>
        <v>557523.28522973729</v>
      </c>
      <c r="D44" s="25">
        <f>KAYA!C44*KAYA!T44*KAYA!AK44*KAYA!BB44</f>
        <v>13675377.678245772</v>
      </c>
      <c r="E44" s="25">
        <f>KAYA!D44*KAYA!U44*KAYA!AL44*KAYA!BC44</f>
        <v>866103.501052137</v>
      </c>
      <c r="F44" s="25">
        <f>KAYA!E44*KAYA!V44*KAYA!AM44*KAYA!BD44</f>
        <v>2244799.9787493628</v>
      </c>
      <c r="G44" s="25">
        <f>KAYA!F44*KAYA!W44*KAYA!AN44*KAYA!BE44</f>
        <v>36531.325095387037</v>
      </c>
      <c r="H44" s="25">
        <f>KAYA!G44*KAYA!X44*KAYA!AO44*KAYA!BF44</f>
        <v>144212.15313721984</v>
      </c>
      <c r="I44" s="25">
        <f>KAYA!H44*KAYA!Y44*KAYA!AP44*KAYA!BG44</f>
        <v>4739594.5533677097</v>
      </c>
      <c r="J44" s="25">
        <f>KAYA!I44*KAYA!Z44*KAYA!AQ44*KAYA!BH44</f>
        <v>1844509.2285983877</v>
      </c>
      <c r="K44" s="25">
        <f>KAYA!J44*KAYA!AA44*KAYA!AR44*KAYA!BI44</f>
        <v>2470011.0987113053</v>
      </c>
      <c r="L44" s="25">
        <f>KAYA!K44*KAYA!AB44*KAYA!AS44*KAYA!BJ44</f>
        <v>637915.79388765036</v>
      </c>
      <c r="M44" s="25">
        <f>KAYA!L44*KAYA!AC44*KAYA!AT44*KAYA!BK44</f>
        <v>801978.03284311178</v>
      </c>
      <c r="N44" s="25">
        <f>KAYA!M44*KAYA!AD44*KAYA!AU44*KAYA!BL44</f>
        <v>3704199.635468184</v>
      </c>
      <c r="O44" s="25">
        <f>KAYA!N44*KAYA!AE44*KAYA!AV44*KAYA!BM44</f>
        <v>1031233.1599461497</v>
      </c>
      <c r="P44" s="25">
        <f>KAYA!O44*KAYA!AF44*KAYA!AW44*KAYA!BN44</f>
        <v>865522.70818801154</v>
      </c>
      <c r="Q44" s="25">
        <f>KAYA!P44*KAYA!AG44*KAYA!AX44*KAYA!BO44</f>
        <v>4545939.5354089076</v>
      </c>
      <c r="R44" s="25">
        <f>KAYA!Q44*KAYA!AH44*KAYA!AY44*KAYA!BP44</f>
        <v>2407905.5967696821</v>
      </c>
      <c r="S44" s="25">
        <f>KAYA!R44*KAYA!AI44*KAYA!AZ44*KAYA!BQ44</f>
        <v>399499.77543694159</v>
      </c>
    </row>
    <row r="45" spans="1:19" x14ac:dyDescent="0.3">
      <c r="A45" s="28"/>
      <c r="B45" s="3">
        <v>2032</v>
      </c>
      <c r="C45" s="25">
        <f>KAYA!B45*KAYA!S45*KAYA!AJ45*KAYA!BA45</f>
        <v>549743.146827469</v>
      </c>
      <c r="D45" s="25">
        <f>KAYA!C45*KAYA!T45*KAYA!AK45*KAYA!BB45</f>
        <v>13630428.662538305</v>
      </c>
      <c r="E45" s="25">
        <f>KAYA!D45*KAYA!U45*KAYA!AL45*KAYA!BC45</f>
        <v>850580.43367061962</v>
      </c>
      <c r="F45" s="25">
        <f>KAYA!E45*KAYA!V45*KAYA!AM45*KAYA!BD45</f>
        <v>2292201.7532359618</v>
      </c>
      <c r="G45" s="25">
        <f>KAYA!F45*KAYA!W45*KAYA!AN45*KAYA!BE45</f>
        <v>37774.950670258448</v>
      </c>
      <c r="H45" s="25">
        <f>KAYA!G45*KAYA!X45*KAYA!AO45*KAYA!BF45</f>
        <v>159584.39494790943</v>
      </c>
      <c r="I45" s="25">
        <f>KAYA!H45*KAYA!Y45*KAYA!AP45*KAYA!BG45</f>
        <v>4666159.5419848515</v>
      </c>
      <c r="J45" s="25">
        <f>KAYA!I45*KAYA!Z45*KAYA!AQ45*KAYA!BH45</f>
        <v>1862953.2889517522</v>
      </c>
      <c r="K45" s="25">
        <f>KAYA!J45*KAYA!AA45*KAYA!AR45*KAYA!BI45</f>
        <v>2434534.2977082958</v>
      </c>
      <c r="L45" s="25">
        <f>KAYA!K45*KAYA!AB45*KAYA!AS45*KAYA!BJ45</f>
        <v>626861.72740046401</v>
      </c>
      <c r="M45" s="25">
        <f>KAYA!L45*KAYA!AC45*KAYA!AT45*KAYA!BK45</f>
        <v>814382.75655704609</v>
      </c>
      <c r="N45" s="25">
        <f>KAYA!M45*KAYA!AD45*KAYA!AU45*KAYA!BL45</f>
        <v>3829428.2484306935</v>
      </c>
      <c r="O45" s="25">
        <f>KAYA!N45*KAYA!AE45*KAYA!AV45*KAYA!BM45</f>
        <v>1065083.1587337188</v>
      </c>
      <c r="P45" s="25">
        <f>KAYA!O45*KAYA!AF45*KAYA!AW45*KAYA!BN45</f>
        <v>938670.01830986375</v>
      </c>
      <c r="Q45" s="25">
        <f>KAYA!P45*KAYA!AG45*KAYA!AX45*KAYA!BO45</f>
        <v>4668618.7489387523</v>
      </c>
      <c r="R45" s="25">
        <f>KAYA!Q45*KAYA!AH45*KAYA!AY45*KAYA!BP45</f>
        <v>2465745.1579677425</v>
      </c>
      <c r="S45" s="25">
        <f>KAYA!R45*KAYA!AI45*KAYA!AZ45*KAYA!BQ45</f>
        <v>398133.50828235073</v>
      </c>
    </row>
    <row r="46" spans="1:19" x14ac:dyDescent="0.3">
      <c r="A46" s="28"/>
      <c r="B46" s="3">
        <v>2033</v>
      </c>
      <c r="C46" s="25">
        <f>KAYA!B46*KAYA!S46*KAYA!AJ46*KAYA!BA46</f>
        <v>543448.43841808813</v>
      </c>
      <c r="D46" s="25">
        <f>KAYA!C46*KAYA!T46*KAYA!AK46*KAYA!BB46</f>
        <v>13584721.214922171</v>
      </c>
      <c r="E46" s="25">
        <f>KAYA!D46*KAYA!U46*KAYA!AL46*KAYA!BC46</f>
        <v>836500.83345169644</v>
      </c>
      <c r="F46" s="25">
        <f>KAYA!E46*KAYA!V46*KAYA!AM46*KAYA!BD46</f>
        <v>2329249.2874288675</v>
      </c>
      <c r="G46" s="25">
        <f>KAYA!F46*KAYA!W46*KAYA!AN46*KAYA!BE46</f>
        <v>39127.129535192224</v>
      </c>
      <c r="H46" s="25">
        <f>KAYA!G46*KAYA!X46*KAYA!AO46*KAYA!BF46</f>
        <v>176810.32370582721</v>
      </c>
      <c r="I46" s="25">
        <f>KAYA!H46*KAYA!Y46*KAYA!AP46*KAYA!BG46</f>
        <v>4593266.4629607107</v>
      </c>
      <c r="J46" s="25">
        <f>KAYA!I46*KAYA!Z46*KAYA!AQ46*KAYA!BH46</f>
        <v>1879157.1538240083</v>
      </c>
      <c r="K46" s="25">
        <f>KAYA!J46*KAYA!AA46*KAYA!AR46*KAYA!BI46</f>
        <v>2401662.5054685022</v>
      </c>
      <c r="L46" s="25">
        <f>KAYA!K46*KAYA!AB46*KAYA!AS46*KAYA!BJ46</f>
        <v>616737.0089209791</v>
      </c>
      <c r="M46" s="25">
        <f>KAYA!L46*KAYA!AC46*KAYA!AT46*KAYA!BK46</f>
        <v>822076.21959912416</v>
      </c>
      <c r="N46" s="25">
        <f>KAYA!M46*KAYA!AD46*KAYA!AU46*KAYA!BL46</f>
        <v>3907779.4494125061</v>
      </c>
      <c r="O46" s="25">
        <f>KAYA!N46*KAYA!AE46*KAYA!AV46*KAYA!BM46</f>
        <v>1095083.0109490925</v>
      </c>
      <c r="P46" s="25">
        <f>KAYA!O46*KAYA!AF46*KAYA!AW46*KAYA!BN46</f>
        <v>1015185.3302065774</v>
      </c>
      <c r="Q46" s="25">
        <f>KAYA!P46*KAYA!AG46*KAYA!AX46*KAYA!BO46</f>
        <v>4808377.413673237</v>
      </c>
      <c r="R46" s="25">
        <f>KAYA!Q46*KAYA!AH46*KAYA!AY46*KAYA!BP46</f>
        <v>2527002.4445947898</v>
      </c>
      <c r="S46" s="25">
        <f>KAYA!R46*KAYA!AI46*KAYA!AZ46*KAYA!BQ46</f>
        <v>396854.02948021353</v>
      </c>
    </row>
    <row r="47" spans="1:19" x14ac:dyDescent="0.3">
      <c r="A47" s="28"/>
      <c r="B47" s="3">
        <v>2034</v>
      </c>
      <c r="C47" s="25">
        <f>KAYA!B47*KAYA!S47*KAYA!AJ47*KAYA!BA47</f>
        <v>534801.57341260603</v>
      </c>
      <c r="D47" s="25">
        <f>KAYA!C47*KAYA!T47*KAYA!AK47*KAYA!BB47</f>
        <v>13494908.407304749</v>
      </c>
      <c r="E47" s="25">
        <f>KAYA!D47*KAYA!U47*KAYA!AL47*KAYA!BC47</f>
        <v>821236.14344041923</v>
      </c>
      <c r="F47" s="25">
        <f>KAYA!E47*KAYA!V47*KAYA!AM47*KAYA!BD47</f>
        <v>2379962.6334542255</v>
      </c>
      <c r="G47" s="25">
        <f>KAYA!F47*KAYA!W47*KAYA!AN47*KAYA!BE47</f>
        <v>40416.911918017904</v>
      </c>
      <c r="H47" s="25">
        <f>KAYA!G47*KAYA!X47*KAYA!AO47*KAYA!BF47</f>
        <v>195686.49700937391</v>
      </c>
      <c r="I47" s="25">
        <f>KAYA!H47*KAYA!Y47*KAYA!AP47*KAYA!BG47</f>
        <v>4518049.0101083107</v>
      </c>
      <c r="J47" s="25">
        <f>KAYA!I47*KAYA!Z47*KAYA!AQ47*KAYA!BH47</f>
        <v>1899271.5509859207</v>
      </c>
      <c r="K47" s="25">
        <f>KAYA!J47*KAYA!AA47*KAYA!AR47*KAYA!BI47</f>
        <v>2366050.6972731408</v>
      </c>
      <c r="L47" s="25">
        <f>KAYA!K47*KAYA!AB47*KAYA!AS47*KAYA!BJ47</f>
        <v>604851.53292642406</v>
      </c>
      <c r="M47" s="25">
        <f>KAYA!L47*KAYA!AC47*KAYA!AT47*KAYA!BK47</f>
        <v>833742.04434793594</v>
      </c>
      <c r="N47" s="25">
        <f>KAYA!M47*KAYA!AD47*KAYA!AU47*KAYA!BL47</f>
        <v>4036772.4762307056</v>
      </c>
      <c r="O47" s="25">
        <f>KAYA!N47*KAYA!AE47*KAYA!AV47*KAYA!BM47</f>
        <v>1131718.7680863768</v>
      </c>
      <c r="P47" s="25">
        <f>KAYA!O47*KAYA!AF47*KAYA!AW47*KAYA!BN47</f>
        <v>1096913.8217768921</v>
      </c>
      <c r="Q47" s="25">
        <f>KAYA!P47*KAYA!AG47*KAYA!AX47*KAYA!BO47</f>
        <v>4924511.877447309</v>
      </c>
      <c r="R47" s="25">
        <f>KAYA!Q47*KAYA!AH47*KAYA!AY47*KAYA!BP47</f>
        <v>2581577.5634813281</v>
      </c>
      <c r="S47" s="25">
        <f>KAYA!R47*KAYA!AI47*KAYA!AZ47*KAYA!BQ47</f>
        <v>395236.03478103544</v>
      </c>
    </row>
    <row r="48" spans="1:19" x14ac:dyDescent="0.3">
      <c r="A48" s="28"/>
      <c r="B48" s="3">
        <v>2035</v>
      </c>
      <c r="C48" s="25">
        <f>KAYA!B48*KAYA!S48*KAYA!AJ48*KAYA!BA48</f>
        <v>527481.20398236741</v>
      </c>
      <c r="D48" s="25">
        <f>KAYA!C48*KAYA!T48*KAYA!AK48*KAYA!BB48</f>
        <v>13396410.160679862</v>
      </c>
      <c r="E48" s="25">
        <f>KAYA!D48*KAYA!U48*KAYA!AL48*KAYA!BC48</f>
        <v>806868.22211130022</v>
      </c>
      <c r="F48" s="25">
        <f>KAYA!E48*KAYA!V48*KAYA!AM48*KAYA!BD48</f>
        <v>2417658.4972384702</v>
      </c>
      <c r="G48" s="25">
        <f>KAYA!F48*KAYA!W48*KAYA!AN48*KAYA!BE48</f>
        <v>41785.479303508211</v>
      </c>
      <c r="H48" s="25">
        <f>KAYA!G48*KAYA!X48*KAYA!AO48*KAYA!BF48</f>
        <v>216723.20153551007</v>
      </c>
      <c r="I48" s="25">
        <f>KAYA!H48*KAYA!Y48*KAYA!AP48*KAYA!BG48</f>
        <v>4444146.5908719283</v>
      </c>
      <c r="J48" s="25">
        <f>KAYA!I48*KAYA!Z48*KAYA!AQ48*KAYA!BH48</f>
        <v>1916141.7907496204</v>
      </c>
      <c r="K48" s="25">
        <f>KAYA!J48*KAYA!AA48*KAYA!AR48*KAYA!BI48</f>
        <v>2333013.4654280534</v>
      </c>
      <c r="L48" s="25">
        <f>KAYA!K48*KAYA!AB48*KAYA!AS48*KAYA!BJ48</f>
        <v>593875.25559116353</v>
      </c>
      <c r="M48" s="25">
        <f>KAYA!L48*KAYA!AC48*KAYA!AT48*KAYA!BK48</f>
        <v>840208.47900162416</v>
      </c>
      <c r="N48" s="25">
        <f>KAYA!M48*KAYA!AD48*KAYA!AU48*KAYA!BL48</f>
        <v>4118080.1933151758</v>
      </c>
      <c r="O48" s="25">
        <f>KAYA!N48*KAYA!AE48*KAYA!AV48*KAYA!BM48</f>
        <v>1162448.529574095</v>
      </c>
      <c r="P48" s="25">
        <f>KAYA!O48*KAYA!AF48*KAYA!AW48*KAYA!BN48</f>
        <v>1181010.7214713267</v>
      </c>
      <c r="Q48" s="25">
        <f>KAYA!P48*KAYA!AG48*KAYA!AX48*KAYA!BO48</f>
        <v>5057922.8437561793</v>
      </c>
      <c r="R48" s="25">
        <f>KAYA!Q48*KAYA!AH48*KAYA!AY48*KAYA!BP48</f>
        <v>2638770.6359530701</v>
      </c>
      <c r="S48" s="25">
        <f>KAYA!R48*KAYA!AI48*KAYA!AZ48*KAYA!BQ48</f>
        <v>393683.99850261759</v>
      </c>
    </row>
    <row r="49" spans="1:19" x14ac:dyDescent="0.3">
      <c r="A49" s="28"/>
      <c r="B49" s="3">
        <v>2036</v>
      </c>
      <c r="C49" s="25">
        <f>KAYA!B49*KAYA!S49*KAYA!AJ49*KAYA!BA49</f>
        <v>518265.43863174063</v>
      </c>
      <c r="D49" s="25">
        <f>KAYA!C49*KAYA!T49*KAYA!AK49*KAYA!BB49</f>
        <v>13253992.171079161</v>
      </c>
      <c r="E49" s="25">
        <f>KAYA!D49*KAYA!U49*KAYA!AL49*KAYA!BC49</f>
        <v>791276.1895831587</v>
      </c>
      <c r="F49" s="25">
        <f>KAYA!E49*KAYA!V49*KAYA!AM49*KAYA!BD49</f>
        <v>2466332.0873307786</v>
      </c>
      <c r="G49" s="25">
        <f>KAYA!F49*KAYA!W49*KAYA!AN49*KAYA!BE49</f>
        <v>43079.987258295907</v>
      </c>
      <c r="H49" s="25">
        <f>KAYA!G49*KAYA!X49*KAYA!AO49*KAYA!BF49</f>
        <v>239826.53176102031</v>
      </c>
      <c r="I49" s="25">
        <f>KAYA!H49*KAYA!Y49*KAYA!AP49*KAYA!BG49</f>
        <v>4368503.2404545536</v>
      </c>
      <c r="J49" s="25">
        <f>KAYA!I49*KAYA!Z49*KAYA!AQ49*KAYA!BH49</f>
        <v>1936224.0580248372</v>
      </c>
      <c r="K49" s="25">
        <f>KAYA!J49*KAYA!AA49*KAYA!AR49*KAYA!BI49</f>
        <v>2297800.2009498901</v>
      </c>
      <c r="L49" s="25">
        <f>KAYA!K49*KAYA!AB49*KAYA!AS49*KAYA!BJ49</f>
        <v>581528.01808072103</v>
      </c>
      <c r="M49" s="25">
        <f>KAYA!L49*KAYA!AC49*KAYA!AT49*KAYA!BK49</f>
        <v>849812.37377547799</v>
      </c>
      <c r="N49" s="25">
        <f>KAYA!M49*KAYA!AD49*KAYA!AU49*KAYA!BL49</f>
        <v>4245962.6996326428</v>
      </c>
      <c r="O49" s="25">
        <f>KAYA!N49*KAYA!AE49*KAYA!AV49*KAYA!BM49</f>
        <v>1198546.9240685739</v>
      </c>
      <c r="P49" s="25">
        <f>KAYA!O49*KAYA!AF49*KAYA!AW49*KAYA!BN49</f>
        <v>1269903.4171768269</v>
      </c>
      <c r="Q49" s="25">
        <f>KAYA!P49*KAYA!AG49*KAYA!AX49*KAYA!BO49</f>
        <v>5169484.6499999417</v>
      </c>
      <c r="R49" s="25">
        <f>KAYA!Q49*KAYA!AH49*KAYA!AY49*KAYA!BP49</f>
        <v>2689366.664580375</v>
      </c>
      <c r="S49" s="25">
        <f>KAYA!R49*KAYA!AI49*KAYA!AZ49*KAYA!BQ49</f>
        <v>391826.25619965163</v>
      </c>
    </row>
    <row r="50" spans="1:19" x14ac:dyDescent="0.3">
      <c r="A50" s="28"/>
      <c r="B50" s="3">
        <v>2037</v>
      </c>
      <c r="C50" s="25">
        <f>KAYA!B50*KAYA!S50*KAYA!AJ50*KAYA!BA50</f>
        <v>510224.07487595401</v>
      </c>
      <c r="D50" s="25">
        <f>KAYA!C50*KAYA!T50*KAYA!AK50*KAYA!BB50</f>
        <v>13106541.235440044</v>
      </c>
      <c r="E50" s="25">
        <f>KAYA!D50*KAYA!U50*KAYA!AL50*KAYA!BC50</f>
        <v>776485.79636402207</v>
      </c>
      <c r="F50" s="25">
        <f>KAYA!E50*KAYA!V50*KAYA!AM50*KAYA!BD50</f>
        <v>2504874.4635029193</v>
      </c>
      <c r="G50" s="25">
        <f>KAYA!F50*KAYA!W50*KAYA!AN50*KAYA!BE50</f>
        <v>44457.316379314267</v>
      </c>
      <c r="H50" s="25">
        <f>KAYA!G50*KAYA!X50*KAYA!AO50*KAYA!BF50</f>
        <v>265716.48110999493</v>
      </c>
      <c r="I50" s="25">
        <f>KAYA!H50*KAYA!Y50*KAYA!AP50*KAYA!BG50</f>
        <v>4293748.0459253574</v>
      </c>
      <c r="J50" s="25">
        <f>KAYA!I50*KAYA!Z50*KAYA!AQ50*KAYA!BH50</f>
        <v>1954290.2585227087</v>
      </c>
      <c r="K50" s="25">
        <f>KAYA!J50*KAYA!AA50*KAYA!AR50*KAYA!BI50</f>
        <v>2264716.1118509946</v>
      </c>
      <c r="L50" s="25">
        <f>KAYA!K50*KAYA!AB50*KAYA!AS50*KAYA!BJ50</f>
        <v>570042.90760173975</v>
      </c>
      <c r="M50" s="25">
        <f>KAYA!L50*KAYA!AC50*KAYA!AT50*KAYA!BK50</f>
        <v>855319.20849818713</v>
      </c>
      <c r="N50" s="25">
        <f>KAYA!M50*KAYA!AD50*KAYA!AU50*KAYA!BL50</f>
        <v>4332976.695654911</v>
      </c>
      <c r="O50" s="25">
        <f>KAYA!N50*KAYA!AE50*KAYA!AV50*KAYA!BM50</f>
        <v>1230356.2381901494</v>
      </c>
      <c r="P50" s="25">
        <f>KAYA!O50*KAYA!AF50*KAYA!AW50*KAYA!BN50</f>
        <v>1361925.8848104253</v>
      </c>
      <c r="Q50" s="25">
        <f>KAYA!P50*KAYA!AG50*KAYA!AX50*KAYA!BO50</f>
        <v>5296001.3157170368</v>
      </c>
      <c r="R50" s="25">
        <f>KAYA!Q50*KAYA!AH50*KAYA!AY50*KAYA!BP50</f>
        <v>2742176.6814477332</v>
      </c>
      <c r="S50" s="25">
        <f>KAYA!R50*KAYA!AI50*KAYA!AZ50*KAYA!BQ50</f>
        <v>389997.45163348207</v>
      </c>
    </row>
    <row r="51" spans="1:19" x14ac:dyDescent="0.3">
      <c r="A51" s="28"/>
      <c r="B51" s="3">
        <v>2038</v>
      </c>
      <c r="C51" s="25">
        <f>KAYA!B51*KAYA!S51*KAYA!AJ51*KAYA!BA51</f>
        <v>500753.99530920101</v>
      </c>
      <c r="D51" s="25">
        <f>KAYA!C51*KAYA!T51*KAYA!AK51*KAYA!BB51</f>
        <v>12932587.833765261</v>
      </c>
      <c r="E51" s="25">
        <f>KAYA!D51*KAYA!U51*KAYA!AL51*KAYA!BC51</f>
        <v>761034.40536788735</v>
      </c>
      <c r="F51" s="25">
        <f>KAYA!E51*KAYA!V51*KAYA!AM51*KAYA!BD51</f>
        <v>2553574.3660494718</v>
      </c>
      <c r="G51" s="25">
        <f>KAYA!F51*KAYA!W51*KAYA!AN51*KAYA!BE51</f>
        <v>45798.509864095708</v>
      </c>
      <c r="H51" s="25">
        <f>KAYA!G51*KAYA!X51*KAYA!AO51*KAYA!BF51</f>
        <v>294139.78905713389</v>
      </c>
      <c r="I51" s="25">
        <f>KAYA!H51*KAYA!Y51*KAYA!AP51*KAYA!BG51</f>
        <v>4217801.8477554331</v>
      </c>
      <c r="J51" s="25">
        <f>KAYA!I51*KAYA!Z51*KAYA!AQ51*KAYA!BH51</f>
        <v>1975200.8185135692</v>
      </c>
      <c r="K51" s="25">
        <f>KAYA!J51*KAYA!AA51*KAYA!AR51*KAYA!BI51</f>
        <v>2229894.363235387</v>
      </c>
      <c r="L51" s="25">
        <f>KAYA!K51*KAYA!AB51*KAYA!AS51*KAYA!BJ51</f>
        <v>557467.24519403465</v>
      </c>
      <c r="M51" s="25">
        <f>KAYA!L51*KAYA!AC51*KAYA!AT51*KAYA!BK51</f>
        <v>863522.42035724223</v>
      </c>
      <c r="N51" s="25">
        <f>KAYA!M51*KAYA!AD51*KAYA!AU51*KAYA!BL51</f>
        <v>4460948.3215380246</v>
      </c>
      <c r="O51" s="25">
        <f>KAYA!N51*KAYA!AE51*KAYA!AV51*KAYA!BM51</f>
        <v>1267623.5880608098</v>
      </c>
      <c r="P51" s="25">
        <f>KAYA!O51*KAYA!AF51*KAYA!AW51*KAYA!BN51</f>
        <v>1459485.9146745892</v>
      </c>
      <c r="Q51" s="25">
        <f>KAYA!P51*KAYA!AG51*KAYA!AX51*KAYA!BO51</f>
        <v>5403060.5289451359</v>
      </c>
      <c r="R51" s="25">
        <f>KAYA!Q51*KAYA!AH51*KAYA!AY51*KAYA!BP51</f>
        <v>2789611.0788528873</v>
      </c>
      <c r="S51" s="25">
        <f>KAYA!R51*KAYA!AI51*KAYA!AZ51*KAYA!BQ51</f>
        <v>387957.96876480873</v>
      </c>
    </row>
    <row r="52" spans="1:19" x14ac:dyDescent="0.3">
      <c r="A52" s="28"/>
      <c r="B52" s="3">
        <v>2039</v>
      </c>
      <c r="C52" s="25">
        <f>KAYA!B52*KAYA!S52*KAYA!AJ52*KAYA!BA52</f>
        <v>492215.97827725968</v>
      </c>
      <c r="D52" s="25">
        <f>KAYA!C52*KAYA!T52*KAYA!AK52*KAYA!BB52</f>
        <v>12763673.456770485</v>
      </c>
      <c r="E52" s="25">
        <f>KAYA!D52*KAYA!U52*KAYA!AL52*KAYA!BC52</f>
        <v>746501.74231748597</v>
      </c>
      <c r="F52" s="25">
        <f>KAYA!E52*KAYA!V52*KAYA!AM52*KAYA!BD52</f>
        <v>2593646.2358556646</v>
      </c>
      <c r="G52" s="25">
        <f>KAYA!F52*KAYA!W52*KAYA!AN52*KAYA!BE52</f>
        <v>47226.368983312699</v>
      </c>
      <c r="H52" s="25">
        <f>KAYA!G52*KAYA!X52*KAYA!AO52*KAYA!BF52</f>
        <v>325719.54212868458</v>
      </c>
      <c r="I52" s="25">
        <f>KAYA!H52*KAYA!Y52*KAYA!AP52*KAYA!BG52</f>
        <v>4143061.5687305168</v>
      </c>
      <c r="J52" s="25">
        <f>KAYA!I52*KAYA!Z52*KAYA!AQ52*KAYA!BH52</f>
        <v>1994027.0801970563</v>
      </c>
      <c r="K52" s="25">
        <f>KAYA!J52*KAYA!AA52*KAYA!AR52*KAYA!BI52</f>
        <v>2196735.806297862</v>
      </c>
      <c r="L52" s="25">
        <f>KAYA!K52*KAYA!AB52*KAYA!AS52*KAYA!BJ52</f>
        <v>545489.55194830336</v>
      </c>
      <c r="M52" s="25">
        <f>KAYA!L52*KAYA!AC52*KAYA!AT52*KAYA!BK52</f>
        <v>868243.71488730412</v>
      </c>
      <c r="N52" s="25">
        <f>KAYA!M52*KAYA!AD52*KAYA!AU52*KAYA!BL52</f>
        <v>4552963.6180913365</v>
      </c>
      <c r="O52" s="25">
        <f>KAYA!N52*KAYA!AE52*KAYA!AV52*KAYA!BM52</f>
        <v>1301235.1160079462</v>
      </c>
      <c r="P52" s="25">
        <f>KAYA!O52*KAYA!AF52*KAYA!AW52*KAYA!BN52</f>
        <v>1560866.4766963993</v>
      </c>
      <c r="Q52" s="25">
        <f>KAYA!P52*KAYA!AG52*KAYA!AX52*KAYA!BO52</f>
        <v>5522779.6652637403</v>
      </c>
      <c r="R52" s="25">
        <f>KAYA!Q52*KAYA!AH52*KAYA!AY52*KAYA!BP52</f>
        <v>2838843.6913051028</v>
      </c>
      <c r="S52" s="25">
        <f>KAYA!R52*KAYA!AI52*KAYA!AZ52*KAYA!BQ52</f>
        <v>385963.28028144164</v>
      </c>
    </row>
    <row r="53" spans="1:19" x14ac:dyDescent="0.3">
      <c r="A53" s="28"/>
      <c r="B53" s="3">
        <v>2040</v>
      </c>
      <c r="C53" s="25">
        <f>KAYA!B53*KAYA!S53*KAYA!AJ53*KAYA!BA53</f>
        <v>482585.76053876319</v>
      </c>
      <c r="D53" s="25">
        <f>KAYA!C53*KAYA!T53*KAYA!AK53*KAYA!BB53</f>
        <v>12582780.434649166</v>
      </c>
      <c r="E53" s="25">
        <f>KAYA!D53*KAYA!U53*KAYA!AL53*KAYA!BC53</f>
        <v>731734.65495239338</v>
      </c>
      <c r="F53" s="25">
        <f>KAYA!E53*KAYA!V53*KAYA!AM53*KAYA!BD53</f>
        <v>2642108.6597497235</v>
      </c>
      <c r="G53" s="25">
        <f>KAYA!F53*KAYA!W53*KAYA!AN53*KAYA!BE53</f>
        <v>48639.073783561944</v>
      </c>
      <c r="H53" s="25">
        <f>KAYA!G53*KAYA!X53*KAYA!AO53*KAYA!BF53</f>
        <v>360201.26502693939</v>
      </c>
      <c r="I53" s="25">
        <f>KAYA!H53*KAYA!Y53*KAYA!AP53*KAYA!BG53</f>
        <v>4067906.9716768027</v>
      </c>
      <c r="J53" s="25">
        <f>KAYA!I53*KAYA!Z53*KAYA!AQ53*KAYA!BH53</f>
        <v>2014780.0319166768</v>
      </c>
      <c r="K53" s="25">
        <f>KAYA!J53*KAYA!AA53*KAYA!AR53*KAYA!BI53</f>
        <v>2162201.9922211375</v>
      </c>
      <c r="L53" s="25">
        <f>KAYA!K53*KAYA!AB53*KAYA!AS53*KAYA!BJ53</f>
        <v>532580.20498894562</v>
      </c>
      <c r="M53" s="25">
        <f>KAYA!L53*KAYA!AC53*KAYA!AT53*KAYA!BK53</f>
        <v>875002.55542572646</v>
      </c>
      <c r="N53" s="25">
        <f>KAYA!M53*KAYA!AD53*KAYA!AU53*KAYA!BL53</f>
        <v>4679619.4113154849</v>
      </c>
      <c r="O53" s="25">
        <f>KAYA!N53*KAYA!AE53*KAYA!AV53*KAYA!BM53</f>
        <v>1339620.614079057</v>
      </c>
      <c r="P53" s="25">
        <f>KAYA!O53*KAYA!AF53*KAYA!AW53*KAYA!BN53</f>
        <v>1668231.7380457472</v>
      </c>
      <c r="Q53" s="25">
        <f>KAYA!P53*KAYA!AG53*KAYA!AX53*KAYA!BO53</f>
        <v>5625374.4684538357</v>
      </c>
      <c r="R53" s="25">
        <f>KAYA!Q53*KAYA!AH53*KAYA!AY53*KAYA!BP53</f>
        <v>2883590.2013973664</v>
      </c>
      <c r="S53" s="25">
        <f>KAYA!R53*KAYA!AI53*KAYA!AZ53*KAYA!BQ53</f>
        <v>383833.43350690603</v>
      </c>
    </row>
    <row r="54" spans="1:19" x14ac:dyDescent="0.3">
      <c r="A54" s="28"/>
      <c r="B54" s="3">
        <v>2041</v>
      </c>
      <c r="C54" s="25">
        <f>KAYA!B54*KAYA!S54*KAYA!AJ54*KAYA!BA54</f>
        <v>473714.01630520733</v>
      </c>
      <c r="D54" s="25">
        <f>KAYA!C54*KAYA!T54*KAYA!AK54*KAYA!BB54</f>
        <v>12410445.732453462</v>
      </c>
      <c r="E54" s="25">
        <f>KAYA!D54*KAYA!U54*KAYA!AL54*KAYA!BC54</f>
        <v>717782.9182207142</v>
      </c>
      <c r="F54" s="25">
        <f>KAYA!E54*KAYA!V54*KAYA!AM54*KAYA!BD54</f>
        <v>2683557.4152681241</v>
      </c>
      <c r="G54" s="25">
        <f>KAYA!F54*KAYA!W54*KAYA!AN54*KAYA!BE54</f>
        <v>50129.367761007117</v>
      </c>
      <c r="H54" s="25">
        <f>KAYA!G54*KAYA!X54*KAYA!AO54*KAYA!BF54</f>
        <v>398419.95971073437</v>
      </c>
      <c r="I54" s="25">
        <f>KAYA!H54*KAYA!Y54*KAYA!AP54*KAYA!BG54</f>
        <v>3993969.6425609486</v>
      </c>
      <c r="J54" s="25">
        <f>KAYA!I54*KAYA!Z54*KAYA!AQ54*KAYA!BH54</f>
        <v>2033859.5048711034</v>
      </c>
      <c r="K54" s="25">
        <f>KAYA!J54*KAYA!AA54*KAYA!AR54*KAYA!BI54</f>
        <v>2129069.3985248604</v>
      </c>
      <c r="L54" s="25">
        <f>KAYA!K54*KAYA!AB54*KAYA!AS54*KAYA!BJ54</f>
        <v>520108.57420220022</v>
      </c>
      <c r="M54" s="25">
        <f>KAYA!L54*KAYA!AC54*KAYA!AT54*KAYA!BK54</f>
        <v>878853.77022429823</v>
      </c>
      <c r="N54" s="25">
        <f>KAYA!M54*KAYA!AD54*KAYA!AU54*KAYA!BL54</f>
        <v>4776225.3999870224</v>
      </c>
      <c r="O54" s="25">
        <f>KAYA!N54*KAYA!AE54*KAYA!AV54*KAYA!BM54</f>
        <v>1375275.0578226978</v>
      </c>
      <c r="P54" s="25">
        <f>KAYA!O54*KAYA!AF54*KAYA!AW54*KAYA!BN54</f>
        <v>1780248.1040366918</v>
      </c>
      <c r="Q54" s="25">
        <f>KAYA!P54*KAYA!AG54*KAYA!AX54*KAYA!BO54</f>
        <v>5738210.821883739</v>
      </c>
      <c r="R54" s="25">
        <f>KAYA!Q54*KAYA!AH54*KAYA!AY54*KAYA!BP54</f>
        <v>2929674.6187888877</v>
      </c>
      <c r="S54" s="25">
        <f>KAYA!R54*KAYA!AI54*KAYA!AZ54*KAYA!BQ54</f>
        <v>381765.63252213737</v>
      </c>
    </row>
    <row r="55" spans="1:19" x14ac:dyDescent="0.3">
      <c r="A55" s="28"/>
      <c r="B55" s="3">
        <v>2042</v>
      </c>
      <c r="C55" s="25">
        <f>KAYA!B55*KAYA!S55*KAYA!AJ55*KAYA!BA55</f>
        <v>464110.43250757456</v>
      </c>
      <c r="D55" s="25">
        <f>KAYA!C55*KAYA!T55*KAYA!AK55*KAYA!BB55</f>
        <v>12227827.774439249</v>
      </c>
      <c r="E55" s="25">
        <f>KAYA!D55*KAYA!U55*KAYA!AL55*KAYA!BC55</f>
        <v>703646.64403908188</v>
      </c>
      <c r="F55" s="25">
        <f>KAYA!E55*KAYA!V55*KAYA!AM55*KAYA!BD55</f>
        <v>2731804.3941769963</v>
      </c>
      <c r="G55" s="25">
        <f>KAYA!F55*KAYA!W55*KAYA!AN55*KAYA!BE55</f>
        <v>51604.82500202534</v>
      </c>
      <c r="H55" s="25">
        <f>KAYA!G55*KAYA!X55*KAYA!AO55*KAYA!BF55</f>
        <v>440378.07868096622</v>
      </c>
      <c r="I55" s="25">
        <f>KAYA!H55*KAYA!Y55*KAYA!AP55*KAYA!BG55</f>
        <v>3919808.6033757664</v>
      </c>
      <c r="J55" s="25">
        <f>KAYA!I55*KAYA!Z55*KAYA!AQ55*KAYA!BH55</f>
        <v>2054839.2087707228</v>
      </c>
      <c r="K55" s="25">
        <f>KAYA!J55*KAYA!AA55*KAYA!AR55*KAYA!BI55</f>
        <v>2095082.0271023328</v>
      </c>
      <c r="L55" s="25">
        <f>KAYA!K55*KAYA!AB55*KAYA!AS55*KAYA!BJ55</f>
        <v>507064.08815414237</v>
      </c>
      <c r="M55" s="25">
        <f>KAYA!L55*KAYA!AC55*KAYA!AT55*KAYA!BK55</f>
        <v>884158.51200948365</v>
      </c>
      <c r="N55" s="25">
        <f>KAYA!M55*KAYA!AD55*KAYA!AU55*KAYA!BL55</f>
        <v>4901483.8922049683</v>
      </c>
      <c r="O55" s="25">
        <f>KAYA!N55*KAYA!AE55*KAYA!AV55*KAYA!BM55</f>
        <v>1415337.1584301926</v>
      </c>
      <c r="P55" s="25">
        <f>KAYA!O55*KAYA!AF55*KAYA!AW55*KAYA!BN55</f>
        <v>1898441.1263685189</v>
      </c>
      <c r="Q55" s="25">
        <f>KAYA!P55*KAYA!AG55*KAYA!AX55*KAYA!BO55</f>
        <v>5836969.9936021576</v>
      </c>
      <c r="R55" s="25">
        <f>KAYA!Q55*KAYA!AH55*KAYA!AY55*KAYA!BP55</f>
        <v>2971895.6992421141</v>
      </c>
      <c r="S55" s="25">
        <f>KAYA!R55*KAYA!AI55*KAYA!AZ55*KAYA!BQ55</f>
        <v>379603.19917641341</v>
      </c>
    </row>
    <row r="56" spans="1:19" x14ac:dyDescent="0.3">
      <c r="A56" s="28"/>
      <c r="B56" s="3">
        <v>2043</v>
      </c>
      <c r="C56" s="25">
        <f>KAYA!B56*KAYA!S56*KAYA!AJ56*KAYA!BA56</f>
        <v>455072.36103480036</v>
      </c>
      <c r="D56" s="25">
        <f>KAYA!C56*KAYA!T56*KAYA!AK56*KAYA!BB56</f>
        <v>12048665.864367956</v>
      </c>
      <c r="E56" s="25">
        <f>KAYA!D56*KAYA!U56*KAYA!AL56*KAYA!BC56</f>
        <v>690123.97704009956</v>
      </c>
      <c r="F56" s="25">
        <f>KAYA!E56*KAYA!V56*KAYA!AM56*KAYA!BD56</f>
        <v>2774686.42544842</v>
      </c>
      <c r="G56" s="25">
        <f>KAYA!F56*KAYA!W56*KAYA!AN56*KAYA!BE56</f>
        <v>53148.155844163564</v>
      </c>
      <c r="H56" s="25">
        <f>KAYA!G56*KAYA!X56*KAYA!AO56*KAYA!BF56</f>
        <v>486775.64753586747</v>
      </c>
      <c r="I56" s="25">
        <f>KAYA!H56*KAYA!Y56*KAYA!AP56*KAYA!BG56</f>
        <v>3846731.8999093138</v>
      </c>
      <c r="J56" s="25">
        <f>KAYA!I56*KAYA!Z56*KAYA!AQ56*KAYA!BH56</f>
        <v>2074470.6494143982</v>
      </c>
      <c r="K56" s="25">
        <f>KAYA!J56*KAYA!AA56*KAYA!AR56*KAYA!BI56</f>
        <v>2062123.6724068653</v>
      </c>
      <c r="L56" s="25">
        <f>KAYA!K56*KAYA!AB56*KAYA!AS56*KAYA!BJ56</f>
        <v>494479.18852060457</v>
      </c>
      <c r="M56" s="25">
        <f>KAYA!L56*KAYA!AC56*KAYA!AT56*KAYA!BK56</f>
        <v>887263.92367770313</v>
      </c>
      <c r="N56" s="25">
        <f>KAYA!M56*KAYA!AD56*KAYA!AU56*KAYA!BL56</f>
        <v>5003136.2426086618</v>
      </c>
      <c r="O56" s="25">
        <f>KAYA!N56*KAYA!AE56*KAYA!AV56*KAYA!BM56</f>
        <v>1453382.7943155514</v>
      </c>
      <c r="P56" s="25">
        <f>KAYA!O56*KAYA!AF56*KAYA!AW56*KAYA!BN56</f>
        <v>2021936.6837554853</v>
      </c>
      <c r="Q56" s="25">
        <f>KAYA!P56*KAYA!AG56*KAYA!AX56*KAYA!BO56</f>
        <v>5943267.7615794046</v>
      </c>
      <c r="R56" s="25">
        <f>KAYA!Q56*KAYA!AH56*KAYA!AY56*KAYA!BP56</f>
        <v>3014847.0154217542</v>
      </c>
      <c r="S56" s="25">
        <f>KAYA!R56*KAYA!AI56*KAYA!AZ56*KAYA!BQ56</f>
        <v>377436.42077360977</v>
      </c>
    </row>
    <row r="57" spans="1:19" x14ac:dyDescent="0.3">
      <c r="A57" s="28"/>
      <c r="B57" s="3">
        <v>2044</v>
      </c>
      <c r="C57" s="25">
        <f>KAYA!B57*KAYA!S57*KAYA!AJ57*KAYA!BA57</f>
        <v>445514.5087479683</v>
      </c>
      <c r="D57" s="25">
        <f>KAYA!C57*KAYA!T57*KAYA!AK57*KAYA!BB57</f>
        <v>11860185.672156993</v>
      </c>
      <c r="E57" s="25">
        <f>KAYA!D57*KAYA!U57*KAYA!AL57*KAYA!BC57</f>
        <v>676556.54931393336</v>
      </c>
      <c r="F57" s="25">
        <f>KAYA!E57*KAYA!V57*KAYA!AM57*KAYA!BD57</f>
        <v>2822629.9019072843</v>
      </c>
      <c r="G57" s="25">
        <f>KAYA!F57*KAYA!W57*KAYA!AN57*KAYA!BE57</f>
        <v>54694.942789634348</v>
      </c>
      <c r="H57" s="25">
        <f>KAYA!G57*KAYA!X57*KAYA!AO57*KAYA!BF57</f>
        <v>537489.82774254016</v>
      </c>
      <c r="I57" s="25">
        <f>KAYA!H57*KAYA!Y57*KAYA!AP57*KAYA!BG57</f>
        <v>3773804.7305412646</v>
      </c>
      <c r="J57" s="25">
        <f>KAYA!I57*KAYA!Z57*KAYA!AQ57*KAYA!BH57</f>
        <v>2095060.7057483061</v>
      </c>
      <c r="K57" s="25">
        <f>KAYA!J57*KAYA!AA57*KAYA!AR57*KAYA!BI57</f>
        <v>2028456.8736197031</v>
      </c>
      <c r="L57" s="25">
        <f>KAYA!K57*KAYA!AB57*KAYA!AS57*KAYA!BJ57</f>
        <v>481617.32634294144</v>
      </c>
      <c r="M57" s="25">
        <f>KAYA!L57*KAYA!AC57*KAYA!AT57*KAYA!BK57</f>
        <v>891439.31823283841</v>
      </c>
      <c r="N57" s="25">
        <f>KAYA!M57*KAYA!AD57*KAYA!AU57*KAYA!BL57</f>
        <v>5126791.6900638258</v>
      </c>
      <c r="O57" s="25">
        <f>KAYA!N57*KAYA!AE57*KAYA!AV57*KAYA!BM57</f>
        <v>1494760.5454365315</v>
      </c>
      <c r="P57" s="25">
        <f>KAYA!O57*KAYA!AF57*KAYA!AW57*KAYA!BN57</f>
        <v>2152028.1797454562</v>
      </c>
      <c r="Q57" s="25">
        <f>KAYA!P57*KAYA!AG57*KAYA!AX57*KAYA!BO57</f>
        <v>6037953.2999140536</v>
      </c>
      <c r="R57" s="25">
        <f>KAYA!Q57*KAYA!AH57*KAYA!AY57*KAYA!BP57</f>
        <v>3054703.2411396434</v>
      </c>
      <c r="S57" s="25">
        <f>KAYA!R57*KAYA!AI57*KAYA!AZ57*KAYA!BQ57</f>
        <v>375127.3434977124</v>
      </c>
    </row>
    <row r="58" spans="1:19" x14ac:dyDescent="0.3">
      <c r="A58" s="28"/>
      <c r="B58" s="3">
        <v>2045</v>
      </c>
      <c r="C58" s="25">
        <f>KAYA!B58*KAYA!S58*KAYA!AJ58*KAYA!BA58</f>
        <v>436331.12508584309</v>
      </c>
      <c r="D58" s="25">
        <f>KAYA!C58*KAYA!T58*KAYA!AK58*KAYA!BB58</f>
        <v>11672757.021882946</v>
      </c>
      <c r="E58" s="25">
        <f>KAYA!D58*KAYA!U58*KAYA!AL58*KAYA!BC58</f>
        <v>663501.99581421493</v>
      </c>
      <c r="F58" s="25">
        <f>KAYA!E58*KAYA!V58*KAYA!AM58*KAYA!BD58</f>
        <v>2866616.1137435427</v>
      </c>
      <c r="G58" s="25">
        <f>KAYA!F58*KAYA!W58*KAYA!AN58*KAYA!BE58</f>
        <v>56308.775731264228</v>
      </c>
      <c r="H58" s="25">
        <f>KAYA!G58*KAYA!X58*KAYA!AO58*KAYA!BF58</f>
        <v>593223.1115614915</v>
      </c>
      <c r="I58" s="25">
        <f>KAYA!H58*KAYA!Y58*KAYA!AP58*KAYA!BG58</f>
        <v>3701966.8012986993</v>
      </c>
      <c r="J58" s="25">
        <f>KAYA!I58*KAYA!Z58*KAYA!AQ58*KAYA!BH58</f>
        <v>2114192.5442175516</v>
      </c>
      <c r="K58" s="25">
        <f>KAYA!J58*KAYA!AA58*KAYA!AR58*KAYA!BI58</f>
        <v>1995381.9754329433</v>
      </c>
      <c r="L58" s="25">
        <f>KAYA!K58*KAYA!AB58*KAYA!AS58*KAYA!BJ58</f>
        <v>469196.98337854538</v>
      </c>
      <c r="M58" s="25">
        <f>KAYA!L58*KAYA!AC58*KAYA!AT58*KAYA!BK58</f>
        <v>894091.16337391862</v>
      </c>
      <c r="N58" s="25">
        <f>KAYA!M58*KAYA!AD58*KAYA!AU58*KAYA!BL58</f>
        <v>5232726.7950175321</v>
      </c>
      <c r="O58" s="25">
        <f>KAYA!N58*KAYA!AE58*KAYA!AV58*KAYA!BM58</f>
        <v>1534549.4757417906</v>
      </c>
      <c r="P58" s="25">
        <f>KAYA!O58*KAYA!AF58*KAYA!AW58*KAYA!BN58</f>
        <v>2288216.0870685056</v>
      </c>
      <c r="Q58" s="25">
        <f>KAYA!P58*KAYA!AG58*KAYA!AX58*KAYA!BO58</f>
        <v>6137529.8161767097</v>
      </c>
      <c r="R58" s="25">
        <f>KAYA!Q58*KAYA!AH58*KAYA!AY58*KAYA!BP58</f>
        <v>3094851.9795024474</v>
      </c>
      <c r="S58" s="25">
        <f>KAYA!R58*KAYA!AI58*KAYA!AZ58*KAYA!BQ58</f>
        <v>372740.50806180015</v>
      </c>
    </row>
    <row r="59" spans="1:19" x14ac:dyDescent="0.3">
      <c r="A59" s="28"/>
      <c r="B59" s="3">
        <v>2046</v>
      </c>
      <c r="C59" s="25">
        <f>KAYA!B59*KAYA!S59*KAYA!AJ59*KAYA!BA59</f>
        <v>426846.77516216197</v>
      </c>
      <c r="D59" s="25">
        <f>KAYA!C59*KAYA!T59*KAYA!AK59*KAYA!BB59</f>
        <v>11478551.569940466</v>
      </c>
      <c r="E59" s="25">
        <f>KAYA!D59*KAYA!U59*KAYA!AL59*KAYA!BC59</f>
        <v>650510.9738880574</v>
      </c>
      <c r="F59" s="25">
        <f>KAYA!E59*KAYA!V59*KAYA!AM59*KAYA!BD59</f>
        <v>2914255.9807818551</v>
      </c>
      <c r="G59" s="25">
        <f>KAYA!F59*KAYA!W59*KAYA!AN59*KAYA!BE59</f>
        <v>57941.437465060961</v>
      </c>
      <c r="H59" s="25">
        <f>KAYA!G59*KAYA!X59*KAYA!AO59*KAYA!BF59</f>
        <v>654140.30155218649</v>
      </c>
      <c r="I59" s="25">
        <f>KAYA!H59*KAYA!Y59*KAYA!AP59*KAYA!BG59</f>
        <v>3630554.8686422375</v>
      </c>
      <c r="J59" s="25">
        <f>KAYA!I59*KAYA!Z59*KAYA!AQ59*KAYA!BH59</f>
        <v>2133771.2477550632</v>
      </c>
      <c r="K59" s="25">
        <f>KAYA!J59*KAYA!AA59*KAYA!AR59*KAYA!BI59</f>
        <v>1961818.4696512481</v>
      </c>
      <c r="L59" s="25">
        <f>KAYA!K59*KAYA!AB59*KAYA!AS59*KAYA!BJ59</f>
        <v>456707.130434094</v>
      </c>
      <c r="M59" s="25">
        <f>KAYA!L59*KAYA!AC59*KAYA!AT59*KAYA!BK59</f>
        <v>897454.95496655046</v>
      </c>
      <c r="N59" s="25">
        <f>KAYA!M59*KAYA!AD59*KAYA!AU59*KAYA!BL59</f>
        <v>5354946.2843617182</v>
      </c>
      <c r="O59" s="25">
        <f>KAYA!N59*KAYA!AE59*KAYA!AV59*KAYA!BM59</f>
        <v>1577181.1474362572</v>
      </c>
      <c r="P59" s="25">
        <f>KAYA!O59*KAYA!AF59*KAYA!AW59*KAYA!BN59</f>
        <v>2431441.5238785963</v>
      </c>
      <c r="Q59" s="25">
        <f>KAYA!P59*KAYA!AG59*KAYA!AX59*KAYA!BO59</f>
        <v>6228052.5669340491</v>
      </c>
      <c r="R59" s="25">
        <f>KAYA!Q59*KAYA!AH59*KAYA!AY59*KAYA!BP59</f>
        <v>3132540.5495565091</v>
      </c>
      <c r="S59" s="25">
        <f>KAYA!R59*KAYA!AI59*KAYA!AZ59*KAYA!BQ59</f>
        <v>370210.76957881032</v>
      </c>
    </row>
    <row r="60" spans="1:19" x14ac:dyDescent="0.3">
      <c r="A60" s="28"/>
      <c r="B60" s="3">
        <v>2047</v>
      </c>
      <c r="C60" s="25">
        <f>KAYA!B60*KAYA!S60*KAYA!AJ60*KAYA!BA60</f>
        <v>417683.73246363155</v>
      </c>
      <c r="D60" s="25">
        <f>KAYA!C60*KAYA!T60*KAYA!AK60*KAYA!BB60</f>
        <v>11285294.54374533</v>
      </c>
      <c r="E60" s="25">
        <f>KAYA!D60*KAYA!U60*KAYA!AL60*KAYA!BC60</f>
        <v>637927.38225629705</v>
      </c>
      <c r="F60" s="25">
        <f>KAYA!E60*KAYA!V60*KAYA!AM60*KAYA!BD60</f>
        <v>2959270.2709539775</v>
      </c>
      <c r="G60" s="25">
        <f>KAYA!F60*KAYA!W60*KAYA!AN60*KAYA!BE60</f>
        <v>59635.971142291739</v>
      </c>
      <c r="H60" s="25">
        <f>KAYA!G60*KAYA!X60*KAYA!AO60*KAYA!BF60</f>
        <v>721179.40425864991</v>
      </c>
      <c r="I60" s="25">
        <f>KAYA!H60*KAYA!Y60*KAYA!AP60*KAYA!BG60</f>
        <v>3560120.4583080816</v>
      </c>
      <c r="J60" s="25">
        <f>KAYA!I60*KAYA!Z60*KAYA!AQ60*KAYA!BH60</f>
        <v>2152433.2410907052</v>
      </c>
      <c r="K60" s="25">
        <f>KAYA!J60*KAYA!AA60*KAYA!AR60*KAYA!BI60</f>
        <v>1928781.7132528082</v>
      </c>
      <c r="L60" s="25">
        <f>KAYA!K60*KAYA!AB60*KAYA!AS60*KAYA!BJ60</f>
        <v>444574.8003761936</v>
      </c>
      <c r="M60" s="25">
        <f>KAYA!L60*KAYA!AC60*KAYA!AT60*KAYA!BK60</f>
        <v>899687.28702083824</v>
      </c>
      <c r="N60" s="25">
        <f>KAYA!M60*KAYA!AD60*KAYA!AU60*KAYA!BL60</f>
        <v>5465117.7046072604</v>
      </c>
      <c r="O60" s="25">
        <f>KAYA!N60*KAYA!AE60*KAYA!AV60*KAYA!BM60</f>
        <v>1619430.9697100697</v>
      </c>
      <c r="P60" s="25">
        <f>KAYA!O60*KAYA!AF60*KAYA!AW60*KAYA!BN60</f>
        <v>2581598.9449865511</v>
      </c>
      <c r="Q60" s="25">
        <f>KAYA!P60*KAYA!AG60*KAYA!AX60*KAYA!BO60</f>
        <v>6321450.3601528751</v>
      </c>
      <c r="R60" s="25">
        <f>KAYA!Q60*KAYA!AH60*KAYA!AY60*KAYA!BP60</f>
        <v>3170084.5803489387</v>
      </c>
      <c r="S60" s="25">
        <f>KAYA!R60*KAYA!AI60*KAYA!AZ60*KAYA!BQ60</f>
        <v>367626.69423219928</v>
      </c>
    </row>
    <row r="61" spans="1:19" x14ac:dyDescent="0.3">
      <c r="A61" s="28"/>
      <c r="B61" s="3">
        <v>2048</v>
      </c>
      <c r="C61" s="25">
        <f>KAYA!B61*KAYA!S61*KAYA!AJ61*KAYA!BA61</f>
        <v>408380.73976805189</v>
      </c>
      <c r="D61" s="25">
        <f>KAYA!C61*KAYA!T61*KAYA!AK61*KAYA!BB61</f>
        <v>11087908.79718524</v>
      </c>
      <c r="E61" s="25">
        <f>KAYA!D61*KAYA!U61*KAYA!AL61*KAYA!BC61</f>
        <v>625464.64329515025</v>
      </c>
      <c r="F61" s="25">
        <f>KAYA!E61*KAYA!V61*KAYA!AM61*KAYA!BD61</f>
        <v>3006848.8973164647</v>
      </c>
      <c r="G61" s="25">
        <f>KAYA!F61*KAYA!W61*KAYA!AN61*KAYA!BE61</f>
        <v>61354.954819621358</v>
      </c>
      <c r="H61" s="25">
        <f>KAYA!G61*KAYA!X61*KAYA!AO61*KAYA!BF61</f>
        <v>794474.9941372833</v>
      </c>
      <c r="I61" s="25">
        <f>KAYA!H61*KAYA!Y61*KAYA!AP61*KAYA!BG61</f>
        <v>3490251.6403346499</v>
      </c>
      <c r="J61" s="25">
        <f>KAYA!I61*KAYA!Z61*KAYA!AQ61*KAYA!BH61</f>
        <v>2171439.4813849134</v>
      </c>
      <c r="K61" s="25">
        <f>KAYA!J61*KAYA!AA61*KAYA!AR61*KAYA!BI61</f>
        <v>1895563.5793936441</v>
      </c>
      <c r="L61" s="25">
        <f>KAYA!K61*KAYA!AB61*KAYA!AS61*KAYA!BJ61</f>
        <v>432462.99426003004</v>
      </c>
      <c r="M61" s="25">
        <f>KAYA!L61*KAYA!AC61*KAYA!AT61*KAYA!BK61</f>
        <v>902254.58438023087</v>
      </c>
      <c r="N61" s="25">
        <f>KAYA!M61*KAYA!AD61*KAYA!AU61*KAYA!BL61</f>
        <v>5586597.2758257966</v>
      </c>
      <c r="O61" s="25">
        <f>KAYA!N61*KAYA!AE61*KAYA!AV61*KAYA!BM61</f>
        <v>1663868.6223642789</v>
      </c>
      <c r="P61" s="25">
        <f>KAYA!O61*KAYA!AF61*KAYA!AW61*KAYA!BN61</f>
        <v>2739328.7586603137</v>
      </c>
      <c r="Q61" s="25">
        <f>KAYA!P61*KAYA!AG61*KAYA!AX61*KAYA!BO61</f>
        <v>6407972.4960934231</v>
      </c>
      <c r="R61" s="25">
        <f>KAYA!Q61*KAYA!AH61*KAYA!AY61*KAYA!BP61</f>
        <v>3205609.2421230078</v>
      </c>
      <c r="S61" s="25">
        <f>KAYA!R61*KAYA!AI61*KAYA!AZ61*KAYA!BQ61</f>
        <v>364943.00882495847</v>
      </c>
    </row>
    <row r="62" spans="1:19" x14ac:dyDescent="0.3">
      <c r="A62" s="28"/>
      <c r="B62" s="3">
        <v>2049</v>
      </c>
      <c r="C62" s="25">
        <f>KAYA!B62*KAYA!S62*KAYA!AJ62*KAYA!BA62</f>
        <v>399278.06163897872</v>
      </c>
      <c r="D62" s="25">
        <f>KAYA!C62*KAYA!T62*KAYA!AK62*KAYA!BB62</f>
        <v>10890942.508786373</v>
      </c>
      <c r="E62" s="25">
        <f>KAYA!D62*KAYA!U62*KAYA!AL62*KAYA!BC62</f>
        <v>613332.55036130745</v>
      </c>
      <c r="F62" s="25">
        <f>KAYA!E62*KAYA!V62*KAYA!AM62*KAYA!BD62</f>
        <v>3052881.2512937211</v>
      </c>
      <c r="G62" s="25">
        <f>KAYA!F62*KAYA!W62*KAYA!AN62*KAYA!BE62</f>
        <v>63128.031538059025</v>
      </c>
      <c r="H62" s="25">
        <f>KAYA!G62*KAYA!X62*KAYA!AO62*KAYA!BF62</f>
        <v>874771.39735375834</v>
      </c>
      <c r="I62" s="25">
        <f>KAYA!H62*KAYA!Y62*KAYA!AP62*KAYA!BG62</f>
        <v>3421315.5399259855</v>
      </c>
      <c r="J62" s="25">
        <f>KAYA!I62*KAYA!Z62*KAYA!AQ62*KAYA!BH62</f>
        <v>2189702.2632838292</v>
      </c>
      <c r="K62" s="25">
        <f>KAYA!J62*KAYA!AA62*KAYA!AR62*KAYA!BI62</f>
        <v>1862747.7509379939</v>
      </c>
      <c r="L62" s="25">
        <f>KAYA!K62*KAYA!AB62*KAYA!AS62*KAYA!BJ62</f>
        <v>420633.32268992346</v>
      </c>
      <c r="M62" s="25">
        <f>KAYA!L62*KAYA!AC62*KAYA!AT62*KAYA!BK62</f>
        <v>904041.68250064971</v>
      </c>
      <c r="N62" s="25">
        <f>KAYA!M62*KAYA!AD62*KAYA!AU62*KAYA!BL62</f>
        <v>5700452.4863290321</v>
      </c>
      <c r="O62" s="25">
        <f>KAYA!N62*KAYA!AE62*KAYA!AV62*KAYA!BM62</f>
        <v>1707924.1318554864</v>
      </c>
      <c r="P62" s="25">
        <f>KAYA!O62*KAYA!AF62*KAYA!AW62*KAYA!BN62</f>
        <v>2904678.3837439902</v>
      </c>
      <c r="Q62" s="25">
        <f>KAYA!P62*KAYA!AG62*KAYA!AX62*KAYA!BO62</f>
        <v>6495124.3920946363</v>
      </c>
      <c r="R62" s="25">
        <f>KAYA!Q62*KAYA!AH62*KAYA!AY62*KAYA!BP62</f>
        <v>3240625.1582935462</v>
      </c>
      <c r="S62" s="25">
        <f>KAYA!R62*KAYA!AI62*KAYA!AZ62*KAYA!BQ62</f>
        <v>362202.45823932596</v>
      </c>
    </row>
    <row r="63" spans="1:19" x14ac:dyDescent="0.3">
      <c r="A63" s="28"/>
      <c r="B63" s="3">
        <v>2050</v>
      </c>
      <c r="C63" s="25">
        <f>KAYA!B63*KAYA!S63*KAYA!AJ63*KAYA!BA63</f>
        <v>390110.98196301697</v>
      </c>
      <c r="D63" s="25">
        <f>KAYA!C63*KAYA!T63*KAYA!AK63*KAYA!BB63</f>
        <v>10691761.261556191</v>
      </c>
      <c r="E63" s="25">
        <f>KAYA!D63*KAYA!U63*KAYA!AL63*KAYA!BC63</f>
        <v>601363.50340174651</v>
      </c>
      <c r="F63" s="25">
        <f>KAYA!E63*KAYA!V63*KAYA!AM63*KAYA!BD63</f>
        <v>3100630.3216963401</v>
      </c>
      <c r="G63" s="25">
        <f>KAYA!F63*KAYA!W63*KAYA!AN63*KAYA!BE63</f>
        <v>64928.451734671107</v>
      </c>
      <c r="H63" s="25">
        <f>KAYA!G63*KAYA!X63*KAYA!AO63*KAYA!BF63</f>
        <v>962330.12745496526</v>
      </c>
      <c r="I63" s="25">
        <f>KAYA!H63*KAYA!Y63*KAYA!AP63*KAYA!BG63</f>
        <v>3353066.3248339863</v>
      </c>
      <c r="J63" s="25">
        <f>KAYA!I63*KAYA!Z63*KAYA!AQ63*KAYA!BH63</f>
        <v>2207973.7642062935</v>
      </c>
      <c r="K63" s="25">
        <f>KAYA!J63*KAYA!AA63*KAYA!AR63*KAYA!BI63</f>
        <v>1829933.7106241272</v>
      </c>
      <c r="L63" s="25">
        <f>KAYA!K63*KAYA!AB63*KAYA!AS63*KAYA!BJ63</f>
        <v>408892.3791298893</v>
      </c>
      <c r="M63" s="25">
        <f>KAYA!L63*KAYA!AC63*KAYA!AT63*KAYA!BK63</f>
        <v>905908.7439513983</v>
      </c>
      <c r="N63" s="25">
        <f>KAYA!M63*KAYA!AD63*KAYA!AU63*KAYA!BL63</f>
        <v>5821442.6729436535</v>
      </c>
      <c r="O63" s="25">
        <f>KAYA!N63*KAYA!AE63*KAYA!AV63*KAYA!BM63</f>
        <v>1753157.7320318527</v>
      </c>
      <c r="P63" s="25">
        <f>KAYA!O63*KAYA!AF63*KAYA!AW63*KAYA!BN63</f>
        <v>3078171.9625436058</v>
      </c>
      <c r="Q63" s="25">
        <f>KAYA!P63*KAYA!AG63*KAYA!AX63*KAYA!BO63</f>
        <v>6576705.8273189096</v>
      </c>
      <c r="R63" s="25">
        <f>KAYA!Q63*KAYA!AH63*KAYA!AY63*KAYA!BP63</f>
        <v>3274003.9513108144</v>
      </c>
      <c r="S63" s="25">
        <f>KAYA!R63*KAYA!AI63*KAYA!AZ63*KAYA!BQ63</f>
        <v>359379.54272470751</v>
      </c>
    </row>
  </sheetData>
  <mergeCells count="2">
    <mergeCell ref="A3:A37"/>
    <mergeCell ref="A38:A6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5D7C-C836-4233-8441-7F32ECA45C20}">
  <dimension ref="A1:AJ70"/>
  <sheetViews>
    <sheetView topLeftCell="A22" zoomScale="55" zoomScaleNormal="55" workbookViewId="0">
      <selection activeCell="T38" sqref="T38:AJ69"/>
    </sheetView>
  </sheetViews>
  <sheetFormatPr defaultRowHeight="14.4" x14ac:dyDescent="0.3"/>
  <cols>
    <col min="14" max="14" width="8.5546875" bestFit="1" customWidth="1"/>
    <col min="15" max="15" width="10.21875" bestFit="1" customWidth="1"/>
    <col min="19" max="19" width="9" bestFit="1" customWidth="1"/>
    <col min="20" max="20" width="9.21875" bestFit="1" customWidth="1"/>
    <col min="21" max="21" width="8.77734375" bestFit="1" customWidth="1"/>
    <col min="22" max="22" width="9.21875" bestFit="1" customWidth="1"/>
    <col min="23" max="23" width="9.5546875" bestFit="1" customWidth="1"/>
    <col min="24" max="24" width="9.21875" bestFit="1" customWidth="1"/>
    <col min="25" max="25" width="9.44140625" bestFit="1" customWidth="1"/>
    <col min="26" max="26" width="9.21875" bestFit="1" customWidth="1"/>
    <col min="27" max="27" width="9.44140625" bestFit="1" customWidth="1"/>
    <col min="28" max="28" width="8.44140625" bestFit="1" customWidth="1"/>
    <col min="29" max="29" width="9.5546875" bestFit="1" customWidth="1"/>
    <col min="30" max="30" width="8.77734375" bestFit="1" customWidth="1"/>
    <col min="31" max="31" width="8.5546875" bestFit="1" customWidth="1"/>
    <col min="32" max="32" width="10.21875" bestFit="1" customWidth="1"/>
    <col min="33" max="33" width="8.77734375" bestFit="1" customWidth="1"/>
    <col min="34" max="34" width="10.21875" bestFit="1" customWidth="1"/>
    <col min="35" max="35" width="10.44140625" bestFit="1" customWidth="1"/>
  </cols>
  <sheetData>
    <row r="1" spans="1:35" x14ac:dyDescent="0.3">
      <c r="B1" s="32" t="s">
        <v>30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32" t="s">
        <v>18</v>
      </c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4"/>
    </row>
    <row r="2" spans="1:35" x14ac:dyDescent="0.3">
      <c r="B2" s="35" t="s">
        <v>0</v>
      </c>
      <c r="C2" s="3" t="s">
        <v>1</v>
      </c>
      <c r="D2" s="3" t="s">
        <v>2</v>
      </c>
      <c r="E2" s="3" t="s">
        <v>3</v>
      </c>
      <c r="F2" s="44" t="s">
        <v>4</v>
      </c>
      <c r="G2" s="44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14</v>
      </c>
      <c r="M2" s="3" t="s">
        <v>10</v>
      </c>
      <c r="N2" s="3" t="s">
        <v>11</v>
      </c>
      <c r="O2" s="44" t="s">
        <v>15</v>
      </c>
      <c r="P2" s="3" t="s">
        <v>12</v>
      </c>
      <c r="Q2" s="3" t="s">
        <v>16</v>
      </c>
      <c r="R2" s="36" t="s">
        <v>17</v>
      </c>
      <c r="S2" s="42" t="s">
        <v>0</v>
      </c>
      <c r="T2" s="2" t="s">
        <v>1</v>
      </c>
      <c r="U2" s="2" t="s">
        <v>2</v>
      </c>
      <c r="V2" s="2" t="s">
        <v>3</v>
      </c>
      <c r="W2" s="2" t="s">
        <v>4</v>
      </c>
      <c r="X2" s="47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14</v>
      </c>
      <c r="AD2" s="2" t="s">
        <v>10</v>
      </c>
      <c r="AE2" s="2" t="s">
        <v>11</v>
      </c>
      <c r="AF2" s="47" t="s">
        <v>15</v>
      </c>
      <c r="AG2" s="2" t="s">
        <v>12</v>
      </c>
      <c r="AH2" s="2" t="s">
        <v>16</v>
      </c>
      <c r="AI2" s="43" t="s">
        <v>17</v>
      </c>
    </row>
    <row r="3" spans="1:35" x14ac:dyDescent="0.3">
      <c r="A3" s="31">
        <v>2019</v>
      </c>
      <c r="B3" s="37">
        <f>'Emission Projection'!C32/'Emission Projection'!C$32</f>
        <v>1</v>
      </c>
      <c r="C3" s="15">
        <f>'Emission Projection'!D32/'Emission Projection'!D$32</f>
        <v>1</v>
      </c>
      <c r="D3" s="15">
        <f>'Emission Projection'!E32/'Emission Projection'!E$32</f>
        <v>1</v>
      </c>
      <c r="E3" s="15">
        <f>'Emission Projection'!F32/'Emission Projection'!F$32</f>
        <v>1</v>
      </c>
      <c r="F3" s="45">
        <f>'Emission Projection'!G32/'Emission Projection'!G$32</f>
        <v>1</v>
      </c>
      <c r="G3" s="45">
        <f>'Emission Projection'!H32/'Emission Projection'!H$32</f>
        <v>1</v>
      </c>
      <c r="H3" s="15">
        <f>'Emission Projection'!I32/'Emission Projection'!I$32</f>
        <v>1</v>
      </c>
      <c r="I3" s="15">
        <f>'Emission Projection'!J32/'Emission Projection'!J$32</f>
        <v>1</v>
      </c>
      <c r="J3" s="15">
        <f>'Emission Projection'!K32/'Emission Projection'!K$32</f>
        <v>1</v>
      </c>
      <c r="K3" s="15">
        <f>'Emission Projection'!L32/'Emission Projection'!L$32</f>
        <v>1</v>
      </c>
      <c r="L3" s="15">
        <f>'Emission Projection'!M32/'Emission Projection'!M$32</f>
        <v>1</v>
      </c>
      <c r="M3" s="15">
        <f>'Emission Projection'!N32/'Emission Projection'!N$32</f>
        <v>1</v>
      </c>
      <c r="N3" s="15">
        <f>'Emission Projection'!O32/'Emission Projection'!O$32</f>
        <v>1</v>
      </c>
      <c r="O3" s="45">
        <f>'Emission Projection'!P32/'Emission Projection'!P$32</f>
        <v>1</v>
      </c>
      <c r="P3" s="15">
        <f>'Emission Projection'!Q32/'Emission Projection'!Q$32</f>
        <v>1</v>
      </c>
      <c r="Q3" s="15">
        <f>'Emission Projection'!R32/'Emission Projection'!R$32</f>
        <v>1</v>
      </c>
      <c r="R3" s="38">
        <f>'Emission Projection'!S32/'Emission Projection'!S$32</f>
        <v>1</v>
      </c>
      <c r="S3" s="37">
        <v>1</v>
      </c>
      <c r="T3" s="15">
        <v>1</v>
      </c>
      <c r="U3" s="15">
        <v>1</v>
      </c>
      <c r="V3" s="15">
        <v>1</v>
      </c>
      <c r="W3" s="15">
        <v>1</v>
      </c>
      <c r="X3" s="45">
        <v>1</v>
      </c>
      <c r="Y3" s="15">
        <v>1</v>
      </c>
      <c r="Z3" s="15">
        <v>1</v>
      </c>
      <c r="AA3" s="15">
        <v>1</v>
      </c>
      <c r="AB3" s="15">
        <v>1</v>
      </c>
      <c r="AC3" s="15">
        <v>1</v>
      </c>
      <c r="AD3" s="15">
        <v>1</v>
      </c>
      <c r="AE3" s="15">
        <v>1</v>
      </c>
      <c r="AF3" s="45">
        <v>1</v>
      </c>
      <c r="AG3" s="15">
        <v>1</v>
      </c>
      <c r="AH3" s="15">
        <v>1</v>
      </c>
      <c r="AI3" s="38">
        <v>1</v>
      </c>
    </row>
    <row r="4" spans="1:35" x14ac:dyDescent="0.3">
      <c r="A4" s="31">
        <v>2020</v>
      </c>
      <c r="B4" s="37">
        <f>'Emission Projection'!C33/'Emission Projection'!C$32</f>
        <v>0.94251924782273366</v>
      </c>
      <c r="C4" s="15">
        <f>'Emission Projection'!D33/'Emission Projection'!D$32</f>
        <v>1.0119447746412702</v>
      </c>
      <c r="D4" s="15">
        <f>'Emission Projection'!E33/'Emission Projection'!E$32</f>
        <v>0.9434193727675263</v>
      </c>
      <c r="E4" s="15">
        <f>'Emission Projection'!F33/'Emission Projection'!F$32</f>
        <v>0.96027836298580249</v>
      </c>
      <c r="F4" s="45">
        <f>'Emission Projection'!G33/'Emission Projection'!G$32</f>
        <v>0.88869346747869749</v>
      </c>
      <c r="G4" s="45">
        <f>'Emission Projection'!H33/'Emission Projection'!H$32</f>
        <v>0.94052511210277101</v>
      </c>
      <c r="H4" s="15">
        <f>'Emission Projection'!I33/'Emission Projection'!I$32</f>
        <v>0.89948768195627249</v>
      </c>
      <c r="I4" s="15">
        <f>'Emission Projection'!J33/'Emission Projection'!J$32</f>
        <v>0.89463084441381047</v>
      </c>
      <c r="J4" s="15">
        <f>'Emission Projection'!K33/'Emission Projection'!K$32</f>
        <v>0.91532647547855694</v>
      </c>
      <c r="K4" s="15">
        <f>'Emission Projection'!L33/'Emission Projection'!L$32</f>
        <v>0.94137663946629979</v>
      </c>
      <c r="L4" s="15">
        <f>'Emission Projection'!M33/'Emission Projection'!M$32</f>
        <v>1.0061627050091004</v>
      </c>
      <c r="M4" s="15">
        <f>'Emission Projection'!N33/'Emission Projection'!N$32</f>
        <v>0.98747163682176686</v>
      </c>
      <c r="N4" s="15">
        <f>'Emission Projection'!O33/'Emission Projection'!O$32</f>
        <v>0.95129195550940304</v>
      </c>
      <c r="O4" s="45">
        <f>'Emission Projection'!P33/'Emission Projection'!P$32</f>
        <v>1.0398074533758763</v>
      </c>
      <c r="P4" s="15">
        <f>'Emission Projection'!Q33/'Emission Projection'!Q$32</f>
        <v>0.93991722537416511</v>
      </c>
      <c r="Q4" s="15">
        <f>'Emission Projection'!R33/'Emission Projection'!R$32</f>
        <v>0.96165043943632655</v>
      </c>
      <c r="R4" s="38">
        <f>'Emission Projection'!S33/'Emission Projection'!S$32</f>
        <v>0.95970339158835039</v>
      </c>
      <c r="S4" s="37">
        <v>1.018975799354902</v>
      </c>
      <c r="T4" s="15">
        <v>1.0488712726182643</v>
      </c>
      <c r="U4" s="15">
        <v>0.97631914941581766</v>
      </c>
      <c r="V4" s="15">
        <v>0.98655375312435833</v>
      </c>
      <c r="W4" s="15">
        <v>0.96368658409495445</v>
      </c>
      <c r="X4" s="45">
        <v>0.99377874484485018</v>
      </c>
      <c r="Y4" s="15">
        <v>0.99952668547303058</v>
      </c>
      <c r="Z4" s="15">
        <v>0.95297741869859642</v>
      </c>
      <c r="AA4" s="15">
        <v>0.9640743993501808</v>
      </c>
      <c r="AB4" s="15">
        <v>0.98880028738885184</v>
      </c>
      <c r="AC4" s="15">
        <v>0.99882274209993371</v>
      </c>
      <c r="AD4" s="15">
        <v>0.99008241518125684</v>
      </c>
      <c r="AE4" s="15">
        <v>0.98721824222741783</v>
      </c>
      <c r="AF4" s="45">
        <v>1.0129309782962914</v>
      </c>
      <c r="AG4" s="15">
        <v>0.9792490801536804</v>
      </c>
      <c r="AH4" s="15">
        <v>0.97721179624664889</v>
      </c>
      <c r="AI4" s="38">
        <v>1.0180501876092141</v>
      </c>
    </row>
    <row r="5" spans="1:35" x14ac:dyDescent="0.3">
      <c r="A5" s="31">
        <v>2021</v>
      </c>
      <c r="B5" s="37">
        <f>'Emission Projection'!C34/'Emission Projection'!C$32</f>
        <v>0.9752364363845748</v>
      </c>
      <c r="C5" s="15">
        <f>'Emission Projection'!D34/'Emission Projection'!D$32</f>
        <v>1.0615553805128677</v>
      </c>
      <c r="D5" s="15">
        <f>'Emission Projection'!E34/'Emission Projection'!E$32</f>
        <v>0.96119729955694599</v>
      </c>
      <c r="E5" s="15">
        <f>'Emission Projection'!F34/'Emission Projection'!F$32</f>
        <v>1.0433032475996895</v>
      </c>
      <c r="F5" s="45">
        <f>'Emission Projection'!G34/'Emission Projection'!G$32</f>
        <v>0.98236221206590135</v>
      </c>
      <c r="G5" s="45">
        <f>'Emission Projection'!H34/'Emission Projection'!H$32</f>
        <v>0.78040798418705859</v>
      </c>
      <c r="H5" s="15">
        <f>'Emission Projection'!I34/'Emission Projection'!I$32</f>
        <v>0.95333514963449284</v>
      </c>
      <c r="I5" s="15">
        <f>'Emission Projection'!J34/'Emission Projection'!J$32</f>
        <v>0.97008318325700238</v>
      </c>
      <c r="J5" s="15">
        <f>'Emission Projection'!K34/'Emission Projection'!K$32</f>
        <v>0.9764903900333326</v>
      </c>
      <c r="K5" s="15">
        <f>'Emission Projection'!L34/'Emission Projection'!L$32</f>
        <v>1.0049395504642962</v>
      </c>
      <c r="L5" s="15">
        <f>'Emission Projection'!M34/'Emission Projection'!M$32</f>
        <v>1.0674409502203015</v>
      </c>
      <c r="M5" s="15">
        <f>'Emission Projection'!N34/'Emission Projection'!N$32</f>
        <v>1.0377899791944925</v>
      </c>
      <c r="N5" s="15">
        <f>'Emission Projection'!O34/'Emission Projection'!O$32</f>
        <v>0.99145784079740329</v>
      </c>
      <c r="O5" s="45">
        <f>'Emission Projection'!P34/'Emission Projection'!P$32</f>
        <v>1.0184598425677009</v>
      </c>
      <c r="P5" s="15">
        <f>'Emission Projection'!Q34/'Emission Projection'!Q$32</f>
        <v>1.0302986086379287</v>
      </c>
      <c r="Q5" s="15">
        <f>'Emission Projection'!R34/'Emission Projection'!R$32</f>
        <v>0.9857398180141892</v>
      </c>
      <c r="R5" s="38">
        <f>'Emission Projection'!S34/'Emission Projection'!S$32</f>
        <v>0.94224503790748493</v>
      </c>
      <c r="S5" s="37">
        <v>1.08730520917465</v>
      </c>
      <c r="T5" s="15">
        <v>1.147348677253083</v>
      </c>
      <c r="U5" s="15">
        <v>1.015574437387667</v>
      </c>
      <c r="V5" s="15">
        <v>1.0477522321902726</v>
      </c>
      <c r="W5" s="15">
        <v>0.98928350748402216</v>
      </c>
      <c r="X5" s="45">
        <v>1.0134947700843162</v>
      </c>
      <c r="Y5" s="15">
        <v>1.0722614547374578</v>
      </c>
      <c r="Z5" s="15">
        <v>1.0266572699003169</v>
      </c>
      <c r="AA5" s="15">
        <v>1.040642562332752</v>
      </c>
      <c r="AB5" s="15">
        <v>1.0657673689882674</v>
      </c>
      <c r="AC5" s="15">
        <v>1.043271235314934</v>
      </c>
      <c r="AD5" s="15">
        <v>1.041613754029501</v>
      </c>
      <c r="AE5" s="15">
        <v>1.0321296152632058</v>
      </c>
      <c r="AF5" s="45">
        <v>1.0585543896239327</v>
      </c>
      <c r="AG5" s="15">
        <v>1.0579838594922042</v>
      </c>
      <c r="AH5" s="15">
        <v>1.0305793334331323</v>
      </c>
      <c r="AI5" s="38">
        <v>1.0685515000159302</v>
      </c>
    </row>
    <row r="6" spans="1:35" x14ac:dyDescent="0.3">
      <c r="A6" s="31">
        <v>2022</v>
      </c>
      <c r="B6" s="37">
        <f>'Emission Projection'!C35/'Emission Projection'!C$32</f>
        <v>0.93672671071143887</v>
      </c>
      <c r="C6" s="15">
        <f>'Emission Projection'!D35/'Emission Projection'!D$32</f>
        <v>1.0585540678933563</v>
      </c>
      <c r="D6" s="15">
        <f>'Emission Projection'!E35/'Emission Projection'!E$32</f>
        <v>0.93476696647101332</v>
      </c>
      <c r="E6" s="15">
        <f>'Emission Projection'!F35/'Emission Projection'!F$32</f>
        <v>1.0201672811707099</v>
      </c>
      <c r="F6" s="45">
        <f>'Emission Projection'!G35/'Emission Projection'!G$32</f>
        <v>0.98499354103931847</v>
      </c>
      <c r="G6" s="45">
        <f>'Emission Projection'!H35/'Emission Projection'!H$32</f>
        <v>0.81463972191207823</v>
      </c>
      <c r="H6" s="15">
        <f>'Emission Projection'!I35/'Emission Projection'!I$32</f>
        <v>0.96706401645485218</v>
      </c>
      <c r="I6" s="15">
        <f>'Emission Projection'!J35/'Emission Projection'!J$32</f>
        <v>0.97421020518521739</v>
      </c>
      <c r="J6" s="15">
        <f>'Emission Projection'!K35/'Emission Projection'!K$32</f>
        <v>0.95157910523472122</v>
      </c>
      <c r="K6" s="15">
        <f>'Emission Projection'!L35/'Emission Projection'!L$32</f>
        <v>0.97171720596973832</v>
      </c>
      <c r="L6" s="15">
        <f>'Emission Projection'!M35/'Emission Projection'!M$32</f>
        <v>0.97521314780214075</v>
      </c>
      <c r="M6" s="15">
        <f>'Emission Projection'!N35/'Emission Projection'!N$32</f>
        <v>1.0614188336266337</v>
      </c>
      <c r="N6" s="15">
        <f>'Emission Projection'!O35/'Emission Projection'!O$32</f>
        <v>0.98343030433826972</v>
      </c>
      <c r="O6" s="45">
        <f>'Emission Projection'!P35/'Emission Projection'!P$32</f>
        <v>1.0398444625011201</v>
      </c>
      <c r="P6" s="15">
        <f>'Emission Projection'!Q35/'Emission Projection'!Q$32</f>
        <v>1.1034356869128841</v>
      </c>
      <c r="Q6" s="15">
        <f>'Emission Projection'!R35/'Emission Projection'!R$32</f>
        <v>1.0609878520679459</v>
      </c>
      <c r="R6" s="38">
        <f>'Emission Projection'!S35/'Emission Projection'!S$32</f>
        <v>0.92145585042399492</v>
      </c>
      <c r="S6" s="37">
        <v>1.1332783409995402</v>
      </c>
      <c r="T6" s="15">
        <v>1.2033791041793307</v>
      </c>
      <c r="U6" s="15">
        <v>1.0457078330228489</v>
      </c>
      <c r="V6" s="15">
        <v>1.045592619079651</v>
      </c>
      <c r="W6" s="15">
        <v>1.0349946048639227</v>
      </c>
      <c r="X6" s="45">
        <v>1.043857695095731</v>
      </c>
      <c r="Y6" s="15">
        <v>1.1229713213469059</v>
      </c>
      <c r="Z6" s="15">
        <v>1.0830959923275889</v>
      </c>
      <c r="AA6" s="15">
        <v>1.0887770122335885</v>
      </c>
      <c r="AB6" s="15">
        <v>1.1145917765129045</v>
      </c>
      <c r="AC6" s="15">
        <v>1.0010055744563067</v>
      </c>
      <c r="AD6" s="15">
        <v>1.1220495313696961</v>
      </c>
      <c r="AE6" s="15">
        <v>1.087908692558331</v>
      </c>
      <c r="AF6" s="45">
        <v>1.1168252623346151</v>
      </c>
      <c r="AG6" s="15">
        <v>1.1486837558189174</v>
      </c>
      <c r="AH6" s="15">
        <v>1.1015704740000818</v>
      </c>
      <c r="AI6" s="38">
        <v>1.131556825617787</v>
      </c>
    </row>
    <row r="7" spans="1:35" x14ac:dyDescent="0.3">
      <c r="A7" s="31">
        <v>2023</v>
      </c>
      <c r="B7" s="37">
        <f>'Emission Projection'!C36/'Emission Projection'!C$32</f>
        <v>0.90133423395277379</v>
      </c>
      <c r="C7" s="15">
        <f>'Emission Projection'!D36/'Emission Projection'!D$32</f>
        <v>1.1011081054041858</v>
      </c>
      <c r="D7" s="15">
        <f>'Emission Projection'!E36/'Emission Projection'!E$32</f>
        <v>0.89199735550445036</v>
      </c>
      <c r="E7" s="15">
        <f>'Emission Projection'!F36/'Emission Projection'!F$32</f>
        <v>1.0486007750742457</v>
      </c>
      <c r="F7" s="45">
        <f>'Emission Projection'!G36/'Emission Projection'!G$32</f>
        <v>1.0717184542426745</v>
      </c>
      <c r="G7" s="45">
        <f>'Emission Projection'!H36/'Emission Projection'!H$32</f>
        <v>0.89439837076852668</v>
      </c>
      <c r="H7" s="15">
        <f>'Emission Projection'!I36/'Emission Projection'!I$32</f>
        <v>0.93029515235848415</v>
      </c>
      <c r="I7" s="15">
        <f>'Emission Projection'!J36/'Emission Projection'!J$32</f>
        <v>0.98711212951535443</v>
      </c>
      <c r="J7" s="15">
        <f>'Emission Projection'!K36/'Emission Projection'!K$32</f>
        <v>0.88890526950150139</v>
      </c>
      <c r="K7" s="15">
        <f>'Emission Projection'!L36/'Emission Projection'!L$32</f>
        <v>0.88192991028431811</v>
      </c>
      <c r="L7" s="15">
        <f>'Emission Projection'!M36/'Emission Projection'!M$32</f>
        <v>0.98529265143325051</v>
      </c>
      <c r="M7" s="15">
        <f>'Emission Projection'!N36/'Emission Projection'!N$32</f>
        <v>1.09241486785623</v>
      </c>
      <c r="N7" s="15">
        <f>'Emission Projection'!O36/'Emission Projection'!O$32</f>
        <v>0.97528909215864834</v>
      </c>
      <c r="O7" s="45">
        <f>'Emission Projection'!P36/'Emission Projection'!P$32</f>
        <v>1.1716195256710584</v>
      </c>
      <c r="P7" s="15">
        <f>'Emission Projection'!Q36/'Emission Projection'!Q$32</f>
        <v>1.1654617299022003</v>
      </c>
      <c r="Q7" s="15">
        <f>'Emission Projection'!R36/'Emission Projection'!R$32</f>
        <v>1.0893013105477798</v>
      </c>
      <c r="R7" s="38">
        <f>'Emission Projection'!S36/'Emission Projection'!S$32</f>
        <v>0.91939370090244765</v>
      </c>
      <c r="S7" s="37">
        <v>1.1829470954231798</v>
      </c>
      <c r="T7" s="15">
        <v>1.273659141817455</v>
      </c>
      <c r="U7" s="15">
        <v>1.0793487817324421</v>
      </c>
      <c r="V7" s="15">
        <v>1.0924172797371645</v>
      </c>
      <c r="W7" s="15">
        <v>1.1132794127140764</v>
      </c>
      <c r="X7" s="45">
        <v>1.0849635155076016</v>
      </c>
      <c r="Y7" s="15">
        <v>1.1649385427381982</v>
      </c>
      <c r="Z7" s="15">
        <v>1.1176581708273998</v>
      </c>
      <c r="AA7" s="15">
        <v>1.1190826664027806</v>
      </c>
      <c r="AB7" s="15">
        <v>1.1420340912006786</v>
      </c>
      <c r="AC7" s="15">
        <v>1.0586281441720478</v>
      </c>
      <c r="AD7" s="15">
        <v>1.1401675038431283</v>
      </c>
      <c r="AE7" s="15">
        <v>1.1338620276394142</v>
      </c>
      <c r="AF7" s="45">
        <v>1.1694095027048166</v>
      </c>
      <c r="AG7" s="15">
        <v>1.2228487792978677</v>
      </c>
      <c r="AH7" s="15">
        <v>1.1622868496618173</v>
      </c>
      <c r="AI7" s="38">
        <v>1.1847295167745431</v>
      </c>
    </row>
    <row r="8" spans="1:35" x14ac:dyDescent="0.3">
      <c r="A8" s="31">
        <v>2024</v>
      </c>
      <c r="B8" s="37">
        <f>'Emission Projection'!C37/'Emission Projection'!C$32</f>
        <v>0.89271206062771136</v>
      </c>
      <c r="C8" s="15">
        <f>'Emission Projection'!D37/'Emission Projection'!D$32</f>
        <v>1.1183225525798741</v>
      </c>
      <c r="D8" s="15">
        <f>'Emission Projection'!E37/'Emission Projection'!E$32</f>
        <v>0.86745437856295715</v>
      </c>
      <c r="E8" s="15">
        <f>'Emission Projection'!F37/'Emission Projection'!F$32</f>
        <v>1.0943782959117831</v>
      </c>
      <c r="F8" s="45">
        <f>'Emission Projection'!G37/'Emission Projection'!G$32</f>
        <v>1.1285256173645037</v>
      </c>
      <c r="G8" s="45">
        <f>'Emission Projection'!H37/'Emission Projection'!H$32</f>
        <v>0.97725019882135256</v>
      </c>
      <c r="H8" s="15">
        <f>'Emission Projection'!I37/'Emission Projection'!I$32</f>
        <v>0.92465790869799658</v>
      </c>
      <c r="I8" s="15">
        <f>'Emission Projection'!J37/'Emission Projection'!J$32</f>
        <v>0.99045179204074807</v>
      </c>
      <c r="J8" s="15">
        <f>'Emission Projection'!K37/'Emission Projection'!K$32</f>
        <v>0.87125777936576942</v>
      </c>
      <c r="K8" s="15">
        <f>'Emission Projection'!L37/'Emission Projection'!L$32</f>
        <v>0.86721407671459871</v>
      </c>
      <c r="L8" s="15">
        <f>'Emission Projection'!M37/'Emission Projection'!M$32</f>
        <v>0.98113440145687514</v>
      </c>
      <c r="M8" s="15">
        <f>'Emission Projection'!N37/'Emission Projection'!N$32</f>
        <v>1.1003953749045583</v>
      </c>
      <c r="N8" s="15">
        <f>'Emission Projection'!O37/'Emission Projection'!O$32</f>
        <v>0.99742090546584294</v>
      </c>
      <c r="O8" s="45">
        <f>'Emission Projection'!P37/'Emission Projection'!P$32</f>
        <v>1.2809670872969035</v>
      </c>
      <c r="P8" s="15">
        <f>'Emission Projection'!Q37/'Emission Projection'!Q$32</f>
        <v>1.2103557462433903</v>
      </c>
      <c r="Q8" s="15">
        <f>'Emission Projection'!R37/'Emission Projection'!R$32</f>
        <v>1.1276780465199701</v>
      </c>
      <c r="R8" s="38">
        <f>'Emission Projection'!S37/'Emission Projection'!S$32</f>
        <v>0.90663068212581521</v>
      </c>
      <c r="S8" s="37">
        <v>1.220337290140816</v>
      </c>
      <c r="T8" s="15">
        <v>1.3386411138220182</v>
      </c>
      <c r="U8" s="15">
        <v>1.0827917786153005</v>
      </c>
      <c r="V8" s="15">
        <v>1.1466200284644088</v>
      </c>
      <c r="W8" s="15">
        <v>1.1732807038577528</v>
      </c>
      <c r="X8" s="45">
        <v>1.138017099529006</v>
      </c>
      <c r="Y8" s="15">
        <v>1.2048400091717837</v>
      </c>
      <c r="Z8" s="15">
        <v>1.1525327675898749</v>
      </c>
      <c r="AA8" s="15">
        <v>1.1351879569041228</v>
      </c>
      <c r="AB8" s="15">
        <v>1.1717148390154515</v>
      </c>
      <c r="AC8" s="15">
        <v>1.0811642239733155</v>
      </c>
      <c r="AD8" s="15">
        <v>1.1714163791818122</v>
      </c>
      <c r="AE8" s="15">
        <v>1.1840982413713772</v>
      </c>
      <c r="AF8" s="45">
        <v>1.225490451671772</v>
      </c>
      <c r="AG8" s="15">
        <v>1.3045839855263961</v>
      </c>
      <c r="AH8" s="15">
        <v>1.2159741974115759</v>
      </c>
      <c r="AI8" s="38">
        <v>1.2101811390857022</v>
      </c>
    </row>
    <row r="9" spans="1:35" x14ac:dyDescent="0.3">
      <c r="A9" s="31">
        <v>2025</v>
      </c>
      <c r="B9" s="37">
        <f>'Emission Projection'!C38/'Emission Projection'!C$32</f>
        <v>0.89244403067479372</v>
      </c>
      <c r="C9" s="15">
        <f>'Emission Projection'!D38/'Emission Projection'!D$32</f>
        <v>1.1326048059953349</v>
      </c>
      <c r="D9" s="15">
        <f>'Emission Projection'!E38/'Emission Projection'!E$32</f>
        <v>0.85785159510276632</v>
      </c>
      <c r="E9" s="15">
        <f>'Emission Projection'!F38/'Emission Projection'!F$32</f>
        <v>1.1053826892858829</v>
      </c>
      <c r="F9" s="45">
        <f>'Emission Projection'!G38/'Emission Projection'!G$32</f>
        <v>1.176056308938336</v>
      </c>
      <c r="G9" s="45">
        <f>'Emission Projection'!H38/'Emission Projection'!H$32</f>
        <v>1.076895877122432</v>
      </c>
      <c r="H9" s="15">
        <f>'Emission Projection'!I38/'Emission Projection'!I$32</f>
        <v>0.91834462620420287</v>
      </c>
      <c r="I9" s="15">
        <f>'Emission Projection'!J38/'Emission Projection'!J$32</f>
        <v>1.004627968393675</v>
      </c>
      <c r="J9" s="15">
        <f>'Emission Projection'!K38/'Emission Projection'!K$32</f>
        <v>0.86864966159664081</v>
      </c>
      <c r="K9" s="15">
        <f>'Emission Projection'!L38/'Emission Projection'!L$32</f>
        <v>0.86311406880299402</v>
      </c>
      <c r="L9" s="15">
        <f>'Emission Projection'!M38/'Emission Projection'!M$32</f>
        <v>0.97451972641228435</v>
      </c>
      <c r="M9" s="15">
        <f>'Emission Projection'!N38/'Emission Projection'!N$32</f>
        <v>1.1211563622809348</v>
      </c>
      <c r="N9" s="15">
        <f>'Emission Projection'!O38/'Emission Projection'!O$32</f>
        <v>1.0164636673882064</v>
      </c>
      <c r="O9" s="45">
        <f>'Emission Projection'!P38/'Emission Projection'!P$32</f>
        <v>1.3930971783450738</v>
      </c>
      <c r="P9" s="15">
        <f>'Emission Projection'!Q38/'Emission Projection'!Q$32</f>
        <v>1.2647273155179752</v>
      </c>
      <c r="Q9" s="15">
        <f>'Emission Projection'!R38/'Emission Projection'!R$32</f>
        <v>1.1669741154799731</v>
      </c>
      <c r="R9" s="38">
        <f>'Emission Projection'!S38/'Emission Projection'!S$32</f>
        <v>0.90862446652684481</v>
      </c>
      <c r="S9" s="37">
        <v>1.2797823956796002</v>
      </c>
      <c r="T9" s="15">
        <v>1.4014788785171244</v>
      </c>
      <c r="U9" s="15">
        <v>1.1208082025301929</v>
      </c>
      <c r="V9" s="15">
        <v>1.1700075763476341</v>
      </c>
      <c r="W9" s="15">
        <v>1.2266418275216497</v>
      </c>
      <c r="X9" s="45">
        <v>1.19653505009618</v>
      </c>
      <c r="Y9" s="15">
        <v>1.2525858750323433</v>
      </c>
      <c r="Z9" s="15">
        <v>1.2010520503356681</v>
      </c>
      <c r="AA9" s="15">
        <v>1.1863447257853701</v>
      </c>
      <c r="AB9" s="15">
        <v>1.220736977315299</v>
      </c>
      <c r="AC9" s="15">
        <v>1.1034497860964441</v>
      </c>
      <c r="AD9" s="15">
        <v>1.2154259831467895</v>
      </c>
      <c r="AE9" s="15">
        <v>1.2403013263280669</v>
      </c>
      <c r="AF9" s="45">
        <v>1.2887668643681156</v>
      </c>
      <c r="AG9" s="15">
        <v>1.3737035757119915</v>
      </c>
      <c r="AH9" s="15">
        <v>1.2822362243300991</v>
      </c>
      <c r="AI9" s="38">
        <v>1.2677775354202765</v>
      </c>
    </row>
    <row r="10" spans="1:35" x14ac:dyDescent="0.3">
      <c r="A10" s="31">
        <v>2026</v>
      </c>
      <c r="B10" s="37">
        <f>'Emission Projection'!C39/'Emission Projection'!C$32</f>
        <v>0.88630395491965897</v>
      </c>
      <c r="C10" s="15">
        <f>'Emission Projection'!D39/'Emission Projection'!D$32</f>
        <v>1.1408017766434133</v>
      </c>
      <c r="D10" s="15">
        <f>'Emission Projection'!E39/'Emission Projection'!E$32</f>
        <v>0.84308953147782573</v>
      </c>
      <c r="E10" s="15">
        <f>'Emission Projection'!F39/'Emission Projection'!F$32</f>
        <v>1.1241400459461095</v>
      </c>
      <c r="F10" s="45">
        <f>'Emission Projection'!G39/'Emission Projection'!G$32</f>
        <v>1.2139202945968375</v>
      </c>
      <c r="G10" s="45">
        <f>'Emission Projection'!H39/'Emission Projection'!H$32</f>
        <v>1.185929078183424</v>
      </c>
      <c r="H10" s="15">
        <f>'Emission Projection'!I39/'Emission Projection'!I$32</f>
        <v>0.90825836747742017</v>
      </c>
      <c r="I10" s="15">
        <f>'Emission Projection'!J39/'Emission Projection'!J$32</f>
        <v>1.0143273634369994</v>
      </c>
      <c r="J10" s="15">
        <f>'Emission Projection'!K39/'Emission Projection'!K$32</f>
        <v>0.85929763753848754</v>
      </c>
      <c r="K10" s="15">
        <f>'Emission Projection'!L39/'Emission Projection'!L$32</f>
        <v>0.85428810276824851</v>
      </c>
      <c r="L10" s="15">
        <f>'Emission Projection'!M39/'Emission Projection'!M$32</f>
        <v>0.9826117515712719</v>
      </c>
      <c r="M10" s="15">
        <f>'Emission Projection'!N39/'Emission Projection'!N$32</f>
        <v>1.1615089881013894</v>
      </c>
      <c r="N10" s="15">
        <f>'Emission Projection'!O39/'Emission Projection'!O$32</f>
        <v>1.0425963327978327</v>
      </c>
      <c r="O10" s="45">
        <f>'Emission Projection'!P39/'Emission Projection'!P$32</f>
        <v>1.5188841409688938</v>
      </c>
      <c r="P10" s="15">
        <f>'Emission Projection'!Q39/'Emission Projection'!Q$32</f>
        <v>1.3108071511641515</v>
      </c>
      <c r="Q10" s="15">
        <f>'Emission Projection'!R39/'Emission Projection'!R$32</f>
        <v>1.2021865131401746</v>
      </c>
      <c r="R10" s="38">
        <f>'Emission Projection'!S39/'Emission Projection'!S$32</f>
        <v>0.90666966521897563</v>
      </c>
      <c r="S10" s="37">
        <v>1.3084260539671113</v>
      </c>
      <c r="T10" s="15">
        <v>1.4603509005670698</v>
      </c>
      <c r="U10" s="15">
        <v>1.1404824704322396</v>
      </c>
      <c r="V10" s="15">
        <v>1.1894511750419532</v>
      </c>
      <c r="W10" s="15">
        <v>1.2707712738976862</v>
      </c>
      <c r="X10" s="45">
        <v>1.2684099308708403</v>
      </c>
      <c r="Y10" s="15">
        <v>1.2902722294797115</v>
      </c>
      <c r="Z10" s="15">
        <v>1.245451771338894</v>
      </c>
      <c r="AA10" s="15">
        <v>1.2123663561883322</v>
      </c>
      <c r="AB10" s="15">
        <v>1.2563783268957625</v>
      </c>
      <c r="AC10" s="15">
        <v>1.1372031015139676</v>
      </c>
      <c r="AD10" s="15">
        <v>1.2741294478748399</v>
      </c>
      <c r="AE10" s="15">
        <v>1.2995634192405849</v>
      </c>
      <c r="AF10" s="45">
        <v>1.3587857654956657</v>
      </c>
      <c r="AG10" s="15">
        <v>1.4685585347508792</v>
      </c>
      <c r="AH10" s="15">
        <v>1.3416461398184567</v>
      </c>
      <c r="AI10" s="38">
        <v>1.3167961100804111</v>
      </c>
    </row>
    <row r="11" spans="1:35" x14ac:dyDescent="0.3">
      <c r="A11" s="31">
        <v>2027</v>
      </c>
      <c r="B11" s="37">
        <f>'Emission Projection'!C40/'Emission Projection'!C$32</f>
        <v>0.88353854811520249</v>
      </c>
      <c r="C11" s="15">
        <f>'Emission Projection'!D40/'Emission Projection'!D$32</f>
        <v>1.1487528912484166</v>
      </c>
      <c r="D11" s="15">
        <f>'Emission Projection'!E40/'Emission Projection'!E$32</f>
        <v>0.82914746325108535</v>
      </c>
      <c r="E11" s="15">
        <f>'Emission Projection'!F40/'Emission Projection'!F$32</f>
        <v>1.1352021278409978</v>
      </c>
      <c r="F11" s="45">
        <f>'Emission Projection'!G40/'Emission Projection'!G$32</f>
        <v>1.2595748994910714</v>
      </c>
      <c r="G11" s="45">
        <f>'Emission Projection'!H40/'Emission Projection'!H$32</f>
        <v>1.3111588905180658</v>
      </c>
      <c r="H11" s="15">
        <f>'Emission Projection'!I40/'Emission Projection'!I$32</f>
        <v>0.89745687469813429</v>
      </c>
      <c r="I11" s="15">
        <f>'Emission Projection'!J40/'Emission Projection'!J$32</f>
        <v>1.0194405553660464</v>
      </c>
      <c r="J11" s="15">
        <f>'Emission Projection'!K40/'Emission Projection'!K$32</f>
        <v>0.84963854429043884</v>
      </c>
      <c r="K11" s="15">
        <f>'Emission Projection'!L40/'Emission Projection'!L$32</f>
        <v>0.84729611098131519</v>
      </c>
      <c r="L11" s="15">
        <f>'Emission Projection'!M40/'Emission Projection'!M$32</f>
        <v>0.99115246019573777</v>
      </c>
      <c r="M11" s="15">
        <f>'Emission Projection'!N40/'Emission Projection'!N$32</f>
        <v>1.1847393320754407</v>
      </c>
      <c r="N11" s="15">
        <f>'Emission Projection'!O40/'Emission Projection'!O$32</f>
        <v>1.0629410017496461</v>
      </c>
      <c r="O11" s="45">
        <f>'Emission Projection'!P40/'Emission Projection'!P$32</f>
        <v>1.6573242290631867</v>
      </c>
      <c r="P11" s="15">
        <f>'Emission Projection'!Q40/'Emission Projection'!Q$32</f>
        <v>1.3655004422870654</v>
      </c>
      <c r="Q11" s="15">
        <f>'Emission Projection'!R40/'Emission Projection'!R$32</f>
        <v>1.2418419131528999</v>
      </c>
      <c r="R11" s="38">
        <f>'Emission Projection'!S40/'Emission Projection'!S$32</f>
        <v>0.90607625559901916</v>
      </c>
      <c r="S11" s="37">
        <v>1.3584771141768286</v>
      </c>
      <c r="T11" s="15">
        <v>1.518483899709387</v>
      </c>
      <c r="U11" s="15">
        <v>1.1725966139765178</v>
      </c>
      <c r="V11" s="15">
        <v>1.2094329068392469</v>
      </c>
      <c r="W11" s="15">
        <v>1.3207016443636967</v>
      </c>
      <c r="X11" s="45">
        <v>1.3421542649750102</v>
      </c>
      <c r="Y11" s="15">
        <v>1.3276093829871827</v>
      </c>
      <c r="Z11" s="15">
        <v>1.2846929582376705</v>
      </c>
      <c r="AA11" s="15">
        <v>1.2538376853902009</v>
      </c>
      <c r="AB11" s="15">
        <v>1.3035605124094927</v>
      </c>
      <c r="AC11" s="15">
        <v>1.1808404780507973</v>
      </c>
      <c r="AD11" s="15">
        <v>1.3233883282005934</v>
      </c>
      <c r="AE11" s="15">
        <v>1.3613722332496909</v>
      </c>
      <c r="AF11" s="45">
        <v>1.435993612722414</v>
      </c>
      <c r="AG11" s="15">
        <v>1.5422641432724167</v>
      </c>
      <c r="AH11" s="15">
        <v>1.4083368489813692</v>
      </c>
      <c r="AI11" s="38">
        <v>1.3708755995284649</v>
      </c>
    </row>
    <row r="12" spans="1:35" x14ac:dyDescent="0.3">
      <c r="A12" s="31">
        <v>2028</v>
      </c>
      <c r="B12" s="37">
        <f>'Emission Projection'!C41/'Emission Projection'!C$32</f>
        <v>0.87455897016425965</v>
      </c>
      <c r="C12" s="15">
        <f>'Emission Projection'!D41/'Emission Projection'!D$32</f>
        <v>1.1516258138933098</v>
      </c>
      <c r="D12" s="15">
        <f>'Emission Projection'!E41/'Emission Projection'!E$32</f>
        <v>0.81291207210239891</v>
      </c>
      <c r="E12" s="15">
        <f>'Emission Projection'!F41/'Emission Projection'!F$32</f>
        <v>1.1569449520570956</v>
      </c>
      <c r="F12" s="45">
        <f>'Emission Projection'!G41/'Emission Projection'!G$32</f>
        <v>1.300727901157092</v>
      </c>
      <c r="G12" s="45">
        <f>'Emission Projection'!H41/'Emission Projection'!H$32</f>
        <v>1.4494544942143965</v>
      </c>
      <c r="H12" s="15">
        <f>'Emission Projection'!I41/'Emission Projection'!I$32</f>
        <v>0.88527664850941157</v>
      </c>
      <c r="I12" s="15">
        <f>'Emission Projection'!J41/'Emission Projection'!J$32</f>
        <v>1.0267545048963522</v>
      </c>
      <c r="J12" s="15">
        <f>'Emission Projection'!K41/'Emission Projection'!K$32</f>
        <v>0.83744941457085398</v>
      </c>
      <c r="K12" s="15">
        <f>'Emission Projection'!L41/'Emission Projection'!L$32</f>
        <v>0.83642719876050475</v>
      </c>
      <c r="L12" s="15">
        <f>'Emission Projection'!M41/'Emission Projection'!M$32</f>
        <v>1.0130900800901039</v>
      </c>
      <c r="M12" s="15">
        <f>'Emission Projection'!N41/'Emission Projection'!N$32</f>
        <v>1.2332669275713344</v>
      </c>
      <c r="N12" s="15">
        <f>'Emission Projection'!O41/'Emission Projection'!O$32</f>
        <v>1.093893134476132</v>
      </c>
      <c r="O12" s="45">
        <f>'Emission Projection'!P41/'Emission Projection'!P$32</f>
        <v>1.8116020183079085</v>
      </c>
      <c r="P12" s="15">
        <f>'Emission Projection'!Q41/'Emission Projection'!Q$32</f>
        <v>1.4115570049449144</v>
      </c>
      <c r="Q12" s="15">
        <f>'Emission Projection'!R41/'Emission Projection'!R$32</f>
        <v>1.2776835323739077</v>
      </c>
      <c r="R12" s="38">
        <f>'Emission Projection'!S41/'Emission Projection'!S$32</f>
        <v>0.90385721262893626</v>
      </c>
      <c r="S12" s="37">
        <v>1.3930516784429479</v>
      </c>
      <c r="T12" s="15">
        <v>1.5694556627890517</v>
      </c>
      <c r="U12" s="15">
        <v>1.1875675022082317</v>
      </c>
      <c r="V12" s="15">
        <v>1.2309865537531244</v>
      </c>
      <c r="W12" s="15">
        <v>1.3664772989274285</v>
      </c>
      <c r="X12" s="45">
        <v>1.4262858183688867</v>
      </c>
      <c r="Y12" s="15">
        <v>1.3624074670099775</v>
      </c>
      <c r="Z12" s="15">
        <v>1.3257142026795317</v>
      </c>
      <c r="AA12" s="15">
        <v>1.2751382308919759</v>
      </c>
      <c r="AB12" s="15">
        <v>1.3370796522957145</v>
      </c>
      <c r="AC12" s="15">
        <v>1.2295057268691596</v>
      </c>
      <c r="AD12" s="15">
        <v>1.391526094713192</v>
      </c>
      <c r="AE12" s="15">
        <v>1.4268325958899346</v>
      </c>
      <c r="AF12" s="45">
        <v>1.513967281496448</v>
      </c>
      <c r="AG12" s="15">
        <v>1.6434167462850404</v>
      </c>
      <c r="AH12" s="15">
        <v>1.470386902736762</v>
      </c>
      <c r="AI12" s="38">
        <v>1.4200314193353905</v>
      </c>
    </row>
    <row r="13" spans="1:35" x14ac:dyDescent="0.3">
      <c r="A13" s="31">
        <v>2029</v>
      </c>
      <c r="B13" s="37">
        <f>'Emission Projection'!C42/'Emission Projection'!C$32</f>
        <v>0.86919023700297626</v>
      </c>
      <c r="C13" s="15">
        <f>'Emission Projection'!D42/'Emission Projection'!D$32</f>
        <v>1.1549459742772903</v>
      </c>
      <c r="D13" s="15">
        <f>'Emission Projection'!E42/'Emission Projection'!E$32</f>
        <v>0.79874601446412308</v>
      </c>
      <c r="E13" s="15">
        <f>'Emission Projection'!F42/'Emission Projection'!F$32</f>
        <v>1.169814592441369</v>
      </c>
      <c r="F13" s="45">
        <f>'Emission Projection'!G42/'Emission Projection'!G$32</f>
        <v>1.3488826746512061</v>
      </c>
      <c r="G13" s="45">
        <f>'Emission Projection'!H42/'Emission Projection'!H$32</f>
        <v>1.6051615084167163</v>
      </c>
      <c r="H13" s="15">
        <f>'Emission Projection'!I42/'Emission Projection'!I$32</f>
        <v>0.87318581445334009</v>
      </c>
      <c r="I13" s="15">
        <f>'Emission Projection'!J42/'Emission Projection'!J$32</f>
        <v>1.0314947743106482</v>
      </c>
      <c r="J13" s="15">
        <f>'Emission Projection'!K42/'Emission Projection'!K$32</f>
        <v>0.82651122746201866</v>
      </c>
      <c r="K13" s="15">
        <f>'Emission Projection'!L42/'Emission Projection'!L$32</f>
        <v>0.82741311257408756</v>
      </c>
      <c r="L13" s="15">
        <f>'Emission Projection'!M42/'Emission Projection'!M$32</f>
        <v>1.0269827757513812</v>
      </c>
      <c r="M13" s="15">
        <f>'Emission Projection'!N42/'Emission Projection'!N$32</f>
        <v>1.2595004673415857</v>
      </c>
      <c r="N13" s="15">
        <f>'Emission Projection'!O42/'Emission Projection'!O$32</f>
        <v>1.1178810426639725</v>
      </c>
      <c r="O13" s="45">
        <f>'Emission Projection'!P42/'Emission Projection'!P$32</f>
        <v>1.9746556897170613</v>
      </c>
      <c r="P13" s="15">
        <f>'Emission Projection'!Q42/'Emission Projection'!Q$32</f>
        <v>1.4656169432236088</v>
      </c>
      <c r="Q13" s="15">
        <f>'Emission Projection'!R42/'Emission Projection'!R$32</f>
        <v>1.3170280654334039</v>
      </c>
      <c r="R13" s="38">
        <f>'Emission Projection'!S42/'Emission Projection'!S$32</f>
        <v>0.90260337268821644</v>
      </c>
      <c r="S13" s="37">
        <v>1.4494693354595505</v>
      </c>
      <c r="T13" s="15">
        <v>1.6227693998717638</v>
      </c>
      <c r="U13" s="15">
        <v>1.219200036069491</v>
      </c>
      <c r="V13" s="15">
        <v>1.2539492597129485</v>
      </c>
      <c r="W13" s="15">
        <v>1.4198660899558244</v>
      </c>
      <c r="X13" s="45">
        <v>1.5128418767391516</v>
      </c>
      <c r="Y13" s="15">
        <v>1.4002957689888529</v>
      </c>
      <c r="Z13" s="15">
        <v>1.3656601470545497</v>
      </c>
      <c r="AA13" s="15">
        <v>1.3156158644945553</v>
      </c>
      <c r="AB13" s="15">
        <v>1.3821879287625825</v>
      </c>
      <c r="AC13" s="15">
        <v>1.2814820135314584</v>
      </c>
      <c r="AD13" s="15">
        <v>1.4448568916674807</v>
      </c>
      <c r="AE13" s="15">
        <v>1.4968941773181312</v>
      </c>
      <c r="AF13" s="45">
        <v>1.5939353451085185</v>
      </c>
      <c r="AG13" s="15">
        <v>1.7248185717480129</v>
      </c>
      <c r="AH13" s="15">
        <v>1.5399286890488699</v>
      </c>
      <c r="AI13" s="38">
        <v>1.4755078683132816</v>
      </c>
    </row>
    <row r="14" spans="1:35" x14ac:dyDescent="0.3">
      <c r="A14" s="31">
        <v>2030</v>
      </c>
      <c r="B14" s="37">
        <f>'Emission Projection'!C43/'Emission Projection'!C$32</f>
        <v>0.85974290557482613</v>
      </c>
      <c r="C14" s="15">
        <f>'Emission Projection'!D43/'Emission Projection'!D$32</f>
        <v>1.1543558812370358</v>
      </c>
      <c r="D14" s="15">
        <f>'Emission Projection'!E43/'Emission Projection'!E$32</f>
        <v>0.78398190346292096</v>
      </c>
      <c r="E14" s="15">
        <f>'Emission Projection'!F43/'Emission Projection'!F$32</f>
        <v>1.1903083067273603</v>
      </c>
      <c r="F14" s="45">
        <f>'Emission Projection'!G43/'Emission Projection'!G$32</f>
        <v>1.3923179538913317</v>
      </c>
      <c r="G14" s="45">
        <f>'Emission Projection'!H43/'Emission Projection'!H$32</f>
        <v>1.7750056189948662</v>
      </c>
      <c r="H14" s="15">
        <f>'Emission Projection'!I43/'Emission Projection'!I$32</f>
        <v>0.86052306894917707</v>
      </c>
      <c r="I14" s="15">
        <f>'Emission Projection'!J43/'Emission Projection'!J$32</f>
        <v>1.0392287872376753</v>
      </c>
      <c r="J14" s="15">
        <f>'Emission Projection'!K43/'Emission Projection'!K$32</f>
        <v>0.81485380981921662</v>
      </c>
      <c r="K14" s="15">
        <f>'Emission Projection'!L43/'Emission Projection'!L$32</f>
        <v>0.81539224928331422</v>
      </c>
      <c r="L14" s="15">
        <f>'Emission Projection'!M43/'Emission Projection'!M$32</f>
        <v>1.0441252372158136</v>
      </c>
      <c r="M14" s="15">
        <f>'Emission Projection'!N43/'Emission Projection'!N$32</f>
        <v>1.3009921237923778</v>
      </c>
      <c r="N14" s="15">
        <f>'Emission Projection'!O43/'Emission Projection'!O$32</f>
        <v>1.149380828453064</v>
      </c>
      <c r="O14" s="45">
        <f>'Emission Projection'!P43/'Emission Projection'!P$32</f>
        <v>2.1475149549379164</v>
      </c>
      <c r="P14" s="15">
        <f>'Emission Projection'!Q43/'Emission Projection'!Q$32</f>
        <v>1.5116927301310148</v>
      </c>
      <c r="Q14" s="15">
        <f>'Emission Projection'!R43/'Emission Projection'!R$32</f>
        <v>1.3522977587673486</v>
      </c>
      <c r="R14" s="38">
        <f>'Emission Projection'!S43/'Emission Projection'!S$32</f>
        <v>0.89981051922827182</v>
      </c>
      <c r="S14" s="37">
        <v>1.4768265864398546</v>
      </c>
      <c r="T14" s="15">
        <v>1.6710244731078931</v>
      </c>
      <c r="U14" s="15">
        <v>1.2404318501804499</v>
      </c>
      <c r="V14" s="15">
        <v>1.2750001770174682</v>
      </c>
      <c r="W14" s="15">
        <v>1.4646733867620885</v>
      </c>
      <c r="X14" s="45">
        <v>1.6098343829265622</v>
      </c>
      <c r="Y14" s="15">
        <v>1.4312820933544537</v>
      </c>
      <c r="Z14" s="15">
        <v>1.410117992385713</v>
      </c>
      <c r="AA14" s="15">
        <v>1.3419591059213538</v>
      </c>
      <c r="AB14" s="15">
        <v>1.4162383757699801</v>
      </c>
      <c r="AC14" s="15">
        <v>1.3319534422530475</v>
      </c>
      <c r="AD14" s="15">
        <v>1.5107684714374585</v>
      </c>
      <c r="AE14" s="15">
        <v>1.5726671553232354</v>
      </c>
      <c r="AF14" s="45">
        <v>1.6686013165612983</v>
      </c>
      <c r="AG14" s="15">
        <v>1.8250848697985484</v>
      </c>
      <c r="AH14" s="15">
        <v>1.6041357629863502</v>
      </c>
      <c r="AI14" s="38">
        <v>1.5261684831225231</v>
      </c>
    </row>
    <row r="15" spans="1:35" x14ac:dyDescent="0.3">
      <c r="A15" s="31">
        <v>2031</v>
      </c>
      <c r="B15" s="37">
        <f>'Emission Projection'!C44/'Emission Projection'!C$32</f>
        <v>0.85119347112927735</v>
      </c>
      <c r="C15" s="15">
        <f>'Emission Projection'!D44/'Emission Projection'!D$32</f>
        <v>1.1534011802512738</v>
      </c>
      <c r="D15" s="15">
        <f>'Emission Projection'!E44/'Emission Projection'!E$32</f>
        <v>0.7706829583093685</v>
      </c>
      <c r="E15" s="15">
        <f>'Emission Projection'!F44/'Emission Projection'!F$32</f>
        <v>1.2081795074276753</v>
      </c>
      <c r="F15" s="45">
        <f>'Emission Projection'!G44/'Emission Projection'!G$32</f>
        <v>1.4419010162956727</v>
      </c>
      <c r="G15" s="45">
        <f>'Emission Projection'!H44/'Emission Projection'!H$32</f>
        <v>1.9644454333301358</v>
      </c>
      <c r="H15" s="15">
        <f>'Emission Projection'!I44/'Emission Projection'!I$32</f>
        <v>0.84792342653957087</v>
      </c>
      <c r="I15" s="15">
        <f>'Emission Projection'!J44/'Emission Projection'!J$32</f>
        <v>1.0471149360556973</v>
      </c>
      <c r="J15" s="15">
        <f>'Emission Projection'!K44/'Emission Projection'!K$32</f>
        <v>0.80413899391466859</v>
      </c>
      <c r="K15" s="15">
        <f>'Emission Projection'!L44/'Emission Projection'!L$32</f>
        <v>0.80361177028927888</v>
      </c>
      <c r="L15" s="15">
        <f>'Emission Projection'!M44/'Emission Projection'!M$32</f>
        <v>1.0551699143193272</v>
      </c>
      <c r="M15" s="15">
        <f>'Emission Projection'!N44/'Emission Projection'!N$32</f>
        <v>1.3305653257333077</v>
      </c>
      <c r="N15" s="15">
        <f>'Emission Projection'!O44/'Emission Projection'!O$32</f>
        <v>1.1793112555088907</v>
      </c>
      <c r="O15" s="45">
        <f>'Emission Projection'!P44/'Emission Projection'!P$32</f>
        <v>2.3291177301563812</v>
      </c>
      <c r="P15" s="15">
        <f>'Emission Projection'!Q44/'Emission Projection'!Q$32</f>
        <v>1.5608330717078098</v>
      </c>
      <c r="Q15" s="15">
        <f>'Emission Projection'!R44/'Emission Projection'!R$32</f>
        <v>1.3885130847414782</v>
      </c>
      <c r="R15" s="38">
        <f>'Emission Projection'!S44/'Emission Projection'!S$32</f>
        <v>0.89744197890941801</v>
      </c>
      <c r="S15" s="37">
        <v>1.5228410486199966</v>
      </c>
      <c r="T15" s="15">
        <v>1.719040144557044</v>
      </c>
      <c r="U15" s="15">
        <v>1.2694923833940983</v>
      </c>
      <c r="V15" s="15">
        <v>1.2998746716325966</v>
      </c>
      <c r="W15" s="15">
        <v>1.5176425560955817</v>
      </c>
      <c r="X15" s="45">
        <v>1.7102851931665879</v>
      </c>
      <c r="Y15" s="15">
        <v>1.4632844662379487</v>
      </c>
      <c r="Z15" s="15">
        <v>1.454713882995728</v>
      </c>
      <c r="AA15" s="15">
        <v>1.3785856536744059</v>
      </c>
      <c r="AB15" s="15">
        <v>1.4548532339547513</v>
      </c>
      <c r="AC15" s="15">
        <v>1.3816102505527157</v>
      </c>
      <c r="AD15" s="15">
        <v>1.5686184788923565</v>
      </c>
      <c r="AE15" s="15">
        <v>1.6532954892005114</v>
      </c>
      <c r="AF15" s="45">
        <v>1.7420484911686112</v>
      </c>
      <c r="AG15" s="15">
        <v>1.9053361250584433</v>
      </c>
      <c r="AH15" s="15">
        <v>1.6699078673398569</v>
      </c>
      <c r="AI15" s="38">
        <v>1.5785373098480746</v>
      </c>
    </row>
    <row r="16" spans="1:35" x14ac:dyDescent="0.3">
      <c r="A16" s="31">
        <v>2032</v>
      </c>
      <c r="B16" s="37">
        <f>'Emission Projection'!C45/'Emission Projection'!C$32</f>
        <v>0.83931521745281601</v>
      </c>
      <c r="C16" s="15">
        <f>'Emission Projection'!D45/'Emission Projection'!D$32</f>
        <v>1.1496101150984193</v>
      </c>
      <c r="D16" s="15">
        <f>'Emission Projection'!E45/'Emission Projection'!E$32</f>
        <v>0.75687010167376956</v>
      </c>
      <c r="E16" s="15">
        <f>'Emission Projection'!F45/'Emission Projection'!F$32</f>
        <v>1.2336917370662035</v>
      </c>
      <c r="F16" s="45">
        <f>'Emission Projection'!G45/'Emission Projection'!G$32</f>
        <v>1.4909872450491106</v>
      </c>
      <c r="G16" s="45">
        <f>'Emission Projection'!H45/'Emission Projection'!H$32</f>
        <v>2.173844777061742</v>
      </c>
      <c r="H16" s="15">
        <f>'Emission Projection'!I45/'Emission Projection'!I$32</f>
        <v>0.8347857486689011</v>
      </c>
      <c r="I16" s="15">
        <f>'Emission Projection'!J45/'Emission Projection'!J$32</f>
        <v>1.0575854995953529</v>
      </c>
      <c r="J16" s="15">
        <f>'Emission Projection'!K45/'Emission Projection'!K$32</f>
        <v>0.79258913525988151</v>
      </c>
      <c r="K16" s="15">
        <f>'Emission Projection'!L45/'Emission Projection'!L$32</f>
        <v>0.78968645597071263</v>
      </c>
      <c r="L16" s="15">
        <f>'Emission Projection'!M45/'Emission Projection'!M$32</f>
        <v>1.0714909240257708</v>
      </c>
      <c r="M16" s="15">
        <f>'Emission Projection'!N45/'Emission Projection'!N$32</f>
        <v>1.3755480120340506</v>
      </c>
      <c r="N16" s="15">
        <f>'Emission Projection'!O45/'Emission Projection'!O$32</f>
        <v>1.2180218848017144</v>
      </c>
      <c r="O16" s="45">
        <f>'Emission Projection'!P45/'Emission Projection'!P$32</f>
        <v>2.5259568139913084</v>
      </c>
      <c r="P16" s="15">
        <f>'Emission Projection'!Q45/'Emission Projection'!Q$32</f>
        <v>1.60295456764875</v>
      </c>
      <c r="Q16" s="15">
        <f>'Emission Projection'!R45/'Emission Projection'!R$32</f>
        <v>1.421866131325594</v>
      </c>
      <c r="R16" s="38">
        <f>'Emission Projection'!S45/'Emission Projection'!S$32</f>
        <v>0.89437277693654105</v>
      </c>
      <c r="S16" s="37">
        <v>1.5580872311589546</v>
      </c>
      <c r="T16" s="15">
        <v>1.7608105519980679</v>
      </c>
      <c r="U16" s="15">
        <v>1.288654300569529</v>
      </c>
      <c r="V16" s="15">
        <v>1.3267388425889868</v>
      </c>
      <c r="W16" s="15">
        <v>1.5677758205679186</v>
      </c>
      <c r="X16" s="45">
        <v>1.8207170873449456</v>
      </c>
      <c r="Y16" s="15">
        <v>1.4936376009474703</v>
      </c>
      <c r="Z16" s="15">
        <v>1.5017509953791159</v>
      </c>
      <c r="AA16" s="15">
        <v>1.4033125935455142</v>
      </c>
      <c r="AB16" s="15">
        <v>1.4839241860963566</v>
      </c>
      <c r="AC16" s="15">
        <v>1.4308641283211112</v>
      </c>
      <c r="AD16" s="15">
        <v>1.638931019058832</v>
      </c>
      <c r="AE16" s="15">
        <v>1.7405581385394875</v>
      </c>
      <c r="AF16" s="45">
        <v>1.8136413999869647</v>
      </c>
      <c r="AG16" s="15">
        <v>2.0094972861992559</v>
      </c>
      <c r="AH16" s="15">
        <v>1.7325363019011719</v>
      </c>
      <c r="AI16" s="38">
        <v>1.6295876028419549</v>
      </c>
    </row>
    <row r="17" spans="1:35" x14ac:dyDescent="0.3">
      <c r="A17" s="31">
        <v>2033</v>
      </c>
      <c r="B17" s="37">
        <f>'Emission Projection'!C46/'Emission Projection'!C$32</f>
        <v>0.82970483015119911</v>
      </c>
      <c r="C17" s="15">
        <f>'Emission Projection'!D46/'Emission Projection'!D$32</f>
        <v>1.1457550826987959</v>
      </c>
      <c r="D17" s="15">
        <f>'Emission Projection'!E46/'Emission Projection'!E$32</f>
        <v>0.74434168222349451</v>
      </c>
      <c r="E17" s="15">
        <f>'Emission Projection'!F46/'Emission Projection'!F$32</f>
        <v>1.2536311846946429</v>
      </c>
      <c r="F17" s="45">
        <f>'Emission Projection'!G46/'Emission Projection'!G$32</f>
        <v>1.5443581007317517</v>
      </c>
      <c r="G17" s="45">
        <f>'Emission Projection'!H46/'Emission Projection'!H$32</f>
        <v>2.4084948835001585</v>
      </c>
      <c r="H17" s="15">
        <f>'Emission Projection'!I46/'Emission Projection'!I$32</f>
        <v>0.82174502363615509</v>
      </c>
      <c r="I17" s="15">
        <f>'Emission Projection'!J46/'Emission Projection'!J$32</f>
        <v>1.0667843198920997</v>
      </c>
      <c r="J17" s="15">
        <f>'Emission Projection'!K46/'Emission Projection'!K$32</f>
        <v>0.78188736555784621</v>
      </c>
      <c r="K17" s="15">
        <f>'Emission Projection'!L46/'Emission Projection'!L$32</f>
        <v>0.776931883942649</v>
      </c>
      <c r="L17" s="15">
        <f>'Emission Projection'!M46/'Emission Projection'!M$32</f>
        <v>1.0816132844976025</v>
      </c>
      <c r="M17" s="15">
        <f>'Emission Projection'!N46/'Emission Projection'!N$32</f>
        <v>1.4036921191328531</v>
      </c>
      <c r="N17" s="15">
        <f>'Emission Projection'!O46/'Emission Projection'!O$32</f>
        <v>1.2523295125578282</v>
      </c>
      <c r="O17" s="45">
        <f>'Emission Projection'!P46/'Emission Projection'!P$32</f>
        <v>2.7318591755136006</v>
      </c>
      <c r="P17" s="15">
        <f>'Emission Projection'!Q46/'Emission Projection'!Q$32</f>
        <v>1.6509402357985765</v>
      </c>
      <c r="Q17" s="15">
        <f>'Emission Projection'!R46/'Emission Projection'!R$32</f>
        <v>1.4571900012196304</v>
      </c>
      <c r="R17" s="38">
        <f>'Emission Projection'!S46/'Emission Projection'!S$32</f>
        <v>0.89149853755328534</v>
      </c>
      <c r="S17" s="37">
        <v>1.6016942001456895</v>
      </c>
      <c r="T17" s="15">
        <v>1.8052768317359333</v>
      </c>
      <c r="U17" s="15">
        <v>1.3204405396487733</v>
      </c>
      <c r="V17" s="15">
        <v>1.3550403953862167</v>
      </c>
      <c r="W17" s="15">
        <v>1.6238852357720577</v>
      </c>
      <c r="X17" s="45">
        <v>1.9377702184638976</v>
      </c>
      <c r="Y17" s="15">
        <v>1.5242789316134133</v>
      </c>
      <c r="Z17" s="15">
        <v>1.5500741085181204</v>
      </c>
      <c r="AA17" s="15">
        <v>1.4426975743107011</v>
      </c>
      <c r="AB17" s="15">
        <v>1.5218024594085886</v>
      </c>
      <c r="AC17" s="15">
        <v>1.4832048043334303</v>
      </c>
      <c r="AD17" s="15">
        <v>1.6980355058790868</v>
      </c>
      <c r="AE17" s="15">
        <v>1.8349098749645543</v>
      </c>
      <c r="AF17" s="45">
        <v>1.8867431401942254</v>
      </c>
      <c r="AG17" s="15">
        <v>2.0912934767141667</v>
      </c>
      <c r="AH17" s="15">
        <v>1.800104788993073</v>
      </c>
      <c r="AI17" s="38">
        <v>1.6825029593484777</v>
      </c>
    </row>
    <row r="18" spans="1:35" x14ac:dyDescent="0.3">
      <c r="A18" s="31">
        <v>2034</v>
      </c>
      <c r="B18" s="37">
        <f>'Emission Projection'!C47/'Emission Projection'!C$32</f>
        <v>0.81650330972435325</v>
      </c>
      <c r="C18" s="15">
        <f>'Emission Projection'!D47/'Emission Projection'!D$32</f>
        <v>1.138180140291728</v>
      </c>
      <c r="D18" s="15">
        <f>'Emission Projection'!E47/'Emission Projection'!E$32</f>
        <v>0.73075873695046945</v>
      </c>
      <c r="E18" s="15">
        <f>'Emission Projection'!F47/'Emission Projection'!F$32</f>
        <v>1.280925743675823</v>
      </c>
      <c r="F18" s="45">
        <f>'Emission Projection'!G47/'Emission Projection'!G$32</f>
        <v>1.5952661508432828</v>
      </c>
      <c r="G18" s="45">
        <f>'Emission Projection'!H47/'Emission Projection'!H$32</f>
        <v>2.6656244779083167</v>
      </c>
      <c r="H18" s="15">
        <f>'Emission Projection'!I47/'Emission Projection'!I$32</f>
        <v>0.80828846324052628</v>
      </c>
      <c r="I18" s="15">
        <f>'Emission Projection'!J47/'Emission Projection'!J$32</f>
        <v>1.0782031219080699</v>
      </c>
      <c r="J18" s="15">
        <f>'Emission Projection'!K47/'Emission Projection'!K$32</f>
        <v>0.77029355384232756</v>
      </c>
      <c r="K18" s="15">
        <f>'Emission Projection'!L47/'Emission Projection'!L$32</f>
        <v>0.76195920495236014</v>
      </c>
      <c r="L18" s="15">
        <f>'Emission Projection'!M47/'Emission Projection'!M$32</f>
        <v>1.0969621180024673</v>
      </c>
      <c r="M18" s="15">
        <f>'Emission Projection'!N47/'Emission Projection'!N$32</f>
        <v>1.4500269999805993</v>
      </c>
      <c r="N18" s="15">
        <f>'Emission Projection'!O47/'Emission Projection'!O$32</f>
        <v>1.2942259162269518</v>
      </c>
      <c r="O18" s="45">
        <f>'Emission Projection'!P47/'Emission Projection'!P$32</f>
        <v>2.9517901801822921</v>
      </c>
      <c r="P18" s="15">
        <f>'Emission Projection'!Q47/'Emission Projection'!Q$32</f>
        <v>1.6908146138917552</v>
      </c>
      <c r="Q18" s="15">
        <f>'Emission Projection'!R47/'Emission Projection'!R$32</f>
        <v>1.4886606148420831</v>
      </c>
      <c r="R18" s="38">
        <f>'Emission Projection'!S47/'Emission Projection'!S$32</f>
        <v>0.88786385124311862</v>
      </c>
      <c r="S18" s="37">
        <v>1.6362653202155377</v>
      </c>
      <c r="T18" s="15">
        <v>1.840718704982055</v>
      </c>
      <c r="U18" s="15">
        <v>1.3399303612892386</v>
      </c>
      <c r="V18" s="15">
        <v>1.3832782218949367</v>
      </c>
      <c r="W18" s="15">
        <v>1.6740092777895621</v>
      </c>
      <c r="X18" s="45">
        <v>2.0651367260813971</v>
      </c>
      <c r="Y18" s="15">
        <v>1.5531469105183109</v>
      </c>
      <c r="Z18" s="15">
        <v>1.6009328954633963</v>
      </c>
      <c r="AA18" s="15">
        <v>1.4677420019873912</v>
      </c>
      <c r="AB18" s="15">
        <v>1.5482168759443153</v>
      </c>
      <c r="AC18" s="15">
        <v>1.5336131656675158</v>
      </c>
      <c r="AD18" s="15">
        <v>1.7721988863924978</v>
      </c>
      <c r="AE18" s="15">
        <v>1.932672398572552</v>
      </c>
      <c r="AF18" s="45">
        <v>1.954001824936453</v>
      </c>
      <c r="AG18" s="15">
        <v>2.1978370906429774</v>
      </c>
      <c r="AH18" s="15">
        <v>1.86206638450756</v>
      </c>
      <c r="AI18" s="38">
        <v>1.7336047192724047</v>
      </c>
    </row>
    <row r="19" spans="1:35" x14ac:dyDescent="0.3">
      <c r="A19" s="31">
        <v>2035</v>
      </c>
      <c r="B19" s="37">
        <f>'Emission Projection'!C48/'Emission Projection'!C$32</f>
        <v>0.80532700403389978</v>
      </c>
      <c r="C19" s="15">
        <f>'Emission Projection'!D48/'Emission Projection'!D$32</f>
        <v>1.1298726553664269</v>
      </c>
      <c r="D19" s="15">
        <f>'Emission Projection'!E48/'Emission Projection'!E$32</f>
        <v>0.71797376136587687</v>
      </c>
      <c r="E19" s="15">
        <f>'Emission Projection'!F48/'Emission Projection'!F$32</f>
        <v>1.3012141304229945</v>
      </c>
      <c r="F19" s="45">
        <f>'Emission Projection'!G48/'Emission Projection'!G$32</f>
        <v>1.6492838657456304</v>
      </c>
      <c r="G19" s="45">
        <f>'Emission Projection'!H48/'Emission Projection'!H$32</f>
        <v>2.9521846411101089</v>
      </c>
      <c r="H19" s="15">
        <f>'Emission Projection'!I48/'Emission Projection'!I$32</f>
        <v>0.79506716512253606</v>
      </c>
      <c r="I19" s="15">
        <f>'Emission Projection'!J48/'Emission Projection'!J$32</f>
        <v>1.0877802385510882</v>
      </c>
      <c r="J19" s="15">
        <f>'Emission Projection'!K48/'Emission Projection'!K$32</f>
        <v>0.75953792347633653</v>
      </c>
      <c r="K19" s="15">
        <f>'Emission Projection'!L48/'Emission Projection'!L$32</f>
        <v>0.74813188519465501</v>
      </c>
      <c r="L19" s="15">
        <f>'Emission Projection'!M48/'Emission Projection'!M$32</f>
        <v>1.1054700658764194</v>
      </c>
      <c r="M19" s="15">
        <f>'Emission Projection'!N48/'Emission Projection'!N$32</f>
        <v>1.4792331010857456</v>
      </c>
      <c r="N19" s="15">
        <f>'Emission Projection'!O48/'Emission Projection'!O$32</f>
        <v>1.329368263282066</v>
      </c>
      <c r="O19" s="45">
        <f>'Emission Projection'!P48/'Emission Projection'!P$32</f>
        <v>3.1780945605024242</v>
      </c>
      <c r="P19" s="15">
        <f>'Emission Projection'!Q48/'Emission Projection'!Q$32</f>
        <v>1.7366208211062228</v>
      </c>
      <c r="Q19" s="15">
        <f>'Emission Projection'!R48/'Emission Projection'!R$32</f>
        <v>1.5216408652265327</v>
      </c>
      <c r="R19" s="38">
        <f>'Emission Projection'!S48/'Emission Projection'!S$32</f>
        <v>0.8843773348676861</v>
      </c>
      <c r="S19" s="37">
        <v>1.677015328395504</v>
      </c>
      <c r="T19" s="15">
        <v>1.8775553538566587</v>
      </c>
      <c r="U19" s="15">
        <v>1.372054751848049</v>
      </c>
      <c r="V19" s="15">
        <v>1.4115302098011031</v>
      </c>
      <c r="W19" s="15">
        <v>1.7290950005072352</v>
      </c>
      <c r="X19" s="45">
        <v>2.1981029786951236</v>
      </c>
      <c r="Y19" s="15">
        <v>1.582902617113791</v>
      </c>
      <c r="Z19" s="15">
        <v>1.6513266877851727</v>
      </c>
      <c r="AA19" s="15">
        <v>1.507827929855811</v>
      </c>
      <c r="AB19" s="15">
        <v>1.5831442815806989</v>
      </c>
      <c r="AC19" s="15">
        <v>1.5858277069048279</v>
      </c>
      <c r="AD19" s="15">
        <v>1.8344447129350192</v>
      </c>
      <c r="AE19" s="15">
        <v>2.0342603540798363</v>
      </c>
      <c r="AF19" s="45">
        <v>2.020455582350257</v>
      </c>
      <c r="AG19" s="15">
        <v>2.2819954058504259</v>
      </c>
      <c r="AH19" s="15">
        <v>1.9286278085491488</v>
      </c>
      <c r="AI19" s="38">
        <v>1.7864588056241102</v>
      </c>
    </row>
    <row r="20" spans="1:35" x14ac:dyDescent="0.3">
      <c r="A20" s="31">
        <v>2036</v>
      </c>
      <c r="B20" s="37">
        <f>'Emission Projection'!C49/'Emission Projection'!C$32</f>
        <v>0.79125692031590666</v>
      </c>
      <c r="C20" s="15">
        <f>'Emission Projection'!D49/'Emission Projection'!D$32</f>
        <v>1.1178609156427211</v>
      </c>
      <c r="D20" s="15">
        <f>'Emission Projection'!E49/'Emission Projection'!E$32</f>
        <v>0.7040995376267436</v>
      </c>
      <c r="E20" s="15">
        <f>'Emission Projection'!F49/'Emission Projection'!F$32</f>
        <v>1.3274108671742237</v>
      </c>
      <c r="F20" s="45">
        <f>'Emission Projection'!G49/'Emission Projection'!G$32</f>
        <v>1.7003784354262388</v>
      </c>
      <c r="G20" s="45">
        <f>'Emission Projection'!H49/'Emission Projection'!H$32</f>
        <v>3.2668962002187025</v>
      </c>
      <c r="H20" s="15">
        <f>'Emission Projection'!I49/'Emission Projection'!I$32</f>
        <v>0.78153441075744823</v>
      </c>
      <c r="I20" s="15">
        <f>'Emission Projection'!J49/'Emission Projection'!J$32</f>
        <v>1.0991808006560126</v>
      </c>
      <c r="J20" s="15">
        <f>'Emission Projection'!K49/'Emission Projection'!K$32</f>
        <v>0.74807386200523829</v>
      </c>
      <c r="K20" s="15">
        <f>'Emission Projection'!L49/'Emission Projection'!L$32</f>
        <v>0.73257750405372279</v>
      </c>
      <c r="L20" s="15">
        <f>'Emission Projection'!M49/'Emission Projection'!M$32</f>
        <v>1.1181059990449798</v>
      </c>
      <c r="M20" s="15">
        <f>'Emission Projection'!N49/'Emission Projection'!N$32</f>
        <v>1.5251690779279832</v>
      </c>
      <c r="N20" s="15">
        <f>'Emission Projection'!O49/'Emission Projection'!O$32</f>
        <v>1.3706501426733009</v>
      </c>
      <c r="O20" s="45">
        <f>'Emission Projection'!P49/'Emission Projection'!P$32</f>
        <v>3.4173044064029692</v>
      </c>
      <c r="P20" s="15">
        <f>'Emission Projection'!Q49/'Emission Projection'!Q$32</f>
        <v>1.7749251925938785</v>
      </c>
      <c r="Q20" s="15">
        <f>'Emission Projection'!R49/'Emission Projection'!R$32</f>
        <v>1.5508169458333534</v>
      </c>
      <c r="R20" s="38">
        <f>'Emission Projection'!S49/'Emission Projection'!S$32</f>
        <v>0.88020407612967044</v>
      </c>
      <c r="S20" s="37">
        <v>1.7132861593250752</v>
      </c>
      <c r="T20" s="15">
        <v>1.9045973470118491</v>
      </c>
      <c r="U20" s="15">
        <v>1.3931636017846201</v>
      </c>
      <c r="V20" s="15">
        <v>1.4387200928987673</v>
      </c>
      <c r="W20" s="15">
        <v>1.7772869382372201</v>
      </c>
      <c r="X20" s="45">
        <v>2.3431548347952158</v>
      </c>
      <c r="Y20" s="15">
        <v>1.6113856335367536</v>
      </c>
      <c r="Z20" s="15">
        <v>1.7038856113226191</v>
      </c>
      <c r="AA20" s="15">
        <v>1.5338907924413163</v>
      </c>
      <c r="AB20" s="15">
        <v>1.6072644173658936</v>
      </c>
      <c r="AC20" s="15">
        <v>1.6355213045138732</v>
      </c>
      <c r="AD20" s="15">
        <v>1.9108754106620465</v>
      </c>
      <c r="AE20" s="15">
        <v>2.1379482844409252</v>
      </c>
      <c r="AF20" s="45">
        <v>2.0801016750309587</v>
      </c>
      <c r="AG20" s="15">
        <v>2.3895757526477346</v>
      </c>
      <c r="AH20" s="15">
        <v>1.9887045630843347</v>
      </c>
      <c r="AI20" s="38">
        <v>1.8375899752223492</v>
      </c>
    </row>
    <row r="21" spans="1:35" x14ac:dyDescent="0.3">
      <c r="A21" s="31">
        <v>2037</v>
      </c>
      <c r="B21" s="37">
        <f>'Emission Projection'!C50/'Emission Projection'!C$32</f>
        <v>0.77897984326955394</v>
      </c>
      <c r="C21" s="15">
        <f>'Emission Projection'!D50/'Emission Projection'!D$32</f>
        <v>1.1054246899532578</v>
      </c>
      <c r="D21" s="15">
        <f>'Emission Projection'!E50/'Emission Projection'!E$32</f>
        <v>0.6909386348168185</v>
      </c>
      <c r="E21" s="15">
        <f>'Emission Projection'!F50/'Emission Projection'!F$32</f>
        <v>1.3481548575072475</v>
      </c>
      <c r="F21" s="45">
        <f>'Emission Projection'!G50/'Emission Projection'!G$32</f>
        <v>1.7547419783359037</v>
      </c>
      <c r="G21" s="45">
        <f>'Emission Projection'!H50/'Emission Projection'!H$32</f>
        <v>3.6195668431661683</v>
      </c>
      <c r="H21" s="15">
        <f>'Emission Projection'!I50/'Emission Projection'!I$32</f>
        <v>0.76816054934734312</v>
      </c>
      <c r="I21" s="15">
        <f>'Emission Projection'!J50/'Emission Projection'!J$32</f>
        <v>1.1094368558092162</v>
      </c>
      <c r="J21" s="15">
        <f>'Emission Projection'!K50/'Emission Projection'!K$32</f>
        <v>0.73730297675033019</v>
      </c>
      <c r="K21" s="15">
        <f>'Emission Projection'!L50/'Emission Projection'!L$32</f>
        <v>0.71810918385783251</v>
      </c>
      <c r="L21" s="15">
        <f>'Emission Projection'!M50/'Emission Projection'!M$32</f>
        <v>1.125351392415584</v>
      </c>
      <c r="M21" s="15">
        <f>'Emission Projection'!N50/'Emission Projection'!N$32</f>
        <v>1.5564249003334871</v>
      </c>
      <c r="N21" s="15">
        <f>'Emission Projection'!O50/'Emission Projection'!O$32</f>
        <v>1.4070270588069431</v>
      </c>
      <c r="O21" s="45">
        <f>'Emission Projection'!P50/'Emission Projection'!P$32</f>
        <v>3.6649364545405185</v>
      </c>
      <c r="P21" s="15">
        <f>'Emission Projection'!Q50/'Emission Projection'!Q$32</f>
        <v>1.8183642648550278</v>
      </c>
      <c r="Q21" s="15">
        <f>'Emission Projection'!R50/'Emission Projection'!R$32</f>
        <v>1.5812697175384058</v>
      </c>
      <c r="R21" s="38">
        <f>'Emission Projection'!S50/'Emission Projection'!S$32</f>
        <v>0.87609582353526849</v>
      </c>
      <c r="S21" s="37">
        <v>1.7517526653773892</v>
      </c>
      <c r="T21" s="15">
        <v>1.9332735175824998</v>
      </c>
      <c r="U21" s="15">
        <v>1.4253904624887539</v>
      </c>
      <c r="V21" s="15">
        <v>1.4666251265674899</v>
      </c>
      <c r="W21" s="15">
        <v>1.8309477916831902</v>
      </c>
      <c r="X21" s="45">
        <v>2.496649383351158</v>
      </c>
      <c r="Y21" s="15">
        <v>1.6404113839506407</v>
      </c>
      <c r="Z21" s="15">
        <v>1.7569240605655498</v>
      </c>
      <c r="AA21" s="15">
        <v>1.5735190430835075</v>
      </c>
      <c r="AB21" s="15">
        <v>1.6393843478733372</v>
      </c>
      <c r="AC21" s="15">
        <v>1.6876132147199283</v>
      </c>
      <c r="AD21" s="15">
        <v>1.9772291429952238</v>
      </c>
      <c r="AE21" s="15">
        <v>2.2472807331988638</v>
      </c>
      <c r="AF21" s="45">
        <v>2.140751482760868</v>
      </c>
      <c r="AG21" s="15">
        <v>2.4765556075051327</v>
      </c>
      <c r="AH21" s="15">
        <v>2.0535920850287832</v>
      </c>
      <c r="AI21" s="38">
        <v>1.891235671974296</v>
      </c>
    </row>
    <row r="22" spans="1:35" x14ac:dyDescent="0.3">
      <c r="A22" s="31">
        <v>2038</v>
      </c>
      <c r="B22" s="37">
        <f>'Emission Projection'!C51/'Emission Projection'!C$32</f>
        <v>0.76452148769616601</v>
      </c>
      <c r="C22" s="15">
        <f>'Emission Projection'!D51/'Emission Projection'!D$32</f>
        <v>1.0907532078544793</v>
      </c>
      <c r="D22" s="15">
        <f>'Emission Projection'!E51/'Emission Projection'!E$32</f>
        <v>0.67718955782032797</v>
      </c>
      <c r="E22" s="15">
        <f>'Emission Projection'!F51/'Emission Projection'!F$32</f>
        <v>1.3743657559514153</v>
      </c>
      <c r="F22" s="45">
        <f>'Emission Projection'!G51/'Emission Projection'!G$32</f>
        <v>1.8076792381726594</v>
      </c>
      <c r="G22" s="45">
        <f>'Emission Projection'!H51/'Emission Projection'!H$32</f>
        <v>4.0067466770582856</v>
      </c>
      <c r="H22" s="15">
        <f>'Emission Projection'!I51/'Emission Projection'!I$32</f>
        <v>0.7545736148828458</v>
      </c>
      <c r="I22" s="15">
        <f>'Emission Projection'!J51/'Emission Projection'!J$32</f>
        <v>1.1213076338721468</v>
      </c>
      <c r="J22" s="15">
        <f>'Emission Projection'!K51/'Emission Projection'!K$32</f>
        <v>0.72596637752909032</v>
      </c>
      <c r="K22" s="15">
        <f>'Emission Projection'!L51/'Emission Projection'!L$32</f>
        <v>0.70226704540186558</v>
      </c>
      <c r="L22" s="15">
        <f>'Emission Projection'!M51/'Emission Projection'!M$32</f>
        <v>1.1361444341199518</v>
      </c>
      <c r="M22" s="15">
        <f>'Emission Projection'!N51/'Emission Projection'!N$32</f>
        <v>1.6023928893282986</v>
      </c>
      <c r="N22" s="15">
        <f>'Emission Projection'!O51/'Emission Projection'!O$32</f>
        <v>1.4496457476471591</v>
      </c>
      <c r="O22" s="45">
        <f>'Emission Projection'!P51/'Emission Projection'!P$32</f>
        <v>3.9274700578320116</v>
      </c>
      <c r="P22" s="15">
        <f>'Emission Projection'!Q51/'Emission Projection'!Q$32</f>
        <v>1.8551226861529486</v>
      </c>
      <c r="Q22" s="15">
        <f>'Emission Projection'!R51/'Emission Projection'!R$32</f>
        <v>1.6086226509558299</v>
      </c>
      <c r="R22" s="38">
        <f>'Emission Projection'!S51/'Emission Projection'!S$32</f>
        <v>0.87151430020496834</v>
      </c>
      <c r="S22" s="37">
        <v>1.7883300297750768</v>
      </c>
      <c r="T22" s="15">
        <v>1.9541951520097258</v>
      </c>
      <c r="U22" s="15">
        <v>1.4479851295325106</v>
      </c>
      <c r="V22" s="15">
        <v>1.4941902866974914</v>
      </c>
      <c r="W22" s="15">
        <v>1.879019837500346</v>
      </c>
      <c r="X22" s="45">
        <v>2.6625864422174006</v>
      </c>
      <c r="Y22" s="15">
        <v>1.667981429241582</v>
      </c>
      <c r="Z22" s="15">
        <v>1.8119677991223229</v>
      </c>
      <c r="AA22" s="15">
        <v>1.6007240371254572</v>
      </c>
      <c r="AB22" s="15">
        <v>1.6616479275248783</v>
      </c>
      <c r="AC22" s="15">
        <v>1.737651931088368</v>
      </c>
      <c r="AD22" s="15">
        <v>2.0562459190860811</v>
      </c>
      <c r="AE22" s="15">
        <v>2.360064096047767</v>
      </c>
      <c r="AF22" s="45">
        <v>2.1964348562862543</v>
      </c>
      <c r="AG22" s="15">
        <v>2.5865509320431768</v>
      </c>
      <c r="AH22" s="15">
        <v>2.1122671166696154</v>
      </c>
      <c r="AI22" s="38">
        <v>1.943648613211316</v>
      </c>
    </row>
    <row r="23" spans="1:35" x14ac:dyDescent="0.3">
      <c r="A23" s="31">
        <v>2039</v>
      </c>
      <c r="B23" s="37">
        <f>'Emission Projection'!C52/'Emission Projection'!C$32</f>
        <v>0.75148614989680518</v>
      </c>
      <c r="C23" s="15">
        <f>'Emission Projection'!D52/'Emission Projection'!D$32</f>
        <v>1.0765067244029032</v>
      </c>
      <c r="D23" s="15">
        <f>'Emission Projection'!E52/'Emission Projection'!E$32</f>
        <v>0.66425799047509637</v>
      </c>
      <c r="E23" s="15">
        <f>'Emission Projection'!F52/'Emission Projection'!F$32</f>
        <v>1.3959329389443182</v>
      </c>
      <c r="F23" s="45">
        <f>'Emission Projection'!G52/'Emission Projection'!G$32</f>
        <v>1.8640372134103549</v>
      </c>
      <c r="G23" s="45">
        <f>'Emission Projection'!H52/'Emission Projection'!H$32</f>
        <v>4.4369233324756152</v>
      </c>
      <c r="H23" s="15">
        <f>'Emission Projection'!I52/'Emission Projection'!I$32</f>
        <v>0.74120242188780361</v>
      </c>
      <c r="I23" s="15">
        <f>'Emission Projection'!J52/'Emission Projection'!J$32</f>
        <v>1.1319951704229139</v>
      </c>
      <c r="J23" s="15">
        <f>'Emission Projection'!K52/'Emission Projection'!K$32</f>
        <v>0.71517124845889501</v>
      </c>
      <c r="K23" s="15">
        <f>'Emission Projection'!L52/'Emission Projection'!L$32</f>
        <v>0.6871781961126453</v>
      </c>
      <c r="L23" s="15">
        <f>'Emission Projection'!M52/'Emission Projection'!M$32</f>
        <v>1.1423562849945956</v>
      </c>
      <c r="M23" s="15">
        <f>'Emission Projection'!N52/'Emission Projection'!N$32</f>
        <v>1.635445201589927</v>
      </c>
      <c r="N23" s="15">
        <f>'Emission Projection'!O52/'Emission Projection'!O$32</f>
        <v>1.4880836633024115</v>
      </c>
      <c r="O23" s="45">
        <f>'Emission Projection'!P52/'Emission Projection'!P$32</f>
        <v>4.200284696043588</v>
      </c>
      <c r="P23" s="15">
        <f>'Emission Projection'!Q52/'Emission Projection'!Q$32</f>
        <v>1.8962278495249831</v>
      </c>
      <c r="Q23" s="15">
        <f>'Emission Projection'!R52/'Emission Projection'!R$32</f>
        <v>1.6370125208401043</v>
      </c>
      <c r="R23" s="38">
        <f>'Emission Projection'!S52/'Emission Projection'!S$32</f>
        <v>0.86703340361907433</v>
      </c>
      <c r="S23" s="37">
        <v>1.8243563227694095</v>
      </c>
      <c r="T23" s="15">
        <v>1.9782186008943217</v>
      </c>
      <c r="U23" s="15">
        <v>1.4793819820595269</v>
      </c>
      <c r="V23" s="15">
        <v>1.5223077413279142</v>
      </c>
      <c r="W23" s="15">
        <v>1.9324639632577401</v>
      </c>
      <c r="X23" s="45">
        <v>2.835895473067688</v>
      </c>
      <c r="Y23" s="15">
        <v>1.6958333596285848</v>
      </c>
      <c r="Z23" s="15">
        <v>1.867621843122439</v>
      </c>
      <c r="AA23" s="15">
        <v>1.6398492551406225</v>
      </c>
      <c r="AB23" s="15">
        <v>1.6905226582865043</v>
      </c>
      <c r="AC23" s="15">
        <v>1.7898699760694303</v>
      </c>
      <c r="AD23" s="15">
        <v>2.1262859698822125</v>
      </c>
      <c r="AE23" s="15">
        <v>2.4790938809140375</v>
      </c>
      <c r="AF23" s="45">
        <v>2.2542983771100826</v>
      </c>
      <c r="AG23" s="15">
        <v>2.6774093875144835</v>
      </c>
      <c r="AH23" s="15">
        <v>2.1759502456417308</v>
      </c>
      <c r="AI23" s="38">
        <v>1.9980908219758891</v>
      </c>
    </row>
    <row r="24" spans="1:35" x14ac:dyDescent="0.3">
      <c r="A24" s="31">
        <v>2040</v>
      </c>
      <c r="B24" s="37">
        <f>'Emission Projection'!C53/'Emission Projection'!C$32</f>
        <v>0.73678330486463084</v>
      </c>
      <c r="C24" s="15">
        <f>'Emission Projection'!D53/'Emission Projection'!D$32</f>
        <v>1.061249944654447</v>
      </c>
      <c r="D24" s="15">
        <f>'Emission Projection'!E53/'Emission Projection'!E$32</f>
        <v>0.65111782586160938</v>
      </c>
      <c r="E24" s="15">
        <f>'Emission Projection'!F53/'Emission Projection'!F$32</f>
        <v>1.4220160233987718</v>
      </c>
      <c r="F24" s="45">
        <f>'Emission Projection'!G53/'Emission Projection'!G$32</f>
        <v>1.9197970436898861</v>
      </c>
      <c r="G24" s="45">
        <f>'Emission Projection'!H53/'Emission Projection'!H$32</f>
        <v>4.9066303689996369</v>
      </c>
      <c r="H24" s="15">
        <f>'Emission Projection'!I53/'Emission Projection'!I$32</f>
        <v>0.72775710652666037</v>
      </c>
      <c r="I24" s="15">
        <f>'Emission Projection'!J53/'Emission Projection'!J$32</f>
        <v>1.1437764753770616</v>
      </c>
      <c r="J24" s="15">
        <f>'Emission Projection'!K53/'Emission Projection'!K$32</f>
        <v>0.70392838946033331</v>
      </c>
      <c r="K24" s="15">
        <f>'Emission Projection'!L53/'Emission Projection'!L$32</f>
        <v>0.67091569992946554</v>
      </c>
      <c r="L24" s="15">
        <f>'Emission Projection'!M53/'Emission Projection'!M$32</f>
        <v>1.1512489539951944</v>
      </c>
      <c r="M24" s="15">
        <f>'Emission Projection'!N53/'Emission Projection'!N$32</f>
        <v>1.6809405375198976</v>
      </c>
      <c r="N24" s="15">
        <f>'Emission Projection'!O53/'Emission Projection'!O$32</f>
        <v>1.5319810588496414</v>
      </c>
      <c r="O24" s="45">
        <f>'Emission Projection'!P53/'Emission Projection'!P$32</f>
        <v>4.4892041333338684</v>
      </c>
      <c r="P24" s="15">
        <f>'Emission Projection'!Q53/'Emission Projection'!Q$32</f>
        <v>1.9314534306303093</v>
      </c>
      <c r="Q24" s="15">
        <f>'Emission Projection'!R53/'Emission Projection'!R$32</f>
        <v>1.6628154903763588</v>
      </c>
      <c r="R24" s="38">
        <f>'Emission Projection'!S53/'Emission Projection'!S$32</f>
        <v>0.86224888552510914</v>
      </c>
      <c r="S24" s="37">
        <v>1.8599520912298708</v>
      </c>
      <c r="T24" s="15">
        <v>1.9966837648116844</v>
      </c>
      <c r="U24" s="15">
        <v>1.5011978759988278</v>
      </c>
      <c r="V24" s="15">
        <v>1.5499366277464262</v>
      </c>
      <c r="W24" s="15">
        <v>1.9809510195423818</v>
      </c>
      <c r="X24" s="45">
        <v>3.0203793796467111</v>
      </c>
      <c r="Y24" s="15">
        <v>1.7226376871958955</v>
      </c>
      <c r="Z24" s="15">
        <v>1.9245909500421401</v>
      </c>
      <c r="AA24" s="15">
        <v>1.6678541535239086</v>
      </c>
      <c r="AB24" s="15">
        <v>1.7101598902367787</v>
      </c>
      <c r="AC24" s="15">
        <v>1.8399209555409957</v>
      </c>
      <c r="AD24" s="15">
        <v>2.2070610736081191</v>
      </c>
      <c r="AE24" s="15">
        <v>2.6016548336873417</v>
      </c>
      <c r="AF24" s="45">
        <v>2.3081340024766992</v>
      </c>
      <c r="AG24" s="15">
        <v>2.7896611306486694</v>
      </c>
      <c r="AH24" s="15">
        <v>2.2336726500728084</v>
      </c>
      <c r="AI24" s="38">
        <v>2.0513149800626915</v>
      </c>
    </row>
    <row r="25" spans="1:35" x14ac:dyDescent="0.3">
      <c r="A25" s="31">
        <v>2041</v>
      </c>
      <c r="B25" s="37">
        <f>'Emission Projection'!C54/'Emission Projection'!C$32</f>
        <v>0.72323845217561744</v>
      </c>
      <c r="C25" s="15">
        <f>'Emission Projection'!D54/'Emission Projection'!D$32</f>
        <v>1.0467149860165605</v>
      </c>
      <c r="D25" s="15">
        <f>'Emission Projection'!E54/'Emission Projection'!E$32</f>
        <v>0.63870318289473293</v>
      </c>
      <c r="E25" s="15">
        <f>'Emission Projection'!F54/'Emission Projection'!F$32</f>
        <v>1.4443242635536968</v>
      </c>
      <c r="F25" s="45">
        <f>'Emission Projection'!G54/'Emission Projection'!G$32</f>
        <v>1.9786193392142513</v>
      </c>
      <c r="G25" s="45">
        <f>'Emission Projection'!H54/'Emission Projection'!H$32</f>
        <v>5.4272421108407105</v>
      </c>
      <c r="H25" s="15">
        <f>'Emission Projection'!I54/'Emission Projection'!I$32</f>
        <v>0.71452956295786441</v>
      </c>
      <c r="I25" s="15">
        <f>'Emission Projection'!J54/'Emission Projection'!J$32</f>
        <v>1.1546077581881713</v>
      </c>
      <c r="J25" s="15">
        <f>'Emission Projection'!K54/'Emission Projection'!K$32</f>
        <v>0.69314171300588001</v>
      </c>
      <c r="K25" s="15">
        <f>'Emission Projection'!L54/'Emission Projection'!L$32</f>
        <v>0.65520461487566628</v>
      </c>
      <c r="L25" s="15">
        <f>'Emission Projection'!M54/'Emission Projection'!M$32</f>
        <v>1.1563160329208204</v>
      </c>
      <c r="M25" s="15">
        <f>'Emission Projection'!N54/'Emission Projection'!N$32</f>
        <v>1.7156418472316475</v>
      </c>
      <c r="N25" s="15">
        <f>'Emission Projection'!O54/'Emission Projection'!O$32</f>
        <v>1.5727552391698125</v>
      </c>
      <c r="O25" s="45">
        <f>'Emission Projection'!P54/'Emission Projection'!P$32</f>
        <v>4.7906396723775444</v>
      </c>
      <c r="P25" s="15">
        <f>'Emission Projection'!Q54/'Emission Projection'!Q$32</f>
        <v>1.970195413613693</v>
      </c>
      <c r="Q25" s="15">
        <f>'Emission Projection'!R54/'Emission Projection'!R$32</f>
        <v>1.6893899610020591</v>
      </c>
      <c r="R25" s="38">
        <f>'Emission Projection'!S54/'Emission Projection'!S$32</f>
        <v>0.85760374797595296</v>
      </c>
      <c r="S25" s="37">
        <v>1.8941185182378804</v>
      </c>
      <c r="T25" s="15">
        <v>2.0184797362000482</v>
      </c>
      <c r="U25" s="15">
        <v>1.5307297718809625</v>
      </c>
      <c r="V25" s="15">
        <v>1.5779903560883388</v>
      </c>
      <c r="W25" s="15">
        <v>2.0345519270319374</v>
      </c>
      <c r="X25" s="45">
        <v>3.2129244575939313</v>
      </c>
      <c r="Y25" s="15">
        <v>1.7496292369538737</v>
      </c>
      <c r="Z25" s="15">
        <v>1.9824755151268565</v>
      </c>
      <c r="AA25" s="15">
        <v>1.7060722635231251</v>
      </c>
      <c r="AB25" s="15">
        <v>1.7350649115418924</v>
      </c>
      <c r="AC25" s="15">
        <v>1.8915836571376516</v>
      </c>
      <c r="AD25" s="15">
        <v>2.2803298663773828</v>
      </c>
      <c r="AE25" s="15">
        <v>2.7311978684586453</v>
      </c>
      <c r="AF25" s="45">
        <v>2.3641888809228964</v>
      </c>
      <c r="AG25" s="15">
        <v>2.8848494704531134</v>
      </c>
      <c r="AH25" s="15">
        <v>2.2961241681523115</v>
      </c>
      <c r="AI25" s="38">
        <v>2.1067154540486093</v>
      </c>
    </row>
    <row r="26" spans="1:35" x14ac:dyDescent="0.3">
      <c r="A26" s="31">
        <v>2042</v>
      </c>
      <c r="B26" s="37">
        <f>'Emission Projection'!C55/'Emission Projection'!C$32</f>
        <v>0.70857627026402348</v>
      </c>
      <c r="C26" s="15">
        <f>'Emission Projection'!D55/'Emission Projection'!D$32</f>
        <v>1.0313127226740473</v>
      </c>
      <c r="D26" s="15">
        <f>'Emission Projection'!E55/'Emission Projection'!E$32</f>
        <v>0.62612433337785867</v>
      </c>
      <c r="E26" s="15">
        <f>'Emission Projection'!F55/'Emission Projection'!F$32</f>
        <v>1.4702913928145722</v>
      </c>
      <c r="F26" s="45">
        <f>'Emission Projection'!G55/'Emission Projection'!G$32</f>
        <v>2.036856024846923</v>
      </c>
      <c r="G26" s="45">
        <f>'Emission Projection'!H55/'Emission Projection'!H$32</f>
        <v>5.9987919657531918</v>
      </c>
      <c r="H26" s="15">
        <f>'Emission Projection'!I55/'Emission Projection'!I$32</f>
        <v>0.70126199718750681</v>
      </c>
      <c r="I26" s="15">
        <f>'Emission Projection'!J55/'Emission Projection'!J$32</f>
        <v>1.1665177887625429</v>
      </c>
      <c r="J26" s="15">
        <f>'Emission Projection'!K55/'Emission Projection'!K$32</f>
        <v>0.68207675436023874</v>
      </c>
      <c r="K26" s="15">
        <f>'Emission Projection'!L55/'Emission Projection'!L$32</f>
        <v>0.63877187778710975</v>
      </c>
      <c r="L26" s="15">
        <f>'Emission Projection'!M55/'Emission Projection'!M$32</f>
        <v>1.1632955307446158</v>
      </c>
      <c r="M26" s="15">
        <f>'Emission Projection'!N55/'Emission Projection'!N$32</f>
        <v>1.7606352662965918</v>
      </c>
      <c r="N26" s="15">
        <f>'Emission Projection'!O55/'Emission Projection'!O$32</f>
        <v>1.6185699860193177</v>
      </c>
      <c r="O26" s="45">
        <f>'Emission Projection'!P55/'Emission Projection'!P$32</f>
        <v>5.1086965659628589</v>
      </c>
      <c r="P26" s="15">
        <f>'Emission Projection'!Q55/'Emission Projection'!Q$32</f>
        <v>2.0041040435353872</v>
      </c>
      <c r="Q26" s="15">
        <f>'Emission Projection'!R55/'Emission Projection'!R$32</f>
        <v>1.71373664749171</v>
      </c>
      <c r="R26" s="38">
        <f>'Emission Projection'!S55/'Emission Projection'!S$32</f>
        <v>0.85274602694488677</v>
      </c>
      <c r="S26" s="37">
        <v>1.9285260389848573</v>
      </c>
      <c r="T26" s="15">
        <v>2.0352899051552571</v>
      </c>
      <c r="U26" s="15">
        <v>1.5524841837330694</v>
      </c>
      <c r="V26" s="15">
        <v>1.6057042108915307</v>
      </c>
      <c r="W26" s="15">
        <v>2.0836015530613938</v>
      </c>
      <c r="X26" s="45">
        <v>3.4196104300481083</v>
      </c>
      <c r="Y26" s="15">
        <v>1.7757898567645061</v>
      </c>
      <c r="Z26" s="15">
        <v>2.0418277194919936</v>
      </c>
      <c r="AA26" s="15">
        <v>1.7351162129064976</v>
      </c>
      <c r="AB26" s="15">
        <v>1.7524078627416351</v>
      </c>
      <c r="AC26" s="15">
        <v>1.9413893745467032</v>
      </c>
      <c r="AD26" s="15">
        <v>2.362709058472106</v>
      </c>
      <c r="AE26" s="15">
        <v>2.8653554976539128</v>
      </c>
      <c r="AF26" s="45">
        <v>2.41682200351952</v>
      </c>
      <c r="AG26" s="15">
        <v>2.999113695037912</v>
      </c>
      <c r="AH26" s="15">
        <v>2.3530368394550973</v>
      </c>
      <c r="AI26" s="38">
        <v>2.1612851047352026</v>
      </c>
    </row>
    <row r="27" spans="1:35" x14ac:dyDescent="0.3">
      <c r="A27" s="31">
        <v>2043</v>
      </c>
      <c r="B27" s="37">
        <f>'Emission Projection'!C56/'Emission Projection'!C$32</f>
        <v>0.69477747901523268</v>
      </c>
      <c r="C27" s="15">
        <f>'Emission Projection'!D56/'Emission Projection'!D$32</f>
        <v>1.0162019474256951</v>
      </c>
      <c r="D27" s="15">
        <f>'Emission Projection'!E56/'Emission Projection'!E$32</f>
        <v>0.61409148858003959</v>
      </c>
      <c r="E27" s="15">
        <f>'Emission Projection'!F56/'Emission Projection'!F$32</f>
        <v>1.4933710399588451</v>
      </c>
      <c r="F27" s="45">
        <f>'Emission Projection'!G56/'Emission Projection'!G$32</f>
        <v>2.0977716993796425</v>
      </c>
      <c r="G27" s="45">
        <f>'Emission Projection'!H56/'Emission Projection'!H$32</f>
        <v>6.6308156216783978</v>
      </c>
      <c r="H27" s="15">
        <f>'Emission Projection'!I56/'Emission Projection'!I$32</f>
        <v>0.68818842135611791</v>
      </c>
      <c r="I27" s="15">
        <f>'Emission Projection'!J56/'Emission Projection'!J$32</f>
        <v>1.1776624197546599</v>
      </c>
      <c r="J27" s="15">
        <f>'Emission Projection'!K56/'Emission Projection'!K$32</f>
        <v>0.67134680330871366</v>
      </c>
      <c r="K27" s="15">
        <f>'Emission Projection'!L56/'Emission Projection'!L$32</f>
        <v>0.62291810277428827</v>
      </c>
      <c r="L27" s="15">
        <f>'Emission Projection'!M56/'Emission Projection'!M$32</f>
        <v>1.1673813495946221</v>
      </c>
      <c r="M27" s="15">
        <f>'Emission Projection'!N56/'Emission Projection'!N$32</f>
        <v>1.7971492520524788</v>
      </c>
      <c r="N27" s="15">
        <f>'Emission Projection'!O56/'Emission Projection'!O$32</f>
        <v>1.6620787174733562</v>
      </c>
      <c r="O27" s="45">
        <f>'Emission Projection'!P56/'Emission Projection'!P$32</f>
        <v>5.4410225576259768</v>
      </c>
      <c r="P27" s="15">
        <f>'Emission Projection'!Q56/'Emission Projection'!Q$32</f>
        <v>2.0406010251637814</v>
      </c>
      <c r="Q27" s="15">
        <f>'Emission Projection'!R56/'Emission Projection'!R$32</f>
        <v>1.7385044226911639</v>
      </c>
      <c r="R27" s="38">
        <f>'Emission Projection'!S56/'Emission Projection'!S$32</f>
        <v>0.8478785451157832</v>
      </c>
      <c r="S27" s="37">
        <v>1.9615903231861569</v>
      </c>
      <c r="T27" s="15">
        <v>2.0540777410463731</v>
      </c>
      <c r="U27" s="15">
        <v>1.5807044617550676</v>
      </c>
      <c r="V27" s="15">
        <v>1.6338641497142936</v>
      </c>
      <c r="W27" s="15">
        <v>2.1374699117411073</v>
      </c>
      <c r="X27" s="45">
        <v>3.6349483161997544</v>
      </c>
      <c r="Y27" s="15">
        <v>1.8020030670781348</v>
      </c>
      <c r="Z27" s="15">
        <v>2.1024223313667938</v>
      </c>
      <c r="AA27" s="15">
        <v>1.772550911437395</v>
      </c>
      <c r="AB27" s="15">
        <v>1.7742035298716863</v>
      </c>
      <c r="AC27" s="15">
        <v>1.9928068140808455</v>
      </c>
      <c r="AD27" s="15">
        <v>2.4395253543647142</v>
      </c>
      <c r="AE27" s="15">
        <v>3.0070034830156169</v>
      </c>
      <c r="AF27" s="45">
        <v>2.4716548263051554</v>
      </c>
      <c r="AG27" s="15">
        <v>3.0992864838493279</v>
      </c>
      <c r="AH27" s="15">
        <v>2.414283964562268</v>
      </c>
      <c r="AI27" s="38">
        <v>2.2179158834298542</v>
      </c>
    </row>
    <row r="28" spans="1:35" x14ac:dyDescent="0.3">
      <c r="A28" s="31">
        <v>2044</v>
      </c>
      <c r="B28" s="37">
        <f>'Emission Projection'!C57/'Emission Projection'!C$32</f>
        <v>0.68018511726084052</v>
      </c>
      <c r="C28" s="15">
        <f>'Emission Projection'!D57/'Emission Projection'!D$32</f>
        <v>1.0003052547518299</v>
      </c>
      <c r="D28" s="15">
        <f>'Emission Projection'!E57/'Emission Projection'!E$32</f>
        <v>0.60201881444357874</v>
      </c>
      <c r="E28" s="15">
        <f>'Emission Projection'!F57/'Emission Projection'!F$32</f>
        <v>1.5191748203939786</v>
      </c>
      <c r="F28" s="45">
        <f>'Emission Projection'!G57/'Emission Projection'!G$32</f>
        <v>2.1588237872205194</v>
      </c>
      <c r="G28" s="45">
        <f>'Emission Projection'!H57/'Emission Projection'!H$32</f>
        <v>7.3216397827828015</v>
      </c>
      <c r="H28" s="15">
        <f>'Emission Projection'!I57/'Emission Projection'!I$32</f>
        <v>0.67514159748920077</v>
      </c>
      <c r="I28" s="15">
        <f>'Emission Projection'!J57/'Emission Projection'!J$32</f>
        <v>1.1893512501422672</v>
      </c>
      <c r="J28" s="15">
        <f>'Emission Projection'!K57/'Emission Projection'!K$32</f>
        <v>0.66038621057325542</v>
      </c>
      <c r="K28" s="15">
        <f>'Emission Projection'!L57/'Emission Projection'!L$32</f>
        <v>0.60671542534751033</v>
      </c>
      <c r="L28" s="15">
        <f>'Emission Projection'!M57/'Emission Projection'!M$32</f>
        <v>1.1728749548238984</v>
      </c>
      <c r="M28" s="15">
        <f>'Emission Projection'!N57/'Emission Projection'!N$32</f>
        <v>1.8415668501609788</v>
      </c>
      <c r="N28" s="15">
        <f>'Emission Projection'!O57/'Emission Projection'!O$32</f>
        <v>1.7093980333370602</v>
      </c>
      <c r="O28" s="45">
        <f>'Emission Projection'!P57/'Emission Projection'!P$32</f>
        <v>5.7910981905197021</v>
      </c>
      <c r="P28" s="15">
        <f>'Emission Projection'!Q57/'Emission Projection'!Q$32</f>
        <v>2.0731109867446684</v>
      </c>
      <c r="Q28" s="15">
        <f>'Emission Projection'!R57/'Emission Projection'!R$32</f>
        <v>1.7614874212738083</v>
      </c>
      <c r="R28" s="38">
        <f>'Emission Projection'!S57/'Emission Projection'!S$32</f>
        <v>0.84269140107378804</v>
      </c>
      <c r="S28" s="37">
        <v>1.9944651765925534</v>
      </c>
      <c r="T28" s="15">
        <v>2.0681816289313932</v>
      </c>
      <c r="U28" s="15">
        <v>1.6028277661303381</v>
      </c>
      <c r="V28" s="15">
        <v>1.6617196184919527</v>
      </c>
      <c r="W28" s="15">
        <v>2.1875478414844465</v>
      </c>
      <c r="X28" s="45">
        <v>3.8620887418049885</v>
      </c>
      <c r="Y28" s="15">
        <v>1.8277050977026363</v>
      </c>
      <c r="Z28" s="15">
        <v>2.1640849777674447</v>
      </c>
      <c r="AA28" s="15">
        <v>1.8026957600946694</v>
      </c>
      <c r="AB28" s="15">
        <v>1.7902333072207957</v>
      </c>
      <c r="AC28" s="15">
        <v>2.0430504994586718</v>
      </c>
      <c r="AD28" s="15">
        <v>2.523714287183231</v>
      </c>
      <c r="AE28" s="15">
        <v>3.1531858089852167</v>
      </c>
      <c r="AF28" s="45">
        <v>2.5236752916639507</v>
      </c>
      <c r="AG28" s="15">
        <v>3.2152176122619074</v>
      </c>
      <c r="AH28" s="15">
        <v>2.4708836297818486</v>
      </c>
      <c r="AI28" s="38">
        <v>2.2736472162517862</v>
      </c>
    </row>
    <row r="29" spans="1:35" x14ac:dyDescent="0.3">
      <c r="A29" s="31">
        <v>2045</v>
      </c>
      <c r="B29" s="37">
        <f>'Emission Projection'!C58/'Emission Projection'!C$32</f>
        <v>0.6661644719834775</v>
      </c>
      <c r="C29" s="15">
        <f>'Emission Projection'!D58/'Emission Projection'!D$32</f>
        <v>0.98449725064947291</v>
      </c>
      <c r="D29" s="15">
        <f>'Emission Projection'!E58/'Emission Projection'!E$32</f>
        <v>0.59040251004306654</v>
      </c>
      <c r="E29" s="15">
        <f>'Emission Projection'!F58/'Emission Projection'!F$32</f>
        <v>1.5428487513691329</v>
      </c>
      <c r="F29" s="45">
        <f>'Emission Projection'!G58/'Emission Projection'!G$32</f>
        <v>2.2225221981758176</v>
      </c>
      <c r="G29" s="45">
        <f>'Emission Projection'!H58/'Emission Projection'!H$32</f>
        <v>8.0808337376671364</v>
      </c>
      <c r="H29" s="15">
        <f>'Emission Projection'!I58/'Emission Projection'!I$32</f>
        <v>0.66228964096992815</v>
      </c>
      <c r="I29" s="15">
        <f>'Emission Projection'!J58/'Emission Projection'!J$32</f>
        <v>1.200212260488404</v>
      </c>
      <c r="J29" s="15">
        <f>'Emission Projection'!K58/'Emission Projection'!K$32</f>
        <v>0.64961831751981625</v>
      </c>
      <c r="K29" s="15">
        <f>'Emission Projection'!L58/'Emission Projection'!L$32</f>
        <v>0.59106894991477288</v>
      </c>
      <c r="L29" s="15">
        <f>'Emission Projection'!M58/'Emission Projection'!M$32</f>
        <v>1.176364011999669</v>
      </c>
      <c r="M29" s="15">
        <f>'Emission Projection'!N58/'Emission Projection'!N$32</f>
        <v>1.8796192207944813</v>
      </c>
      <c r="N29" s="15">
        <f>'Emission Projection'!O58/'Emission Projection'!O$32</f>
        <v>1.7549003844795519</v>
      </c>
      <c r="O29" s="45">
        <f>'Emission Projection'!P58/'Emission Projection'!P$32</f>
        <v>6.157579238998566</v>
      </c>
      <c r="P29" s="15">
        <f>'Emission Projection'!Q58/'Emission Projection'!Q$32</f>
        <v>2.1073002491705322</v>
      </c>
      <c r="Q29" s="15">
        <f>'Emission Projection'!R58/'Emission Projection'!R$32</f>
        <v>1.7846390965834229</v>
      </c>
      <c r="R29" s="38">
        <f>'Emission Projection'!S58/'Emission Projection'!S$32</f>
        <v>0.83732957999493163</v>
      </c>
      <c r="S29" s="37">
        <v>1.9670838162383522</v>
      </c>
      <c r="T29" s="15">
        <v>2.0315843818437682</v>
      </c>
      <c r="U29" s="15">
        <v>1.5860636503554688</v>
      </c>
      <c r="V29" s="15">
        <v>1.6899291222057793</v>
      </c>
      <c r="W29" s="15">
        <v>2.2424629487877081</v>
      </c>
      <c r="X29" s="45">
        <v>4.096834974899604</v>
      </c>
      <c r="Y29" s="15">
        <v>1.8178117722789149</v>
      </c>
      <c r="Z29" s="15">
        <v>2.22679386207097</v>
      </c>
      <c r="AA29" s="15">
        <v>1.814912855782195</v>
      </c>
      <c r="AB29" s="15">
        <v>1.8097950694095395</v>
      </c>
      <c r="AC29" s="15">
        <v>2.0949935005553431</v>
      </c>
      <c r="AD29" s="15">
        <v>2.6040472383459381</v>
      </c>
      <c r="AE29" s="15">
        <v>3.3066444809450686</v>
      </c>
      <c r="AF29" s="45">
        <v>2.5776901518607835</v>
      </c>
      <c r="AG29" s="15">
        <v>3.3202244221738866</v>
      </c>
      <c r="AH29" s="15">
        <v>2.5311168873586372</v>
      </c>
      <c r="AI29" s="38">
        <v>2.2718605785373098</v>
      </c>
    </row>
    <row r="30" spans="1:35" x14ac:dyDescent="0.3">
      <c r="A30" s="31">
        <v>2046</v>
      </c>
      <c r="B30" s="37">
        <f>'Emission Projection'!C59/'Emission Projection'!C$32</f>
        <v>0.65168432927586628</v>
      </c>
      <c r="C30" s="15">
        <f>'Emission Projection'!D59/'Emission Projection'!D$32</f>
        <v>0.96811768126924203</v>
      </c>
      <c r="D30" s="15">
        <f>'Emission Projection'!E59/'Emission Projection'!E$32</f>
        <v>0.57884273780181539</v>
      </c>
      <c r="E30" s="15">
        <f>'Emission Projection'!F59/'Emission Projection'!F$32</f>
        <v>1.5684891254056361</v>
      </c>
      <c r="F30" s="45">
        <f>'Emission Projection'!G59/'Emission Projection'!G$32</f>
        <v>2.2869637865135433</v>
      </c>
      <c r="G30" s="45">
        <f>'Emission Projection'!H59/'Emission Projection'!H$32</f>
        <v>8.9106424124926136</v>
      </c>
      <c r="H30" s="15">
        <f>'Emission Projection'!I59/'Emission Projection'!I$32</f>
        <v>0.64951389613520283</v>
      </c>
      <c r="I30" s="15">
        <f>'Emission Projection'!J59/'Emission Projection'!J$32</f>
        <v>1.2113269529956969</v>
      </c>
      <c r="J30" s="15">
        <f>'Emission Projection'!K59/'Emission Projection'!K$32</f>
        <v>0.63869135294640889</v>
      </c>
      <c r="K30" s="15">
        <f>'Emission Projection'!L59/'Emission Projection'!L$32</f>
        <v>0.57533490957353151</v>
      </c>
      <c r="L30" s="15">
        <f>'Emission Projection'!M59/'Emission Projection'!M$32</f>
        <v>1.1807897837056625</v>
      </c>
      <c r="M30" s="15">
        <f>'Emission Projection'!N59/'Emission Projection'!N$32</f>
        <v>1.9235210162304208</v>
      </c>
      <c r="N30" s="15">
        <f>'Emission Projection'!O59/'Emission Projection'!O$32</f>
        <v>1.8036536754162684</v>
      </c>
      <c r="O30" s="45">
        <f>'Emission Projection'!P59/'Emission Projection'!P$32</f>
        <v>6.5429982477986348</v>
      </c>
      <c r="P30" s="15">
        <f>'Emission Projection'!Q59/'Emission Projection'!Q$32</f>
        <v>2.1383809316176885</v>
      </c>
      <c r="Q30" s="15">
        <f>'Emission Projection'!R59/'Emission Projection'!R$32</f>
        <v>1.8063721216386681</v>
      </c>
      <c r="R30" s="38">
        <f>'Emission Projection'!S59/'Emission Projection'!S$32</f>
        <v>0.83164673947815126</v>
      </c>
      <c r="S30" s="37">
        <v>1.9404257371010543</v>
      </c>
      <c r="T30" s="15">
        <v>1.9941856592084335</v>
      </c>
      <c r="U30" s="15">
        <v>1.5656925854652248</v>
      </c>
      <c r="V30" s="15">
        <v>1.7179049628617351</v>
      </c>
      <c r="W30" s="15">
        <v>2.2942378102203245</v>
      </c>
      <c r="X30" s="45">
        <v>4.3431991404699115</v>
      </c>
      <c r="Y30" s="15">
        <v>1.8085831908130701</v>
      </c>
      <c r="Z30" s="15">
        <v>2.2904109389985177</v>
      </c>
      <c r="AA30" s="15">
        <v>1.8224418523145685</v>
      </c>
      <c r="AB30" s="15">
        <v>1.8251456189048734</v>
      </c>
      <c r="AC30" s="15">
        <v>2.146358383933233</v>
      </c>
      <c r="AD30" s="15">
        <v>2.6901487380657367</v>
      </c>
      <c r="AE30" s="15">
        <v>3.4656540418496897</v>
      </c>
      <c r="AF30" s="45">
        <v>2.6296161115818286</v>
      </c>
      <c r="AG30" s="15">
        <v>3.4376923546032971</v>
      </c>
      <c r="AH30" s="15">
        <v>2.5875600495366151</v>
      </c>
      <c r="AI30" s="38">
        <v>2.2694685916932373</v>
      </c>
    </row>
    <row r="31" spans="1:35" x14ac:dyDescent="0.3">
      <c r="A31" s="31">
        <v>2047</v>
      </c>
      <c r="B31" s="37">
        <f>'Emission Projection'!C60/'Emission Projection'!C$32</f>
        <v>0.63769473937478449</v>
      </c>
      <c r="C31" s="15">
        <f>'Emission Projection'!D60/'Emission Projection'!D$32</f>
        <v>0.95181810349159079</v>
      </c>
      <c r="D31" s="15">
        <f>'Emission Projection'!E60/'Emission Projection'!E$32</f>
        <v>0.56764550835621097</v>
      </c>
      <c r="E31" s="15">
        <f>'Emission Projection'!F60/'Emission Projection'!F$32</f>
        <v>1.5927163810374099</v>
      </c>
      <c r="F31" s="45">
        <f>'Emission Projection'!G60/'Emission Projection'!G$32</f>
        <v>2.3538474767428594</v>
      </c>
      <c r="G31" s="45">
        <f>'Emission Projection'!H60/'Emission Projection'!H$32</f>
        <v>9.8238432509888849</v>
      </c>
      <c r="H31" s="15">
        <f>'Emission Projection'!I60/'Emission Projection'!I$32</f>
        <v>0.63691303209834216</v>
      </c>
      <c r="I31" s="15">
        <f>'Emission Projection'!J60/'Emission Projection'!J$32</f>
        <v>1.2219212355589626</v>
      </c>
      <c r="J31" s="15">
        <f>'Emission Projection'!K60/'Emission Projection'!K$32</f>
        <v>0.6279358773672481</v>
      </c>
      <c r="K31" s="15">
        <f>'Emission Projection'!L60/'Emission Projection'!L$32</f>
        <v>0.56005125720282334</v>
      </c>
      <c r="L31" s="15">
        <f>'Emission Projection'!M60/'Emission Projection'!M$32</f>
        <v>1.1837268836335804</v>
      </c>
      <c r="M31" s="15">
        <f>'Emission Projection'!N60/'Emission Projection'!N$32</f>
        <v>1.9630950905491724</v>
      </c>
      <c r="N31" s="15">
        <f>'Emission Projection'!O60/'Emission Projection'!O$32</f>
        <v>1.851970285942407</v>
      </c>
      <c r="O31" s="45">
        <f>'Emission Projection'!P60/'Emission Projection'!P$32</f>
        <v>6.9470711952886797</v>
      </c>
      <c r="P31" s="15">
        <f>'Emission Projection'!Q60/'Emission Projection'!Q$32</f>
        <v>2.1704487502380165</v>
      </c>
      <c r="Q31" s="15">
        <f>'Emission Projection'!R60/'Emission Projection'!R$32</f>
        <v>1.8280217984695044</v>
      </c>
      <c r="R31" s="38">
        <f>'Emission Projection'!S60/'Emission Projection'!S$32</f>
        <v>0.82584183585792459</v>
      </c>
      <c r="S31" s="37">
        <v>1.9141465195535632</v>
      </c>
      <c r="T31" s="15">
        <v>1.960440416017853</v>
      </c>
      <c r="U31" s="15">
        <v>1.5496867487657471</v>
      </c>
      <c r="V31" s="15">
        <v>1.7461994349602419</v>
      </c>
      <c r="W31" s="15">
        <v>2.3503610591067128</v>
      </c>
      <c r="X31" s="45">
        <v>4.5990274904404354</v>
      </c>
      <c r="Y31" s="15">
        <v>1.8002044718756507</v>
      </c>
      <c r="Z31" s="15">
        <v>2.3552849545177135</v>
      </c>
      <c r="AA31" s="15">
        <v>1.835392880851362</v>
      </c>
      <c r="AB31" s="15">
        <v>1.8428508249599633</v>
      </c>
      <c r="AC31" s="15">
        <v>2.1989320589049401</v>
      </c>
      <c r="AD31" s="15">
        <v>2.7739932031896681</v>
      </c>
      <c r="AE31" s="15">
        <v>3.6333042636177351</v>
      </c>
      <c r="AF31" s="45">
        <v>2.6830704555823499</v>
      </c>
      <c r="AG31" s="15">
        <v>3.5478259101904741</v>
      </c>
      <c r="AH31" s="15">
        <v>2.6466229365414193</v>
      </c>
      <c r="AI31" s="38">
        <v>2.268745603866392</v>
      </c>
    </row>
    <row r="32" spans="1:35" x14ac:dyDescent="0.3">
      <c r="A32" s="31">
        <v>2048</v>
      </c>
      <c r="B32" s="37">
        <f>'Emission Projection'!C61/'Emission Projection'!C$32</f>
        <v>0.62349148212216987</v>
      </c>
      <c r="C32" s="15">
        <f>'Emission Projection'!D61/'Emission Projection'!D$32</f>
        <v>0.93517030345244845</v>
      </c>
      <c r="D32" s="15">
        <f>'Emission Projection'!E61/'Emission Projection'!E$32</f>
        <v>0.55655581697458489</v>
      </c>
      <c r="E32" s="15">
        <f>'Emission Projection'!F61/'Emission Projection'!F$32</f>
        <v>1.6183237945739786</v>
      </c>
      <c r="F32" s="45">
        <f>'Emission Projection'!G61/'Emission Projection'!G$32</f>
        <v>2.4216962149111398</v>
      </c>
      <c r="G32" s="45">
        <f>'Emission Projection'!H61/'Emission Projection'!H$32</f>
        <v>10.822269414720843</v>
      </c>
      <c r="H32" s="15">
        <f>'Emission Projection'!I61/'Emission Projection'!I$32</f>
        <v>0.62441335372348905</v>
      </c>
      <c r="I32" s="15">
        <f>'Emission Projection'!J61/'Emission Projection'!J$32</f>
        <v>1.2327109447031408</v>
      </c>
      <c r="J32" s="15">
        <f>'Emission Projection'!K61/'Emission Projection'!K$32</f>
        <v>0.61712135238184718</v>
      </c>
      <c r="K32" s="15">
        <f>'Emission Projection'!L61/'Emission Projection'!L$32</f>
        <v>0.54479345978242444</v>
      </c>
      <c r="L32" s="15">
        <f>'Emission Projection'!M61/'Emission Projection'!M$32</f>
        <v>1.1871047005111062</v>
      </c>
      <c r="M32" s="15">
        <f>'Emission Projection'!N61/'Emission Projection'!N$32</f>
        <v>2.0067311040352287</v>
      </c>
      <c r="N32" s="15">
        <f>'Emission Projection'!O61/'Emission Projection'!O$32</f>
        <v>1.9027888844698633</v>
      </c>
      <c r="O32" s="45">
        <f>'Emission Projection'!P61/'Emission Projection'!P$32</f>
        <v>7.3715214172486805</v>
      </c>
      <c r="P32" s="15">
        <f>'Emission Projection'!Q61/'Emission Projection'!Q$32</f>
        <v>2.2001558350241011</v>
      </c>
      <c r="Q32" s="15">
        <f>'Emission Projection'!R61/'Emission Projection'!R$32</f>
        <v>1.8485070109174027</v>
      </c>
      <c r="R32" s="38">
        <f>'Emission Projection'!S61/'Emission Projection'!S$32</f>
        <v>0.81981316678042548</v>
      </c>
      <c r="S32" s="37">
        <v>1.8885733622416208</v>
      </c>
      <c r="T32" s="15">
        <v>1.9268304868807817</v>
      </c>
      <c r="U32" s="15">
        <v>1.5316417561743387</v>
      </c>
      <c r="V32" s="15">
        <v>1.7743806158791751</v>
      </c>
      <c r="W32" s="15">
        <v>2.4036622368141951</v>
      </c>
      <c r="X32" s="45">
        <v>4.8662522445131735</v>
      </c>
      <c r="Y32" s="15">
        <v>1.7925935742819816</v>
      </c>
      <c r="Z32" s="15">
        <v>2.4212342701037519</v>
      </c>
      <c r="AA32" s="15">
        <v>1.8454081779910856</v>
      </c>
      <c r="AB32" s="15">
        <v>1.8573863010307659</v>
      </c>
      <c r="AC32" s="15">
        <v>2.2511378407828766</v>
      </c>
      <c r="AD32" s="15">
        <v>2.8621409438414833</v>
      </c>
      <c r="AE32" s="15">
        <v>3.8070805266790435</v>
      </c>
      <c r="AF32" s="45">
        <v>2.7350192270090594</v>
      </c>
      <c r="AG32" s="15">
        <v>3.6670949118777063</v>
      </c>
      <c r="AH32" s="15">
        <v>2.702753092636192</v>
      </c>
      <c r="AI32" s="38">
        <v>2.2679417394351873</v>
      </c>
    </row>
    <row r="33" spans="1:36" x14ac:dyDescent="0.3">
      <c r="A33" s="31">
        <v>2049</v>
      </c>
      <c r="B33" s="37">
        <f>'Emission Projection'!C62/'Emission Projection'!C$32</f>
        <v>0.60959405326399119</v>
      </c>
      <c r="C33" s="15">
        <f>'Emission Projection'!D62/'Emission Projection'!D$32</f>
        <v>0.91855788112276349</v>
      </c>
      <c r="D33" s="15">
        <f>'Emission Projection'!E62/'Emission Projection'!E$32</f>
        <v>0.54576034361443815</v>
      </c>
      <c r="E33" s="15">
        <f>'Emission Projection'!F62/'Emission Projection'!F$32</f>
        <v>1.6430989849163105</v>
      </c>
      <c r="F33" s="45">
        <f>'Emission Projection'!G62/'Emission Projection'!G$32</f>
        <v>2.4916800196488524</v>
      </c>
      <c r="G33" s="45">
        <f>'Emission Projection'!H62/'Emission Projection'!H$32</f>
        <v>11.916060050114448</v>
      </c>
      <c r="H33" s="15">
        <f>'Emission Projection'!I62/'Emission Projection'!I$32</f>
        <v>0.61208054048121352</v>
      </c>
      <c r="I33" s="15">
        <f>'Emission Projection'!J62/'Emission Projection'!J$32</f>
        <v>1.2430785977372292</v>
      </c>
      <c r="J33" s="15">
        <f>'Emission Projection'!K62/'Emission Projection'!K$32</f>
        <v>0.60643780229878452</v>
      </c>
      <c r="K33" s="15">
        <f>'Emission Projection'!L62/'Emission Projection'!L$32</f>
        <v>0.5298910801839215</v>
      </c>
      <c r="L33" s="15">
        <f>'Emission Projection'!M62/'Emission Projection'!M$32</f>
        <v>1.1894560020348119</v>
      </c>
      <c r="M33" s="15">
        <f>'Emission Projection'!N62/'Emission Projection'!N$32</f>
        <v>2.0476284125385606</v>
      </c>
      <c r="N33" s="15">
        <f>'Emission Projection'!O62/'Emission Projection'!O$32</f>
        <v>1.9531704666649827</v>
      </c>
      <c r="O33" s="45">
        <f>'Emission Projection'!P62/'Emission Projection'!P$32</f>
        <v>7.8164765175756896</v>
      </c>
      <c r="P33" s="15">
        <f>'Emission Projection'!Q62/'Emission Projection'!Q$32</f>
        <v>2.2300791458119331</v>
      </c>
      <c r="Q33" s="15">
        <f>'Emission Projection'!R62/'Emission Projection'!R$32</f>
        <v>1.8686988564126037</v>
      </c>
      <c r="R33" s="38">
        <f>'Emission Projection'!S62/'Emission Projection'!S$32</f>
        <v>0.81365675495721135</v>
      </c>
      <c r="S33" s="37">
        <v>1.8634651714262587</v>
      </c>
      <c r="T33" s="15">
        <v>1.8963327809744275</v>
      </c>
      <c r="U33" s="15">
        <v>1.5167425970443511</v>
      </c>
      <c r="V33" s="15">
        <v>1.8028167019521486</v>
      </c>
      <c r="W33" s="15">
        <v>2.460763065912885</v>
      </c>
      <c r="X33" s="45">
        <v>5.1417966197231637</v>
      </c>
      <c r="Y33" s="15">
        <v>1.7857547052723028</v>
      </c>
      <c r="Z33" s="15">
        <v>2.4883751344125087</v>
      </c>
      <c r="AA33" s="15">
        <v>1.8592333287977933</v>
      </c>
      <c r="AB33" s="15">
        <v>1.8731594811906711</v>
      </c>
      <c r="AC33" s="15">
        <v>2.3042545960358645</v>
      </c>
      <c r="AD33" s="15">
        <v>2.9492141509385461</v>
      </c>
      <c r="AE33" s="15">
        <v>3.9884541509948797</v>
      </c>
      <c r="AF33" s="45">
        <v>2.7879880075604508</v>
      </c>
      <c r="AG33" s="15">
        <v>3.7819527168499585</v>
      </c>
      <c r="AH33" s="15">
        <v>2.7605163239476873</v>
      </c>
      <c r="AI33" s="38">
        <v>2.2686010063010227</v>
      </c>
    </row>
    <row r="34" spans="1:36" ht="15" thickBot="1" x14ac:dyDescent="0.35">
      <c r="A34" s="31">
        <v>2050</v>
      </c>
      <c r="B34" s="39">
        <f>'Emission Projection'!C63/'Emission Projection'!C$32</f>
        <v>0.59559829994530211</v>
      </c>
      <c r="C34" s="40">
        <f>'Emission Projection'!D63/'Emission Projection'!D$32</f>
        <v>0.90175864595394861</v>
      </c>
      <c r="D34" s="40">
        <f>'Emission Projection'!E63/'Emission Projection'!E$32</f>
        <v>0.53510995309213627</v>
      </c>
      <c r="E34" s="40">
        <f>'Emission Projection'!F63/'Emission Projection'!F$32</f>
        <v>1.6687981335733351</v>
      </c>
      <c r="F34" s="46">
        <f>'Emission Projection'!G63/'Emission Projection'!G$32</f>
        <v>2.5627430786667151</v>
      </c>
      <c r="G34" s="46">
        <f>'Emission Projection'!H63/'Emission Projection'!H$32</f>
        <v>13.108777472007715</v>
      </c>
      <c r="H34" s="40">
        <f>'Emission Projection'!I63/'Emission Projection'!I$32</f>
        <v>0.59987061246567797</v>
      </c>
      <c r="I34" s="40">
        <f>'Emission Projection'!J63/'Emission Projection'!J$32</f>
        <v>1.2534512004997571</v>
      </c>
      <c r="J34" s="40">
        <f>'Emission Projection'!K63/'Emission Projection'!K$32</f>
        <v>0.59575483436473953</v>
      </c>
      <c r="K34" s="40">
        <f>'Emission Projection'!L63/'Emission Projection'!L$32</f>
        <v>0.51510047532737002</v>
      </c>
      <c r="L34" s="40">
        <f>'Emission Projection'!M63/'Emission Projection'!M$32</f>
        <v>1.1919125120517151</v>
      </c>
      <c r="M34" s="40">
        <f>'Emission Projection'!N63/'Emission Projection'!N$32</f>
        <v>2.0910886368531365</v>
      </c>
      <c r="N34" s="40">
        <f>'Emission Projection'!O63/'Emission Projection'!O$32</f>
        <v>2.0048993053865414</v>
      </c>
      <c r="O34" s="46">
        <f>'Emission Projection'!P63/'Emission Projection'!P$32</f>
        <v>8.2833469608670409</v>
      </c>
      <c r="P34" s="40">
        <f>'Emission Projection'!Q63/'Emission Projection'!Q$32</f>
        <v>2.2580898576006856</v>
      </c>
      <c r="Q34" s="40">
        <f>'Emission Projection'!R63/'Emission Projection'!R$32</f>
        <v>1.887946658701668</v>
      </c>
      <c r="R34" s="41">
        <f>'Emission Projection'!S63/'Emission Projection'!S$32</f>
        <v>0.80731531738578233</v>
      </c>
      <c r="S34" s="39">
        <v>1.8388908310328971</v>
      </c>
      <c r="T34" s="40">
        <v>1.8666157330690889</v>
      </c>
      <c r="U34" s="40">
        <v>1.5009929357081813</v>
      </c>
      <c r="V34" s="40">
        <v>1.831210303832782</v>
      </c>
      <c r="W34" s="40">
        <v>2.5152262729293282</v>
      </c>
      <c r="X34" s="46">
        <v>5.4268421007289511</v>
      </c>
      <c r="Y34" s="40">
        <v>1.7797278336288918</v>
      </c>
      <c r="Z34" s="40">
        <v>2.5565695021651313</v>
      </c>
      <c r="AA34" s="40">
        <v>1.8714916566678623</v>
      </c>
      <c r="AB34" s="40">
        <v>1.8866836624569632</v>
      </c>
      <c r="AC34" s="40">
        <v>2.3572837576950971</v>
      </c>
      <c r="AD34" s="40">
        <v>3.0393104476537638</v>
      </c>
      <c r="AE34" s="40">
        <v>4.175405415527508</v>
      </c>
      <c r="AF34" s="46">
        <v>2.8399335201720652</v>
      </c>
      <c r="AG34" s="40">
        <v>3.9028113756022194</v>
      </c>
      <c r="AH34" s="40">
        <v>2.816115730597025</v>
      </c>
      <c r="AI34" s="41">
        <v>2.2694759441118153</v>
      </c>
    </row>
    <row r="35" spans="1:36" x14ac:dyDescent="0.3">
      <c r="B35" t="b">
        <f>B34&lt;S34</f>
        <v>1</v>
      </c>
      <c r="C35" t="b">
        <f t="shared" ref="C35:R35" si="0">C34&lt;T34</f>
        <v>1</v>
      </c>
      <c r="D35" t="b">
        <f t="shared" si="0"/>
        <v>1</v>
      </c>
      <c r="E35" t="b">
        <f t="shared" si="0"/>
        <v>1</v>
      </c>
      <c r="F35" t="b">
        <f t="shared" si="0"/>
        <v>0</v>
      </c>
      <c r="G35" t="b">
        <f t="shared" si="0"/>
        <v>0</v>
      </c>
      <c r="H35" t="b">
        <f t="shared" si="0"/>
        <v>1</v>
      </c>
      <c r="I35" t="b">
        <f t="shared" si="0"/>
        <v>1</v>
      </c>
      <c r="J35" t="b">
        <f t="shared" si="0"/>
        <v>1</v>
      </c>
      <c r="K35" t="b">
        <f t="shared" si="0"/>
        <v>1</v>
      </c>
      <c r="L35" t="b">
        <f t="shared" si="0"/>
        <v>1</v>
      </c>
      <c r="M35" t="b">
        <f t="shared" si="0"/>
        <v>1</v>
      </c>
      <c r="N35" t="b">
        <f t="shared" si="0"/>
        <v>1</v>
      </c>
      <c r="O35" t="b">
        <f t="shared" si="0"/>
        <v>0</v>
      </c>
      <c r="P35" t="b">
        <f t="shared" si="0"/>
        <v>1</v>
      </c>
      <c r="Q35" t="b">
        <f t="shared" si="0"/>
        <v>1</v>
      </c>
      <c r="R35" t="b">
        <f t="shared" si="0"/>
        <v>1</v>
      </c>
    </row>
    <row r="36" spans="1:36" x14ac:dyDescent="0.3">
      <c r="B36" s="29" t="s">
        <v>30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36" x14ac:dyDescent="0.3">
      <c r="B37" s="3" t="s">
        <v>0</v>
      </c>
      <c r="C37" s="3" t="s">
        <v>1</v>
      </c>
      <c r="D37" s="3" t="s">
        <v>2</v>
      </c>
      <c r="E37" s="3" t="s">
        <v>3</v>
      </c>
      <c r="F37" s="3" t="s">
        <v>4</v>
      </c>
      <c r="G37" s="3" t="s">
        <v>5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14</v>
      </c>
      <c r="M37" s="3" t="s">
        <v>10</v>
      </c>
      <c r="N37" s="3" t="s">
        <v>11</v>
      </c>
      <c r="O37" s="3" t="s">
        <v>15</v>
      </c>
      <c r="P37" s="3" t="s">
        <v>12</v>
      </c>
      <c r="Q37" s="3" t="s">
        <v>16</v>
      </c>
      <c r="R37" s="3" t="s">
        <v>17</v>
      </c>
    </row>
    <row r="38" spans="1:36" x14ac:dyDescent="0.3">
      <c r="A38" s="3">
        <v>2019</v>
      </c>
      <c r="B38" s="15">
        <f>B3</f>
        <v>1</v>
      </c>
      <c r="C38" s="15">
        <f t="shared" ref="C38:R53" si="1">C3</f>
        <v>1</v>
      </c>
      <c r="D38" s="15">
        <f t="shared" si="1"/>
        <v>1</v>
      </c>
      <c r="E38" s="15">
        <f t="shared" si="1"/>
        <v>1</v>
      </c>
      <c r="F38" s="15">
        <f>AC3</f>
        <v>1</v>
      </c>
      <c r="G38" s="15">
        <f>AE3</f>
        <v>1</v>
      </c>
      <c r="H38" s="15">
        <f t="shared" si="1"/>
        <v>1</v>
      </c>
      <c r="I38" s="15">
        <f t="shared" si="1"/>
        <v>1</v>
      </c>
      <c r="J38" s="15">
        <f t="shared" si="1"/>
        <v>1</v>
      </c>
      <c r="K38" s="15">
        <f t="shared" si="1"/>
        <v>1</v>
      </c>
      <c r="L38" s="15">
        <f t="shared" si="1"/>
        <v>1</v>
      </c>
      <c r="M38" s="15">
        <f t="shared" si="1"/>
        <v>1</v>
      </c>
      <c r="N38" s="15">
        <f t="shared" si="1"/>
        <v>1</v>
      </c>
      <c r="O38" s="15">
        <f>P3</f>
        <v>1</v>
      </c>
      <c r="P38" s="15">
        <f t="shared" si="1"/>
        <v>1</v>
      </c>
      <c r="Q38" s="15">
        <f t="shared" si="1"/>
        <v>1</v>
      </c>
      <c r="R38" s="15">
        <f t="shared" si="1"/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</row>
    <row r="39" spans="1:36" x14ac:dyDescent="0.3">
      <c r="A39" s="3">
        <v>2020</v>
      </c>
      <c r="B39" s="15">
        <f t="shared" ref="B39:Q69" si="2">B4</f>
        <v>0.94251924782273366</v>
      </c>
      <c r="C39" s="15">
        <f t="shared" si="2"/>
        <v>1.0119447746412702</v>
      </c>
      <c r="D39" s="15">
        <f t="shared" si="2"/>
        <v>0.9434193727675263</v>
      </c>
      <c r="E39" s="15">
        <f t="shared" si="2"/>
        <v>0.96027836298580249</v>
      </c>
      <c r="F39" s="15">
        <f t="shared" ref="F39:F69" si="3">AC4</f>
        <v>0.99882274209993371</v>
      </c>
      <c r="G39" s="15">
        <f t="shared" ref="G39:G69" si="4">AE4</f>
        <v>0.98721824222741783</v>
      </c>
      <c r="H39" s="15">
        <f t="shared" si="2"/>
        <v>0.89948768195627249</v>
      </c>
      <c r="I39" s="15">
        <f t="shared" si="2"/>
        <v>0.89463084441381047</v>
      </c>
      <c r="J39" s="15">
        <f t="shared" si="2"/>
        <v>0.91532647547855694</v>
      </c>
      <c r="K39" s="15">
        <f t="shared" si="2"/>
        <v>0.94137663946629979</v>
      </c>
      <c r="L39" s="15">
        <f t="shared" si="2"/>
        <v>1.0061627050091004</v>
      </c>
      <c r="M39" s="15">
        <f t="shared" si="2"/>
        <v>0.98747163682176686</v>
      </c>
      <c r="N39" s="15">
        <f t="shared" si="2"/>
        <v>0.95129195550940304</v>
      </c>
      <c r="O39" s="15">
        <f t="shared" ref="O39:O69" si="5">P4</f>
        <v>0.93991722537416511</v>
      </c>
      <c r="P39" s="15">
        <f t="shared" si="2"/>
        <v>0.93991722537416511</v>
      </c>
      <c r="Q39" s="15">
        <f t="shared" si="2"/>
        <v>0.96165043943632655</v>
      </c>
      <c r="R39" s="15">
        <f t="shared" si="1"/>
        <v>0.95970339158835039</v>
      </c>
      <c r="T39">
        <v>0.94251924782273366</v>
      </c>
      <c r="U39">
        <v>1.0119447746412702</v>
      </c>
      <c r="V39">
        <v>0.9434193727675263</v>
      </c>
      <c r="W39">
        <v>0.96027836298580249</v>
      </c>
      <c r="X39">
        <v>0.99882274209993371</v>
      </c>
      <c r="Y39">
        <v>0.98721824222741783</v>
      </c>
      <c r="Z39">
        <v>0.89948768195627249</v>
      </c>
      <c r="AA39">
        <v>0.89463084441381047</v>
      </c>
      <c r="AB39">
        <v>0.91532647547855694</v>
      </c>
      <c r="AC39">
        <v>0.94137663946629979</v>
      </c>
      <c r="AD39">
        <v>1.0061627050091004</v>
      </c>
      <c r="AE39">
        <v>0.98747163682176686</v>
      </c>
      <c r="AF39">
        <v>0.95129195550940304</v>
      </c>
      <c r="AG39">
        <v>0.93991722537416511</v>
      </c>
      <c r="AH39">
        <v>0.93991722537416511</v>
      </c>
      <c r="AI39">
        <v>0.96165043943632655</v>
      </c>
      <c r="AJ39">
        <v>0.95970339158835039</v>
      </c>
    </row>
    <row r="40" spans="1:36" x14ac:dyDescent="0.3">
      <c r="A40" s="3">
        <v>2021</v>
      </c>
      <c r="B40" s="15">
        <f t="shared" si="2"/>
        <v>0.9752364363845748</v>
      </c>
      <c r="C40" s="15">
        <f t="shared" si="1"/>
        <v>1.0615553805128677</v>
      </c>
      <c r="D40" s="15">
        <f t="shared" si="1"/>
        <v>0.96119729955694599</v>
      </c>
      <c r="E40" s="15">
        <f t="shared" si="1"/>
        <v>1.0433032475996895</v>
      </c>
      <c r="F40" s="15">
        <f t="shared" si="3"/>
        <v>1.043271235314934</v>
      </c>
      <c r="G40" s="15">
        <f t="shared" si="4"/>
        <v>1.0321296152632058</v>
      </c>
      <c r="H40" s="15">
        <f t="shared" si="1"/>
        <v>0.95333514963449284</v>
      </c>
      <c r="I40" s="15">
        <f t="shared" si="1"/>
        <v>0.97008318325700238</v>
      </c>
      <c r="J40" s="15">
        <f t="shared" si="1"/>
        <v>0.9764903900333326</v>
      </c>
      <c r="K40" s="15">
        <f t="shared" si="1"/>
        <v>1.0049395504642962</v>
      </c>
      <c r="L40" s="15">
        <f t="shared" si="1"/>
        <v>1.0674409502203015</v>
      </c>
      <c r="M40" s="15">
        <f t="shared" si="1"/>
        <v>1.0377899791944925</v>
      </c>
      <c r="N40" s="15">
        <f t="shared" si="1"/>
        <v>0.99145784079740329</v>
      </c>
      <c r="O40" s="15">
        <f t="shared" si="5"/>
        <v>1.0302986086379287</v>
      </c>
      <c r="P40" s="15">
        <f t="shared" si="1"/>
        <v>1.0302986086379287</v>
      </c>
      <c r="Q40" s="15">
        <f t="shared" si="1"/>
        <v>0.9857398180141892</v>
      </c>
      <c r="R40" s="15">
        <f t="shared" si="1"/>
        <v>0.94224503790748493</v>
      </c>
      <c r="T40">
        <v>0.9752364363845748</v>
      </c>
      <c r="U40">
        <v>1.0615553805128677</v>
      </c>
      <c r="V40">
        <v>0.96119729955694599</v>
      </c>
      <c r="W40">
        <v>1.0433032475996895</v>
      </c>
      <c r="X40">
        <v>1.043271235314934</v>
      </c>
      <c r="Y40">
        <v>1.0321296152632058</v>
      </c>
      <c r="Z40">
        <v>0.95333514963449284</v>
      </c>
      <c r="AA40">
        <v>0.97008318325700238</v>
      </c>
      <c r="AB40">
        <v>0.9764903900333326</v>
      </c>
      <c r="AC40">
        <v>1.0049395504642962</v>
      </c>
      <c r="AD40">
        <v>1.0674409502203015</v>
      </c>
      <c r="AE40">
        <v>1.0377899791944925</v>
      </c>
      <c r="AF40">
        <v>0.99145784079740329</v>
      </c>
      <c r="AG40">
        <v>1.0302986086379287</v>
      </c>
      <c r="AH40">
        <v>1.0302986086379287</v>
      </c>
      <c r="AI40">
        <v>0.9857398180141892</v>
      </c>
      <c r="AJ40">
        <v>0.94224503790748493</v>
      </c>
    </row>
    <row r="41" spans="1:36" x14ac:dyDescent="0.3">
      <c r="A41" s="3">
        <v>2022</v>
      </c>
      <c r="B41" s="15">
        <f t="shared" si="2"/>
        <v>0.93672671071143887</v>
      </c>
      <c r="C41" s="15">
        <f t="shared" si="1"/>
        <v>1.0585540678933563</v>
      </c>
      <c r="D41" s="15">
        <f t="shared" si="1"/>
        <v>0.93476696647101332</v>
      </c>
      <c r="E41" s="15">
        <f t="shared" si="1"/>
        <v>1.0201672811707099</v>
      </c>
      <c r="F41" s="15">
        <f t="shared" si="3"/>
        <v>1.0010055744563067</v>
      </c>
      <c r="G41" s="15">
        <f t="shared" si="4"/>
        <v>1.087908692558331</v>
      </c>
      <c r="H41" s="15">
        <f t="shared" si="1"/>
        <v>0.96706401645485218</v>
      </c>
      <c r="I41" s="15">
        <f t="shared" si="1"/>
        <v>0.97421020518521739</v>
      </c>
      <c r="J41" s="15">
        <f t="shared" si="1"/>
        <v>0.95157910523472122</v>
      </c>
      <c r="K41" s="15">
        <f t="shared" si="1"/>
        <v>0.97171720596973832</v>
      </c>
      <c r="L41" s="15">
        <f t="shared" si="1"/>
        <v>0.97521314780214075</v>
      </c>
      <c r="M41" s="15">
        <f t="shared" si="1"/>
        <v>1.0614188336266337</v>
      </c>
      <c r="N41" s="15">
        <f t="shared" si="1"/>
        <v>0.98343030433826972</v>
      </c>
      <c r="O41" s="15">
        <f t="shared" si="5"/>
        <v>1.1034356869128841</v>
      </c>
      <c r="P41" s="15">
        <f t="shared" si="1"/>
        <v>1.1034356869128841</v>
      </c>
      <c r="Q41" s="15">
        <f t="shared" si="1"/>
        <v>1.0609878520679459</v>
      </c>
      <c r="R41" s="15">
        <f t="shared" si="1"/>
        <v>0.92145585042399492</v>
      </c>
      <c r="T41">
        <v>0.93672671071143887</v>
      </c>
      <c r="U41">
        <v>1.0585540678933563</v>
      </c>
      <c r="V41">
        <v>0.93476696647101332</v>
      </c>
      <c r="W41">
        <v>1.0201672811707099</v>
      </c>
      <c r="X41">
        <v>1.0010055744563067</v>
      </c>
      <c r="Y41">
        <v>1.087908692558331</v>
      </c>
      <c r="Z41">
        <v>0.96706401645485218</v>
      </c>
      <c r="AA41">
        <v>0.97421020518521739</v>
      </c>
      <c r="AB41">
        <v>0.95157910523472122</v>
      </c>
      <c r="AC41">
        <v>0.97171720596973832</v>
      </c>
      <c r="AD41">
        <v>0.97521314780214075</v>
      </c>
      <c r="AE41">
        <v>1.0614188336266337</v>
      </c>
      <c r="AF41">
        <v>0.98343030433826972</v>
      </c>
      <c r="AG41">
        <v>1.1034356869128841</v>
      </c>
      <c r="AH41">
        <v>1.1034356869128841</v>
      </c>
      <c r="AI41">
        <v>1.0609878520679459</v>
      </c>
      <c r="AJ41">
        <v>0.92145585042399492</v>
      </c>
    </row>
    <row r="42" spans="1:36" x14ac:dyDescent="0.3">
      <c r="A42" s="3">
        <v>2023</v>
      </c>
      <c r="B42" s="15">
        <f t="shared" si="2"/>
        <v>0.90133423395277379</v>
      </c>
      <c r="C42" s="15">
        <f t="shared" si="1"/>
        <v>1.1011081054041858</v>
      </c>
      <c r="D42" s="15">
        <f t="shared" si="1"/>
        <v>0.89199735550445036</v>
      </c>
      <c r="E42" s="15">
        <f t="shared" si="1"/>
        <v>1.0486007750742457</v>
      </c>
      <c r="F42" s="15">
        <f t="shared" si="3"/>
        <v>1.0586281441720478</v>
      </c>
      <c r="G42" s="15">
        <f t="shared" si="4"/>
        <v>1.1338620276394142</v>
      </c>
      <c r="H42" s="15">
        <f t="shared" si="1"/>
        <v>0.93029515235848415</v>
      </c>
      <c r="I42" s="15">
        <f t="shared" si="1"/>
        <v>0.98711212951535443</v>
      </c>
      <c r="J42" s="15">
        <f t="shared" si="1"/>
        <v>0.88890526950150139</v>
      </c>
      <c r="K42" s="15">
        <f t="shared" si="1"/>
        <v>0.88192991028431811</v>
      </c>
      <c r="L42" s="15">
        <f t="shared" si="1"/>
        <v>0.98529265143325051</v>
      </c>
      <c r="M42" s="15">
        <f t="shared" si="1"/>
        <v>1.09241486785623</v>
      </c>
      <c r="N42" s="15">
        <f t="shared" si="1"/>
        <v>0.97528909215864834</v>
      </c>
      <c r="O42" s="15">
        <f t="shared" si="5"/>
        <v>1.1654617299022003</v>
      </c>
      <c r="P42" s="15">
        <f t="shared" si="1"/>
        <v>1.1654617299022003</v>
      </c>
      <c r="Q42" s="15">
        <f t="shared" si="1"/>
        <v>1.0893013105477798</v>
      </c>
      <c r="R42" s="15">
        <f t="shared" si="1"/>
        <v>0.91939370090244765</v>
      </c>
      <c r="T42">
        <v>0.90133423395277379</v>
      </c>
      <c r="U42">
        <v>1.1011081054041858</v>
      </c>
      <c r="V42">
        <v>0.89199735550445036</v>
      </c>
      <c r="W42">
        <v>1.0486007750742457</v>
      </c>
      <c r="X42">
        <v>1.0586281441720478</v>
      </c>
      <c r="Y42">
        <v>1.1338620276394142</v>
      </c>
      <c r="Z42">
        <v>0.93029515235848415</v>
      </c>
      <c r="AA42">
        <v>0.98711212951535443</v>
      </c>
      <c r="AB42">
        <v>0.88890526950150139</v>
      </c>
      <c r="AC42">
        <v>0.88192991028431811</v>
      </c>
      <c r="AD42">
        <v>0.98529265143325051</v>
      </c>
      <c r="AE42">
        <v>1.09241486785623</v>
      </c>
      <c r="AF42">
        <v>0.97528909215864834</v>
      </c>
      <c r="AG42">
        <v>1.1654617299022003</v>
      </c>
      <c r="AH42">
        <v>1.1654617299022003</v>
      </c>
      <c r="AI42">
        <v>1.0893013105477798</v>
      </c>
      <c r="AJ42">
        <v>0.91939370090244765</v>
      </c>
    </row>
    <row r="43" spans="1:36" x14ac:dyDescent="0.3">
      <c r="A43" s="3">
        <v>2024</v>
      </c>
      <c r="B43" s="15">
        <f t="shared" si="2"/>
        <v>0.89271206062771136</v>
      </c>
      <c r="C43" s="15">
        <f t="shared" si="1"/>
        <v>1.1183225525798741</v>
      </c>
      <c r="D43" s="15">
        <f t="shared" si="1"/>
        <v>0.86745437856295715</v>
      </c>
      <c r="E43" s="15">
        <f t="shared" si="1"/>
        <v>1.0943782959117831</v>
      </c>
      <c r="F43" s="15">
        <f t="shared" si="3"/>
        <v>1.0811642239733155</v>
      </c>
      <c r="G43" s="15">
        <f t="shared" si="4"/>
        <v>1.1840982413713772</v>
      </c>
      <c r="H43" s="15">
        <f t="shared" si="1"/>
        <v>0.92465790869799658</v>
      </c>
      <c r="I43" s="15">
        <f t="shared" si="1"/>
        <v>0.99045179204074807</v>
      </c>
      <c r="J43" s="15">
        <f t="shared" si="1"/>
        <v>0.87125777936576942</v>
      </c>
      <c r="K43" s="15">
        <f t="shared" si="1"/>
        <v>0.86721407671459871</v>
      </c>
      <c r="L43" s="15">
        <f t="shared" si="1"/>
        <v>0.98113440145687514</v>
      </c>
      <c r="M43" s="15">
        <f t="shared" si="1"/>
        <v>1.1003953749045583</v>
      </c>
      <c r="N43" s="15">
        <f t="shared" si="1"/>
        <v>0.99742090546584294</v>
      </c>
      <c r="O43" s="15">
        <f t="shared" si="5"/>
        <v>1.2103557462433903</v>
      </c>
      <c r="P43" s="15">
        <f t="shared" si="1"/>
        <v>1.2103557462433903</v>
      </c>
      <c r="Q43" s="15">
        <f t="shared" si="1"/>
        <v>1.1276780465199701</v>
      </c>
      <c r="R43" s="15">
        <f t="shared" si="1"/>
        <v>0.90663068212581521</v>
      </c>
      <c r="T43">
        <v>0.89271206062771136</v>
      </c>
      <c r="U43">
        <v>1.1183225525798741</v>
      </c>
      <c r="V43">
        <v>0.86745437856295715</v>
      </c>
      <c r="W43">
        <v>1.0943782959117831</v>
      </c>
      <c r="X43">
        <v>1.0811642239733155</v>
      </c>
      <c r="Y43">
        <v>1.1840982413713772</v>
      </c>
      <c r="Z43">
        <v>0.92465790869799658</v>
      </c>
      <c r="AA43">
        <v>0.99045179204074807</v>
      </c>
      <c r="AB43">
        <v>0.87125777936576942</v>
      </c>
      <c r="AC43">
        <v>0.86721407671459871</v>
      </c>
      <c r="AD43">
        <v>0.98113440145687514</v>
      </c>
      <c r="AE43">
        <v>1.1003953749045583</v>
      </c>
      <c r="AF43">
        <v>0.99742090546584294</v>
      </c>
      <c r="AG43">
        <v>1.2103557462433903</v>
      </c>
      <c r="AH43">
        <v>1.2103557462433903</v>
      </c>
      <c r="AI43">
        <v>1.1276780465199701</v>
      </c>
      <c r="AJ43">
        <v>0.90663068212581521</v>
      </c>
    </row>
    <row r="44" spans="1:36" x14ac:dyDescent="0.3">
      <c r="A44" s="3">
        <v>2025</v>
      </c>
      <c r="B44" s="15">
        <f t="shared" si="2"/>
        <v>0.89244403067479372</v>
      </c>
      <c r="C44" s="15">
        <f t="shared" si="1"/>
        <v>1.1326048059953349</v>
      </c>
      <c r="D44" s="15">
        <f t="shared" si="1"/>
        <v>0.85785159510276632</v>
      </c>
      <c r="E44" s="15">
        <f t="shared" si="1"/>
        <v>1.1053826892858829</v>
      </c>
      <c r="F44" s="15">
        <f t="shared" si="3"/>
        <v>1.1034497860964441</v>
      </c>
      <c r="G44" s="15">
        <f t="shared" si="4"/>
        <v>1.2403013263280669</v>
      </c>
      <c r="H44" s="15">
        <f t="shared" si="1"/>
        <v>0.91834462620420287</v>
      </c>
      <c r="I44" s="15">
        <f t="shared" si="1"/>
        <v>1.004627968393675</v>
      </c>
      <c r="J44" s="15">
        <f t="shared" si="1"/>
        <v>0.86864966159664081</v>
      </c>
      <c r="K44" s="15">
        <f t="shared" si="1"/>
        <v>0.86311406880299402</v>
      </c>
      <c r="L44" s="15">
        <f t="shared" si="1"/>
        <v>0.97451972641228435</v>
      </c>
      <c r="M44" s="15">
        <f t="shared" si="1"/>
        <v>1.1211563622809348</v>
      </c>
      <c r="N44" s="15">
        <f t="shared" si="1"/>
        <v>1.0164636673882064</v>
      </c>
      <c r="O44" s="15">
        <f t="shared" si="5"/>
        <v>1.2647273155179752</v>
      </c>
      <c r="P44" s="15">
        <f t="shared" si="1"/>
        <v>1.2647273155179752</v>
      </c>
      <c r="Q44" s="15">
        <f t="shared" si="1"/>
        <v>1.1669741154799731</v>
      </c>
      <c r="R44" s="15">
        <f t="shared" si="1"/>
        <v>0.90862446652684481</v>
      </c>
      <c r="T44">
        <v>0.89244403067479372</v>
      </c>
      <c r="U44">
        <v>1.1326048059953349</v>
      </c>
      <c r="V44">
        <v>0.85785159510276632</v>
      </c>
      <c r="W44">
        <v>1.1053826892858829</v>
      </c>
      <c r="X44">
        <v>1.1034497860964441</v>
      </c>
      <c r="Y44">
        <v>1.2403013263280669</v>
      </c>
      <c r="Z44">
        <v>0.91834462620420287</v>
      </c>
      <c r="AA44">
        <v>1.004627968393675</v>
      </c>
      <c r="AB44">
        <v>0.86864966159664081</v>
      </c>
      <c r="AC44">
        <v>0.86311406880299402</v>
      </c>
      <c r="AD44">
        <v>0.97451972641228435</v>
      </c>
      <c r="AE44">
        <v>1.1211563622809348</v>
      </c>
      <c r="AF44">
        <v>1.0164636673882064</v>
      </c>
      <c r="AG44">
        <v>1.2647273155179752</v>
      </c>
      <c r="AH44">
        <v>1.2647273155179752</v>
      </c>
      <c r="AI44">
        <v>1.1669741154799731</v>
      </c>
      <c r="AJ44">
        <v>0.90862446652684481</v>
      </c>
    </row>
    <row r="45" spans="1:36" x14ac:dyDescent="0.3">
      <c r="A45" s="3">
        <v>2026</v>
      </c>
      <c r="B45" s="15">
        <f t="shared" si="2"/>
        <v>0.88630395491965897</v>
      </c>
      <c r="C45" s="15">
        <f t="shared" si="1"/>
        <v>1.1408017766434133</v>
      </c>
      <c r="D45" s="15">
        <f t="shared" si="1"/>
        <v>0.84308953147782573</v>
      </c>
      <c r="E45" s="15">
        <f t="shared" si="1"/>
        <v>1.1241400459461095</v>
      </c>
      <c r="F45" s="15">
        <f t="shared" si="3"/>
        <v>1.1372031015139676</v>
      </c>
      <c r="G45" s="15">
        <f t="shared" si="4"/>
        <v>1.2995634192405849</v>
      </c>
      <c r="H45" s="15">
        <f t="shared" si="1"/>
        <v>0.90825836747742017</v>
      </c>
      <c r="I45" s="15">
        <f t="shared" si="1"/>
        <v>1.0143273634369994</v>
      </c>
      <c r="J45" s="15">
        <f t="shared" si="1"/>
        <v>0.85929763753848754</v>
      </c>
      <c r="K45" s="15">
        <f t="shared" si="1"/>
        <v>0.85428810276824851</v>
      </c>
      <c r="L45" s="15">
        <f t="shared" si="1"/>
        <v>0.9826117515712719</v>
      </c>
      <c r="M45" s="15">
        <f t="shared" si="1"/>
        <v>1.1615089881013894</v>
      </c>
      <c r="N45" s="15">
        <f t="shared" si="1"/>
        <v>1.0425963327978327</v>
      </c>
      <c r="O45" s="15">
        <f t="shared" si="5"/>
        <v>1.3108071511641515</v>
      </c>
      <c r="P45" s="15">
        <f t="shared" si="1"/>
        <v>1.3108071511641515</v>
      </c>
      <c r="Q45" s="15">
        <f t="shared" si="1"/>
        <v>1.2021865131401746</v>
      </c>
      <c r="R45" s="15">
        <f t="shared" si="1"/>
        <v>0.90666966521897563</v>
      </c>
      <c r="T45">
        <v>0.88630395491965897</v>
      </c>
      <c r="U45">
        <v>1.1408017766434133</v>
      </c>
      <c r="V45">
        <v>0.84308953147782573</v>
      </c>
      <c r="W45">
        <v>1.1241400459461095</v>
      </c>
      <c r="X45">
        <v>1.1372031015139676</v>
      </c>
      <c r="Y45">
        <v>1.2995634192405849</v>
      </c>
      <c r="Z45">
        <v>0.90825836747742017</v>
      </c>
      <c r="AA45">
        <v>1.0143273634369994</v>
      </c>
      <c r="AB45">
        <v>0.85929763753848754</v>
      </c>
      <c r="AC45">
        <v>0.85428810276824851</v>
      </c>
      <c r="AD45">
        <v>0.9826117515712719</v>
      </c>
      <c r="AE45">
        <v>1.1615089881013894</v>
      </c>
      <c r="AF45">
        <v>1.0425963327978327</v>
      </c>
      <c r="AG45">
        <v>1.3108071511641515</v>
      </c>
      <c r="AH45">
        <v>1.3108071511641515</v>
      </c>
      <c r="AI45">
        <v>1.2021865131401746</v>
      </c>
      <c r="AJ45">
        <v>0.90666966521897563</v>
      </c>
    </row>
    <row r="46" spans="1:36" x14ac:dyDescent="0.3">
      <c r="A46" s="3">
        <v>2027</v>
      </c>
      <c r="B46" s="15">
        <f t="shared" si="2"/>
        <v>0.88353854811520249</v>
      </c>
      <c r="C46" s="15">
        <f t="shared" si="1"/>
        <v>1.1487528912484166</v>
      </c>
      <c r="D46" s="15">
        <f t="shared" si="1"/>
        <v>0.82914746325108535</v>
      </c>
      <c r="E46" s="15">
        <f t="shared" si="1"/>
        <v>1.1352021278409978</v>
      </c>
      <c r="F46" s="15">
        <f t="shared" si="3"/>
        <v>1.1808404780507973</v>
      </c>
      <c r="G46" s="15">
        <f t="shared" si="4"/>
        <v>1.3613722332496909</v>
      </c>
      <c r="H46" s="15">
        <f t="shared" si="1"/>
        <v>0.89745687469813429</v>
      </c>
      <c r="I46" s="15">
        <f t="shared" si="1"/>
        <v>1.0194405553660464</v>
      </c>
      <c r="J46" s="15">
        <f t="shared" si="1"/>
        <v>0.84963854429043884</v>
      </c>
      <c r="K46" s="15">
        <f t="shared" si="1"/>
        <v>0.84729611098131519</v>
      </c>
      <c r="L46" s="15">
        <f t="shared" si="1"/>
        <v>0.99115246019573777</v>
      </c>
      <c r="M46" s="15">
        <f t="shared" si="1"/>
        <v>1.1847393320754407</v>
      </c>
      <c r="N46" s="15">
        <f t="shared" si="1"/>
        <v>1.0629410017496461</v>
      </c>
      <c r="O46" s="15">
        <f t="shared" si="5"/>
        <v>1.3655004422870654</v>
      </c>
      <c r="P46" s="15">
        <f t="shared" si="1"/>
        <v>1.3655004422870654</v>
      </c>
      <c r="Q46" s="15">
        <f t="shared" si="1"/>
        <v>1.2418419131528999</v>
      </c>
      <c r="R46" s="15">
        <f t="shared" si="1"/>
        <v>0.90607625559901916</v>
      </c>
      <c r="T46">
        <v>0.88353854811520249</v>
      </c>
      <c r="U46">
        <v>1.1487528912484166</v>
      </c>
      <c r="V46">
        <v>0.82914746325108535</v>
      </c>
      <c r="W46">
        <v>1.1352021278409978</v>
      </c>
      <c r="X46">
        <v>1.1808404780507973</v>
      </c>
      <c r="Y46">
        <v>1.3613722332496909</v>
      </c>
      <c r="Z46">
        <v>0.89745687469813429</v>
      </c>
      <c r="AA46">
        <v>1.0194405553660464</v>
      </c>
      <c r="AB46">
        <v>0.84963854429043884</v>
      </c>
      <c r="AC46">
        <v>0.84729611098131519</v>
      </c>
      <c r="AD46">
        <v>0.99115246019573777</v>
      </c>
      <c r="AE46">
        <v>1.1847393320754407</v>
      </c>
      <c r="AF46">
        <v>1.0629410017496461</v>
      </c>
      <c r="AG46">
        <v>1.3655004422870654</v>
      </c>
      <c r="AH46">
        <v>1.3655004422870654</v>
      </c>
      <c r="AI46">
        <v>1.2418419131528999</v>
      </c>
      <c r="AJ46">
        <v>0.90607625559901916</v>
      </c>
    </row>
    <row r="47" spans="1:36" x14ac:dyDescent="0.3">
      <c r="A47" s="3">
        <v>2028</v>
      </c>
      <c r="B47" s="15">
        <f t="shared" si="2"/>
        <v>0.87455897016425965</v>
      </c>
      <c r="C47" s="15">
        <f t="shared" si="1"/>
        <v>1.1516258138933098</v>
      </c>
      <c r="D47" s="15">
        <f t="shared" si="1"/>
        <v>0.81291207210239891</v>
      </c>
      <c r="E47" s="15">
        <f t="shared" si="1"/>
        <v>1.1569449520570956</v>
      </c>
      <c r="F47" s="15">
        <f t="shared" si="3"/>
        <v>1.2295057268691596</v>
      </c>
      <c r="G47" s="15">
        <f t="shared" si="4"/>
        <v>1.4268325958899346</v>
      </c>
      <c r="H47" s="15">
        <f t="shared" si="1"/>
        <v>0.88527664850941157</v>
      </c>
      <c r="I47" s="15">
        <f t="shared" si="1"/>
        <v>1.0267545048963522</v>
      </c>
      <c r="J47" s="15">
        <f t="shared" si="1"/>
        <v>0.83744941457085398</v>
      </c>
      <c r="K47" s="15">
        <f t="shared" si="1"/>
        <v>0.83642719876050475</v>
      </c>
      <c r="L47" s="15">
        <f t="shared" si="1"/>
        <v>1.0130900800901039</v>
      </c>
      <c r="M47" s="15">
        <f t="shared" si="1"/>
        <v>1.2332669275713344</v>
      </c>
      <c r="N47" s="15">
        <f t="shared" si="1"/>
        <v>1.093893134476132</v>
      </c>
      <c r="O47" s="15">
        <f t="shared" si="5"/>
        <v>1.4115570049449144</v>
      </c>
      <c r="P47" s="15">
        <f t="shared" si="1"/>
        <v>1.4115570049449144</v>
      </c>
      <c r="Q47" s="15">
        <f t="shared" si="1"/>
        <v>1.2776835323739077</v>
      </c>
      <c r="R47" s="15">
        <f t="shared" si="1"/>
        <v>0.90385721262893626</v>
      </c>
      <c r="T47">
        <v>0.87455897016425965</v>
      </c>
      <c r="U47">
        <v>1.1516258138933098</v>
      </c>
      <c r="V47">
        <v>0.81291207210239891</v>
      </c>
      <c r="W47">
        <v>1.1569449520570956</v>
      </c>
      <c r="X47">
        <v>1.2295057268691596</v>
      </c>
      <c r="Y47">
        <v>1.4268325958899346</v>
      </c>
      <c r="Z47">
        <v>0.88527664850941157</v>
      </c>
      <c r="AA47">
        <v>1.0267545048963522</v>
      </c>
      <c r="AB47">
        <v>0.83744941457085398</v>
      </c>
      <c r="AC47">
        <v>0.83642719876050475</v>
      </c>
      <c r="AD47">
        <v>1.0130900800901039</v>
      </c>
      <c r="AE47">
        <v>1.2332669275713344</v>
      </c>
      <c r="AF47">
        <v>1.093893134476132</v>
      </c>
      <c r="AG47">
        <v>1.4115570049449144</v>
      </c>
      <c r="AH47">
        <v>1.4115570049449144</v>
      </c>
      <c r="AI47">
        <v>1.2776835323739077</v>
      </c>
      <c r="AJ47">
        <v>0.90385721262893626</v>
      </c>
    </row>
    <row r="48" spans="1:36" x14ac:dyDescent="0.3">
      <c r="A48" s="3">
        <v>2029</v>
      </c>
      <c r="B48" s="15">
        <f t="shared" si="2"/>
        <v>0.86919023700297626</v>
      </c>
      <c r="C48" s="15">
        <f t="shared" si="1"/>
        <v>1.1549459742772903</v>
      </c>
      <c r="D48" s="15">
        <f t="shared" si="1"/>
        <v>0.79874601446412308</v>
      </c>
      <c r="E48" s="15">
        <f t="shared" si="1"/>
        <v>1.169814592441369</v>
      </c>
      <c r="F48" s="15">
        <f t="shared" si="3"/>
        <v>1.2814820135314584</v>
      </c>
      <c r="G48" s="15">
        <f t="shared" si="4"/>
        <v>1.4968941773181312</v>
      </c>
      <c r="H48" s="15">
        <f t="shared" si="1"/>
        <v>0.87318581445334009</v>
      </c>
      <c r="I48" s="15">
        <f t="shared" si="1"/>
        <v>1.0314947743106482</v>
      </c>
      <c r="J48" s="15">
        <f t="shared" si="1"/>
        <v>0.82651122746201866</v>
      </c>
      <c r="K48" s="15">
        <f t="shared" si="1"/>
        <v>0.82741311257408756</v>
      </c>
      <c r="L48" s="15">
        <f t="shared" si="1"/>
        <v>1.0269827757513812</v>
      </c>
      <c r="M48" s="15">
        <f t="shared" si="1"/>
        <v>1.2595004673415857</v>
      </c>
      <c r="N48" s="15">
        <f t="shared" si="1"/>
        <v>1.1178810426639725</v>
      </c>
      <c r="O48" s="15">
        <f t="shared" si="5"/>
        <v>1.4656169432236088</v>
      </c>
      <c r="P48" s="15">
        <f t="shared" si="1"/>
        <v>1.4656169432236088</v>
      </c>
      <c r="Q48" s="15">
        <f t="shared" si="1"/>
        <v>1.3170280654334039</v>
      </c>
      <c r="R48" s="15">
        <f t="shared" si="1"/>
        <v>0.90260337268821644</v>
      </c>
      <c r="T48">
        <v>0.86919023700297626</v>
      </c>
      <c r="U48">
        <v>1.1549459742772903</v>
      </c>
      <c r="V48">
        <v>0.79874601446412308</v>
      </c>
      <c r="W48">
        <v>1.169814592441369</v>
      </c>
      <c r="X48">
        <v>1.2814820135314584</v>
      </c>
      <c r="Y48">
        <v>1.4968941773181312</v>
      </c>
      <c r="Z48">
        <v>0.87318581445334009</v>
      </c>
      <c r="AA48">
        <v>1.0314947743106482</v>
      </c>
      <c r="AB48">
        <v>0.82651122746201866</v>
      </c>
      <c r="AC48">
        <v>0.82741311257408756</v>
      </c>
      <c r="AD48">
        <v>1.0269827757513812</v>
      </c>
      <c r="AE48">
        <v>1.2595004673415857</v>
      </c>
      <c r="AF48">
        <v>1.1178810426639725</v>
      </c>
      <c r="AG48">
        <v>1.4656169432236088</v>
      </c>
      <c r="AH48">
        <v>1.4656169432236088</v>
      </c>
      <c r="AI48">
        <v>1.3170280654334039</v>
      </c>
      <c r="AJ48">
        <v>0.90260337268821644</v>
      </c>
    </row>
    <row r="49" spans="1:36" x14ac:dyDescent="0.3">
      <c r="A49" s="3">
        <v>2030</v>
      </c>
      <c r="B49" s="15">
        <f t="shared" si="2"/>
        <v>0.85974290557482613</v>
      </c>
      <c r="C49" s="15">
        <f t="shared" si="1"/>
        <v>1.1543558812370358</v>
      </c>
      <c r="D49" s="15">
        <f t="shared" si="1"/>
        <v>0.78398190346292096</v>
      </c>
      <c r="E49" s="15">
        <f t="shared" si="1"/>
        <v>1.1903083067273603</v>
      </c>
      <c r="F49" s="15">
        <f t="shared" si="3"/>
        <v>1.3319534422530475</v>
      </c>
      <c r="G49" s="15">
        <f t="shared" si="4"/>
        <v>1.5726671553232354</v>
      </c>
      <c r="H49" s="15">
        <f t="shared" si="1"/>
        <v>0.86052306894917707</v>
      </c>
      <c r="I49" s="15">
        <f t="shared" si="1"/>
        <v>1.0392287872376753</v>
      </c>
      <c r="J49" s="15">
        <f t="shared" si="1"/>
        <v>0.81485380981921662</v>
      </c>
      <c r="K49" s="15">
        <f t="shared" si="1"/>
        <v>0.81539224928331422</v>
      </c>
      <c r="L49" s="15">
        <f t="shared" si="1"/>
        <v>1.0441252372158136</v>
      </c>
      <c r="M49" s="15">
        <f t="shared" si="1"/>
        <v>1.3009921237923778</v>
      </c>
      <c r="N49" s="15">
        <f t="shared" si="1"/>
        <v>1.149380828453064</v>
      </c>
      <c r="O49" s="15">
        <f t="shared" si="5"/>
        <v>1.5116927301310148</v>
      </c>
      <c r="P49" s="15">
        <f t="shared" si="1"/>
        <v>1.5116927301310148</v>
      </c>
      <c r="Q49" s="15">
        <f t="shared" si="1"/>
        <v>1.3522977587673486</v>
      </c>
      <c r="R49" s="15">
        <f t="shared" si="1"/>
        <v>0.89981051922827182</v>
      </c>
      <c r="T49">
        <v>0.85974290557482613</v>
      </c>
      <c r="U49">
        <v>1.1543558812370358</v>
      </c>
      <c r="V49">
        <v>0.78398190346292096</v>
      </c>
      <c r="W49">
        <v>1.1903083067273603</v>
      </c>
      <c r="X49">
        <v>1.3319534422530475</v>
      </c>
      <c r="Y49">
        <v>1.5726671553232354</v>
      </c>
      <c r="Z49">
        <v>0.86052306894917707</v>
      </c>
      <c r="AA49">
        <v>1.0392287872376753</v>
      </c>
      <c r="AB49">
        <v>0.81485380981921662</v>
      </c>
      <c r="AC49">
        <v>0.81539224928331422</v>
      </c>
      <c r="AD49">
        <v>1.0441252372158136</v>
      </c>
      <c r="AE49">
        <v>1.3009921237923778</v>
      </c>
      <c r="AF49">
        <v>1.149380828453064</v>
      </c>
      <c r="AG49">
        <v>1.5116927301310148</v>
      </c>
      <c r="AH49">
        <v>1.5116927301310148</v>
      </c>
      <c r="AI49">
        <v>1.3522977587673486</v>
      </c>
      <c r="AJ49">
        <v>0.89981051922827182</v>
      </c>
    </row>
    <row r="50" spans="1:36" x14ac:dyDescent="0.3">
      <c r="A50" s="3">
        <v>2031</v>
      </c>
      <c r="B50" s="15">
        <f t="shared" si="2"/>
        <v>0.85119347112927735</v>
      </c>
      <c r="C50" s="15">
        <f t="shared" si="1"/>
        <v>1.1534011802512738</v>
      </c>
      <c r="D50" s="15">
        <f t="shared" si="1"/>
        <v>0.7706829583093685</v>
      </c>
      <c r="E50" s="15">
        <f t="shared" si="1"/>
        <v>1.2081795074276753</v>
      </c>
      <c r="F50" s="15">
        <f t="shared" si="3"/>
        <v>1.3816102505527157</v>
      </c>
      <c r="G50" s="15">
        <f t="shared" si="4"/>
        <v>1.6532954892005114</v>
      </c>
      <c r="H50" s="15">
        <f t="shared" si="1"/>
        <v>0.84792342653957087</v>
      </c>
      <c r="I50" s="15">
        <f t="shared" si="1"/>
        <v>1.0471149360556973</v>
      </c>
      <c r="J50" s="15">
        <f t="shared" si="1"/>
        <v>0.80413899391466859</v>
      </c>
      <c r="K50" s="15">
        <f t="shared" si="1"/>
        <v>0.80361177028927888</v>
      </c>
      <c r="L50" s="15">
        <f t="shared" si="1"/>
        <v>1.0551699143193272</v>
      </c>
      <c r="M50" s="15">
        <f t="shared" si="1"/>
        <v>1.3305653257333077</v>
      </c>
      <c r="N50" s="15">
        <f t="shared" si="1"/>
        <v>1.1793112555088907</v>
      </c>
      <c r="O50" s="15">
        <f t="shared" si="5"/>
        <v>1.5608330717078098</v>
      </c>
      <c r="P50" s="15">
        <f t="shared" si="1"/>
        <v>1.5608330717078098</v>
      </c>
      <c r="Q50" s="15">
        <f t="shared" si="1"/>
        <v>1.3885130847414782</v>
      </c>
      <c r="R50" s="15">
        <f t="shared" si="1"/>
        <v>0.89744197890941801</v>
      </c>
      <c r="T50">
        <v>0.85119347112927735</v>
      </c>
      <c r="U50">
        <v>1.1534011802512738</v>
      </c>
      <c r="V50">
        <v>0.7706829583093685</v>
      </c>
      <c r="W50">
        <v>1.2081795074276753</v>
      </c>
      <c r="X50">
        <v>1.3816102505527157</v>
      </c>
      <c r="Y50">
        <v>1.6532954892005114</v>
      </c>
      <c r="Z50">
        <v>0.84792342653957087</v>
      </c>
      <c r="AA50">
        <v>1.0471149360556973</v>
      </c>
      <c r="AB50">
        <v>0.80413899391466859</v>
      </c>
      <c r="AC50">
        <v>0.80361177028927888</v>
      </c>
      <c r="AD50">
        <v>1.0551699143193272</v>
      </c>
      <c r="AE50">
        <v>1.3305653257333077</v>
      </c>
      <c r="AF50">
        <v>1.1793112555088907</v>
      </c>
      <c r="AG50">
        <v>1.5608330717078098</v>
      </c>
      <c r="AH50">
        <v>1.5608330717078098</v>
      </c>
      <c r="AI50">
        <v>1.3885130847414782</v>
      </c>
      <c r="AJ50">
        <v>0.89744197890941801</v>
      </c>
    </row>
    <row r="51" spans="1:36" x14ac:dyDescent="0.3">
      <c r="A51" s="3">
        <v>2032</v>
      </c>
      <c r="B51" s="15">
        <f t="shared" si="2"/>
        <v>0.83931521745281601</v>
      </c>
      <c r="C51" s="15">
        <f t="shared" si="1"/>
        <v>1.1496101150984193</v>
      </c>
      <c r="D51" s="15">
        <f t="shared" si="1"/>
        <v>0.75687010167376956</v>
      </c>
      <c r="E51" s="15">
        <f t="shared" si="1"/>
        <v>1.2336917370662035</v>
      </c>
      <c r="F51" s="15">
        <f t="shared" si="3"/>
        <v>1.4308641283211112</v>
      </c>
      <c r="G51" s="15">
        <f t="shared" si="4"/>
        <v>1.7405581385394875</v>
      </c>
      <c r="H51" s="15">
        <f t="shared" si="1"/>
        <v>0.8347857486689011</v>
      </c>
      <c r="I51" s="15">
        <f t="shared" si="1"/>
        <v>1.0575854995953529</v>
      </c>
      <c r="J51" s="15">
        <f t="shared" si="1"/>
        <v>0.79258913525988151</v>
      </c>
      <c r="K51" s="15">
        <f t="shared" si="1"/>
        <v>0.78968645597071263</v>
      </c>
      <c r="L51" s="15">
        <f t="shared" si="1"/>
        <v>1.0714909240257708</v>
      </c>
      <c r="M51" s="15">
        <f t="shared" si="1"/>
        <v>1.3755480120340506</v>
      </c>
      <c r="N51" s="15">
        <f t="shared" si="1"/>
        <v>1.2180218848017144</v>
      </c>
      <c r="O51" s="15">
        <f t="shared" si="5"/>
        <v>1.60295456764875</v>
      </c>
      <c r="P51" s="15">
        <f t="shared" si="1"/>
        <v>1.60295456764875</v>
      </c>
      <c r="Q51" s="15">
        <f t="shared" si="1"/>
        <v>1.421866131325594</v>
      </c>
      <c r="R51" s="15">
        <f t="shared" si="1"/>
        <v>0.89437277693654105</v>
      </c>
      <c r="T51">
        <v>0.83931521745281601</v>
      </c>
      <c r="U51">
        <v>1.1496101150984193</v>
      </c>
      <c r="V51">
        <v>0.75687010167376956</v>
      </c>
      <c r="W51">
        <v>1.2336917370662035</v>
      </c>
      <c r="X51">
        <v>1.4308641283211112</v>
      </c>
      <c r="Y51">
        <v>1.7405581385394875</v>
      </c>
      <c r="Z51">
        <v>0.8347857486689011</v>
      </c>
      <c r="AA51">
        <v>1.0575854995953529</v>
      </c>
      <c r="AB51">
        <v>0.79258913525988151</v>
      </c>
      <c r="AC51">
        <v>0.78968645597071263</v>
      </c>
      <c r="AD51">
        <v>1.0714909240257708</v>
      </c>
      <c r="AE51">
        <v>1.3755480120340506</v>
      </c>
      <c r="AF51">
        <v>1.2180218848017144</v>
      </c>
      <c r="AG51">
        <v>1.60295456764875</v>
      </c>
      <c r="AH51">
        <v>1.60295456764875</v>
      </c>
      <c r="AI51">
        <v>1.421866131325594</v>
      </c>
      <c r="AJ51">
        <v>0.89437277693654105</v>
      </c>
    </row>
    <row r="52" spans="1:36" x14ac:dyDescent="0.3">
      <c r="A52" s="3">
        <v>2033</v>
      </c>
      <c r="B52" s="15">
        <f t="shared" si="2"/>
        <v>0.82970483015119911</v>
      </c>
      <c r="C52" s="15">
        <f t="shared" si="1"/>
        <v>1.1457550826987959</v>
      </c>
      <c r="D52" s="15">
        <f t="shared" si="1"/>
        <v>0.74434168222349451</v>
      </c>
      <c r="E52" s="15">
        <f t="shared" si="1"/>
        <v>1.2536311846946429</v>
      </c>
      <c r="F52" s="15">
        <f t="shared" si="3"/>
        <v>1.4832048043334303</v>
      </c>
      <c r="G52" s="15">
        <f t="shared" si="4"/>
        <v>1.8349098749645543</v>
      </c>
      <c r="H52" s="15">
        <f t="shared" si="1"/>
        <v>0.82174502363615509</v>
      </c>
      <c r="I52" s="15">
        <f t="shared" si="1"/>
        <v>1.0667843198920997</v>
      </c>
      <c r="J52" s="15">
        <f t="shared" si="1"/>
        <v>0.78188736555784621</v>
      </c>
      <c r="K52" s="15">
        <f t="shared" si="1"/>
        <v>0.776931883942649</v>
      </c>
      <c r="L52" s="15">
        <f t="shared" si="1"/>
        <v>1.0816132844976025</v>
      </c>
      <c r="M52" s="15">
        <f t="shared" si="1"/>
        <v>1.4036921191328531</v>
      </c>
      <c r="N52" s="15">
        <f t="shared" si="1"/>
        <v>1.2523295125578282</v>
      </c>
      <c r="O52" s="15">
        <f t="shared" si="5"/>
        <v>1.6509402357985765</v>
      </c>
      <c r="P52" s="15">
        <f t="shared" si="1"/>
        <v>1.6509402357985765</v>
      </c>
      <c r="Q52" s="15">
        <f t="shared" si="1"/>
        <v>1.4571900012196304</v>
      </c>
      <c r="R52" s="15">
        <f t="shared" si="1"/>
        <v>0.89149853755328534</v>
      </c>
      <c r="T52">
        <v>0.82970483015119911</v>
      </c>
      <c r="U52">
        <v>1.1457550826987959</v>
      </c>
      <c r="V52">
        <v>0.74434168222349451</v>
      </c>
      <c r="W52">
        <v>1.2536311846946429</v>
      </c>
      <c r="X52">
        <v>1.4832048043334303</v>
      </c>
      <c r="Y52">
        <v>1.8349098749645543</v>
      </c>
      <c r="Z52">
        <v>0.82174502363615509</v>
      </c>
      <c r="AA52">
        <v>1.0667843198920997</v>
      </c>
      <c r="AB52">
        <v>0.78188736555784621</v>
      </c>
      <c r="AC52">
        <v>0.776931883942649</v>
      </c>
      <c r="AD52">
        <v>1.0816132844976025</v>
      </c>
      <c r="AE52">
        <v>1.4036921191328531</v>
      </c>
      <c r="AF52">
        <v>1.2523295125578282</v>
      </c>
      <c r="AG52">
        <v>1.6509402357985765</v>
      </c>
      <c r="AH52">
        <v>1.6509402357985765</v>
      </c>
      <c r="AI52">
        <v>1.4571900012196304</v>
      </c>
      <c r="AJ52">
        <v>0.89149853755328534</v>
      </c>
    </row>
    <row r="53" spans="1:36" x14ac:dyDescent="0.3">
      <c r="A53" s="3">
        <v>2034</v>
      </c>
      <c r="B53" s="15">
        <f t="shared" si="2"/>
        <v>0.81650330972435325</v>
      </c>
      <c r="C53" s="15">
        <f t="shared" si="1"/>
        <v>1.138180140291728</v>
      </c>
      <c r="D53" s="15">
        <f t="shared" si="1"/>
        <v>0.73075873695046945</v>
      </c>
      <c r="E53" s="15">
        <f t="shared" si="1"/>
        <v>1.280925743675823</v>
      </c>
      <c r="F53" s="15">
        <f t="shared" si="3"/>
        <v>1.5336131656675158</v>
      </c>
      <c r="G53" s="15">
        <f t="shared" si="4"/>
        <v>1.932672398572552</v>
      </c>
      <c r="H53" s="15">
        <f t="shared" si="1"/>
        <v>0.80828846324052628</v>
      </c>
      <c r="I53" s="15">
        <f t="shared" si="1"/>
        <v>1.0782031219080699</v>
      </c>
      <c r="J53" s="15">
        <f t="shared" si="1"/>
        <v>0.77029355384232756</v>
      </c>
      <c r="K53" s="15">
        <f t="shared" si="1"/>
        <v>0.76195920495236014</v>
      </c>
      <c r="L53" s="15">
        <f t="shared" si="1"/>
        <v>1.0969621180024673</v>
      </c>
      <c r="M53" s="15">
        <f t="shared" si="1"/>
        <v>1.4500269999805993</v>
      </c>
      <c r="N53" s="15">
        <f t="shared" si="1"/>
        <v>1.2942259162269518</v>
      </c>
      <c r="O53" s="15">
        <f t="shared" si="5"/>
        <v>1.6908146138917552</v>
      </c>
      <c r="P53" s="15">
        <f t="shared" si="1"/>
        <v>1.6908146138917552</v>
      </c>
      <c r="Q53" s="15">
        <f t="shared" si="1"/>
        <v>1.4886606148420831</v>
      </c>
      <c r="R53" s="15">
        <f t="shared" si="1"/>
        <v>0.88786385124311862</v>
      </c>
      <c r="T53">
        <v>0.81650330972435325</v>
      </c>
      <c r="U53">
        <v>1.138180140291728</v>
      </c>
      <c r="V53">
        <v>0.73075873695046945</v>
      </c>
      <c r="W53">
        <v>1.280925743675823</v>
      </c>
      <c r="X53">
        <v>1.5336131656675158</v>
      </c>
      <c r="Y53">
        <v>1.932672398572552</v>
      </c>
      <c r="Z53">
        <v>0.80828846324052628</v>
      </c>
      <c r="AA53">
        <v>1.0782031219080699</v>
      </c>
      <c r="AB53">
        <v>0.77029355384232756</v>
      </c>
      <c r="AC53">
        <v>0.76195920495236014</v>
      </c>
      <c r="AD53">
        <v>1.0969621180024673</v>
      </c>
      <c r="AE53">
        <v>1.4500269999805993</v>
      </c>
      <c r="AF53">
        <v>1.2942259162269518</v>
      </c>
      <c r="AG53">
        <v>1.6908146138917552</v>
      </c>
      <c r="AH53">
        <v>1.6908146138917552</v>
      </c>
      <c r="AI53">
        <v>1.4886606148420831</v>
      </c>
      <c r="AJ53">
        <v>0.88786385124311862</v>
      </c>
    </row>
    <row r="54" spans="1:36" x14ac:dyDescent="0.3">
      <c r="A54" s="3">
        <v>2035</v>
      </c>
      <c r="B54" s="15">
        <f t="shared" si="2"/>
        <v>0.80532700403389978</v>
      </c>
      <c r="C54" s="15">
        <f t="shared" ref="C54:R69" si="6">C19</f>
        <v>1.1298726553664269</v>
      </c>
      <c r="D54" s="15">
        <f t="shared" si="6"/>
        <v>0.71797376136587687</v>
      </c>
      <c r="E54" s="15">
        <f t="shared" si="6"/>
        <v>1.3012141304229945</v>
      </c>
      <c r="F54" s="15">
        <f t="shared" si="3"/>
        <v>1.5858277069048279</v>
      </c>
      <c r="G54" s="15">
        <f t="shared" si="4"/>
        <v>2.0342603540798363</v>
      </c>
      <c r="H54" s="15">
        <f t="shared" si="6"/>
        <v>0.79506716512253606</v>
      </c>
      <c r="I54" s="15">
        <f t="shared" si="6"/>
        <v>1.0877802385510882</v>
      </c>
      <c r="J54" s="15">
        <f t="shared" si="6"/>
        <v>0.75953792347633653</v>
      </c>
      <c r="K54" s="15">
        <f t="shared" si="6"/>
        <v>0.74813188519465501</v>
      </c>
      <c r="L54" s="15">
        <f t="shared" si="6"/>
        <v>1.1054700658764194</v>
      </c>
      <c r="M54" s="15">
        <f t="shared" si="6"/>
        <v>1.4792331010857456</v>
      </c>
      <c r="N54" s="15">
        <f t="shared" si="6"/>
        <v>1.329368263282066</v>
      </c>
      <c r="O54" s="15">
        <f t="shared" si="5"/>
        <v>1.7366208211062228</v>
      </c>
      <c r="P54" s="15">
        <f t="shared" si="6"/>
        <v>1.7366208211062228</v>
      </c>
      <c r="Q54" s="15">
        <f t="shared" si="6"/>
        <v>1.5216408652265327</v>
      </c>
      <c r="R54" s="15">
        <f t="shared" si="6"/>
        <v>0.8843773348676861</v>
      </c>
      <c r="T54">
        <v>0.80532700403389978</v>
      </c>
      <c r="U54">
        <v>1.1298726553664269</v>
      </c>
      <c r="V54">
        <v>0.71797376136587687</v>
      </c>
      <c r="W54">
        <v>1.3012141304229945</v>
      </c>
      <c r="X54">
        <v>1.5858277069048279</v>
      </c>
      <c r="Y54">
        <v>2.0342603540798363</v>
      </c>
      <c r="Z54">
        <v>0.79506716512253606</v>
      </c>
      <c r="AA54">
        <v>1.0877802385510882</v>
      </c>
      <c r="AB54">
        <v>0.75953792347633653</v>
      </c>
      <c r="AC54">
        <v>0.74813188519465501</v>
      </c>
      <c r="AD54">
        <v>1.1054700658764194</v>
      </c>
      <c r="AE54">
        <v>1.4792331010857456</v>
      </c>
      <c r="AF54">
        <v>1.329368263282066</v>
      </c>
      <c r="AG54">
        <v>1.7366208211062228</v>
      </c>
      <c r="AH54">
        <v>1.7366208211062228</v>
      </c>
      <c r="AI54">
        <v>1.5216408652265327</v>
      </c>
      <c r="AJ54">
        <v>0.8843773348676861</v>
      </c>
    </row>
    <row r="55" spans="1:36" x14ac:dyDescent="0.3">
      <c r="A55" s="3">
        <v>2036</v>
      </c>
      <c r="B55" s="15">
        <f t="shared" si="2"/>
        <v>0.79125692031590666</v>
      </c>
      <c r="C55" s="15">
        <f t="shared" si="6"/>
        <v>1.1178609156427211</v>
      </c>
      <c r="D55" s="15">
        <f t="shared" si="6"/>
        <v>0.7040995376267436</v>
      </c>
      <c r="E55" s="15">
        <f t="shared" si="6"/>
        <v>1.3274108671742237</v>
      </c>
      <c r="F55" s="15">
        <f t="shared" si="3"/>
        <v>1.6355213045138732</v>
      </c>
      <c r="G55" s="15">
        <f t="shared" si="4"/>
        <v>2.1379482844409252</v>
      </c>
      <c r="H55" s="15">
        <f t="shared" si="6"/>
        <v>0.78153441075744823</v>
      </c>
      <c r="I55" s="15">
        <f t="shared" si="6"/>
        <v>1.0991808006560126</v>
      </c>
      <c r="J55" s="15">
        <f t="shared" si="6"/>
        <v>0.74807386200523829</v>
      </c>
      <c r="K55" s="15">
        <f t="shared" si="6"/>
        <v>0.73257750405372279</v>
      </c>
      <c r="L55" s="15">
        <f t="shared" si="6"/>
        <v>1.1181059990449798</v>
      </c>
      <c r="M55" s="15">
        <f t="shared" si="6"/>
        <v>1.5251690779279832</v>
      </c>
      <c r="N55" s="15">
        <f t="shared" si="6"/>
        <v>1.3706501426733009</v>
      </c>
      <c r="O55" s="15">
        <f t="shared" si="5"/>
        <v>1.7749251925938785</v>
      </c>
      <c r="P55" s="15">
        <f t="shared" si="6"/>
        <v>1.7749251925938785</v>
      </c>
      <c r="Q55" s="15">
        <f t="shared" si="6"/>
        <v>1.5508169458333534</v>
      </c>
      <c r="R55" s="15">
        <f t="shared" si="6"/>
        <v>0.88020407612967044</v>
      </c>
      <c r="T55">
        <v>0.79125692031590666</v>
      </c>
      <c r="U55">
        <v>1.1178609156427211</v>
      </c>
      <c r="V55">
        <v>0.7040995376267436</v>
      </c>
      <c r="W55">
        <v>1.3274108671742237</v>
      </c>
      <c r="X55">
        <v>1.6355213045138732</v>
      </c>
      <c r="Y55">
        <v>2.1379482844409252</v>
      </c>
      <c r="Z55">
        <v>0.78153441075744823</v>
      </c>
      <c r="AA55">
        <v>1.0991808006560126</v>
      </c>
      <c r="AB55">
        <v>0.74807386200523829</v>
      </c>
      <c r="AC55">
        <v>0.73257750405372279</v>
      </c>
      <c r="AD55">
        <v>1.1181059990449798</v>
      </c>
      <c r="AE55">
        <v>1.5251690779279832</v>
      </c>
      <c r="AF55">
        <v>1.3706501426733009</v>
      </c>
      <c r="AG55">
        <v>1.7749251925938785</v>
      </c>
      <c r="AH55">
        <v>1.7749251925938785</v>
      </c>
      <c r="AI55">
        <v>1.5508169458333534</v>
      </c>
      <c r="AJ55">
        <v>0.88020407612967044</v>
      </c>
    </row>
    <row r="56" spans="1:36" x14ac:dyDescent="0.3">
      <c r="A56" s="3">
        <v>2037</v>
      </c>
      <c r="B56" s="15">
        <f t="shared" si="2"/>
        <v>0.77897984326955394</v>
      </c>
      <c r="C56" s="15">
        <f t="shared" si="6"/>
        <v>1.1054246899532578</v>
      </c>
      <c r="D56" s="15">
        <f t="shared" si="6"/>
        <v>0.6909386348168185</v>
      </c>
      <c r="E56" s="15">
        <f t="shared" si="6"/>
        <v>1.3481548575072475</v>
      </c>
      <c r="F56" s="15">
        <f t="shared" si="3"/>
        <v>1.6876132147199283</v>
      </c>
      <c r="G56" s="15">
        <f t="shared" si="4"/>
        <v>2.2472807331988638</v>
      </c>
      <c r="H56" s="15">
        <f t="shared" si="6"/>
        <v>0.76816054934734312</v>
      </c>
      <c r="I56" s="15">
        <f t="shared" si="6"/>
        <v>1.1094368558092162</v>
      </c>
      <c r="J56" s="15">
        <f t="shared" si="6"/>
        <v>0.73730297675033019</v>
      </c>
      <c r="K56" s="15">
        <f t="shared" si="6"/>
        <v>0.71810918385783251</v>
      </c>
      <c r="L56" s="15">
        <f t="shared" si="6"/>
        <v>1.125351392415584</v>
      </c>
      <c r="M56" s="15">
        <f t="shared" si="6"/>
        <v>1.5564249003334871</v>
      </c>
      <c r="N56" s="15">
        <f t="shared" si="6"/>
        <v>1.4070270588069431</v>
      </c>
      <c r="O56" s="15">
        <f t="shared" si="5"/>
        <v>1.8183642648550278</v>
      </c>
      <c r="P56" s="15">
        <f t="shared" si="6"/>
        <v>1.8183642648550278</v>
      </c>
      <c r="Q56" s="15">
        <f t="shared" si="6"/>
        <v>1.5812697175384058</v>
      </c>
      <c r="R56" s="15">
        <f t="shared" si="6"/>
        <v>0.87609582353526849</v>
      </c>
      <c r="T56">
        <v>0.77897984326955394</v>
      </c>
      <c r="U56">
        <v>1.1054246899532578</v>
      </c>
      <c r="V56">
        <v>0.6909386348168185</v>
      </c>
      <c r="W56">
        <v>1.3481548575072475</v>
      </c>
      <c r="X56">
        <v>1.6876132147199283</v>
      </c>
      <c r="Y56">
        <v>2.2472807331988638</v>
      </c>
      <c r="Z56">
        <v>0.76816054934734312</v>
      </c>
      <c r="AA56">
        <v>1.1094368558092162</v>
      </c>
      <c r="AB56">
        <v>0.73730297675033019</v>
      </c>
      <c r="AC56">
        <v>0.71810918385783251</v>
      </c>
      <c r="AD56">
        <v>1.125351392415584</v>
      </c>
      <c r="AE56">
        <v>1.5564249003334871</v>
      </c>
      <c r="AF56">
        <v>1.4070270588069431</v>
      </c>
      <c r="AG56">
        <v>1.8183642648550278</v>
      </c>
      <c r="AH56">
        <v>1.8183642648550278</v>
      </c>
      <c r="AI56">
        <v>1.5812697175384058</v>
      </c>
      <c r="AJ56">
        <v>0.87609582353526849</v>
      </c>
    </row>
    <row r="57" spans="1:36" x14ac:dyDescent="0.3">
      <c r="A57" s="3">
        <v>2038</v>
      </c>
      <c r="B57" s="15">
        <f t="shared" si="2"/>
        <v>0.76452148769616601</v>
      </c>
      <c r="C57" s="15">
        <f t="shared" si="6"/>
        <v>1.0907532078544793</v>
      </c>
      <c r="D57" s="15">
        <f t="shared" si="6"/>
        <v>0.67718955782032797</v>
      </c>
      <c r="E57" s="15">
        <f t="shared" si="6"/>
        <v>1.3743657559514153</v>
      </c>
      <c r="F57" s="15">
        <f t="shared" si="3"/>
        <v>1.737651931088368</v>
      </c>
      <c r="G57" s="15">
        <f t="shared" si="4"/>
        <v>2.360064096047767</v>
      </c>
      <c r="H57" s="15">
        <f t="shared" si="6"/>
        <v>0.7545736148828458</v>
      </c>
      <c r="I57" s="15">
        <f t="shared" si="6"/>
        <v>1.1213076338721468</v>
      </c>
      <c r="J57" s="15">
        <f t="shared" si="6"/>
        <v>0.72596637752909032</v>
      </c>
      <c r="K57" s="15">
        <f t="shared" si="6"/>
        <v>0.70226704540186558</v>
      </c>
      <c r="L57" s="15">
        <f t="shared" si="6"/>
        <v>1.1361444341199518</v>
      </c>
      <c r="M57" s="15">
        <f t="shared" si="6"/>
        <v>1.6023928893282986</v>
      </c>
      <c r="N57" s="15">
        <f t="shared" si="6"/>
        <v>1.4496457476471591</v>
      </c>
      <c r="O57" s="15">
        <f t="shared" si="5"/>
        <v>1.8551226861529486</v>
      </c>
      <c r="P57" s="15">
        <f t="shared" si="6"/>
        <v>1.8551226861529486</v>
      </c>
      <c r="Q57" s="15">
        <f t="shared" si="6"/>
        <v>1.6086226509558299</v>
      </c>
      <c r="R57" s="15">
        <f t="shared" si="6"/>
        <v>0.87151430020496834</v>
      </c>
      <c r="T57">
        <v>0.76452148769616601</v>
      </c>
      <c r="U57">
        <v>1.0907532078544793</v>
      </c>
      <c r="V57">
        <v>0.67718955782032797</v>
      </c>
      <c r="W57">
        <v>1.3743657559514153</v>
      </c>
      <c r="X57">
        <v>1.737651931088368</v>
      </c>
      <c r="Y57">
        <v>2.360064096047767</v>
      </c>
      <c r="Z57">
        <v>0.7545736148828458</v>
      </c>
      <c r="AA57">
        <v>1.1213076338721468</v>
      </c>
      <c r="AB57">
        <v>0.72596637752909032</v>
      </c>
      <c r="AC57">
        <v>0.70226704540186558</v>
      </c>
      <c r="AD57">
        <v>1.1361444341199518</v>
      </c>
      <c r="AE57">
        <v>1.6023928893282986</v>
      </c>
      <c r="AF57">
        <v>1.4496457476471591</v>
      </c>
      <c r="AG57">
        <v>1.8551226861529486</v>
      </c>
      <c r="AH57">
        <v>1.8551226861529486</v>
      </c>
      <c r="AI57">
        <v>1.6086226509558299</v>
      </c>
      <c r="AJ57">
        <v>0.87151430020496834</v>
      </c>
    </row>
    <row r="58" spans="1:36" x14ac:dyDescent="0.3">
      <c r="A58" s="3">
        <v>2039</v>
      </c>
      <c r="B58" s="15">
        <f t="shared" si="2"/>
        <v>0.75148614989680518</v>
      </c>
      <c r="C58" s="15">
        <f t="shared" si="6"/>
        <v>1.0765067244029032</v>
      </c>
      <c r="D58" s="15">
        <f t="shared" si="6"/>
        <v>0.66425799047509637</v>
      </c>
      <c r="E58" s="15">
        <f t="shared" si="6"/>
        <v>1.3959329389443182</v>
      </c>
      <c r="F58" s="15">
        <f t="shared" si="3"/>
        <v>1.7898699760694303</v>
      </c>
      <c r="G58" s="15">
        <f t="shared" si="4"/>
        <v>2.4790938809140375</v>
      </c>
      <c r="H58" s="15">
        <f t="shared" si="6"/>
        <v>0.74120242188780361</v>
      </c>
      <c r="I58" s="15">
        <f t="shared" si="6"/>
        <v>1.1319951704229139</v>
      </c>
      <c r="J58" s="15">
        <f t="shared" si="6"/>
        <v>0.71517124845889501</v>
      </c>
      <c r="K58" s="15">
        <f t="shared" si="6"/>
        <v>0.6871781961126453</v>
      </c>
      <c r="L58" s="15">
        <f t="shared" si="6"/>
        <v>1.1423562849945956</v>
      </c>
      <c r="M58" s="15">
        <f t="shared" si="6"/>
        <v>1.635445201589927</v>
      </c>
      <c r="N58" s="15">
        <f t="shared" si="6"/>
        <v>1.4880836633024115</v>
      </c>
      <c r="O58" s="15">
        <f t="shared" si="5"/>
        <v>1.8962278495249831</v>
      </c>
      <c r="P58" s="15">
        <f t="shared" si="6"/>
        <v>1.8962278495249831</v>
      </c>
      <c r="Q58" s="15">
        <f t="shared" si="6"/>
        <v>1.6370125208401043</v>
      </c>
      <c r="R58" s="15">
        <f t="shared" si="6"/>
        <v>0.86703340361907433</v>
      </c>
      <c r="T58">
        <v>0.75148614989680518</v>
      </c>
      <c r="U58">
        <v>1.0765067244029032</v>
      </c>
      <c r="V58">
        <v>0.66425799047509637</v>
      </c>
      <c r="W58">
        <v>1.3959329389443182</v>
      </c>
      <c r="X58">
        <v>1.7898699760694303</v>
      </c>
      <c r="Y58">
        <v>2.4790938809140375</v>
      </c>
      <c r="Z58">
        <v>0.74120242188780361</v>
      </c>
      <c r="AA58">
        <v>1.1319951704229139</v>
      </c>
      <c r="AB58">
        <v>0.71517124845889501</v>
      </c>
      <c r="AC58">
        <v>0.6871781961126453</v>
      </c>
      <c r="AD58">
        <v>1.1423562849945956</v>
      </c>
      <c r="AE58">
        <v>1.635445201589927</v>
      </c>
      <c r="AF58">
        <v>1.4880836633024115</v>
      </c>
      <c r="AG58">
        <v>1.8962278495249831</v>
      </c>
      <c r="AH58">
        <v>1.8962278495249831</v>
      </c>
      <c r="AI58">
        <v>1.6370125208401043</v>
      </c>
      <c r="AJ58">
        <v>0.86703340361907433</v>
      </c>
    </row>
    <row r="59" spans="1:36" x14ac:dyDescent="0.3">
      <c r="A59" s="3">
        <v>2040</v>
      </c>
      <c r="B59" s="15">
        <f t="shared" si="2"/>
        <v>0.73678330486463084</v>
      </c>
      <c r="C59" s="15">
        <f t="shared" si="6"/>
        <v>1.061249944654447</v>
      </c>
      <c r="D59" s="15">
        <f t="shared" si="6"/>
        <v>0.65111782586160938</v>
      </c>
      <c r="E59" s="15">
        <f t="shared" si="6"/>
        <v>1.4220160233987718</v>
      </c>
      <c r="F59" s="15">
        <f t="shared" si="3"/>
        <v>1.8399209555409957</v>
      </c>
      <c r="G59" s="15">
        <f t="shared" si="4"/>
        <v>2.6016548336873417</v>
      </c>
      <c r="H59" s="15">
        <f t="shared" si="6"/>
        <v>0.72775710652666037</v>
      </c>
      <c r="I59" s="15">
        <f t="shared" si="6"/>
        <v>1.1437764753770616</v>
      </c>
      <c r="J59" s="15">
        <f t="shared" si="6"/>
        <v>0.70392838946033331</v>
      </c>
      <c r="K59" s="15">
        <f t="shared" si="6"/>
        <v>0.67091569992946554</v>
      </c>
      <c r="L59" s="15">
        <f t="shared" si="6"/>
        <v>1.1512489539951944</v>
      </c>
      <c r="M59" s="15">
        <f t="shared" si="6"/>
        <v>1.6809405375198976</v>
      </c>
      <c r="N59" s="15">
        <f t="shared" si="6"/>
        <v>1.5319810588496414</v>
      </c>
      <c r="O59" s="15">
        <f t="shared" si="5"/>
        <v>1.9314534306303093</v>
      </c>
      <c r="P59" s="15">
        <f t="shared" si="6"/>
        <v>1.9314534306303093</v>
      </c>
      <c r="Q59" s="15">
        <f t="shared" si="6"/>
        <v>1.6628154903763588</v>
      </c>
      <c r="R59" s="15">
        <f t="shared" si="6"/>
        <v>0.86224888552510914</v>
      </c>
      <c r="T59">
        <v>0.73678330486463084</v>
      </c>
      <c r="U59">
        <v>1.061249944654447</v>
      </c>
      <c r="V59">
        <v>0.65111782586160938</v>
      </c>
      <c r="W59">
        <v>1.4220160233987718</v>
      </c>
      <c r="X59">
        <v>1.8399209555409957</v>
      </c>
      <c r="Y59">
        <v>2.6016548336873417</v>
      </c>
      <c r="Z59">
        <v>0.72775710652666037</v>
      </c>
      <c r="AA59">
        <v>1.1437764753770616</v>
      </c>
      <c r="AB59">
        <v>0.70392838946033331</v>
      </c>
      <c r="AC59">
        <v>0.67091569992946554</v>
      </c>
      <c r="AD59">
        <v>1.1512489539951944</v>
      </c>
      <c r="AE59">
        <v>1.6809405375198976</v>
      </c>
      <c r="AF59">
        <v>1.5319810588496414</v>
      </c>
      <c r="AG59">
        <v>1.9314534306303093</v>
      </c>
      <c r="AH59">
        <v>1.9314534306303093</v>
      </c>
      <c r="AI59">
        <v>1.6628154903763588</v>
      </c>
      <c r="AJ59">
        <v>0.86224888552510914</v>
      </c>
    </row>
    <row r="60" spans="1:36" x14ac:dyDescent="0.3">
      <c r="A60" s="3">
        <v>2041</v>
      </c>
      <c r="B60" s="15">
        <f t="shared" si="2"/>
        <v>0.72323845217561744</v>
      </c>
      <c r="C60" s="15">
        <f t="shared" si="6"/>
        <v>1.0467149860165605</v>
      </c>
      <c r="D60" s="15">
        <f t="shared" si="6"/>
        <v>0.63870318289473293</v>
      </c>
      <c r="E60" s="15">
        <f t="shared" si="6"/>
        <v>1.4443242635536968</v>
      </c>
      <c r="F60" s="15">
        <f t="shared" si="3"/>
        <v>1.8915836571376516</v>
      </c>
      <c r="G60" s="15">
        <f t="shared" si="4"/>
        <v>2.7311978684586453</v>
      </c>
      <c r="H60" s="15">
        <f t="shared" si="6"/>
        <v>0.71452956295786441</v>
      </c>
      <c r="I60" s="15">
        <f t="shared" si="6"/>
        <v>1.1546077581881713</v>
      </c>
      <c r="J60" s="15">
        <f t="shared" si="6"/>
        <v>0.69314171300588001</v>
      </c>
      <c r="K60" s="15">
        <f t="shared" si="6"/>
        <v>0.65520461487566628</v>
      </c>
      <c r="L60" s="15">
        <f t="shared" si="6"/>
        <v>1.1563160329208204</v>
      </c>
      <c r="M60" s="15">
        <f t="shared" si="6"/>
        <v>1.7156418472316475</v>
      </c>
      <c r="N60" s="15">
        <f t="shared" si="6"/>
        <v>1.5727552391698125</v>
      </c>
      <c r="O60" s="15">
        <f t="shared" si="5"/>
        <v>1.970195413613693</v>
      </c>
      <c r="P60" s="15">
        <f t="shared" si="6"/>
        <v>1.970195413613693</v>
      </c>
      <c r="Q60" s="15">
        <f t="shared" si="6"/>
        <v>1.6893899610020591</v>
      </c>
      <c r="R60" s="15">
        <f t="shared" si="6"/>
        <v>0.85760374797595296</v>
      </c>
      <c r="T60">
        <v>0.72323845217561744</v>
      </c>
      <c r="U60">
        <v>1.0467149860165605</v>
      </c>
      <c r="V60">
        <v>0.63870318289473293</v>
      </c>
      <c r="W60">
        <v>1.4443242635536968</v>
      </c>
      <c r="X60">
        <v>1.8915836571376516</v>
      </c>
      <c r="Y60">
        <v>2.7311978684586453</v>
      </c>
      <c r="Z60">
        <v>0.71452956295786441</v>
      </c>
      <c r="AA60">
        <v>1.1546077581881713</v>
      </c>
      <c r="AB60">
        <v>0.69314171300588001</v>
      </c>
      <c r="AC60">
        <v>0.65520461487566628</v>
      </c>
      <c r="AD60">
        <v>1.1563160329208204</v>
      </c>
      <c r="AE60">
        <v>1.7156418472316475</v>
      </c>
      <c r="AF60">
        <v>1.5727552391698125</v>
      </c>
      <c r="AG60">
        <v>1.970195413613693</v>
      </c>
      <c r="AH60">
        <v>1.970195413613693</v>
      </c>
      <c r="AI60">
        <v>1.6893899610020591</v>
      </c>
      <c r="AJ60">
        <v>0.85760374797595296</v>
      </c>
    </row>
    <row r="61" spans="1:36" x14ac:dyDescent="0.3">
      <c r="A61" s="3">
        <v>2042</v>
      </c>
      <c r="B61" s="15">
        <f t="shared" si="2"/>
        <v>0.70857627026402348</v>
      </c>
      <c r="C61" s="15">
        <f t="shared" si="6"/>
        <v>1.0313127226740473</v>
      </c>
      <c r="D61" s="15">
        <f t="shared" si="6"/>
        <v>0.62612433337785867</v>
      </c>
      <c r="E61" s="15">
        <f t="shared" si="6"/>
        <v>1.4702913928145722</v>
      </c>
      <c r="F61" s="15">
        <f t="shared" si="3"/>
        <v>1.9413893745467032</v>
      </c>
      <c r="G61" s="15">
        <f t="shared" si="4"/>
        <v>2.8653554976539128</v>
      </c>
      <c r="H61" s="15">
        <f t="shared" si="6"/>
        <v>0.70126199718750681</v>
      </c>
      <c r="I61" s="15">
        <f t="shared" si="6"/>
        <v>1.1665177887625429</v>
      </c>
      <c r="J61" s="15">
        <f t="shared" si="6"/>
        <v>0.68207675436023874</v>
      </c>
      <c r="K61" s="15">
        <f t="shared" si="6"/>
        <v>0.63877187778710975</v>
      </c>
      <c r="L61" s="15">
        <f t="shared" si="6"/>
        <v>1.1632955307446158</v>
      </c>
      <c r="M61" s="15">
        <f t="shared" si="6"/>
        <v>1.7606352662965918</v>
      </c>
      <c r="N61" s="15">
        <f t="shared" si="6"/>
        <v>1.6185699860193177</v>
      </c>
      <c r="O61" s="15">
        <f t="shared" si="5"/>
        <v>2.0041040435353872</v>
      </c>
      <c r="P61" s="15">
        <f t="shared" si="6"/>
        <v>2.0041040435353872</v>
      </c>
      <c r="Q61" s="15">
        <f t="shared" si="6"/>
        <v>1.71373664749171</v>
      </c>
      <c r="R61" s="15">
        <f t="shared" si="6"/>
        <v>0.85274602694488677</v>
      </c>
      <c r="T61">
        <v>0.70857627026402348</v>
      </c>
      <c r="U61">
        <v>1.0313127226740473</v>
      </c>
      <c r="V61">
        <v>0.62612433337785867</v>
      </c>
      <c r="W61">
        <v>1.4702913928145722</v>
      </c>
      <c r="X61">
        <v>1.9413893745467032</v>
      </c>
      <c r="Y61">
        <v>2.8653554976539128</v>
      </c>
      <c r="Z61">
        <v>0.70126199718750681</v>
      </c>
      <c r="AA61">
        <v>1.1665177887625429</v>
      </c>
      <c r="AB61">
        <v>0.68207675436023874</v>
      </c>
      <c r="AC61">
        <v>0.63877187778710975</v>
      </c>
      <c r="AD61">
        <v>1.1632955307446158</v>
      </c>
      <c r="AE61">
        <v>1.7606352662965918</v>
      </c>
      <c r="AF61">
        <v>1.6185699860193177</v>
      </c>
      <c r="AG61">
        <v>2.0041040435353872</v>
      </c>
      <c r="AH61">
        <v>2.0041040435353872</v>
      </c>
      <c r="AI61">
        <v>1.71373664749171</v>
      </c>
      <c r="AJ61">
        <v>0.85274602694488677</v>
      </c>
    </row>
    <row r="62" spans="1:36" x14ac:dyDescent="0.3">
      <c r="A62" s="3">
        <v>2043</v>
      </c>
      <c r="B62" s="15">
        <f t="shared" si="2"/>
        <v>0.69477747901523268</v>
      </c>
      <c r="C62" s="15">
        <f t="shared" si="6"/>
        <v>1.0162019474256951</v>
      </c>
      <c r="D62" s="15">
        <f t="shared" si="6"/>
        <v>0.61409148858003959</v>
      </c>
      <c r="E62" s="15">
        <f t="shared" si="6"/>
        <v>1.4933710399588451</v>
      </c>
      <c r="F62" s="15">
        <f t="shared" si="3"/>
        <v>1.9928068140808455</v>
      </c>
      <c r="G62" s="15">
        <f t="shared" si="4"/>
        <v>3.0070034830156169</v>
      </c>
      <c r="H62" s="15">
        <f t="shared" si="6"/>
        <v>0.68818842135611791</v>
      </c>
      <c r="I62" s="15">
        <f t="shared" si="6"/>
        <v>1.1776624197546599</v>
      </c>
      <c r="J62" s="15">
        <f t="shared" si="6"/>
        <v>0.67134680330871366</v>
      </c>
      <c r="K62" s="15">
        <f t="shared" si="6"/>
        <v>0.62291810277428827</v>
      </c>
      <c r="L62" s="15">
        <f t="shared" si="6"/>
        <v>1.1673813495946221</v>
      </c>
      <c r="M62" s="15">
        <f t="shared" si="6"/>
        <v>1.7971492520524788</v>
      </c>
      <c r="N62" s="15">
        <f t="shared" si="6"/>
        <v>1.6620787174733562</v>
      </c>
      <c r="O62" s="15">
        <f t="shared" si="5"/>
        <v>2.0406010251637814</v>
      </c>
      <c r="P62" s="15">
        <f t="shared" si="6"/>
        <v>2.0406010251637814</v>
      </c>
      <c r="Q62" s="15">
        <f t="shared" si="6"/>
        <v>1.7385044226911639</v>
      </c>
      <c r="R62" s="15">
        <f t="shared" si="6"/>
        <v>0.8478785451157832</v>
      </c>
      <c r="T62">
        <v>0.69477747901523268</v>
      </c>
      <c r="U62">
        <v>1.0162019474256951</v>
      </c>
      <c r="V62">
        <v>0.61409148858003959</v>
      </c>
      <c r="W62">
        <v>1.4933710399588451</v>
      </c>
      <c r="X62">
        <v>1.9928068140808455</v>
      </c>
      <c r="Y62">
        <v>3.0070034830156169</v>
      </c>
      <c r="Z62">
        <v>0.68818842135611791</v>
      </c>
      <c r="AA62">
        <v>1.1776624197546599</v>
      </c>
      <c r="AB62">
        <v>0.67134680330871366</v>
      </c>
      <c r="AC62">
        <v>0.62291810277428827</v>
      </c>
      <c r="AD62">
        <v>1.1673813495946221</v>
      </c>
      <c r="AE62">
        <v>1.7971492520524788</v>
      </c>
      <c r="AF62">
        <v>1.6620787174733562</v>
      </c>
      <c r="AG62">
        <v>2.0406010251637814</v>
      </c>
      <c r="AH62">
        <v>2.0406010251637814</v>
      </c>
      <c r="AI62">
        <v>1.7385044226911639</v>
      </c>
      <c r="AJ62">
        <v>0.8478785451157832</v>
      </c>
    </row>
    <row r="63" spans="1:36" x14ac:dyDescent="0.3">
      <c r="A63" s="3">
        <v>2044</v>
      </c>
      <c r="B63" s="15">
        <f t="shared" si="2"/>
        <v>0.68018511726084052</v>
      </c>
      <c r="C63" s="15">
        <f t="shared" si="6"/>
        <v>1.0003052547518299</v>
      </c>
      <c r="D63" s="15">
        <f t="shared" si="6"/>
        <v>0.60201881444357874</v>
      </c>
      <c r="E63" s="15">
        <f t="shared" si="6"/>
        <v>1.5191748203939786</v>
      </c>
      <c r="F63" s="15">
        <f t="shared" si="3"/>
        <v>2.0430504994586718</v>
      </c>
      <c r="G63" s="15">
        <f t="shared" si="4"/>
        <v>3.1531858089852167</v>
      </c>
      <c r="H63" s="15">
        <f t="shared" si="6"/>
        <v>0.67514159748920077</v>
      </c>
      <c r="I63" s="15">
        <f t="shared" si="6"/>
        <v>1.1893512501422672</v>
      </c>
      <c r="J63" s="15">
        <f t="shared" si="6"/>
        <v>0.66038621057325542</v>
      </c>
      <c r="K63" s="15">
        <f t="shared" si="6"/>
        <v>0.60671542534751033</v>
      </c>
      <c r="L63" s="15">
        <f t="shared" si="6"/>
        <v>1.1728749548238984</v>
      </c>
      <c r="M63" s="15">
        <f t="shared" si="6"/>
        <v>1.8415668501609788</v>
      </c>
      <c r="N63" s="15">
        <f t="shared" si="6"/>
        <v>1.7093980333370602</v>
      </c>
      <c r="O63" s="15">
        <f t="shared" si="5"/>
        <v>2.0731109867446684</v>
      </c>
      <c r="P63" s="15">
        <f t="shared" si="6"/>
        <v>2.0731109867446684</v>
      </c>
      <c r="Q63" s="15">
        <f t="shared" si="6"/>
        <v>1.7614874212738083</v>
      </c>
      <c r="R63" s="15">
        <f t="shared" si="6"/>
        <v>0.84269140107378804</v>
      </c>
      <c r="T63">
        <v>0.68018511726084052</v>
      </c>
      <c r="U63">
        <v>1.0003052547518299</v>
      </c>
      <c r="V63">
        <v>0.60201881444357874</v>
      </c>
      <c r="W63">
        <v>1.5191748203939786</v>
      </c>
      <c r="X63">
        <v>2.0430504994586718</v>
      </c>
      <c r="Y63">
        <v>3.1531858089852167</v>
      </c>
      <c r="Z63">
        <v>0.67514159748920077</v>
      </c>
      <c r="AA63">
        <v>1.1893512501422672</v>
      </c>
      <c r="AB63">
        <v>0.66038621057325542</v>
      </c>
      <c r="AC63">
        <v>0.60671542534751033</v>
      </c>
      <c r="AD63">
        <v>1.1728749548238984</v>
      </c>
      <c r="AE63">
        <v>1.8415668501609788</v>
      </c>
      <c r="AF63">
        <v>1.7093980333370602</v>
      </c>
      <c r="AG63">
        <v>2.0731109867446684</v>
      </c>
      <c r="AH63">
        <v>2.0731109867446684</v>
      </c>
      <c r="AI63">
        <v>1.7614874212738083</v>
      </c>
      <c r="AJ63">
        <v>0.84269140107378804</v>
      </c>
    </row>
    <row r="64" spans="1:36" x14ac:dyDescent="0.3">
      <c r="A64" s="3">
        <v>2045</v>
      </c>
      <c r="B64" s="15">
        <f t="shared" si="2"/>
        <v>0.6661644719834775</v>
      </c>
      <c r="C64" s="15">
        <f t="shared" si="6"/>
        <v>0.98449725064947291</v>
      </c>
      <c r="D64" s="15">
        <f t="shared" si="6"/>
        <v>0.59040251004306654</v>
      </c>
      <c r="E64" s="15">
        <f t="shared" si="6"/>
        <v>1.5428487513691329</v>
      </c>
      <c r="F64" s="15">
        <f t="shared" si="3"/>
        <v>2.0949935005553431</v>
      </c>
      <c r="G64" s="15">
        <f t="shared" si="4"/>
        <v>3.3066444809450686</v>
      </c>
      <c r="H64" s="15">
        <f t="shared" si="6"/>
        <v>0.66228964096992815</v>
      </c>
      <c r="I64" s="15">
        <f t="shared" si="6"/>
        <v>1.200212260488404</v>
      </c>
      <c r="J64" s="15">
        <f t="shared" si="6"/>
        <v>0.64961831751981625</v>
      </c>
      <c r="K64" s="15">
        <f t="shared" si="6"/>
        <v>0.59106894991477288</v>
      </c>
      <c r="L64" s="15">
        <f t="shared" si="6"/>
        <v>1.176364011999669</v>
      </c>
      <c r="M64" s="15">
        <f t="shared" si="6"/>
        <v>1.8796192207944813</v>
      </c>
      <c r="N64" s="15">
        <f t="shared" si="6"/>
        <v>1.7549003844795519</v>
      </c>
      <c r="O64" s="15">
        <f t="shared" si="5"/>
        <v>2.1073002491705322</v>
      </c>
      <c r="P64" s="15">
        <f t="shared" si="6"/>
        <v>2.1073002491705322</v>
      </c>
      <c r="Q64" s="15">
        <f t="shared" si="6"/>
        <v>1.7846390965834229</v>
      </c>
      <c r="R64" s="15">
        <f t="shared" si="6"/>
        <v>0.83732957999493163</v>
      </c>
      <c r="T64">
        <v>0.6661644719834775</v>
      </c>
      <c r="U64">
        <v>0.98449725064947291</v>
      </c>
      <c r="V64">
        <v>0.59040251004306654</v>
      </c>
      <c r="W64">
        <v>1.5428487513691329</v>
      </c>
      <c r="X64">
        <v>2.0949935005553431</v>
      </c>
      <c r="Y64">
        <v>3.3066444809450686</v>
      </c>
      <c r="Z64">
        <v>0.66228964096992815</v>
      </c>
      <c r="AA64">
        <v>1.200212260488404</v>
      </c>
      <c r="AB64">
        <v>0.64961831751981625</v>
      </c>
      <c r="AC64">
        <v>0.59106894991477288</v>
      </c>
      <c r="AD64">
        <v>1.176364011999669</v>
      </c>
      <c r="AE64">
        <v>1.8796192207944813</v>
      </c>
      <c r="AF64">
        <v>1.7549003844795519</v>
      </c>
      <c r="AG64">
        <v>2.1073002491705322</v>
      </c>
      <c r="AH64">
        <v>2.1073002491705322</v>
      </c>
      <c r="AI64">
        <v>1.7846390965834229</v>
      </c>
      <c r="AJ64">
        <v>0.83732957999493163</v>
      </c>
    </row>
    <row r="65" spans="1:36" x14ac:dyDescent="0.3">
      <c r="A65" s="3">
        <v>2046</v>
      </c>
      <c r="B65" s="15">
        <f t="shared" si="2"/>
        <v>0.65168432927586628</v>
      </c>
      <c r="C65" s="15">
        <f t="shared" si="6"/>
        <v>0.96811768126924203</v>
      </c>
      <c r="D65" s="15">
        <f t="shared" si="6"/>
        <v>0.57884273780181539</v>
      </c>
      <c r="E65" s="15">
        <f t="shared" si="6"/>
        <v>1.5684891254056361</v>
      </c>
      <c r="F65" s="15">
        <f t="shared" si="3"/>
        <v>2.146358383933233</v>
      </c>
      <c r="G65" s="15">
        <f t="shared" si="4"/>
        <v>3.4656540418496897</v>
      </c>
      <c r="H65" s="15">
        <f t="shared" si="6"/>
        <v>0.64951389613520283</v>
      </c>
      <c r="I65" s="15">
        <f t="shared" si="6"/>
        <v>1.2113269529956969</v>
      </c>
      <c r="J65" s="15">
        <f t="shared" si="6"/>
        <v>0.63869135294640889</v>
      </c>
      <c r="K65" s="15">
        <f t="shared" si="6"/>
        <v>0.57533490957353151</v>
      </c>
      <c r="L65" s="15">
        <f t="shared" si="6"/>
        <v>1.1807897837056625</v>
      </c>
      <c r="M65" s="15">
        <f t="shared" si="6"/>
        <v>1.9235210162304208</v>
      </c>
      <c r="N65" s="15">
        <f t="shared" si="6"/>
        <v>1.8036536754162684</v>
      </c>
      <c r="O65" s="15">
        <f t="shared" si="5"/>
        <v>2.1383809316176885</v>
      </c>
      <c r="P65" s="15">
        <f t="shared" si="6"/>
        <v>2.1383809316176885</v>
      </c>
      <c r="Q65" s="15">
        <f t="shared" si="6"/>
        <v>1.8063721216386681</v>
      </c>
      <c r="R65" s="15">
        <f t="shared" si="6"/>
        <v>0.83164673947815126</v>
      </c>
      <c r="T65">
        <v>0.65168432927586628</v>
      </c>
      <c r="U65">
        <v>0.96811768126924203</v>
      </c>
      <c r="V65">
        <v>0.57884273780181539</v>
      </c>
      <c r="W65">
        <v>1.5684891254056361</v>
      </c>
      <c r="X65">
        <v>2.146358383933233</v>
      </c>
      <c r="Y65">
        <v>3.4656540418496897</v>
      </c>
      <c r="Z65">
        <v>0.64951389613520283</v>
      </c>
      <c r="AA65">
        <v>1.2113269529956969</v>
      </c>
      <c r="AB65">
        <v>0.63869135294640889</v>
      </c>
      <c r="AC65">
        <v>0.57533490957353151</v>
      </c>
      <c r="AD65">
        <v>1.1807897837056625</v>
      </c>
      <c r="AE65">
        <v>1.9235210162304208</v>
      </c>
      <c r="AF65">
        <v>1.8036536754162684</v>
      </c>
      <c r="AG65">
        <v>2.1383809316176885</v>
      </c>
      <c r="AH65">
        <v>2.1383809316176885</v>
      </c>
      <c r="AI65">
        <v>1.8063721216386681</v>
      </c>
      <c r="AJ65">
        <v>0.83164673947815126</v>
      </c>
    </row>
    <row r="66" spans="1:36" x14ac:dyDescent="0.3">
      <c r="A66" s="3">
        <v>2047</v>
      </c>
      <c r="B66" s="15">
        <f t="shared" si="2"/>
        <v>0.63769473937478449</v>
      </c>
      <c r="C66" s="15">
        <f t="shared" si="6"/>
        <v>0.95181810349159079</v>
      </c>
      <c r="D66" s="15">
        <f t="shared" si="6"/>
        <v>0.56764550835621097</v>
      </c>
      <c r="E66" s="15">
        <f t="shared" si="6"/>
        <v>1.5927163810374099</v>
      </c>
      <c r="F66" s="15">
        <f t="shared" si="3"/>
        <v>2.1989320589049401</v>
      </c>
      <c r="G66" s="15">
        <f t="shared" si="4"/>
        <v>3.6333042636177351</v>
      </c>
      <c r="H66" s="15">
        <f t="shared" si="6"/>
        <v>0.63691303209834216</v>
      </c>
      <c r="I66" s="15">
        <f t="shared" si="6"/>
        <v>1.2219212355589626</v>
      </c>
      <c r="J66" s="15">
        <f t="shared" si="6"/>
        <v>0.6279358773672481</v>
      </c>
      <c r="K66" s="15">
        <f t="shared" si="6"/>
        <v>0.56005125720282334</v>
      </c>
      <c r="L66" s="15">
        <f t="shared" si="6"/>
        <v>1.1837268836335804</v>
      </c>
      <c r="M66" s="15">
        <f t="shared" si="6"/>
        <v>1.9630950905491724</v>
      </c>
      <c r="N66" s="15">
        <f t="shared" si="6"/>
        <v>1.851970285942407</v>
      </c>
      <c r="O66" s="15">
        <f t="shared" si="5"/>
        <v>2.1704487502380165</v>
      </c>
      <c r="P66" s="15">
        <f t="shared" si="6"/>
        <v>2.1704487502380165</v>
      </c>
      <c r="Q66" s="15">
        <f t="shared" si="6"/>
        <v>1.8280217984695044</v>
      </c>
      <c r="R66" s="15">
        <f t="shared" si="6"/>
        <v>0.82584183585792459</v>
      </c>
      <c r="T66">
        <v>0.63769473937478449</v>
      </c>
      <c r="U66">
        <v>0.95181810349159079</v>
      </c>
      <c r="V66">
        <v>0.56764550835621097</v>
      </c>
      <c r="W66">
        <v>1.5927163810374099</v>
      </c>
      <c r="X66">
        <v>2.1989320589049401</v>
      </c>
      <c r="Y66">
        <v>3.6333042636177351</v>
      </c>
      <c r="Z66">
        <v>0.63691303209834216</v>
      </c>
      <c r="AA66">
        <v>1.2219212355589626</v>
      </c>
      <c r="AB66">
        <v>0.6279358773672481</v>
      </c>
      <c r="AC66">
        <v>0.56005125720282334</v>
      </c>
      <c r="AD66">
        <v>1.1837268836335804</v>
      </c>
      <c r="AE66">
        <v>1.9630950905491724</v>
      </c>
      <c r="AF66">
        <v>1.851970285942407</v>
      </c>
      <c r="AG66">
        <v>2.1704487502380165</v>
      </c>
      <c r="AH66">
        <v>2.1704487502380165</v>
      </c>
      <c r="AI66">
        <v>1.8280217984695044</v>
      </c>
      <c r="AJ66">
        <v>0.82584183585792459</v>
      </c>
    </row>
    <row r="67" spans="1:36" x14ac:dyDescent="0.3">
      <c r="A67" s="3">
        <v>2048</v>
      </c>
      <c r="B67" s="15">
        <f t="shared" si="2"/>
        <v>0.62349148212216987</v>
      </c>
      <c r="C67" s="15">
        <f t="shared" si="6"/>
        <v>0.93517030345244845</v>
      </c>
      <c r="D67" s="15">
        <f t="shared" si="6"/>
        <v>0.55655581697458489</v>
      </c>
      <c r="E67" s="15">
        <f t="shared" si="6"/>
        <v>1.6183237945739786</v>
      </c>
      <c r="F67" s="15">
        <f t="shared" si="3"/>
        <v>2.2511378407828766</v>
      </c>
      <c r="G67" s="15">
        <f t="shared" si="4"/>
        <v>3.8070805266790435</v>
      </c>
      <c r="H67" s="15">
        <f t="shared" si="6"/>
        <v>0.62441335372348905</v>
      </c>
      <c r="I67" s="15">
        <f t="shared" si="6"/>
        <v>1.2327109447031408</v>
      </c>
      <c r="J67" s="15">
        <f t="shared" si="6"/>
        <v>0.61712135238184718</v>
      </c>
      <c r="K67" s="15">
        <f t="shared" si="6"/>
        <v>0.54479345978242444</v>
      </c>
      <c r="L67" s="15">
        <f t="shared" si="6"/>
        <v>1.1871047005111062</v>
      </c>
      <c r="M67" s="15">
        <f t="shared" si="6"/>
        <v>2.0067311040352287</v>
      </c>
      <c r="N67" s="15">
        <f t="shared" si="6"/>
        <v>1.9027888844698633</v>
      </c>
      <c r="O67" s="15">
        <f t="shared" si="5"/>
        <v>2.2001558350241011</v>
      </c>
      <c r="P67" s="15">
        <f t="shared" si="6"/>
        <v>2.2001558350241011</v>
      </c>
      <c r="Q67" s="15">
        <f t="shared" si="6"/>
        <v>1.8485070109174027</v>
      </c>
      <c r="R67" s="15">
        <f t="shared" si="6"/>
        <v>0.81981316678042548</v>
      </c>
      <c r="T67">
        <v>0.62349148212216987</v>
      </c>
      <c r="U67">
        <v>0.93517030345244845</v>
      </c>
      <c r="V67">
        <v>0.55655581697458489</v>
      </c>
      <c r="W67">
        <v>1.6183237945739786</v>
      </c>
      <c r="X67">
        <v>2.2511378407828766</v>
      </c>
      <c r="Y67">
        <v>3.8070805266790435</v>
      </c>
      <c r="Z67">
        <v>0.62441335372348905</v>
      </c>
      <c r="AA67">
        <v>1.2327109447031408</v>
      </c>
      <c r="AB67">
        <v>0.61712135238184718</v>
      </c>
      <c r="AC67">
        <v>0.54479345978242444</v>
      </c>
      <c r="AD67">
        <v>1.1871047005111062</v>
      </c>
      <c r="AE67">
        <v>2.0067311040352287</v>
      </c>
      <c r="AF67">
        <v>1.9027888844698633</v>
      </c>
      <c r="AG67">
        <v>2.2001558350241011</v>
      </c>
      <c r="AH67">
        <v>2.2001558350241011</v>
      </c>
      <c r="AI67">
        <v>1.8485070109174027</v>
      </c>
      <c r="AJ67">
        <v>0.81981316678042548</v>
      </c>
    </row>
    <row r="68" spans="1:36" x14ac:dyDescent="0.3">
      <c r="A68" s="3">
        <v>2049</v>
      </c>
      <c r="B68" s="15">
        <f t="shared" si="2"/>
        <v>0.60959405326399119</v>
      </c>
      <c r="C68" s="15">
        <f t="shared" si="6"/>
        <v>0.91855788112276349</v>
      </c>
      <c r="D68" s="15">
        <f t="shared" si="6"/>
        <v>0.54576034361443815</v>
      </c>
      <c r="E68" s="15">
        <f t="shared" si="6"/>
        <v>1.6430989849163105</v>
      </c>
      <c r="F68" s="15">
        <f t="shared" si="3"/>
        <v>2.3042545960358645</v>
      </c>
      <c r="G68" s="15">
        <f t="shared" si="4"/>
        <v>3.9884541509948797</v>
      </c>
      <c r="H68" s="15">
        <f t="shared" si="6"/>
        <v>0.61208054048121352</v>
      </c>
      <c r="I68" s="15">
        <f t="shared" si="6"/>
        <v>1.2430785977372292</v>
      </c>
      <c r="J68" s="15">
        <f t="shared" si="6"/>
        <v>0.60643780229878452</v>
      </c>
      <c r="K68" s="15">
        <f t="shared" si="6"/>
        <v>0.5298910801839215</v>
      </c>
      <c r="L68" s="15">
        <f t="shared" si="6"/>
        <v>1.1894560020348119</v>
      </c>
      <c r="M68" s="15">
        <f t="shared" si="6"/>
        <v>2.0476284125385606</v>
      </c>
      <c r="N68" s="15">
        <f t="shared" si="6"/>
        <v>1.9531704666649827</v>
      </c>
      <c r="O68" s="15">
        <f t="shared" si="5"/>
        <v>2.2300791458119331</v>
      </c>
      <c r="P68" s="15">
        <f t="shared" si="6"/>
        <v>2.2300791458119331</v>
      </c>
      <c r="Q68" s="15">
        <f t="shared" si="6"/>
        <v>1.8686988564126037</v>
      </c>
      <c r="R68" s="15">
        <f t="shared" si="6"/>
        <v>0.81365675495721135</v>
      </c>
      <c r="T68">
        <v>0.60959405326399119</v>
      </c>
      <c r="U68">
        <v>0.91855788112276349</v>
      </c>
      <c r="V68">
        <v>0.54576034361443815</v>
      </c>
      <c r="W68">
        <v>1.6430989849163105</v>
      </c>
      <c r="X68">
        <v>2.3042545960358645</v>
      </c>
      <c r="Y68">
        <v>3.9884541509948797</v>
      </c>
      <c r="Z68">
        <v>0.61208054048121352</v>
      </c>
      <c r="AA68">
        <v>1.2430785977372292</v>
      </c>
      <c r="AB68">
        <v>0.60643780229878452</v>
      </c>
      <c r="AC68">
        <v>0.5298910801839215</v>
      </c>
      <c r="AD68">
        <v>1.1894560020348119</v>
      </c>
      <c r="AE68">
        <v>2.0476284125385606</v>
      </c>
      <c r="AF68">
        <v>1.9531704666649827</v>
      </c>
      <c r="AG68">
        <v>2.2300791458119331</v>
      </c>
      <c r="AH68">
        <v>2.2300791458119331</v>
      </c>
      <c r="AI68">
        <v>1.8686988564126037</v>
      </c>
      <c r="AJ68">
        <v>0.81365675495721135</v>
      </c>
    </row>
    <row r="69" spans="1:36" x14ac:dyDescent="0.3">
      <c r="A69" s="3">
        <v>2050</v>
      </c>
      <c r="B69" s="15">
        <f t="shared" si="2"/>
        <v>0.59559829994530211</v>
      </c>
      <c r="C69" s="15">
        <f t="shared" si="6"/>
        <v>0.90175864595394861</v>
      </c>
      <c r="D69" s="15">
        <f t="shared" si="6"/>
        <v>0.53510995309213627</v>
      </c>
      <c r="E69" s="15">
        <f t="shared" si="6"/>
        <v>1.6687981335733351</v>
      </c>
      <c r="F69" s="15">
        <f t="shared" si="3"/>
        <v>2.3572837576950971</v>
      </c>
      <c r="G69" s="15">
        <f t="shared" si="4"/>
        <v>4.175405415527508</v>
      </c>
      <c r="H69" s="15">
        <f t="shared" si="6"/>
        <v>0.59987061246567797</v>
      </c>
      <c r="I69" s="15">
        <f t="shared" si="6"/>
        <v>1.2534512004997571</v>
      </c>
      <c r="J69" s="15">
        <f t="shared" si="6"/>
        <v>0.59575483436473953</v>
      </c>
      <c r="K69" s="15">
        <f t="shared" si="6"/>
        <v>0.51510047532737002</v>
      </c>
      <c r="L69" s="15">
        <f t="shared" si="6"/>
        <v>1.1919125120517151</v>
      </c>
      <c r="M69" s="15">
        <f t="shared" si="6"/>
        <v>2.0910886368531365</v>
      </c>
      <c r="N69" s="15">
        <f t="shared" si="6"/>
        <v>2.0048993053865414</v>
      </c>
      <c r="O69" s="15">
        <f t="shared" si="5"/>
        <v>2.2580898576006856</v>
      </c>
      <c r="P69" s="15">
        <f t="shared" si="6"/>
        <v>2.2580898576006856</v>
      </c>
      <c r="Q69" s="15">
        <f t="shared" si="6"/>
        <v>1.887946658701668</v>
      </c>
      <c r="R69" s="15">
        <f t="shared" ref="R69" si="7">R34</f>
        <v>0.80731531738578233</v>
      </c>
      <c r="T69">
        <v>0.59559829994530211</v>
      </c>
      <c r="U69">
        <v>0.90175864595394861</v>
      </c>
      <c r="V69">
        <v>0.53510995309213627</v>
      </c>
      <c r="W69">
        <v>1.6687981335733351</v>
      </c>
      <c r="X69">
        <v>2.3572837576950971</v>
      </c>
      <c r="Y69">
        <v>4.175405415527508</v>
      </c>
      <c r="Z69">
        <v>0.59987061246567797</v>
      </c>
      <c r="AA69">
        <v>1.2534512004997571</v>
      </c>
      <c r="AB69">
        <v>0.59575483436473953</v>
      </c>
      <c r="AC69">
        <v>0.51510047532737002</v>
      </c>
      <c r="AD69">
        <v>1.1919125120517151</v>
      </c>
      <c r="AE69">
        <v>2.0910886368531365</v>
      </c>
      <c r="AF69">
        <v>2.0048993053865414</v>
      </c>
      <c r="AG69">
        <v>2.2580898576006856</v>
      </c>
      <c r="AH69">
        <v>2.2580898576006856</v>
      </c>
      <c r="AI69">
        <v>1.887946658701668</v>
      </c>
      <c r="AJ69">
        <v>0.80731531738578233</v>
      </c>
    </row>
    <row r="70" spans="1:36" x14ac:dyDescent="0.3">
      <c r="B70" t="b">
        <f>B69&lt;S34</f>
        <v>1</v>
      </c>
      <c r="C70" t="b">
        <f t="shared" ref="C70:R70" si="8">C69&lt;T34</f>
        <v>1</v>
      </c>
      <c r="D70" t="b">
        <f t="shared" si="8"/>
        <v>1</v>
      </c>
      <c r="E70" t="b">
        <f t="shared" si="8"/>
        <v>1</v>
      </c>
      <c r="F70" t="b">
        <f t="shared" si="8"/>
        <v>1</v>
      </c>
      <c r="G70" t="b">
        <f t="shared" si="8"/>
        <v>1</v>
      </c>
      <c r="H70" t="b">
        <f t="shared" si="8"/>
        <v>1</v>
      </c>
      <c r="I70" t="b">
        <f t="shared" si="8"/>
        <v>1</v>
      </c>
      <c r="J70" t="b">
        <f t="shared" si="8"/>
        <v>1</v>
      </c>
      <c r="K70" t="b">
        <f t="shared" si="8"/>
        <v>1</v>
      </c>
      <c r="L70" t="b">
        <f t="shared" si="8"/>
        <v>1</v>
      </c>
      <c r="M70" t="b">
        <f t="shared" si="8"/>
        <v>1</v>
      </c>
      <c r="N70" t="b">
        <f t="shared" si="8"/>
        <v>1</v>
      </c>
      <c r="O70" t="b">
        <f t="shared" si="8"/>
        <v>1</v>
      </c>
      <c r="P70" t="b">
        <f t="shared" si="8"/>
        <v>1</v>
      </c>
      <c r="Q70" t="b">
        <f t="shared" si="8"/>
        <v>1</v>
      </c>
      <c r="R70" t="b">
        <f t="shared" si="8"/>
        <v>1</v>
      </c>
    </row>
  </sheetData>
  <mergeCells count="3">
    <mergeCell ref="S1:AI1"/>
    <mergeCell ref="B1:R1"/>
    <mergeCell ref="B36:R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F335-76C7-40D7-8D95-588C41BD15BF}">
  <dimension ref="A1:AJ72"/>
  <sheetViews>
    <sheetView tabSelected="1" topLeftCell="A12" zoomScale="55" zoomScaleNormal="55" workbookViewId="0">
      <selection activeCell="C21" sqref="C21:AH37"/>
    </sheetView>
  </sheetViews>
  <sheetFormatPr defaultRowHeight="14.4" x14ac:dyDescent="0.3"/>
  <cols>
    <col min="1" max="1" width="14" bestFit="1" customWidth="1"/>
    <col min="2" max="2" width="25.44140625" bestFit="1" customWidth="1"/>
    <col min="3" max="3" width="15.21875" customWidth="1"/>
    <col min="4" max="4" width="24.33203125" bestFit="1" customWidth="1"/>
    <col min="5" max="5" width="23.109375" bestFit="1" customWidth="1"/>
  </cols>
  <sheetData>
    <row r="1" spans="1:5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 t="s">
        <v>0</v>
      </c>
      <c r="B2" t="s">
        <v>36</v>
      </c>
      <c r="C2">
        <v>0.66</v>
      </c>
      <c r="D2">
        <v>0.52</v>
      </c>
      <c r="E2">
        <v>0.51</v>
      </c>
    </row>
    <row r="3" spans="1:5" x14ac:dyDescent="0.3">
      <c r="A3" t="s">
        <v>1</v>
      </c>
      <c r="B3" t="s">
        <v>37</v>
      </c>
      <c r="C3">
        <v>0.97</v>
      </c>
      <c r="D3">
        <v>0.79</v>
      </c>
      <c r="E3">
        <v>0.96</v>
      </c>
    </row>
    <row r="4" spans="1:5" x14ac:dyDescent="0.3">
      <c r="A4" t="s">
        <v>2</v>
      </c>
      <c r="B4" t="s">
        <v>38</v>
      </c>
      <c r="C4">
        <v>0.67</v>
      </c>
      <c r="D4">
        <v>0.53</v>
      </c>
      <c r="E4">
        <v>0.52</v>
      </c>
    </row>
    <row r="5" spans="1:5" x14ac:dyDescent="0.3">
      <c r="A5" t="s">
        <v>3</v>
      </c>
      <c r="B5" t="s">
        <v>39</v>
      </c>
      <c r="C5">
        <v>1.1299999999999999</v>
      </c>
      <c r="D5">
        <v>0.98</v>
      </c>
      <c r="E5">
        <v>1.19</v>
      </c>
    </row>
    <row r="6" spans="1:5" x14ac:dyDescent="0.3">
      <c r="A6" t="s">
        <v>4</v>
      </c>
      <c r="B6" t="s">
        <v>40</v>
      </c>
      <c r="C6">
        <v>1.1299999999999999</v>
      </c>
      <c r="D6">
        <v>0.98</v>
      </c>
      <c r="E6">
        <v>1.19</v>
      </c>
    </row>
    <row r="7" spans="1:5" x14ac:dyDescent="0.3">
      <c r="A7" t="s">
        <v>5</v>
      </c>
      <c r="B7" t="s">
        <v>41</v>
      </c>
      <c r="C7">
        <v>1.1299999999999999</v>
      </c>
      <c r="D7">
        <v>0.98</v>
      </c>
      <c r="E7">
        <v>1.19</v>
      </c>
    </row>
    <row r="8" spans="1:5" x14ac:dyDescent="0.3">
      <c r="A8" t="s">
        <v>6</v>
      </c>
      <c r="B8" t="s">
        <v>42</v>
      </c>
      <c r="C8">
        <v>0.5</v>
      </c>
      <c r="D8">
        <v>0.39</v>
      </c>
      <c r="E8">
        <v>0.27</v>
      </c>
    </row>
    <row r="9" spans="1:5" x14ac:dyDescent="0.3">
      <c r="A9" t="s">
        <v>7</v>
      </c>
      <c r="B9" t="s">
        <v>43</v>
      </c>
      <c r="C9">
        <v>0.97</v>
      </c>
      <c r="D9">
        <v>0.79</v>
      </c>
      <c r="E9">
        <v>0.96</v>
      </c>
    </row>
    <row r="10" spans="1:5" x14ac:dyDescent="0.3">
      <c r="A10" t="s">
        <v>8</v>
      </c>
      <c r="B10" t="s">
        <v>44</v>
      </c>
      <c r="C10">
        <v>0.5</v>
      </c>
      <c r="D10">
        <v>0.39</v>
      </c>
      <c r="E10">
        <v>0.27</v>
      </c>
    </row>
    <row r="11" spans="1:5" x14ac:dyDescent="0.3">
      <c r="A11" t="s">
        <v>9</v>
      </c>
      <c r="B11" t="s">
        <v>45</v>
      </c>
      <c r="C11">
        <v>0.5</v>
      </c>
      <c r="D11">
        <v>0.39</v>
      </c>
      <c r="E11">
        <v>0.27</v>
      </c>
    </row>
    <row r="12" spans="1:5" x14ac:dyDescent="0.3">
      <c r="A12" t="s">
        <v>14</v>
      </c>
      <c r="B12" t="s">
        <v>46</v>
      </c>
      <c r="C12">
        <v>0.97</v>
      </c>
      <c r="D12">
        <v>0.79</v>
      </c>
      <c r="E12">
        <v>0.96</v>
      </c>
    </row>
    <row r="13" spans="1:5" x14ac:dyDescent="0.3">
      <c r="A13" t="s">
        <v>10</v>
      </c>
      <c r="B13" t="s">
        <v>47</v>
      </c>
      <c r="C13">
        <v>0.97</v>
      </c>
      <c r="D13">
        <v>0.79</v>
      </c>
      <c r="E13">
        <v>0.96</v>
      </c>
    </row>
    <row r="14" spans="1:5" x14ac:dyDescent="0.3">
      <c r="A14" t="s">
        <v>11</v>
      </c>
      <c r="B14" t="s">
        <v>48</v>
      </c>
      <c r="C14">
        <v>0.97</v>
      </c>
      <c r="D14">
        <v>0.79</v>
      </c>
      <c r="E14">
        <v>0.96</v>
      </c>
    </row>
    <row r="15" spans="1:5" x14ac:dyDescent="0.3">
      <c r="A15" t="s">
        <v>15</v>
      </c>
      <c r="B15" t="s">
        <v>49</v>
      </c>
      <c r="C15">
        <v>0.97</v>
      </c>
      <c r="D15">
        <v>0.79</v>
      </c>
      <c r="E15">
        <v>0.96</v>
      </c>
    </row>
    <row r="16" spans="1:5" x14ac:dyDescent="0.3">
      <c r="A16" t="s">
        <v>12</v>
      </c>
      <c r="B16" t="s">
        <v>50</v>
      </c>
      <c r="C16">
        <v>0.97</v>
      </c>
      <c r="D16">
        <v>0.79</v>
      </c>
      <c r="E16">
        <v>0.96</v>
      </c>
    </row>
    <row r="17" spans="1:36" x14ac:dyDescent="0.3">
      <c r="A17" t="s">
        <v>16</v>
      </c>
      <c r="B17" t="s">
        <v>51</v>
      </c>
      <c r="C17">
        <v>0.97</v>
      </c>
      <c r="D17">
        <v>0.79</v>
      </c>
      <c r="E17">
        <v>0.96</v>
      </c>
    </row>
    <row r="18" spans="1:36" x14ac:dyDescent="0.3">
      <c r="A18" t="s">
        <v>17</v>
      </c>
      <c r="B18" t="s">
        <v>52</v>
      </c>
      <c r="C18">
        <v>0.66</v>
      </c>
      <c r="D18">
        <v>0.52</v>
      </c>
      <c r="E18">
        <v>0.51</v>
      </c>
    </row>
    <row r="19" spans="1:36" ht="15" thickBot="1" x14ac:dyDescent="0.35"/>
    <row r="20" spans="1:36" x14ac:dyDescent="0.3">
      <c r="A20" s="48"/>
      <c r="B20" s="49"/>
      <c r="C20" s="49">
        <v>2019</v>
      </c>
      <c r="D20" s="49">
        <v>2020</v>
      </c>
      <c r="E20" s="49">
        <v>2021</v>
      </c>
      <c r="F20" s="49">
        <v>2022</v>
      </c>
      <c r="G20" s="49">
        <v>2023</v>
      </c>
      <c r="H20" s="49">
        <v>2024</v>
      </c>
      <c r="I20" s="49">
        <v>2025</v>
      </c>
      <c r="J20" s="49">
        <v>2026</v>
      </c>
      <c r="K20" s="49">
        <v>2027</v>
      </c>
      <c r="L20" s="49">
        <v>2028</v>
      </c>
      <c r="M20" s="49">
        <v>2029</v>
      </c>
      <c r="N20" s="49">
        <v>2030</v>
      </c>
      <c r="O20" s="49">
        <v>2031</v>
      </c>
      <c r="P20" s="49">
        <v>2032</v>
      </c>
      <c r="Q20" s="49">
        <v>2033</v>
      </c>
      <c r="R20" s="49">
        <v>2034</v>
      </c>
      <c r="S20" s="49">
        <v>2035</v>
      </c>
      <c r="T20" s="49">
        <v>2036</v>
      </c>
      <c r="U20" s="49">
        <v>2037</v>
      </c>
      <c r="V20" s="49">
        <v>2038</v>
      </c>
      <c r="W20" s="49">
        <v>2039</v>
      </c>
      <c r="X20" s="49">
        <v>2040</v>
      </c>
      <c r="Y20" s="49">
        <v>2041</v>
      </c>
      <c r="Z20" s="49">
        <v>2042</v>
      </c>
      <c r="AA20" s="49">
        <v>2043</v>
      </c>
      <c r="AB20" s="49">
        <v>2044</v>
      </c>
      <c r="AC20" s="49">
        <v>2045</v>
      </c>
      <c r="AD20" s="49">
        <v>2046</v>
      </c>
      <c r="AE20" s="49">
        <v>2047</v>
      </c>
      <c r="AF20" s="49">
        <v>2048</v>
      </c>
      <c r="AG20" s="49">
        <v>2049</v>
      </c>
      <c r="AH20" s="50">
        <v>2050</v>
      </c>
    </row>
    <row r="21" spans="1:36" x14ac:dyDescent="0.3">
      <c r="A21" s="51" t="s">
        <v>53</v>
      </c>
      <c r="B21" s="52" t="s">
        <v>0</v>
      </c>
      <c r="C21" s="52">
        <v>1</v>
      </c>
      <c r="D21" s="53">
        <v>0.97</v>
      </c>
      <c r="E21" s="53">
        <v>0.94</v>
      </c>
      <c r="F21" s="53">
        <v>0.91</v>
      </c>
      <c r="G21" s="53">
        <v>0.88</v>
      </c>
      <c r="H21" s="53">
        <v>0.84</v>
      </c>
      <c r="I21" s="53">
        <v>0.81</v>
      </c>
      <c r="J21" s="53">
        <v>0.78</v>
      </c>
      <c r="K21" s="53">
        <v>0.75</v>
      </c>
      <c r="L21" s="53">
        <v>0.72</v>
      </c>
      <c r="M21" s="53">
        <v>0.69</v>
      </c>
      <c r="N21" s="53">
        <v>0.66</v>
      </c>
      <c r="O21" s="53">
        <f>($S21-$N21)/5+N21</f>
        <v>0.63</v>
      </c>
      <c r="P21" s="53">
        <f t="shared" ref="P21:T21" si="0">($S21-$N21)/5+O21</f>
        <v>0.6</v>
      </c>
      <c r="Q21" s="53">
        <f t="shared" si="0"/>
        <v>0.56999999999999995</v>
      </c>
      <c r="R21" s="53">
        <f t="shared" si="0"/>
        <v>0.53999999999999992</v>
      </c>
      <c r="S21" s="53">
        <f>E2</f>
        <v>0.51</v>
      </c>
      <c r="T21" s="53">
        <f>($AH21-$S21)/15+S21</f>
        <v>0.49918660999817677</v>
      </c>
      <c r="U21" s="53">
        <f t="shared" ref="U21:AG21" si="1">($AH21-$S21)/15+T21</f>
        <v>0.48837321999635352</v>
      </c>
      <c r="V21" s="53">
        <f t="shared" si="1"/>
        <v>0.47755982999453028</v>
      </c>
      <c r="W21" s="53">
        <f t="shared" si="1"/>
        <v>0.46674643999270704</v>
      </c>
      <c r="X21" s="53">
        <f t="shared" si="1"/>
        <v>0.4559330499908838</v>
      </c>
      <c r="Y21" s="53">
        <f t="shared" si="1"/>
        <v>0.44511965998906056</v>
      </c>
      <c r="Z21" s="53">
        <f t="shared" si="1"/>
        <v>0.43430626998723731</v>
      </c>
      <c r="AA21" s="53">
        <f t="shared" si="1"/>
        <v>0.42349287998541407</v>
      </c>
      <c r="AB21" s="53">
        <f t="shared" si="1"/>
        <v>0.41267948998359083</v>
      </c>
      <c r="AC21" s="53">
        <f t="shared" si="1"/>
        <v>0.40186609998176759</v>
      </c>
      <c r="AD21" s="53">
        <f t="shared" si="1"/>
        <v>0.39105270997994435</v>
      </c>
      <c r="AE21" s="53">
        <f t="shared" si="1"/>
        <v>0.3802393199781211</v>
      </c>
      <c r="AF21" s="53">
        <f t="shared" si="1"/>
        <v>0.36942592997629786</v>
      </c>
      <c r="AG21" s="53">
        <f t="shared" si="1"/>
        <v>0.35861253997447462</v>
      </c>
      <c r="AH21" s="54">
        <f>AVERAGE(AH39,AH56)</f>
        <v>0.34779914997265104</v>
      </c>
      <c r="AJ21" s="30"/>
    </row>
    <row r="22" spans="1:36" x14ac:dyDescent="0.3">
      <c r="A22" s="51" t="s">
        <v>53</v>
      </c>
      <c r="B22" s="52" t="s">
        <v>1</v>
      </c>
      <c r="C22" s="52">
        <v>1</v>
      </c>
      <c r="D22" s="53">
        <v>1</v>
      </c>
      <c r="E22" s="53">
        <v>0.99</v>
      </c>
      <c r="F22" s="53">
        <v>0.99</v>
      </c>
      <c r="G22" s="53">
        <v>0.99</v>
      </c>
      <c r="H22" s="53">
        <v>0.99</v>
      </c>
      <c r="I22" s="53">
        <v>0.98</v>
      </c>
      <c r="J22" s="53">
        <v>0.98</v>
      </c>
      <c r="K22" s="53">
        <v>0.98</v>
      </c>
      <c r="L22" s="53">
        <v>0.98</v>
      </c>
      <c r="M22" s="53">
        <v>0.97</v>
      </c>
      <c r="N22" s="53">
        <v>0.96999999999999986</v>
      </c>
      <c r="O22" s="53">
        <f t="shared" ref="O22:R37" si="2">($S22-$N22)/5+N22</f>
        <v>0.96799999999999986</v>
      </c>
      <c r="P22" s="53">
        <f t="shared" si="2"/>
        <v>0.96599999999999986</v>
      </c>
      <c r="Q22" s="53">
        <f t="shared" si="2"/>
        <v>0.96399999999999986</v>
      </c>
      <c r="R22" s="53">
        <f t="shared" si="2"/>
        <v>0.96199999999999986</v>
      </c>
      <c r="S22" s="53">
        <f t="shared" ref="S22:S38" si="3">E3</f>
        <v>0.96</v>
      </c>
      <c r="T22" s="53">
        <f t="shared" ref="T22:AG22" si="4">($AH22-$S22)/15+S22</f>
        <v>0.9343919548651316</v>
      </c>
      <c r="U22" s="53">
        <f t="shared" si="4"/>
        <v>0.90878390973026324</v>
      </c>
      <c r="V22" s="53">
        <f t="shared" si="4"/>
        <v>0.88317586459539488</v>
      </c>
      <c r="W22" s="53">
        <f t="shared" si="4"/>
        <v>0.85756781946052651</v>
      </c>
      <c r="X22" s="53">
        <f t="shared" si="4"/>
        <v>0.83195977432565815</v>
      </c>
      <c r="Y22" s="53">
        <f t="shared" si="4"/>
        <v>0.80635172919078979</v>
      </c>
      <c r="Z22" s="53">
        <f t="shared" si="4"/>
        <v>0.78074368405592143</v>
      </c>
      <c r="AA22" s="53">
        <f t="shared" si="4"/>
        <v>0.75513563892105307</v>
      </c>
      <c r="AB22" s="53">
        <f t="shared" si="4"/>
        <v>0.7295275937861847</v>
      </c>
      <c r="AC22" s="53">
        <f t="shared" si="4"/>
        <v>0.70391954865131634</v>
      </c>
      <c r="AD22" s="53">
        <f t="shared" si="4"/>
        <v>0.67831150351644798</v>
      </c>
      <c r="AE22" s="53">
        <f t="shared" si="4"/>
        <v>0.65270345838157962</v>
      </c>
      <c r="AF22" s="53">
        <f t="shared" si="4"/>
        <v>0.62709541324671125</v>
      </c>
      <c r="AG22" s="53">
        <f t="shared" si="4"/>
        <v>0.60148736811184289</v>
      </c>
      <c r="AH22" s="54">
        <f t="shared" ref="AH22:AH37" si="5">AVERAGE(AH40,AH57)</f>
        <v>0.57587932297697431</v>
      </c>
      <c r="AJ22" s="30"/>
    </row>
    <row r="23" spans="1:36" x14ac:dyDescent="0.3">
      <c r="A23" s="51" t="s">
        <v>53</v>
      </c>
      <c r="B23" s="52" t="s">
        <v>2</v>
      </c>
      <c r="C23" s="52">
        <v>1</v>
      </c>
      <c r="D23" s="53">
        <v>0.97</v>
      </c>
      <c r="E23" s="53">
        <v>0.94</v>
      </c>
      <c r="F23" s="53">
        <v>0.91</v>
      </c>
      <c r="G23" s="53">
        <v>0.88</v>
      </c>
      <c r="H23" s="53">
        <v>0.85</v>
      </c>
      <c r="I23" s="53">
        <v>0.82</v>
      </c>
      <c r="J23" s="53">
        <v>0.79</v>
      </c>
      <c r="K23" s="53">
        <v>0.76</v>
      </c>
      <c r="L23" s="53">
        <v>0.73</v>
      </c>
      <c r="M23" s="53">
        <v>0.7</v>
      </c>
      <c r="N23" s="53">
        <v>0.67</v>
      </c>
      <c r="O23" s="53">
        <f t="shared" si="2"/>
        <v>0.64</v>
      </c>
      <c r="P23" s="53">
        <f t="shared" si="2"/>
        <v>0.61</v>
      </c>
      <c r="Q23" s="53">
        <f t="shared" si="2"/>
        <v>0.57999999999999996</v>
      </c>
      <c r="R23" s="53">
        <f t="shared" si="2"/>
        <v>0.54999999999999993</v>
      </c>
      <c r="S23" s="53">
        <f t="shared" si="3"/>
        <v>0.52</v>
      </c>
      <c r="T23" s="53">
        <f t="shared" ref="T23:AG23" si="6">($AH23-$S23)/15+S23</f>
        <v>0.50650366510307121</v>
      </c>
      <c r="U23" s="53">
        <f t="shared" si="6"/>
        <v>0.4930073302061424</v>
      </c>
      <c r="V23" s="53">
        <f t="shared" si="6"/>
        <v>0.47951099530921359</v>
      </c>
      <c r="W23" s="53">
        <f t="shared" si="6"/>
        <v>0.46601466041228479</v>
      </c>
      <c r="X23" s="53">
        <f t="shared" si="6"/>
        <v>0.45251832551535598</v>
      </c>
      <c r="Y23" s="53">
        <f t="shared" si="6"/>
        <v>0.43902199061842717</v>
      </c>
      <c r="Z23" s="53">
        <f t="shared" si="6"/>
        <v>0.42552565572149836</v>
      </c>
      <c r="AA23" s="53">
        <f t="shared" si="6"/>
        <v>0.41202932082456956</v>
      </c>
      <c r="AB23" s="53">
        <f t="shared" si="6"/>
        <v>0.39853298592764075</v>
      </c>
      <c r="AC23" s="53">
        <f t="shared" si="6"/>
        <v>0.38503665103071194</v>
      </c>
      <c r="AD23" s="53">
        <f t="shared" si="6"/>
        <v>0.37154031613378313</v>
      </c>
      <c r="AE23" s="53">
        <f t="shared" si="6"/>
        <v>0.35804398123685433</v>
      </c>
      <c r="AF23" s="53">
        <f t="shared" si="6"/>
        <v>0.34454764633992552</v>
      </c>
      <c r="AG23" s="53">
        <f t="shared" si="6"/>
        <v>0.33105131144299671</v>
      </c>
      <c r="AH23" s="54">
        <f t="shared" si="5"/>
        <v>0.31755497654606812</v>
      </c>
      <c r="AJ23" s="30"/>
    </row>
    <row r="24" spans="1:36" x14ac:dyDescent="0.3">
      <c r="A24" s="51" t="s">
        <v>53</v>
      </c>
      <c r="B24" s="52" t="s">
        <v>3</v>
      </c>
      <c r="C24" s="52">
        <v>1</v>
      </c>
      <c r="D24" s="53">
        <v>1.01</v>
      </c>
      <c r="E24" s="53">
        <v>1.02</v>
      </c>
      <c r="F24" s="53">
        <v>1.04</v>
      </c>
      <c r="G24" s="53">
        <v>1.05</v>
      </c>
      <c r="H24" s="53">
        <v>1.06</v>
      </c>
      <c r="I24" s="53">
        <v>1.07</v>
      </c>
      <c r="J24" s="53">
        <v>1.0900000000000001</v>
      </c>
      <c r="K24" s="53">
        <v>1.1000000000000001</v>
      </c>
      <c r="L24" s="53">
        <v>1.1100000000000001</v>
      </c>
      <c r="M24" s="53">
        <v>1.1200000000000001</v>
      </c>
      <c r="N24" s="53">
        <v>1.1299999999999999</v>
      </c>
      <c r="O24" s="53">
        <f t="shared" si="2"/>
        <v>1.1419999999999999</v>
      </c>
      <c r="P24" s="53">
        <f t="shared" si="2"/>
        <v>1.1539999999999999</v>
      </c>
      <c r="Q24" s="53">
        <f t="shared" si="2"/>
        <v>1.1659999999999999</v>
      </c>
      <c r="R24" s="53">
        <f t="shared" si="2"/>
        <v>1.1779999999999999</v>
      </c>
      <c r="S24" s="53">
        <f t="shared" si="3"/>
        <v>1.19</v>
      </c>
      <c r="T24" s="53">
        <f t="shared" ref="T24:AG24" si="7">($AH24-$S24)/15+S24</f>
        <v>1.1846266044524445</v>
      </c>
      <c r="U24" s="53">
        <f t="shared" si="7"/>
        <v>1.179253208904889</v>
      </c>
      <c r="V24" s="53">
        <f t="shared" si="7"/>
        <v>1.1738798133573336</v>
      </c>
      <c r="W24" s="53">
        <f t="shared" si="7"/>
        <v>1.1685064178097782</v>
      </c>
      <c r="X24" s="53">
        <f t="shared" si="7"/>
        <v>1.1631330222622227</v>
      </c>
      <c r="Y24" s="53">
        <f t="shared" si="7"/>
        <v>1.1577596267146673</v>
      </c>
      <c r="Z24" s="53">
        <f t="shared" si="7"/>
        <v>1.1523862311671118</v>
      </c>
      <c r="AA24" s="53">
        <f t="shared" si="7"/>
        <v>1.1470128356195564</v>
      </c>
      <c r="AB24" s="53">
        <f t="shared" si="7"/>
        <v>1.1416394400720009</v>
      </c>
      <c r="AC24" s="53">
        <f t="shared" si="7"/>
        <v>1.1362660445244455</v>
      </c>
      <c r="AD24" s="53">
        <f t="shared" si="7"/>
        <v>1.13089264897689</v>
      </c>
      <c r="AE24" s="53">
        <f t="shared" si="7"/>
        <v>1.1255192534293346</v>
      </c>
      <c r="AF24" s="53">
        <f t="shared" si="7"/>
        <v>1.1201458578817791</v>
      </c>
      <c r="AG24" s="53">
        <f t="shared" si="7"/>
        <v>1.1147724623342237</v>
      </c>
      <c r="AH24" s="54">
        <f t="shared" si="5"/>
        <v>1.1093990667866676</v>
      </c>
      <c r="AJ24" s="30"/>
    </row>
    <row r="25" spans="1:36" x14ac:dyDescent="0.3">
      <c r="A25" s="51" t="s">
        <v>53</v>
      </c>
      <c r="B25" s="52" t="s">
        <v>4</v>
      </c>
      <c r="C25" s="52">
        <v>1</v>
      </c>
      <c r="D25" s="53">
        <v>1.01</v>
      </c>
      <c r="E25" s="53">
        <v>1.02</v>
      </c>
      <c r="F25" s="53">
        <v>1.04</v>
      </c>
      <c r="G25" s="53">
        <v>1.05</v>
      </c>
      <c r="H25" s="53">
        <v>1.06</v>
      </c>
      <c r="I25" s="53">
        <v>1.07</v>
      </c>
      <c r="J25" s="53">
        <v>1.0900000000000001</v>
      </c>
      <c r="K25" s="53">
        <v>1.1000000000000001</v>
      </c>
      <c r="L25" s="53">
        <v>1.1100000000000001</v>
      </c>
      <c r="M25" s="53">
        <v>1.1200000000000001</v>
      </c>
      <c r="N25" s="53">
        <v>1.1299999999999999</v>
      </c>
      <c r="O25" s="53">
        <f t="shared" si="2"/>
        <v>1.1419999999999999</v>
      </c>
      <c r="P25" s="53">
        <f t="shared" si="2"/>
        <v>1.1539999999999999</v>
      </c>
      <c r="Q25" s="53">
        <f t="shared" si="2"/>
        <v>1.1659999999999999</v>
      </c>
      <c r="R25" s="53">
        <f t="shared" si="2"/>
        <v>1.1779999999999999</v>
      </c>
      <c r="S25" s="53">
        <f t="shared" si="3"/>
        <v>1.19</v>
      </c>
      <c r="T25" s="53">
        <f t="shared" ref="T25:AG25" si="8">($AH25-$S25)/15+S25</f>
        <v>1.2075761252565032</v>
      </c>
      <c r="U25" s="53">
        <f t="shared" si="8"/>
        <v>1.2251522505130064</v>
      </c>
      <c r="V25" s="53">
        <f t="shared" si="8"/>
        <v>1.2427283757695096</v>
      </c>
      <c r="W25" s="53">
        <f t="shared" si="8"/>
        <v>1.2603045010260128</v>
      </c>
      <c r="X25" s="53">
        <f t="shared" si="8"/>
        <v>1.277880626282516</v>
      </c>
      <c r="Y25" s="53">
        <f t="shared" si="8"/>
        <v>1.2954567515390192</v>
      </c>
      <c r="Z25" s="53">
        <f t="shared" si="8"/>
        <v>1.3130328767955224</v>
      </c>
      <c r="AA25" s="53">
        <f t="shared" si="8"/>
        <v>1.3306090020520256</v>
      </c>
      <c r="AB25" s="53">
        <f t="shared" si="8"/>
        <v>1.3481851273085288</v>
      </c>
      <c r="AC25" s="53">
        <f t="shared" si="8"/>
        <v>1.365761252565032</v>
      </c>
      <c r="AD25" s="53">
        <f t="shared" si="8"/>
        <v>1.3833373778215352</v>
      </c>
      <c r="AE25" s="53">
        <f t="shared" si="8"/>
        <v>1.4009135030780384</v>
      </c>
      <c r="AF25" s="53">
        <f t="shared" si="8"/>
        <v>1.4184896283345416</v>
      </c>
      <c r="AG25" s="53">
        <f t="shared" si="8"/>
        <v>1.4360657535910448</v>
      </c>
      <c r="AH25" s="54">
        <f t="shared" si="5"/>
        <v>1.4536418788475487</v>
      </c>
      <c r="AJ25" s="30"/>
    </row>
    <row r="26" spans="1:36" x14ac:dyDescent="0.3">
      <c r="A26" s="51" t="s">
        <v>53</v>
      </c>
      <c r="B26" s="52" t="s">
        <v>5</v>
      </c>
      <c r="C26" s="52">
        <v>1</v>
      </c>
      <c r="D26" s="53">
        <v>1.01</v>
      </c>
      <c r="E26" s="53">
        <v>1.02</v>
      </c>
      <c r="F26" s="53">
        <v>1.04</v>
      </c>
      <c r="G26" s="53">
        <v>1.05</v>
      </c>
      <c r="H26" s="53">
        <v>1.06</v>
      </c>
      <c r="I26" s="53">
        <v>1.07</v>
      </c>
      <c r="J26" s="53">
        <v>1.0900000000000001</v>
      </c>
      <c r="K26" s="53">
        <v>1.1000000000000001</v>
      </c>
      <c r="L26" s="53">
        <v>1.1100000000000001</v>
      </c>
      <c r="M26" s="53">
        <v>1.1200000000000001</v>
      </c>
      <c r="N26" s="53">
        <v>1.1299999999999999</v>
      </c>
      <c r="O26" s="53">
        <f t="shared" si="2"/>
        <v>1.1419999999999999</v>
      </c>
      <c r="P26" s="53">
        <f t="shared" si="2"/>
        <v>1.1539999999999999</v>
      </c>
      <c r="Q26" s="53">
        <f t="shared" si="2"/>
        <v>1.1659999999999999</v>
      </c>
      <c r="R26" s="53">
        <f t="shared" si="2"/>
        <v>1.1779999999999999</v>
      </c>
      <c r="S26" s="53">
        <f t="shared" si="3"/>
        <v>1.19</v>
      </c>
      <c r="T26" s="53">
        <f t="shared" ref="T26:AG26" si="9">($AH26-$S26)/15+S26</f>
        <v>1.2681801805175836</v>
      </c>
      <c r="U26" s="53">
        <f t="shared" si="9"/>
        <v>1.3463603610351673</v>
      </c>
      <c r="V26" s="53">
        <f t="shared" si="9"/>
        <v>1.424540541552751</v>
      </c>
      <c r="W26" s="53">
        <f t="shared" si="9"/>
        <v>1.5027207220703347</v>
      </c>
      <c r="X26" s="53">
        <f t="shared" si="9"/>
        <v>1.5809009025879184</v>
      </c>
      <c r="Y26" s="53">
        <f t="shared" si="9"/>
        <v>1.6590810831055021</v>
      </c>
      <c r="Z26" s="53">
        <f t="shared" si="9"/>
        <v>1.7372612636230857</v>
      </c>
      <c r="AA26" s="53">
        <f t="shared" si="9"/>
        <v>1.8154414441406694</v>
      </c>
      <c r="AB26" s="53">
        <f t="shared" si="9"/>
        <v>1.8936216246582531</v>
      </c>
      <c r="AC26" s="53">
        <f t="shared" si="9"/>
        <v>1.9718018051758368</v>
      </c>
      <c r="AD26" s="53">
        <f t="shared" si="9"/>
        <v>2.0499819856934205</v>
      </c>
      <c r="AE26" s="53">
        <f t="shared" si="9"/>
        <v>2.1281621662110042</v>
      </c>
      <c r="AF26" s="53">
        <f t="shared" si="9"/>
        <v>2.2063423467285879</v>
      </c>
      <c r="AG26" s="53">
        <f t="shared" si="9"/>
        <v>2.2845225272461716</v>
      </c>
      <c r="AH26" s="54">
        <f t="shared" si="5"/>
        <v>2.3627027077637539</v>
      </c>
      <c r="AJ26" s="30"/>
    </row>
    <row r="27" spans="1:36" x14ac:dyDescent="0.3">
      <c r="A27" s="51" t="s">
        <v>53</v>
      </c>
      <c r="B27" s="52" t="s">
        <v>6</v>
      </c>
      <c r="C27" s="52">
        <v>1</v>
      </c>
      <c r="D27" s="53">
        <v>0.95</v>
      </c>
      <c r="E27" s="53">
        <v>0.91</v>
      </c>
      <c r="F27" s="53">
        <v>0.86</v>
      </c>
      <c r="G27" s="53">
        <v>0.82</v>
      </c>
      <c r="H27" s="53">
        <v>0.77</v>
      </c>
      <c r="I27" s="53">
        <v>0.73</v>
      </c>
      <c r="J27" s="53">
        <v>0.68</v>
      </c>
      <c r="K27" s="53">
        <v>0.64</v>
      </c>
      <c r="L27" s="53">
        <v>0.59</v>
      </c>
      <c r="M27" s="53">
        <v>0.55000000000000004</v>
      </c>
      <c r="N27" s="53">
        <v>0.5</v>
      </c>
      <c r="O27" s="53">
        <f t="shared" si="2"/>
        <v>0.45400000000000001</v>
      </c>
      <c r="P27" s="53">
        <f t="shared" si="2"/>
        <v>0.40800000000000003</v>
      </c>
      <c r="Q27" s="53">
        <f t="shared" si="2"/>
        <v>0.36200000000000004</v>
      </c>
      <c r="R27" s="53">
        <f t="shared" si="2"/>
        <v>0.31600000000000006</v>
      </c>
      <c r="S27" s="53">
        <f t="shared" si="3"/>
        <v>0.27</v>
      </c>
      <c r="T27" s="53">
        <f t="shared" ref="T27:AG27" si="10">($AH27-$S27)/15+S27</f>
        <v>0.27366235374885595</v>
      </c>
      <c r="U27" s="53">
        <f t="shared" si="10"/>
        <v>0.27732470749771188</v>
      </c>
      <c r="V27" s="53">
        <f t="shared" si="10"/>
        <v>0.2809870612465678</v>
      </c>
      <c r="W27" s="53">
        <f t="shared" si="10"/>
        <v>0.28464941499542373</v>
      </c>
      <c r="X27" s="53">
        <f t="shared" si="10"/>
        <v>0.28831176874427966</v>
      </c>
      <c r="Y27" s="53">
        <f t="shared" si="10"/>
        <v>0.29197412249313559</v>
      </c>
      <c r="Z27" s="53">
        <f t="shared" si="10"/>
        <v>0.29563647624199152</v>
      </c>
      <c r="AA27" s="53">
        <f t="shared" si="10"/>
        <v>0.29929882999084745</v>
      </c>
      <c r="AB27" s="53">
        <f t="shared" si="10"/>
        <v>0.30296118373970338</v>
      </c>
      <c r="AC27" s="53">
        <f t="shared" si="10"/>
        <v>0.30662353748855931</v>
      </c>
      <c r="AD27" s="53">
        <f t="shared" si="10"/>
        <v>0.31028589123741523</v>
      </c>
      <c r="AE27" s="53">
        <f t="shared" si="10"/>
        <v>0.31394824498627116</v>
      </c>
      <c r="AF27" s="53">
        <f t="shared" si="10"/>
        <v>0.31761059873512709</v>
      </c>
      <c r="AG27" s="53">
        <f t="shared" si="10"/>
        <v>0.32127295248398302</v>
      </c>
      <c r="AH27" s="54">
        <f t="shared" si="5"/>
        <v>0.32493530623283901</v>
      </c>
      <c r="AJ27" s="30"/>
    </row>
    <row r="28" spans="1:36" x14ac:dyDescent="0.3">
      <c r="A28" s="51" t="s">
        <v>53</v>
      </c>
      <c r="B28" s="52" t="s">
        <v>7</v>
      </c>
      <c r="C28" s="52">
        <v>1</v>
      </c>
      <c r="D28" s="53">
        <v>1</v>
      </c>
      <c r="E28" s="53">
        <v>0.99</v>
      </c>
      <c r="F28" s="53">
        <v>0.99</v>
      </c>
      <c r="G28" s="53">
        <v>0.99</v>
      </c>
      <c r="H28" s="53">
        <v>0.99</v>
      </c>
      <c r="I28" s="53">
        <v>0.98</v>
      </c>
      <c r="J28" s="53">
        <v>0.98</v>
      </c>
      <c r="K28" s="53">
        <v>0.98</v>
      </c>
      <c r="L28" s="53">
        <v>0.98</v>
      </c>
      <c r="M28" s="53">
        <v>0.97</v>
      </c>
      <c r="N28" s="53">
        <v>0.96999999999999986</v>
      </c>
      <c r="O28" s="53">
        <f t="shared" si="2"/>
        <v>0.96799999999999986</v>
      </c>
      <c r="P28" s="53">
        <f t="shared" si="2"/>
        <v>0.96599999999999986</v>
      </c>
      <c r="Q28" s="53">
        <f t="shared" si="2"/>
        <v>0.96399999999999986</v>
      </c>
      <c r="R28" s="53">
        <f t="shared" si="2"/>
        <v>0.96199999999999986</v>
      </c>
      <c r="S28" s="53">
        <f t="shared" si="3"/>
        <v>0.96</v>
      </c>
      <c r="T28" s="53">
        <f t="shared" ref="T28:AG28" si="11">($AH28-$S28)/15+S28</f>
        <v>0.94611504001665858</v>
      </c>
      <c r="U28" s="53">
        <f t="shared" si="11"/>
        <v>0.9322300800333172</v>
      </c>
      <c r="V28" s="53">
        <f t="shared" si="11"/>
        <v>0.91834512004997582</v>
      </c>
      <c r="W28" s="53">
        <f t="shared" si="11"/>
        <v>0.90446016006663443</v>
      </c>
      <c r="X28" s="53">
        <f t="shared" si="11"/>
        <v>0.89057520008329305</v>
      </c>
      <c r="Y28" s="53">
        <f t="shared" si="11"/>
        <v>0.87669024009995167</v>
      </c>
      <c r="Z28" s="53">
        <f t="shared" si="11"/>
        <v>0.86280528011661028</v>
      </c>
      <c r="AA28" s="53">
        <f t="shared" si="11"/>
        <v>0.8489203201332689</v>
      </c>
      <c r="AB28" s="53">
        <f t="shared" si="11"/>
        <v>0.83503536014992752</v>
      </c>
      <c r="AC28" s="53">
        <f t="shared" si="11"/>
        <v>0.82115040016658614</v>
      </c>
      <c r="AD28" s="53">
        <f t="shared" si="11"/>
        <v>0.80726544018324475</v>
      </c>
      <c r="AE28" s="53">
        <f t="shared" si="11"/>
        <v>0.79338048019990337</v>
      </c>
      <c r="AF28" s="53">
        <f t="shared" si="11"/>
        <v>0.77949552021656199</v>
      </c>
      <c r="AG28" s="53">
        <f t="shared" si="11"/>
        <v>0.76561056023322061</v>
      </c>
      <c r="AH28" s="54">
        <f t="shared" si="5"/>
        <v>0.75172560024987856</v>
      </c>
      <c r="AJ28" s="30"/>
    </row>
    <row r="29" spans="1:36" x14ac:dyDescent="0.3">
      <c r="A29" s="51" t="s">
        <v>53</v>
      </c>
      <c r="B29" s="52" t="s">
        <v>8</v>
      </c>
      <c r="C29" s="52">
        <v>1</v>
      </c>
      <c r="D29" s="53">
        <v>0.95</v>
      </c>
      <c r="E29" s="53">
        <v>0.91</v>
      </c>
      <c r="F29" s="53">
        <v>0.86</v>
      </c>
      <c r="G29" s="53">
        <v>0.82</v>
      </c>
      <c r="H29" s="53">
        <v>0.77</v>
      </c>
      <c r="I29" s="53">
        <v>0.73</v>
      </c>
      <c r="J29" s="53">
        <v>0.68</v>
      </c>
      <c r="K29" s="53">
        <v>0.64</v>
      </c>
      <c r="L29" s="53">
        <v>0.59</v>
      </c>
      <c r="M29" s="53">
        <v>0.55000000000000004</v>
      </c>
      <c r="N29" s="53">
        <v>0.5</v>
      </c>
      <c r="O29" s="53">
        <f t="shared" si="2"/>
        <v>0.45400000000000001</v>
      </c>
      <c r="P29" s="53">
        <f t="shared" si="2"/>
        <v>0.40800000000000003</v>
      </c>
      <c r="Q29" s="53">
        <f t="shared" si="2"/>
        <v>0.36200000000000004</v>
      </c>
      <c r="R29" s="53">
        <f t="shared" si="2"/>
        <v>0.31600000000000006</v>
      </c>
      <c r="S29" s="53">
        <f t="shared" si="3"/>
        <v>0.27</v>
      </c>
      <c r="T29" s="53">
        <f t="shared" ref="T29:AG29" si="12">($AH29-$S29)/15+S29</f>
        <v>0.27352516114549136</v>
      </c>
      <c r="U29" s="53">
        <f t="shared" si="12"/>
        <v>0.2770503222909827</v>
      </c>
      <c r="V29" s="53">
        <f t="shared" si="12"/>
        <v>0.28057548343647404</v>
      </c>
      <c r="W29" s="53">
        <f t="shared" si="12"/>
        <v>0.28410064458196538</v>
      </c>
      <c r="X29" s="53">
        <f t="shared" si="12"/>
        <v>0.28762580572745672</v>
      </c>
      <c r="Y29" s="53">
        <f t="shared" si="12"/>
        <v>0.29115096687294806</v>
      </c>
      <c r="Z29" s="53">
        <f t="shared" si="12"/>
        <v>0.2946761280184394</v>
      </c>
      <c r="AA29" s="53">
        <f t="shared" si="12"/>
        <v>0.29820128916393074</v>
      </c>
      <c r="AB29" s="53">
        <f t="shared" si="12"/>
        <v>0.30172645030942208</v>
      </c>
      <c r="AC29" s="53">
        <f t="shared" si="12"/>
        <v>0.30525161145491342</v>
      </c>
      <c r="AD29" s="53">
        <f t="shared" si="12"/>
        <v>0.30877677260040476</v>
      </c>
      <c r="AE29" s="53">
        <f t="shared" si="12"/>
        <v>0.3123019337458961</v>
      </c>
      <c r="AF29" s="53">
        <f t="shared" si="12"/>
        <v>0.31582709489138744</v>
      </c>
      <c r="AG29" s="53">
        <f t="shared" si="12"/>
        <v>0.31935225603687878</v>
      </c>
      <c r="AH29" s="54">
        <f t="shared" si="5"/>
        <v>0.32287741718236979</v>
      </c>
      <c r="AJ29" s="30"/>
    </row>
    <row r="30" spans="1:36" x14ac:dyDescent="0.3">
      <c r="A30" s="51" t="s">
        <v>53</v>
      </c>
      <c r="B30" s="52" t="s">
        <v>9</v>
      </c>
      <c r="C30" s="52">
        <v>1</v>
      </c>
      <c r="D30" s="53">
        <v>0.95</v>
      </c>
      <c r="E30" s="53">
        <v>0.91</v>
      </c>
      <c r="F30" s="53">
        <v>0.86</v>
      </c>
      <c r="G30" s="53">
        <v>0.82</v>
      </c>
      <c r="H30" s="53">
        <v>0.77</v>
      </c>
      <c r="I30" s="53">
        <v>0.73</v>
      </c>
      <c r="J30" s="53">
        <v>0.68</v>
      </c>
      <c r="K30" s="53">
        <v>0.64</v>
      </c>
      <c r="L30" s="53">
        <v>0.59</v>
      </c>
      <c r="M30" s="53">
        <v>0.55000000000000004</v>
      </c>
      <c r="N30" s="53">
        <v>0.5</v>
      </c>
      <c r="O30" s="53">
        <f t="shared" si="2"/>
        <v>0.45400000000000001</v>
      </c>
      <c r="P30" s="53">
        <f t="shared" si="2"/>
        <v>0.40800000000000003</v>
      </c>
      <c r="Q30" s="53">
        <f t="shared" si="2"/>
        <v>0.36200000000000004</v>
      </c>
      <c r="R30" s="53">
        <f t="shared" si="2"/>
        <v>0.31600000000000006</v>
      </c>
      <c r="S30" s="53">
        <f t="shared" si="3"/>
        <v>0.27</v>
      </c>
      <c r="T30" s="53">
        <f t="shared" ref="T30:AG30" si="13">($AH30-$S30)/15+S30</f>
        <v>0.27083668251091236</v>
      </c>
      <c r="U30" s="53">
        <f t="shared" si="13"/>
        <v>0.27167336502182471</v>
      </c>
      <c r="V30" s="53">
        <f t="shared" si="13"/>
        <v>0.27251004753273705</v>
      </c>
      <c r="W30" s="53">
        <f t="shared" si="13"/>
        <v>0.2733467300436494</v>
      </c>
      <c r="X30" s="53">
        <f t="shared" si="13"/>
        <v>0.27418341255456175</v>
      </c>
      <c r="Y30" s="53">
        <f t="shared" si="13"/>
        <v>0.27502009506547409</v>
      </c>
      <c r="Z30" s="53">
        <f t="shared" si="13"/>
        <v>0.27585677757638644</v>
      </c>
      <c r="AA30" s="53">
        <f t="shared" si="13"/>
        <v>0.27669346008729878</v>
      </c>
      <c r="AB30" s="53">
        <f t="shared" si="13"/>
        <v>0.27753014259821113</v>
      </c>
      <c r="AC30" s="53">
        <f t="shared" si="13"/>
        <v>0.27836682510912347</v>
      </c>
      <c r="AD30" s="53">
        <f t="shared" si="13"/>
        <v>0.27920350762003582</v>
      </c>
      <c r="AE30" s="53">
        <f t="shared" si="13"/>
        <v>0.28004019013094816</v>
      </c>
      <c r="AF30" s="53">
        <f t="shared" si="13"/>
        <v>0.28087687264186051</v>
      </c>
      <c r="AG30" s="53">
        <f t="shared" si="13"/>
        <v>0.28171355515277285</v>
      </c>
      <c r="AH30" s="54">
        <f t="shared" si="5"/>
        <v>0.28255023766368503</v>
      </c>
      <c r="AJ30" s="30"/>
    </row>
    <row r="31" spans="1:36" x14ac:dyDescent="0.3">
      <c r="A31" s="51" t="s">
        <v>53</v>
      </c>
      <c r="B31" s="52" t="s">
        <v>14</v>
      </c>
      <c r="C31" s="52">
        <v>1</v>
      </c>
      <c r="D31" s="53">
        <v>1</v>
      </c>
      <c r="E31" s="53">
        <v>0.99</v>
      </c>
      <c r="F31" s="53">
        <v>0.99</v>
      </c>
      <c r="G31" s="53">
        <v>0.99</v>
      </c>
      <c r="H31" s="53">
        <v>0.99</v>
      </c>
      <c r="I31" s="53">
        <v>0.98</v>
      </c>
      <c r="J31" s="53">
        <v>0.98</v>
      </c>
      <c r="K31" s="53">
        <v>0.98</v>
      </c>
      <c r="L31" s="53">
        <v>0.98</v>
      </c>
      <c r="M31" s="53">
        <v>0.97</v>
      </c>
      <c r="N31" s="53">
        <v>0.97</v>
      </c>
      <c r="O31" s="53">
        <f t="shared" si="2"/>
        <v>0.96799999999999997</v>
      </c>
      <c r="P31" s="53">
        <f t="shared" si="2"/>
        <v>0.96599999999999997</v>
      </c>
      <c r="Q31" s="53">
        <f t="shared" si="2"/>
        <v>0.96399999999999997</v>
      </c>
      <c r="R31" s="53">
        <f t="shared" si="2"/>
        <v>0.96199999999999997</v>
      </c>
      <c r="S31" s="53">
        <f t="shared" si="3"/>
        <v>0.96</v>
      </c>
      <c r="T31" s="53">
        <f t="shared" ref="T31:AG31" si="14">($AH31-$S31)/15+S31</f>
        <v>0.94406375040172386</v>
      </c>
      <c r="U31" s="53">
        <f t="shared" si="14"/>
        <v>0.92812750080344775</v>
      </c>
      <c r="V31" s="53">
        <f t="shared" si="14"/>
        <v>0.91219125120517164</v>
      </c>
      <c r="W31" s="53">
        <f t="shared" si="14"/>
        <v>0.89625500160689553</v>
      </c>
      <c r="X31" s="53">
        <f t="shared" si="14"/>
        <v>0.88031875200861942</v>
      </c>
      <c r="Y31" s="53">
        <f t="shared" si="14"/>
        <v>0.86438250241034331</v>
      </c>
      <c r="Z31" s="53">
        <f t="shared" si="14"/>
        <v>0.8484462528120672</v>
      </c>
      <c r="AA31" s="53">
        <f t="shared" si="14"/>
        <v>0.83251000321379109</v>
      </c>
      <c r="AB31" s="53">
        <f t="shared" si="14"/>
        <v>0.81657375361551499</v>
      </c>
      <c r="AC31" s="53">
        <f t="shared" si="14"/>
        <v>0.80063750401723888</v>
      </c>
      <c r="AD31" s="53">
        <f t="shared" si="14"/>
        <v>0.78470125441896277</v>
      </c>
      <c r="AE31" s="53">
        <f t="shared" si="14"/>
        <v>0.76876500482068666</v>
      </c>
      <c r="AF31" s="53">
        <f t="shared" si="14"/>
        <v>0.75282875522241055</v>
      </c>
      <c r="AG31" s="53">
        <f t="shared" si="14"/>
        <v>0.73689250562413444</v>
      </c>
      <c r="AH31" s="54">
        <f t="shared" si="5"/>
        <v>0.72095625602585756</v>
      </c>
      <c r="AJ31" s="30"/>
    </row>
    <row r="32" spans="1:36" x14ac:dyDescent="0.3">
      <c r="A32" s="51" t="s">
        <v>53</v>
      </c>
      <c r="B32" s="52" t="s">
        <v>10</v>
      </c>
      <c r="C32" s="52">
        <v>1</v>
      </c>
      <c r="D32" s="53">
        <v>1</v>
      </c>
      <c r="E32" s="53">
        <v>0.99</v>
      </c>
      <c r="F32" s="53">
        <v>0.99</v>
      </c>
      <c r="G32" s="53">
        <v>0.99</v>
      </c>
      <c r="H32" s="53">
        <v>0.99</v>
      </c>
      <c r="I32" s="53">
        <v>0.98</v>
      </c>
      <c r="J32" s="53">
        <v>0.98</v>
      </c>
      <c r="K32" s="53">
        <v>0.98</v>
      </c>
      <c r="L32" s="53">
        <v>0.98</v>
      </c>
      <c r="M32" s="53">
        <v>0.97</v>
      </c>
      <c r="N32" s="53">
        <v>0.97</v>
      </c>
      <c r="O32" s="53">
        <f t="shared" si="2"/>
        <v>0.96799999999999997</v>
      </c>
      <c r="P32" s="53">
        <f t="shared" si="2"/>
        <v>0.96599999999999997</v>
      </c>
      <c r="Q32" s="53">
        <f t="shared" si="2"/>
        <v>0.96399999999999997</v>
      </c>
      <c r="R32" s="53">
        <f t="shared" si="2"/>
        <v>0.96199999999999997</v>
      </c>
      <c r="S32" s="53">
        <f t="shared" si="3"/>
        <v>0.96</v>
      </c>
      <c r="T32" s="53">
        <f t="shared" ref="T32:AG32" si="15">($AH32-$S32)/15+S32</f>
        <v>0.97403628789510455</v>
      </c>
      <c r="U32" s="53">
        <f t="shared" si="15"/>
        <v>0.98807257579020913</v>
      </c>
      <c r="V32" s="53">
        <f t="shared" si="15"/>
        <v>1.0021088636853137</v>
      </c>
      <c r="W32" s="53">
        <f t="shared" si="15"/>
        <v>1.0161451515804183</v>
      </c>
      <c r="X32" s="53">
        <f t="shared" si="15"/>
        <v>1.0301814394755229</v>
      </c>
      <c r="Y32" s="53">
        <f t="shared" si="15"/>
        <v>1.0442177273706275</v>
      </c>
      <c r="Z32" s="53">
        <f t="shared" si="15"/>
        <v>1.058254015265732</v>
      </c>
      <c r="AA32" s="53">
        <f t="shared" si="15"/>
        <v>1.0722903031608366</v>
      </c>
      <c r="AB32" s="53">
        <f t="shared" si="15"/>
        <v>1.0863265910559412</v>
      </c>
      <c r="AC32" s="53">
        <f t="shared" si="15"/>
        <v>1.1003628789510458</v>
      </c>
      <c r="AD32" s="53">
        <f t="shared" si="15"/>
        <v>1.1143991668461504</v>
      </c>
      <c r="AE32" s="53">
        <f t="shared" si="15"/>
        <v>1.128435454741255</v>
      </c>
      <c r="AF32" s="53">
        <f t="shared" si="15"/>
        <v>1.1424717426363595</v>
      </c>
      <c r="AG32" s="53">
        <f t="shared" si="15"/>
        <v>1.1565080305314641</v>
      </c>
      <c r="AH32" s="54">
        <f t="shared" si="5"/>
        <v>1.1705443184265683</v>
      </c>
      <c r="AJ32" s="30"/>
    </row>
    <row r="33" spans="1:36" x14ac:dyDescent="0.3">
      <c r="A33" s="51" t="s">
        <v>53</v>
      </c>
      <c r="B33" s="52" t="s">
        <v>11</v>
      </c>
      <c r="C33" s="52">
        <v>1</v>
      </c>
      <c r="D33" s="53">
        <v>1</v>
      </c>
      <c r="E33" s="53">
        <v>0.99</v>
      </c>
      <c r="F33" s="53">
        <v>0.99</v>
      </c>
      <c r="G33" s="53">
        <v>0.99</v>
      </c>
      <c r="H33" s="53">
        <v>0.99</v>
      </c>
      <c r="I33" s="53">
        <v>0.98</v>
      </c>
      <c r="J33" s="53">
        <v>0.98</v>
      </c>
      <c r="K33" s="53">
        <v>0.98</v>
      </c>
      <c r="L33" s="53">
        <v>0.98</v>
      </c>
      <c r="M33" s="53">
        <v>0.97</v>
      </c>
      <c r="N33" s="53">
        <v>0.97</v>
      </c>
      <c r="O33" s="53">
        <f t="shared" si="2"/>
        <v>0.96799999999999997</v>
      </c>
      <c r="P33" s="53">
        <f t="shared" si="2"/>
        <v>0.96599999999999997</v>
      </c>
      <c r="Q33" s="53">
        <f t="shared" si="2"/>
        <v>0.96399999999999997</v>
      </c>
      <c r="R33" s="53">
        <f t="shared" si="2"/>
        <v>0.96199999999999997</v>
      </c>
      <c r="S33" s="53">
        <f t="shared" si="3"/>
        <v>0.96</v>
      </c>
      <c r="T33" s="53">
        <f t="shared" ref="T33:AG33" si="16">($AH33-$S33)/15+S33</f>
        <v>0.97116331017955138</v>
      </c>
      <c r="U33" s="53">
        <f t="shared" si="16"/>
        <v>0.98232662035910279</v>
      </c>
      <c r="V33" s="53">
        <f t="shared" si="16"/>
        <v>0.9934899305386542</v>
      </c>
      <c r="W33" s="53">
        <f t="shared" si="16"/>
        <v>1.0046532407182056</v>
      </c>
      <c r="X33" s="53">
        <f t="shared" si="16"/>
        <v>1.015816550897757</v>
      </c>
      <c r="Y33" s="53">
        <f t="shared" si="16"/>
        <v>1.0269798610773084</v>
      </c>
      <c r="Z33" s="53">
        <f t="shared" si="16"/>
        <v>1.0381431712568598</v>
      </c>
      <c r="AA33" s="53">
        <f t="shared" si="16"/>
        <v>1.0493064814364113</v>
      </c>
      <c r="AB33" s="53">
        <f t="shared" si="16"/>
        <v>1.0604697916159627</v>
      </c>
      <c r="AC33" s="53">
        <f t="shared" si="16"/>
        <v>1.0716331017955141</v>
      </c>
      <c r="AD33" s="53">
        <f t="shared" si="16"/>
        <v>1.0827964119750655</v>
      </c>
      <c r="AE33" s="53">
        <f t="shared" si="16"/>
        <v>1.0939597221546169</v>
      </c>
      <c r="AF33" s="53">
        <f t="shared" si="16"/>
        <v>1.1051230323341683</v>
      </c>
      <c r="AG33" s="53">
        <f t="shared" si="16"/>
        <v>1.1162863425137197</v>
      </c>
      <c r="AH33" s="54">
        <f t="shared" si="5"/>
        <v>1.1274496526932707</v>
      </c>
      <c r="AJ33" s="30"/>
    </row>
    <row r="34" spans="1:36" x14ac:dyDescent="0.3">
      <c r="A34" s="51" t="s">
        <v>53</v>
      </c>
      <c r="B34" s="52" t="s">
        <v>15</v>
      </c>
      <c r="C34" s="52">
        <v>1</v>
      </c>
      <c r="D34" s="53">
        <v>1</v>
      </c>
      <c r="E34" s="53">
        <v>0.99</v>
      </c>
      <c r="F34" s="53">
        <v>0.99</v>
      </c>
      <c r="G34" s="53">
        <v>0.99</v>
      </c>
      <c r="H34" s="53">
        <v>0.99</v>
      </c>
      <c r="I34" s="53">
        <v>0.98</v>
      </c>
      <c r="J34" s="53">
        <v>0.98</v>
      </c>
      <c r="K34" s="53">
        <v>0.98</v>
      </c>
      <c r="L34" s="53">
        <v>0.98</v>
      </c>
      <c r="M34" s="53">
        <v>0.97</v>
      </c>
      <c r="N34" s="53">
        <v>0.97</v>
      </c>
      <c r="O34" s="53">
        <f t="shared" si="2"/>
        <v>0.96799999999999997</v>
      </c>
      <c r="P34" s="53">
        <f t="shared" si="2"/>
        <v>0.96599999999999997</v>
      </c>
      <c r="Q34" s="53">
        <f t="shared" si="2"/>
        <v>0.96399999999999997</v>
      </c>
      <c r="R34" s="53">
        <f t="shared" si="2"/>
        <v>0.96199999999999997</v>
      </c>
      <c r="S34" s="53">
        <f t="shared" si="3"/>
        <v>0.96</v>
      </c>
      <c r="T34" s="53">
        <f t="shared" ref="T34:AG34" si="17">($AH34-$S34)/15+S34</f>
        <v>0.97960299525335615</v>
      </c>
      <c r="U34" s="53">
        <f t="shared" si="17"/>
        <v>0.99920599050671233</v>
      </c>
      <c r="V34" s="53">
        <f t="shared" si="17"/>
        <v>1.0188089857600686</v>
      </c>
      <c r="W34" s="53">
        <f t="shared" si="17"/>
        <v>1.0384119810134249</v>
      </c>
      <c r="X34" s="53">
        <f t="shared" si="17"/>
        <v>1.0580149762667812</v>
      </c>
      <c r="Y34" s="53">
        <f t="shared" si="17"/>
        <v>1.0776179715201375</v>
      </c>
      <c r="Z34" s="53">
        <f t="shared" si="17"/>
        <v>1.0972209667734938</v>
      </c>
      <c r="AA34" s="53">
        <f t="shared" si="17"/>
        <v>1.1168239620268501</v>
      </c>
      <c r="AB34" s="53">
        <f t="shared" si="17"/>
        <v>1.1364269572802064</v>
      </c>
      <c r="AC34" s="53">
        <f t="shared" si="17"/>
        <v>1.1560299525335627</v>
      </c>
      <c r="AD34" s="53">
        <f t="shared" si="17"/>
        <v>1.175632947786919</v>
      </c>
      <c r="AE34" s="53">
        <f t="shared" si="17"/>
        <v>1.1952359430402753</v>
      </c>
      <c r="AF34" s="53">
        <f t="shared" si="17"/>
        <v>1.2148389382936315</v>
      </c>
      <c r="AG34" s="53">
        <f t="shared" si="17"/>
        <v>1.2344419335469878</v>
      </c>
      <c r="AH34" s="54">
        <f t="shared" si="5"/>
        <v>1.2540449288003428</v>
      </c>
      <c r="AJ34" s="30"/>
    </row>
    <row r="35" spans="1:36" x14ac:dyDescent="0.3">
      <c r="A35" s="51" t="s">
        <v>53</v>
      </c>
      <c r="B35" s="52" t="s">
        <v>12</v>
      </c>
      <c r="C35" s="52">
        <v>1</v>
      </c>
      <c r="D35" s="53">
        <v>1</v>
      </c>
      <c r="E35" s="53">
        <v>0.99</v>
      </c>
      <c r="F35" s="53">
        <v>0.99</v>
      </c>
      <c r="G35" s="53">
        <v>0.99</v>
      </c>
      <c r="H35" s="53">
        <v>0.99</v>
      </c>
      <c r="I35" s="53">
        <v>0.98</v>
      </c>
      <c r="J35" s="53">
        <v>0.98</v>
      </c>
      <c r="K35" s="53">
        <v>0.98</v>
      </c>
      <c r="L35" s="53">
        <v>0.98</v>
      </c>
      <c r="M35" s="53">
        <v>0.97</v>
      </c>
      <c r="N35" s="53">
        <v>0.97</v>
      </c>
      <c r="O35" s="53">
        <f t="shared" si="2"/>
        <v>0.96799999999999997</v>
      </c>
      <c r="P35" s="53">
        <f t="shared" si="2"/>
        <v>0.96599999999999997</v>
      </c>
      <c r="Q35" s="53">
        <f t="shared" si="2"/>
        <v>0.96399999999999997</v>
      </c>
      <c r="R35" s="53">
        <f t="shared" si="2"/>
        <v>0.96199999999999997</v>
      </c>
      <c r="S35" s="53">
        <f t="shared" si="3"/>
        <v>0.96</v>
      </c>
      <c r="T35" s="53">
        <f t="shared" ref="T35:AG35" si="18">($AH35-$S35)/15+S35</f>
        <v>0.97960299525335615</v>
      </c>
      <c r="U35" s="53">
        <f t="shared" si="18"/>
        <v>0.99920599050671233</v>
      </c>
      <c r="V35" s="53">
        <f t="shared" si="18"/>
        <v>1.0188089857600686</v>
      </c>
      <c r="W35" s="53">
        <f t="shared" si="18"/>
        <v>1.0384119810134249</v>
      </c>
      <c r="X35" s="53">
        <f t="shared" si="18"/>
        <v>1.0580149762667812</v>
      </c>
      <c r="Y35" s="53">
        <f t="shared" si="18"/>
        <v>1.0776179715201375</v>
      </c>
      <c r="Z35" s="53">
        <f t="shared" si="18"/>
        <v>1.0972209667734938</v>
      </c>
      <c r="AA35" s="53">
        <f t="shared" si="18"/>
        <v>1.1168239620268501</v>
      </c>
      <c r="AB35" s="53">
        <f t="shared" si="18"/>
        <v>1.1364269572802064</v>
      </c>
      <c r="AC35" s="53">
        <f t="shared" si="18"/>
        <v>1.1560299525335627</v>
      </c>
      <c r="AD35" s="53">
        <f t="shared" si="18"/>
        <v>1.175632947786919</v>
      </c>
      <c r="AE35" s="53">
        <f t="shared" si="18"/>
        <v>1.1952359430402753</v>
      </c>
      <c r="AF35" s="53">
        <f t="shared" si="18"/>
        <v>1.2148389382936315</v>
      </c>
      <c r="AG35" s="53">
        <f t="shared" si="18"/>
        <v>1.2344419335469878</v>
      </c>
      <c r="AH35" s="54">
        <f t="shared" si="5"/>
        <v>1.2540449288003428</v>
      </c>
      <c r="AJ35" s="30"/>
    </row>
    <row r="36" spans="1:36" x14ac:dyDescent="0.3">
      <c r="A36" s="51" t="s">
        <v>53</v>
      </c>
      <c r="B36" s="52" t="s">
        <v>16</v>
      </c>
      <c r="C36" s="52">
        <v>1</v>
      </c>
      <c r="D36" s="53">
        <v>1</v>
      </c>
      <c r="E36" s="53">
        <v>0.99</v>
      </c>
      <c r="F36" s="53">
        <v>0.99</v>
      </c>
      <c r="G36" s="53">
        <v>0.99</v>
      </c>
      <c r="H36" s="53">
        <v>0.99</v>
      </c>
      <c r="I36" s="53">
        <v>0.98</v>
      </c>
      <c r="J36" s="53">
        <v>0.98</v>
      </c>
      <c r="K36" s="53">
        <v>0.98</v>
      </c>
      <c r="L36" s="53">
        <v>0.98</v>
      </c>
      <c r="M36" s="53">
        <v>0.97</v>
      </c>
      <c r="N36" s="53">
        <v>0.97</v>
      </c>
      <c r="O36" s="53">
        <f t="shared" si="2"/>
        <v>0.96799999999999997</v>
      </c>
      <c r="P36" s="53">
        <f t="shared" si="2"/>
        <v>0.96599999999999997</v>
      </c>
      <c r="Q36" s="53">
        <f t="shared" si="2"/>
        <v>0.96399999999999997</v>
      </c>
      <c r="R36" s="53">
        <f t="shared" si="2"/>
        <v>0.96199999999999997</v>
      </c>
      <c r="S36" s="53">
        <f t="shared" si="3"/>
        <v>0.96</v>
      </c>
      <c r="T36" s="53">
        <f t="shared" ref="T36:AG36" si="19">($AH36-$S36)/15+S36</f>
        <v>0.96726488862338889</v>
      </c>
      <c r="U36" s="53">
        <f t="shared" si="19"/>
        <v>0.97452977724677781</v>
      </c>
      <c r="V36" s="53">
        <f t="shared" si="19"/>
        <v>0.98179466587016673</v>
      </c>
      <c r="W36" s="53">
        <f t="shared" si="19"/>
        <v>0.98905955449355565</v>
      </c>
      <c r="X36" s="53">
        <f t="shared" si="19"/>
        <v>0.99632444311694457</v>
      </c>
      <c r="Y36" s="53">
        <f t="shared" si="19"/>
        <v>1.0035893317403335</v>
      </c>
      <c r="Z36" s="53">
        <f t="shared" si="19"/>
        <v>1.0108542203637225</v>
      </c>
      <c r="AA36" s="53">
        <f t="shared" si="19"/>
        <v>1.0181191089871116</v>
      </c>
      <c r="AB36" s="53">
        <f t="shared" si="19"/>
        <v>1.0253839976105006</v>
      </c>
      <c r="AC36" s="53">
        <f t="shared" si="19"/>
        <v>1.0326488862338896</v>
      </c>
      <c r="AD36" s="53">
        <f t="shared" si="19"/>
        <v>1.0399137748572786</v>
      </c>
      <c r="AE36" s="53">
        <f t="shared" si="19"/>
        <v>1.0471786634806677</v>
      </c>
      <c r="AF36" s="53">
        <f t="shared" si="19"/>
        <v>1.0544435521040567</v>
      </c>
      <c r="AG36" s="53">
        <f t="shared" si="19"/>
        <v>1.0617084407274457</v>
      </c>
      <c r="AH36" s="54">
        <f t="shared" si="5"/>
        <v>1.0689733293508339</v>
      </c>
      <c r="AJ36" s="30"/>
    </row>
    <row r="37" spans="1:36" ht="15" thickBot="1" x14ac:dyDescent="0.35">
      <c r="A37" s="55" t="s">
        <v>53</v>
      </c>
      <c r="B37" s="56" t="s">
        <v>17</v>
      </c>
      <c r="C37" s="56">
        <v>1</v>
      </c>
      <c r="D37" s="57">
        <v>0.97</v>
      </c>
      <c r="E37" s="57">
        <v>0.94</v>
      </c>
      <c r="F37" s="57">
        <v>0.91</v>
      </c>
      <c r="G37" s="57">
        <v>0.88</v>
      </c>
      <c r="H37" s="57">
        <v>0.84</v>
      </c>
      <c r="I37" s="57">
        <v>0.81</v>
      </c>
      <c r="J37" s="57">
        <v>0.78</v>
      </c>
      <c r="K37" s="57">
        <v>0.75</v>
      </c>
      <c r="L37" s="57">
        <v>0.72</v>
      </c>
      <c r="M37" s="57">
        <v>0.69</v>
      </c>
      <c r="N37" s="57">
        <v>0.66</v>
      </c>
      <c r="O37" s="57">
        <f t="shared" si="2"/>
        <v>0.63</v>
      </c>
      <c r="P37" s="57">
        <f t="shared" si="2"/>
        <v>0.6</v>
      </c>
      <c r="Q37" s="57">
        <f t="shared" si="2"/>
        <v>0.56999999999999995</v>
      </c>
      <c r="R37" s="57">
        <f t="shared" si="2"/>
        <v>0.53999999999999992</v>
      </c>
      <c r="S37" s="57">
        <f t="shared" si="3"/>
        <v>0.51</v>
      </c>
      <c r="T37" s="57">
        <f t="shared" ref="T37:AG37" si="20">($AH37-$S37)/15+S37</f>
        <v>0.50624384391285937</v>
      </c>
      <c r="U37" s="57">
        <f t="shared" si="20"/>
        <v>0.50248768782571873</v>
      </c>
      <c r="V37" s="57">
        <f t="shared" si="20"/>
        <v>0.49873153173857815</v>
      </c>
      <c r="W37" s="57">
        <f t="shared" si="20"/>
        <v>0.49497537565143757</v>
      </c>
      <c r="X37" s="57">
        <f t="shared" si="20"/>
        <v>0.49121921956429698</v>
      </c>
      <c r="Y37" s="57">
        <f t="shared" si="20"/>
        <v>0.4874630634771564</v>
      </c>
      <c r="Z37" s="57">
        <f t="shared" si="20"/>
        <v>0.48370690739001582</v>
      </c>
      <c r="AA37" s="57">
        <f t="shared" si="20"/>
        <v>0.47995075130287523</v>
      </c>
      <c r="AB37" s="57">
        <f t="shared" si="20"/>
        <v>0.47619459521573465</v>
      </c>
      <c r="AC37" s="57">
        <f t="shared" si="20"/>
        <v>0.47243843912859407</v>
      </c>
      <c r="AD37" s="57">
        <f t="shared" si="20"/>
        <v>0.46868228304145348</v>
      </c>
      <c r="AE37" s="57">
        <f t="shared" si="20"/>
        <v>0.4649261269543129</v>
      </c>
      <c r="AF37" s="57">
        <f t="shared" si="20"/>
        <v>0.46116997086717232</v>
      </c>
      <c r="AG37" s="57">
        <f t="shared" si="20"/>
        <v>0.45741381478003174</v>
      </c>
      <c r="AH37" s="58">
        <f t="shared" si="5"/>
        <v>0.45365765869289115</v>
      </c>
      <c r="AJ37" s="30"/>
    </row>
    <row r="38" spans="1:36" x14ac:dyDescent="0.3">
      <c r="S38" s="30"/>
      <c r="AJ38" s="30"/>
    </row>
    <row r="39" spans="1:36" x14ac:dyDescent="0.3">
      <c r="A39" t="s">
        <v>54</v>
      </c>
      <c r="B39" t="s">
        <v>0</v>
      </c>
      <c r="C39">
        <v>1</v>
      </c>
      <c r="D39">
        <v>0.94251924782273366</v>
      </c>
      <c r="E39">
        <v>0.9752364363845748</v>
      </c>
      <c r="F39">
        <v>0.93672671071143887</v>
      </c>
      <c r="G39">
        <v>0.90133423395277379</v>
      </c>
      <c r="H39">
        <v>0.89271206062771136</v>
      </c>
      <c r="I39">
        <v>0.89244403067479372</v>
      </c>
      <c r="J39">
        <v>0.88630395491965897</v>
      </c>
      <c r="K39">
        <v>0.88353854811520249</v>
      </c>
      <c r="L39">
        <v>0.87455897016425965</v>
      </c>
      <c r="M39">
        <v>0.86919023700297626</v>
      </c>
      <c r="N39">
        <v>0.85974290557482613</v>
      </c>
      <c r="O39">
        <v>0.85119347112927735</v>
      </c>
      <c r="P39">
        <v>0.83931521745281601</v>
      </c>
      <c r="Q39">
        <v>0.82970483015119911</v>
      </c>
      <c r="R39">
        <v>0.81650330972435325</v>
      </c>
      <c r="S39">
        <v>0.80532700403389978</v>
      </c>
      <c r="T39">
        <v>0.79125692031590666</v>
      </c>
      <c r="U39">
        <v>0.77897984326955394</v>
      </c>
      <c r="V39">
        <v>0.76452148769616601</v>
      </c>
      <c r="W39">
        <v>0.75148614989680518</v>
      </c>
      <c r="X39">
        <v>0.73678330486463084</v>
      </c>
      <c r="Y39">
        <v>0.72323845217561744</v>
      </c>
      <c r="Z39">
        <v>0.70857627026402348</v>
      </c>
      <c r="AA39">
        <v>0.69477747901523268</v>
      </c>
      <c r="AB39">
        <v>0.68018511726084052</v>
      </c>
      <c r="AC39">
        <v>0.6661644719834775</v>
      </c>
      <c r="AD39">
        <v>0.65168432927586628</v>
      </c>
      <c r="AE39">
        <v>0.63769473937478449</v>
      </c>
      <c r="AF39">
        <v>0.62349148212216987</v>
      </c>
      <c r="AG39">
        <v>0.60959405326399119</v>
      </c>
      <c r="AH39">
        <v>0.59559829994530211</v>
      </c>
    </row>
    <row r="40" spans="1:36" x14ac:dyDescent="0.3">
      <c r="A40" t="s">
        <v>54</v>
      </c>
      <c r="B40" t="s">
        <v>1</v>
      </c>
      <c r="C40">
        <v>1</v>
      </c>
      <c r="D40">
        <v>1.0119447746412702</v>
      </c>
      <c r="E40">
        <v>1.0615553805128677</v>
      </c>
      <c r="F40">
        <v>1.0585540678933563</v>
      </c>
      <c r="G40">
        <v>1.1011081054041858</v>
      </c>
      <c r="H40">
        <v>1.1183225525798741</v>
      </c>
      <c r="I40">
        <v>1.1326048059953349</v>
      </c>
      <c r="J40">
        <v>1.1408017766434133</v>
      </c>
      <c r="K40">
        <v>1.1487528912484166</v>
      </c>
      <c r="L40">
        <v>1.1516258138933098</v>
      </c>
      <c r="M40">
        <v>1.1549459742772903</v>
      </c>
      <c r="N40">
        <v>1.1543558812370358</v>
      </c>
      <c r="O40">
        <v>1.1534011802512738</v>
      </c>
      <c r="P40">
        <v>1.1496101150984193</v>
      </c>
      <c r="Q40">
        <v>1.1457550826987959</v>
      </c>
      <c r="R40">
        <v>1.138180140291728</v>
      </c>
      <c r="S40">
        <v>1.1298726553664269</v>
      </c>
      <c r="T40">
        <v>1.1178609156427211</v>
      </c>
      <c r="U40">
        <v>1.1054246899532578</v>
      </c>
      <c r="V40">
        <v>1.0907532078544793</v>
      </c>
      <c r="W40">
        <v>1.0765067244029032</v>
      </c>
      <c r="X40">
        <v>1.061249944654447</v>
      </c>
      <c r="Y40">
        <v>1.0467149860165605</v>
      </c>
      <c r="Z40">
        <v>1.0313127226740473</v>
      </c>
      <c r="AA40">
        <v>1.0162019474256951</v>
      </c>
      <c r="AB40">
        <v>1.0003052547518299</v>
      </c>
      <c r="AC40">
        <v>0.98449725064947291</v>
      </c>
      <c r="AD40">
        <v>0.96811768126924203</v>
      </c>
      <c r="AE40">
        <v>0.95181810349159079</v>
      </c>
      <c r="AF40">
        <v>0.93517030345244845</v>
      </c>
      <c r="AG40">
        <v>0.91855788112276349</v>
      </c>
      <c r="AH40">
        <v>0.90175864595394861</v>
      </c>
    </row>
    <row r="41" spans="1:36" x14ac:dyDescent="0.3">
      <c r="A41" t="s">
        <v>54</v>
      </c>
      <c r="B41" t="s">
        <v>2</v>
      </c>
      <c r="C41">
        <v>1</v>
      </c>
      <c r="D41">
        <v>0.9434193727675263</v>
      </c>
      <c r="E41">
        <v>0.96119729955694599</v>
      </c>
      <c r="F41">
        <v>0.93476696647101332</v>
      </c>
      <c r="G41">
        <v>0.89199735550445036</v>
      </c>
      <c r="H41">
        <v>0.86745437856295715</v>
      </c>
      <c r="I41">
        <v>0.85785159510276632</v>
      </c>
      <c r="J41">
        <v>0.84308953147782573</v>
      </c>
      <c r="K41">
        <v>0.82914746325108535</v>
      </c>
      <c r="L41">
        <v>0.81291207210239891</v>
      </c>
      <c r="M41">
        <v>0.79874601446412308</v>
      </c>
      <c r="N41">
        <v>0.78398190346292096</v>
      </c>
      <c r="O41">
        <v>0.7706829583093685</v>
      </c>
      <c r="P41">
        <v>0.75687010167376956</v>
      </c>
      <c r="Q41">
        <v>0.74434168222349451</v>
      </c>
      <c r="R41">
        <v>0.73075873695046945</v>
      </c>
      <c r="S41">
        <v>0.71797376136587687</v>
      </c>
      <c r="T41">
        <v>0.7040995376267436</v>
      </c>
      <c r="U41">
        <v>0.6909386348168185</v>
      </c>
      <c r="V41">
        <v>0.67718955782032797</v>
      </c>
      <c r="W41">
        <v>0.66425799047509637</v>
      </c>
      <c r="X41">
        <v>0.65111782586160938</v>
      </c>
      <c r="Y41">
        <v>0.63870318289473293</v>
      </c>
      <c r="Z41">
        <v>0.62612433337785867</v>
      </c>
      <c r="AA41">
        <v>0.61409148858003959</v>
      </c>
      <c r="AB41">
        <v>0.60201881444357874</v>
      </c>
      <c r="AC41">
        <v>0.59040251004306654</v>
      </c>
      <c r="AD41">
        <v>0.57884273780181539</v>
      </c>
      <c r="AE41">
        <v>0.56764550835621097</v>
      </c>
      <c r="AF41">
        <v>0.55655581697458489</v>
      </c>
      <c r="AG41">
        <v>0.54576034361443815</v>
      </c>
      <c r="AH41">
        <v>0.53510995309213627</v>
      </c>
    </row>
    <row r="42" spans="1:36" x14ac:dyDescent="0.3">
      <c r="A42" t="s">
        <v>54</v>
      </c>
      <c r="B42" t="s">
        <v>3</v>
      </c>
      <c r="C42">
        <v>1</v>
      </c>
      <c r="D42">
        <v>0.96027836298580249</v>
      </c>
      <c r="E42">
        <v>1.0433032475996895</v>
      </c>
      <c r="F42">
        <v>1.0201672811707099</v>
      </c>
      <c r="G42">
        <v>1.0486007750742457</v>
      </c>
      <c r="H42">
        <v>1.0943782959117831</v>
      </c>
      <c r="I42">
        <v>1.1053826892858829</v>
      </c>
      <c r="J42">
        <v>1.1241400459461095</v>
      </c>
      <c r="K42">
        <v>1.1352021278409978</v>
      </c>
      <c r="L42">
        <v>1.1569449520570956</v>
      </c>
      <c r="M42">
        <v>1.169814592441369</v>
      </c>
      <c r="N42">
        <v>1.1903083067273603</v>
      </c>
      <c r="O42">
        <v>1.2081795074276753</v>
      </c>
      <c r="P42">
        <v>1.2336917370662035</v>
      </c>
      <c r="Q42">
        <v>1.2536311846946429</v>
      </c>
      <c r="R42">
        <v>1.280925743675823</v>
      </c>
      <c r="S42">
        <v>1.3012141304229945</v>
      </c>
      <c r="T42">
        <v>1.3274108671742237</v>
      </c>
      <c r="U42">
        <v>1.3481548575072475</v>
      </c>
      <c r="V42">
        <v>1.3743657559514153</v>
      </c>
      <c r="W42">
        <v>1.3959329389443182</v>
      </c>
      <c r="X42">
        <v>1.4220160233987718</v>
      </c>
      <c r="Y42">
        <v>1.4443242635536968</v>
      </c>
      <c r="Z42">
        <v>1.4702913928145722</v>
      </c>
      <c r="AA42">
        <v>1.4933710399588451</v>
      </c>
      <c r="AB42">
        <v>1.5191748203939786</v>
      </c>
      <c r="AC42">
        <v>1.5428487513691329</v>
      </c>
      <c r="AD42">
        <v>1.5684891254056361</v>
      </c>
      <c r="AE42">
        <v>1.5927163810374099</v>
      </c>
      <c r="AF42">
        <v>1.6183237945739786</v>
      </c>
      <c r="AG42">
        <v>1.6430989849163105</v>
      </c>
      <c r="AH42">
        <v>1.6687981335733351</v>
      </c>
    </row>
    <row r="43" spans="1:36" x14ac:dyDescent="0.3">
      <c r="A43" t="s">
        <v>54</v>
      </c>
      <c r="B43" t="s">
        <v>4</v>
      </c>
      <c r="C43">
        <v>1</v>
      </c>
      <c r="D43">
        <v>0.99882274209993371</v>
      </c>
      <c r="E43">
        <v>1.043271235314934</v>
      </c>
      <c r="F43">
        <v>1.0010055744563067</v>
      </c>
      <c r="G43">
        <v>1.0586281441720478</v>
      </c>
      <c r="H43">
        <v>1.0811642239733155</v>
      </c>
      <c r="I43">
        <v>1.1034497860964441</v>
      </c>
      <c r="J43">
        <v>1.1372031015139676</v>
      </c>
      <c r="K43">
        <v>1.1808404780507973</v>
      </c>
      <c r="L43">
        <v>1.2295057268691596</v>
      </c>
      <c r="M43">
        <v>1.2814820135314584</v>
      </c>
      <c r="N43">
        <v>1.3319534422530475</v>
      </c>
      <c r="O43">
        <v>1.3816102505527157</v>
      </c>
      <c r="P43">
        <v>1.4308641283211112</v>
      </c>
      <c r="Q43">
        <v>1.4832048043334303</v>
      </c>
      <c r="R43">
        <v>1.5336131656675158</v>
      </c>
      <c r="S43">
        <v>1.5858277069048279</v>
      </c>
      <c r="T43">
        <v>1.6355213045138732</v>
      </c>
      <c r="U43">
        <v>1.6876132147199283</v>
      </c>
      <c r="V43">
        <v>1.737651931088368</v>
      </c>
      <c r="W43">
        <v>1.7898699760694303</v>
      </c>
      <c r="X43">
        <v>1.8399209555409957</v>
      </c>
      <c r="Y43">
        <v>1.8915836571376516</v>
      </c>
      <c r="Z43">
        <v>1.9413893745467032</v>
      </c>
      <c r="AA43">
        <v>1.9928068140808455</v>
      </c>
      <c r="AB43">
        <v>2.0430504994586718</v>
      </c>
      <c r="AC43">
        <v>2.0949935005553431</v>
      </c>
      <c r="AD43">
        <v>2.146358383933233</v>
      </c>
      <c r="AE43">
        <v>2.1989320589049401</v>
      </c>
      <c r="AF43">
        <v>2.2511378407828766</v>
      </c>
      <c r="AG43">
        <v>2.3042545960358645</v>
      </c>
      <c r="AH43">
        <v>2.3572837576950971</v>
      </c>
    </row>
    <row r="44" spans="1:36" x14ac:dyDescent="0.3">
      <c r="A44" t="s">
        <v>54</v>
      </c>
      <c r="B44" t="s">
        <v>5</v>
      </c>
      <c r="C44">
        <v>1</v>
      </c>
      <c r="D44">
        <v>0.98721824222741783</v>
      </c>
      <c r="E44">
        <v>1.0321296152632058</v>
      </c>
      <c r="F44">
        <v>1.087908692558331</v>
      </c>
      <c r="G44">
        <v>1.1338620276394142</v>
      </c>
      <c r="H44">
        <v>1.1840982413713772</v>
      </c>
      <c r="I44">
        <v>1.2403013263280669</v>
      </c>
      <c r="J44">
        <v>1.2995634192405849</v>
      </c>
      <c r="K44">
        <v>1.3613722332496909</v>
      </c>
      <c r="L44">
        <v>1.4268325958899346</v>
      </c>
      <c r="M44">
        <v>1.4968941773181312</v>
      </c>
      <c r="N44">
        <v>1.5726671553232354</v>
      </c>
      <c r="O44">
        <v>1.6532954892005114</v>
      </c>
      <c r="P44">
        <v>1.7405581385394875</v>
      </c>
      <c r="Q44">
        <v>1.8349098749645543</v>
      </c>
      <c r="R44">
        <v>1.932672398572552</v>
      </c>
      <c r="S44">
        <v>2.0342603540798363</v>
      </c>
      <c r="T44">
        <v>2.1379482844409252</v>
      </c>
      <c r="U44">
        <v>2.2472807331988638</v>
      </c>
      <c r="V44">
        <v>2.360064096047767</v>
      </c>
      <c r="W44">
        <v>2.4790938809140375</v>
      </c>
      <c r="X44">
        <v>2.6016548336873417</v>
      </c>
      <c r="Y44">
        <v>2.7311978684586453</v>
      </c>
      <c r="Z44">
        <v>2.8653554976539128</v>
      </c>
      <c r="AA44">
        <v>3.0070034830156169</v>
      </c>
      <c r="AB44">
        <v>3.1531858089852167</v>
      </c>
      <c r="AC44">
        <v>3.3066444809450686</v>
      </c>
      <c r="AD44">
        <v>3.4656540418496897</v>
      </c>
      <c r="AE44">
        <v>3.6333042636177351</v>
      </c>
      <c r="AF44">
        <v>3.8070805266790435</v>
      </c>
      <c r="AG44">
        <v>3.9884541509948797</v>
      </c>
      <c r="AH44">
        <v>4.175405415527508</v>
      </c>
    </row>
    <row r="45" spans="1:36" x14ac:dyDescent="0.3">
      <c r="A45" t="s">
        <v>54</v>
      </c>
      <c r="B45" t="s">
        <v>6</v>
      </c>
      <c r="C45">
        <v>1</v>
      </c>
      <c r="D45">
        <v>0.89948768195627249</v>
      </c>
      <c r="E45">
        <v>0.95333514963449284</v>
      </c>
      <c r="F45">
        <v>0.96706401645485218</v>
      </c>
      <c r="G45">
        <v>0.93029515235848415</v>
      </c>
      <c r="H45">
        <v>0.92465790869799658</v>
      </c>
      <c r="I45">
        <v>0.91834462620420287</v>
      </c>
      <c r="J45">
        <v>0.90825836747742017</v>
      </c>
      <c r="K45">
        <v>0.89745687469813429</v>
      </c>
      <c r="L45">
        <v>0.88527664850941157</v>
      </c>
      <c r="M45">
        <v>0.87318581445334009</v>
      </c>
      <c r="N45">
        <v>0.86052306894917707</v>
      </c>
      <c r="O45">
        <v>0.84792342653957087</v>
      </c>
      <c r="P45">
        <v>0.8347857486689011</v>
      </c>
      <c r="Q45">
        <v>0.82174502363615509</v>
      </c>
      <c r="R45">
        <v>0.80828846324052628</v>
      </c>
      <c r="S45">
        <v>0.79506716512253606</v>
      </c>
      <c r="T45">
        <v>0.78153441075744823</v>
      </c>
      <c r="U45">
        <v>0.76816054934734312</v>
      </c>
      <c r="V45">
        <v>0.7545736148828458</v>
      </c>
      <c r="W45">
        <v>0.74120242188780361</v>
      </c>
      <c r="X45">
        <v>0.72775710652666037</v>
      </c>
      <c r="Y45">
        <v>0.71452956295786441</v>
      </c>
      <c r="Z45">
        <v>0.70126199718750681</v>
      </c>
      <c r="AA45">
        <v>0.68818842135611791</v>
      </c>
      <c r="AB45">
        <v>0.67514159748920077</v>
      </c>
      <c r="AC45">
        <v>0.66228964096992815</v>
      </c>
      <c r="AD45">
        <v>0.64951389613520283</v>
      </c>
      <c r="AE45">
        <v>0.63691303209834216</v>
      </c>
      <c r="AF45">
        <v>0.62441335372348905</v>
      </c>
      <c r="AG45">
        <v>0.61208054048121352</v>
      </c>
      <c r="AH45">
        <v>0.59987061246567797</v>
      </c>
    </row>
    <row r="46" spans="1:36" x14ac:dyDescent="0.3">
      <c r="A46" t="s">
        <v>54</v>
      </c>
      <c r="B46" t="s">
        <v>7</v>
      </c>
      <c r="C46">
        <v>1</v>
      </c>
      <c r="D46">
        <v>0.89463084441381047</v>
      </c>
      <c r="E46">
        <v>0.97008318325700238</v>
      </c>
      <c r="F46">
        <v>0.97421020518521739</v>
      </c>
      <c r="G46">
        <v>0.98711212951535443</v>
      </c>
      <c r="H46">
        <v>0.99045179204074807</v>
      </c>
      <c r="I46">
        <v>1.004627968393675</v>
      </c>
      <c r="J46">
        <v>1.0143273634369994</v>
      </c>
      <c r="K46">
        <v>1.0194405553660464</v>
      </c>
      <c r="L46">
        <v>1.0267545048963522</v>
      </c>
      <c r="M46">
        <v>1.0314947743106482</v>
      </c>
      <c r="N46">
        <v>1.0392287872376753</v>
      </c>
      <c r="O46">
        <v>1.0471149360556973</v>
      </c>
      <c r="P46">
        <v>1.0575854995953529</v>
      </c>
      <c r="Q46">
        <v>1.0667843198920997</v>
      </c>
      <c r="R46">
        <v>1.0782031219080699</v>
      </c>
      <c r="S46">
        <v>1.0877802385510882</v>
      </c>
      <c r="T46">
        <v>1.0991808006560126</v>
      </c>
      <c r="U46">
        <v>1.1094368558092162</v>
      </c>
      <c r="V46">
        <v>1.1213076338721468</v>
      </c>
      <c r="W46">
        <v>1.1319951704229139</v>
      </c>
      <c r="X46">
        <v>1.1437764753770616</v>
      </c>
      <c r="Y46">
        <v>1.1546077581881713</v>
      </c>
      <c r="Z46">
        <v>1.1665177887625429</v>
      </c>
      <c r="AA46">
        <v>1.1776624197546599</v>
      </c>
      <c r="AB46">
        <v>1.1893512501422672</v>
      </c>
      <c r="AC46">
        <v>1.200212260488404</v>
      </c>
      <c r="AD46">
        <v>1.2113269529956969</v>
      </c>
      <c r="AE46">
        <v>1.2219212355589626</v>
      </c>
      <c r="AF46">
        <v>1.2327109447031408</v>
      </c>
      <c r="AG46">
        <v>1.2430785977372292</v>
      </c>
      <c r="AH46">
        <v>1.2534512004997571</v>
      </c>
    </row>
    <row r="47" spans="1:36" x14ac:dyDescent="0.3">
      <c r="A47" t="s">
        <v>54</v>
      </c>
      <c r="B47" t="s">
        <v>8</v>
      </c>
      <c r="C47">
        <v>1</v>
      </c>
      <c r="D47">
        <v>0.91532647547855694</v>
      </c>
      <c r="E47">
        <v>0.9764903900333326</v>
      </c>
      <c r="F47">
        <v>0.95157910523472122</v>
      </c>
      <c r="G47">
        <v>0.88890526950150139</v>
      </c>
      <c r="H47">
        <v>0.87125777936576942</v>
      </c>
      <c r="I47">
        <v>0.86864966159664081</v>
      </c>
      <c r="J47">
        <v>0.85929763753848754</v>
      </c>
      <c r="K47">
        <v>0.84963854429043884</v>
      </c>
      <c r="L47">
        <v>0.83744941457085398</v>
      </c>
      <c r="M47">
        <v>0.82651122746201866</v>
      </c>
      <c r="N47">
        <v>0.81485380981921662</v>
      </c>
      <c r="O47">
        <v>0.80413899391466859</v>
      </c>
      <c r="P47">
        <v>0.79258913525988151</v>
      </c>
      <c r="Q47">
        <v>0.78188736555784621</v>
      </c>
      <c r="R47">
        <v>0.77029355384232756</v>
      </c>
      <c r="S47">
        <v>0.75953792347633653</v>
      </c>
      <c r="T47">
        <v>0.74807386200523829</v>
      </c>
      <c r="U47">
        <v>0.73730297675033019</v>
      </c>
      <c r="V47">
        <v>0.72596637752909032</v>
      </c>
      <c r="W47">
        <v>0.71517124845889501</v>
      </c>
      <c r="X47">
        <v>0.70392838946033331</v>
      </c>
      <c r="Y47">
        <v>0.69314171300588001</v>
      </c>
      <c r="Z47">
        <v>0.68207675436023874</v>
      </c>
      <c r="AA47">
        <v>0.67134680330871366</v>
      </c>
      <c r="AB47">
        <v>0.66038621057325542</v>
      </c>
      <c r="AC47">
        <v>0.64961831751981625</v>
      </c>
      <c r="AD47">
        <v>0.63869135294640889</v>
      </c>
      <c r="AE47">
        <v>0.6279358773672481</v>
      </c>
      <c r="AF47">
        <v>0.61712135238184718</v>
      </c>
      <c r="AG47">
        <v>0.60643780229878452</v>
      </c>
      <c r="AH47">
        <v>0.59575483436473953</v>
      </c>
    </row>
    <row r="48" spans="1:36" x14ac:dyDescent="0.3">
      <c r="A48" t="s">
        <v>54</v>
      </c>
      <c r="B48" t="s">
        <v>9</v>
      </c>
      <c r="C48">
        <v>1</v>
      </c>
      <c r="D48">
        <v>0.94137663946629979</v>
      </c>
      <c r="E48">
        <v>1.0049395504642962</v>
      </c>
      <c r="F48">
        <v>0.97171720596973832</v>
      </c>
      <c r="G48">
        <v>0.88192991028431811</v>
      </c>
      <c r="H48">
        <v>0.86721407671459871</v>
      </c>
      <c r="I48">
        <v>0.86311406880299402</v>
      </c>
      <c r="J48">
        <v>0.85428810276824851</v>
      </c>
      <c r="K48">
        <v>0.84729611098131519</v>
      </c>
      <c r="L48">
        <v>0.83642719876050475</v>
      </c>
      <c r="M48">
        <v>0.82741311257408756</v>
      </c>
      <c r="N48">
        <v>0.81539224928331422</v>
      </c>
      <c r="O48">
        <v>0.80361177028927888</v>
      </c>
      <c r="P48">
        <v>0.78968645597071263</v>
      </c>
      <c r="Q48">
        <v>0.776931883942649</v>
      </c>
      <c r="R48">
        <v>0.76195920495236014</v>
      </c>
      <c r="S48">
        <v>0.74813188519465501</v>
      </c>
      <c r="T48">
        <v>0.73257750405372279</v>
      </c>
      <c r="U48">
        <v>0.71810918385783251</v>
      </c>
      <c r="V48">
        <v>0.70226704540186558</v>
      </c>
      <c r="W48">
        <v>0.6871781961126453</v>
      </c>
      <c r="X48">
        <v>0.67091569992946554</v>
      </c>
      <c r="Y48">
        <v>0.65520461487566628</v>
      </c>
      <c r="Z48">
        <v>0.63877187778710975</v>
      </c>
      <c r="AA48">
        <v>0.62291810277428827</v>
      </c>
      <c r="AB48">
        <v>0.60671542534751033</v>
      </c>
      <c r="AC48">
        <v>0.59106894991477288</v>
      </c>
      <c r="AD48">
        <v>0.57533490957353151</v>
      </c>
      <c r="AE48">
        <v>0.56005125720282334</v>
      </c>
      <c r="AF48">
        <v>0.54479345978242444</v>
      </c>
      <c r="AG48">
        <v>0.5298910801839215</v>
      </c>
      <c r="AH48">
        <v>0.51510047532737002</v>
      </c>
    </row>
    <row r="49" spans="1:34" x14ac:dyDescent="0.3">
      <c r="A49" t="s">
        <v>54</v>
      </c>
      <c r="B49" t="s">
        <v>14</v>
      </c>
      <c r="C49">
        <v>1</v>
      </c>
      <c r="D49">
        <v>1.0061627050091004</v>
      </c>
      <c r="E49">
        <v>1.0674409502203015</v>
      </c>
      <c r="F49">
        <v>0.97521314780214075</v>
      </c>
      <c r="G49">
        <v>0.98529265143325051</v>
      </c>
      <c r="H49">
        <v>0.98113440145687514</v>
      </c>
      <c r="I49">
        <v>0.97451972641228435</v>
      </c>
      <c r="J49">
        <v>0.9826117515712719</v>
      </c>
      <c r="K49">
        <v>0.99115246019573777</v>
      </c>
      <c r="L49">
        <v>1.0130900800901039</v>
      </c>
      <c r="M49">
        <v>1.0269827757513812</v>
      </c>
      <c r="N49">
        <v>1.0441252372158136</v>
      </c>
      <c r="O49">
        <v>1.0551699143193272</v>
      </c>
      <c r="P49">
        <v>1.0714909240257708</v>
      </c>
      <c r="Q49">
        <v>1.0816132844976025</v>
      </c>
      <c r="R49">
        <v>1.0969621180024673</v>
      </c>
      <c r="S49">
        <v>1.1054700658764194</v>
      </c>
      <c r="T49">
        <v>1.1181059990449798</v>
      </c>
      <c r="U49">
        <v>1.125351392415584</v>
      </c>
      <c r="V49">
        <v>1.1361444341199518</v>
      </c>
      <c r="W49">
        <v>1.1423562849945956</v>
      </c>
      <c r="X49">
        <v>1.1512489539951944</v>
      </c>
      <c r="Y49">
        <v>1.1563160329208204</v>
      </c>
      <c r="Z49">
        <v>1.1632955307446158</v>
      </c>
      <c r="AA49">
        <v>1.1673813495946221</v>
      </c>
      <c r="AB49">
        <v>1.1728749548238984</v>
      </c>
      <c r="AC49">
        <v>1.176364011999669</v>
      </c>
      <c r="AD49">
        <v>1.1807897837056625</v>
      </c>
      <c r="AE49">
        <v>1.1837268836335804</v>
      </c>
      <c r="AF49">
        <v>1.1871047005111062</v>
      </c>
      <c r="AG49">
        <v>1.1894560020348119</v>
      </c>
      <c r="AH49">
        <v>1.1919125120517151</v>
      </c>
    </row>
    <row r="50" spans="1:34" x14ac:dyDescent="0.3">
      <c r="A50" t="s">
        <v>54</v>
      </c>
      <c r="B50" t="s">
        <v>10</v>
      </c>
      <c r="C50">
        <v>1</v>
      </c>
      <c r="D50">
        <v>0.98747163682176686</v>
      </c>
      <c r="E50">
        <v>1.0377899791944925</v>
      </c>
      <c r="F50">
        <v>1.0614188336266337</v>
      </c>
      <c r="G50">
        <v>1.09241486785623</v>
      </c>
      <c r="H50">
        <v>1.1003953749045583</v>
      </c>
      <c r="I50">
        <v>1.1211563622809348</v>
      </c>
      <c r="J50">
        <v>1.1615089881013894</v>
      </c>
      <c r="K50">
        <v>1.1847393320754407</v>
      </c>
      <c r="L50">
        <v>1.2332669275713344</v>
      </c>
      <c r="M50">
        <v>1.2595004673415857</v>
      </c>
      <c r="N50">
        <v>1.3009921237923778</v>
      </c>
      <c r="O50">
        <v>1.3305653257333077</v>
      </c>
      <c r="P50">
        <v>1.3755480120340506</v>
      </c>
      <c r="Q50">
        <v>1.4036921191328531</v>
      </c>
      <c r="R50">
        <v>1.4500269999805993</v>
      </c>
      <c r="S50">
        <v>1.4792331010857456</v>
      </c>
      <c r="T50">
        <v>1.5251690779279832</v>
      </c>
      <c r="U50">
        <v>1.5564249003334871</v>
      </c>
      <c r="V50">
        <v>1.6023928893282986</v>
      </c>
      <c r="W50">
        <v>1.635445201589927</v>
      </c>
      <c r="X50">
        <v>1.6809405375198976</v>
      </c>
      <c r="Y50">
        <v>1.7156418472316475</v>
      </c>
      <c r="Z50">
        <v>1.7606352662965918</v>
      </c>
      <c r="AA50">
        <v>1.7971492520524788</v>
      </c>
      <c r="AB50">
        <v>1.8415668501609788</v>
      </c>
      <c r="AC50">
        <v>1.8796192207944813</v>
      </c>
      <c r="AD50">
        <v>1.9235210162304208</v>
      </c>
      <c r="AE50">
        <v>1.9630950905491724</v>
      </c>
      <c r="AF50">
        <v>2.0067311040352287</v>
      </c>
      <c r="AG50">
        <v>2.0476284125385606</v>
      </c>
      <c r="AH50">
        <v>2.0910886368531365</v>
      </c>
    </row>
    <row r="51" spans="1:34" x14ac:dyDescent="0.3">
      <c r="A51" t="s">
        <v>54</v>
      </c>
      <c r="B51" t="s">
        <v>11</v>
      </c>
      <c r="C51">
        <v>1</v>
      </c>
      <c r="D51">
        <v>0.95129195550940304</v>
      </c>
      <c r="E51">
        <v>0.99145784079740329</v>
      </c>
      <c r="F51">
        <v>0.98343030433826972</v>
      </c>
      <c r="G51">
        <v>0.97528909215864834</v>
      </c>
      <c r="H51">
        <v>0.99742090546584294</v>
      </c>
      <c r="I51">
        <v>1.0164636673882064</v>
      </c>
      <c r="J51">
        <v>1.0425963327978327</v>
      </c>
      <c r="K51">
        <v>1.0629410017496461</v>
      </c>
      <c r="L51">
        <v>1.093893134476132</v>
      </c>
      <c r="M51">
        <v>1.1178810426639725</v>
      </c>
      <c r="N51">
        <v>1.149380828453064</v>
      </c>
      <c r="O51">
        <v>1.1793112555088907</v>
      </c>
      <c r="P51">
        <v>1.2180218848017144</v>
      </c>
      <c r="Q51">
        <v>1.2523295125578282</v>
      </c>
      <c r="R51">
        <v>1.2942259162269518</v>
      </c>
      <c r="S51">
        <v>1.329368263282066</v>
      </c>
      <c r="T51">
        <v>1.3706501426733009</v>
      </c>
      <c r="U51">
        <v>1.4070270588069431</v>
      </c>
      <c r="V51">
        <v>1.4496457476471591</v>
      </c>
      <c r="W51">
        <v>1.4880836633024115</v>
      </c>
      <c r="X51">
        <v>1.5319810588496414</v>
      </c>
      <c r="Y51">
        <v>1.5727552391698125</v>
      </c>
      <c r="Z51">
        <v>1.6185699860193177</v>
      </c>
      <c r="AA51">
        <v>1.6620787174733562</v>
      </c>
      <c r="AB51">
        <v>1.7093980333370602</v>
      </c>
      <c r="AC51">
        <v>1.7549003844795519</v>
      </c>
      <c r="AD51">
        <v>1.8036536754162684</v>
      </c>
      <c r="AE51">
        <v>1.851970285942407</v>
      </c>
      <c r="AF51">
        <v>1.9027888844698633</v>
      </c>
      <c r="AG51">
        <v>1.9531704666649827</v>
      </c>
      <c r="AH51">
        <v>2.0048993053865414</v>
      </c>
    </row>
    <row r="52" spans="1:34" x14ac:dyDescent="0.3">
      <c r="A52" t="s">
        <v>54</v>
      </c>
      <c r="B52" t="s">
        <v>15</v>
      </c>
      <c r="C52">
        <v>1</v>
      </c>
      <c r="D52">
        <v>0.93991722537416511</v>
      </c>
      <c r="E52">
        <v>1.0302986086379287</v>
      </c>
      <c r="F52">
        <v>1.1034356869128841</v>
      </c>
      <c r="G52">
        <v>1.1654617299022003</v>
      </c>
      <c r="H52">
        <v>1.2103557462433903</v>
      </c>
      <c r="I52">
        <v>1.2647273155179752</v>
      </c>
      <c r="J52">
        <v>1.3108071511641515</v>
      </c>
      <c r="K52">
        <v>1.3655004422870654</v>
      </c>
      <c r="L52">
        <v>1.4115570049449144</v>
      </c>
      <c r="M52">
        <v>1.4656169432236088</v>
      </c>
      <c r="N52">
        <v>1.5116927301310148</v>
      </c>
      <c r="O52">
        <v>1.5608330717078098</v>
      </c>
      <c r="P52">
        <v>1.60295456764875</v>
      </c>
      <c r="Q52">
        <v>1.6509402357985765</v>
      </c>
      <c r="R52">
        <v>1.6908146138917552</v>
      </c>
      <c r="S52">
        <v>1.7366208211062228</v>
      </c>
      <c r="T52">
        <v>1.7749251925938785</v>
      </c>
      <c r="U52">
        <v>1.8183642648550278</v>
      </c>
      <c r="V52">
        <v>1.8551226861529486</v>
      </c>
      <c r="W52">
        <v>1.8962278495249831</v>
      </c>
      <c r="X52">
        <v>1.9314534306303093</v>
      </c>
      <c r="Y52">
        <v>1.970195413613693</v>
      </c>
      <c r="Z52">
        <v>2.0041040435353872</v>
      </c>
      <c r="AA52">
        <v>2.0406010251637814</v>
      </c>
      <c r="AB52">
        <v>2.0731109867446684</v>
      </c>
      <c r="AC52">
        <v>2.1073002491705322</v>
      </c>
      <c r="AD52">
        <v>2.1383809316176885</v>
      </c>
      <c r="AE52">
        <v>2.1704487502380165</v>
      </c>
      <c r="AF52">
        <v>2.2001558350241011</v>
      </c>
      <c r="AG52">
        <v>2.2300791458119331</v>
      </c>
      <c r="AH52">
        <v>2.2580898576006856</v>
      </c>
    </row>
    <row r="53" spans="1:34" x14ac:dyDescent="0.3">
      <c r="A53" t="s">
        <v>54</v>
      </c>
      <c r="B53" t="s">
        <v>12</v>
      </c>
      <c r="C53">
        <v>1</v>
      </c>
      <c r="D53">
        <v>0.93991722537416511</v>
      </c>
      <c r="E53">
        <v>1.0302986086379287</v>
      </c>
      <c r="F53">
        <v>1.1034356869128841</v>
      </c>
      <c r="G53">
        <v>1.1654617299022003</v>
      </c>
      <c r="H53">
        <v>1.2103557462433903</v>
      </c>
      <c r="I53">
        <v>1.2647273155179752</v>
      </c>
      <c r="J53">
        <v>1.3108071511641515</v>
      </c>
      <c r="K53">
        <v>1.3655004422870654</v>
      </c>
      <c r="L53">
        <v>1.4115570049449144</v>
      </c>
      <c r="M53">
        <v>1.4656169432236088</v>
      </c>
      <c r="N53">
        <v>1.5116927301310148</v>
      </c>
      <c r="O53">
        <v>1.5608330717078098</v>
      </c>
      <c r="P53">
        <v>1.60295456764875</v>
      </c>
      <c r="Q53">
        <v>1.6509402357985765</v>
      </c>
      <c r="R53">
        <v>1.6908146138917552</v>
      </c>
      <c r="S53">
        <v>1.7366208211062228</v>
      </c>
      <c r="T53">
        <v>1.7749251925938785</v>
      </c>
      <c r="U53">
        <v>1.8183642648550278</v>
      </c>
      <c r="V53">
        <v>1.8551226861529486</v>
      </c>
      <c r="W53">
        <v>1.8962278495249831</v>
      </c>
      <c r="X53">
        <v>1.9314534306303093</v>
      </c>
      <c r="Y53">
        <v>1.970195413613693</v>
      </c>
      <c r="Z53">
        <v>2.0041040435353872</v>
      </c>
      <c r="AA53">
        <v>2.0406010251637814</v>
      </c>
      <c r="AB53">
        <v>2.0731109867446684</v>
      </c>
      <c r="AC53">
        <v>2.1073002491705322</v>
      </c>
      <c r="AD53">
        <v>2.1383809316176885</v>
      </c>
      <c r="AE53">
        <v>2.1704487502380165</v>
      </c>
      <c r="AF53">
        <v>2.2001558350241011</v>
      </c>
      <c r="AG53">
        <v>2.2300791458119331</v>
      </c>
      <c r="AH53">
        <v>2.2580898576006856</v>
      </c>
    </row>
    <row r="54" spans="1:34" x14ac:dyDescent="0.3">
      <c r="A54" t="s">
        <v>54</v>
      </c>
      <c r="B54" t="s">
        <v>16</v>
      </c>
      <c r="C54">
        <v>1</v>
      </c>
      <c r="D54">
        <v>0.96165043943632655</v>
      </c>
      <c r="E54">
        <v>0.9857398180141892</v>
      </c>
      <c r="F54">
        <v>1.0609878520679459</v>
      </c>
      <c r="G54">
        <v>1.0893013105477798</v>
      </c>
      <c r="H54">
        <v>1.1276780465199701</v>
      </c>
      <c r="I54">
        <v>1.1669741154799731</v>
      </c>
      <c r="J54">
        <v>1.2021865131401746</v>
      </c>
      <c r="K54">
        <v>1.2418419131528999</v>
      </c>
      <c r="L54">
        <v>1.2776835323739077</v>
      </c>
      <c r="M54">
        <v>1.3170280654334039</v>
      </c>
      <c r="N54">
        <v>1.3522977587673486</v>
      </c>
      <c r="O54">
        <v>1.3885130847414782</v>
      </c>
      <c r="P54">
        <v>1.421866131325594</v>
      </c>
      <c r="Q54">
        <v>1.4571900012196304</v>
      </c>
      <c r="R54">
        <v>1.4886606148420831</v>
      </c>
      <c r="S54">
        <v>1.5216408652265327</v>
      </c>
      <c r="T54">
        <v>1.5508169458333534</v>
      </c>
      <c r="U54">
        <v>1.5812697175384058</v>
      </c>
      <c r="V54">
        <v>1.6086226509558299</v>
      </c>
      <c r="W54">
        <v>1.6370125208401043</v>
      </c>
      <c r="X54">
        <v>1.6628154903763588</v>
      </c>
      <c r="Y54">
        <v>1.6893899610020591</v>
      </c>
      <c r="Z54">
        <v>1.71373664749171</v>
      </c>
      <c r="AA54">
        <v>1.7385044226911639</v>
      </c>
      <c r="AB54">
        <v>1.7614874212738083</v>
      </c>
      <c r="AC54">
        <v>1.7846390965834229</v>
      </c>
      <c r="AD54">
        <v>1.8063721216386681</v>
      </c>
      <c r="AE54">
        <v>1.8280217984695044</v>
      </c>
      <c r="AF54">
        <v>1.8485070109174027</v>
      </c>
      <c r="AG54">
        <v>1.8686988564126037</v>
      </c>
      <c r="AH54">
        <v>1.887946658701668</v>
      </c>
    </row>
    <row r="55" spans="1:34" x14ac:dyDescent="0.3">
      <c r="A55" t="s">
        <v>54</v>
      </c>
      <c r="B55" t="s">
        <v>17</v>
      </c>
      <c r="C55">
        <v>1</v>
      </c>
      <c r="D55">
        <v>0.95970339158835039</v>
      </c>
      <c r="E55">
        <v>0.94224503790748493</v>
      </c>
      <c r="F55">
        <v>0.92145585042399492</v>
      </c>
      <c r="G55">
        <v>0.91939370090244765</v>
      </c>
      <c r="H55">
        <v>0.90663068212581521</v>
      </c>
      <c r="I55">
        <v>0.90862446652684481</v>
      </c>
      <c r="J55">
        <v>0.90666966521897563</v>
      </c>
      <c r="K55">
        <v>0.90607625559901916</v>
      </c>
      <c r="L55">
        <v>0.90385721262893626</v>
      </c>
      <c r="M55">
        <v>0.90260337268821644</v>
      </c>
      <c r="N55">
        <v>0.89981051922827182</v>
      </c>
      <c r="O55">
        <v>0.89744197890941801</v>
      </c>
      <c r="P55">
        <v>0.89437277693654105</v>
      </c>
      <c r="Q55">
        <v>0.89149853755328534</v>
      </c>
      <c r="R55">
        <v>0.88786385124311862</v>
      </c>
      <c r="S55">
        <v>0.8843773348676861</v>
      </c>
      <c r="T55">
        <v>0.88020407612967044</v>
      </c>
      <c r="U55">
        <v>0.87609582353526849</v>
      </c>
      <c r="V55">
        <v>0.87151430020496834</v>
      </c>
      <c r="W55">
        <v>0.86703340361907433</v>
      </c>
      <c r="X55">
        <v>0.86224888552510914</v>
      </c>
      <c r="Y55">
        <v>0.85760374797595296</v>
      </c>
      <c r="Z55">
        <v>0.85274602694488677</v>
      </c>
      <c r="AA55">
        <v>0.8478785451157832</v>
      </c>
      <c r="AB55">
        <v>0.84269140107378804</v>
      </c>
      <c r="AC55">
        <v>0.83732957999493163</v>
      </c>
      <c r="AD55">
        <v>0.83164673947815126</v>
      </c>
      <c r="AE55">
        <v>0.82584183585792459</v>
      </c>
      <c r="AF55">
        <v>0.81981316678042548</v>
      </c>
      <c r="AG55">
        <v>0.81365675495721135</v>
      </c>
      <c r="AH55">
        <v>0.80731531738578233</v>
      </c>
    </row>
    <row r="56" spans="1:34" x14ac:dyDescent="0.3">
      <c r="A56" t="s">
        <v>55</v>
      </c>
      <c r="B56" t="s">
        <v>0</v>
      </c>
      <c r="C56">
        <v>1</v>
      </c>
      <c r="D56" s="30">
        <v>0.97</v>
      </c>
      <c r="E56" s="30">
        <v>0.94</v>
      </c>
      <c r="F56" s="30">
        <v>0.91</v>
      </c>
      <c r="G56" s="30">
        <v>0.88</v>
      </c>
      <c r="H56" s="30">
        <v>0.84</v>
      </c>
      <c r="I56" s="30">
        <v>0.81</v>
      </c>
      <c r="J56" s="30">
        <v>0.78</v>
      </c>
      <c r="K56" s="30">
        <v>0.75</v>
      </c>
      <c r="L56" s="30">
        <v>0.72</v>
      </c>
      <c r="M56" s="30">
        <v>0.69</v>
      </c>
      <c r="N56" s="30">
        <v>0.66</v>
      </c>
      <c r="O56" s="30">
        <v>0.63</v>
      </c>
      <c r="P56" s="30">
        <v>0.6</v>
      </c>
      <c r="Q56" s="30">
        <v>0.56999999999999995</v>
      </c>
      <c r="R56" s="30">
        <v>0.54</v>
      </c>
      <c r="S56" s="30">
        <v>0.51</v>
      </c>
      <c r="T56" s="30">
        <v>0.48</v>
      </c>
      <c r="U56" s="30">
        <v>0.46</v>
      </c>
      <c r="V56" s="30">
        <v>0.43</v>
      </c>
      <c r="W56" s="30">
        <v>0.4</v>
      </c>
      <c r="X56" s="30">
        <v>0.37</v>
      </c>
      <c r="Y56" s="30">
        <v>0.34</v>
      </c>
      <c r="Z56" s="30">
        <v>0.32</v>
      </c>
      <c r="AA56" s="30">
        <v>0.28999999999999998</v>
      </c>
      <c r="AB56" s="30">
        <v>0.26</v>
      </c>
      <c r="AC56" s="30">
        <v>0.23</v>
      </c>
      <c r="AD56" s="30">
        <v>0.21</v>
      </c>
      <c r="AE56" s="30">
        <v>0.18</v>
      </c>
      <c r="AF56" s="30">
        <v>0.15</v>
      </c>
      <c r="AG56" s="30">
        <v>0.13</v>
      </c>
      <c r="AH56" s="30">
        <v>0.1</v>
      </c>
    </row>
    <row r="57" spans="1:34" x14ac:dyDescent="0.3">
      <c r="A57" t="s">
        <v>55</v>
      </c>
      <c r="B57" t="s">
        <v>1</v>
      </c>
      <c r="C57">
        <v>1</v>
      </c>
      <c r="D57" s="30">
        <v>1</v>
      </c>
      <c r="E57" s="30">
        <v>0.99</v>
      </c>
      <c r="F57" s="30">
        <v>0.99</v>
      </c>
      <c r="G57" s="30">
        <v>0.99</v>
      </c>
      <c r="H57" s="30">
        <v>0.99</v>
      </c>
      <c r="I57" s="30">
        <v>0.98</v>
      </c>
      <c r="J57" s="30">
        <v>0.98</v>
      </c>
      <c r="K57" s="30">
        <v>0.98</v>
      </c>
      <c r="L57" s="30">
        <v>0.98</v>
      </c>
      <c r="M57" s="30">
        <v>0.97</v>
      </c>
      <c r="N57" s="30">
        <v>0.97</v>
      </c>
      <c r="O57" s="30">
        <v>0.94</v>
      </c>
      <c r="P57" s="30">
        <v>0.91</v>
      </c>
      <c r="Q57" s="30">
        <v>0.88</v>
      </c>
      <c r="R57" s="30">
        <v>0.85</v>
      </c>
      <c r="S57" s="30">
        <v>0.82</v>
      </c>
      <c r="T57" s="30">
        <v>0.79</v>
      </c>
      <c r="U57" s="30">
        <v>0.77</v>
      </c>
      <c r="V57" s="30">
        <v>0.74</v>
      </c>
      <c r="W57" s="30">
        <v>0.71</v>
      </c>
      <c r="X57" s="30">
        <v>0.68</v>
      </c>
      <c r="Y57" s="30">
        <v>0.63</v>
      </c>
      <c r="Z57" s="30">
        <v>0.59</v>
      </c>
      <c r="AA57" s="30">
        <v>0.55000000000000004</v>
      </c>
      <c r="AB57" s="30">
        <v>0.51</v>
      </c>
      <c r="AC57" s="30">
        <v>0.46</v>
      </c>
      <c r="AD57" s="30">
        <v>0.42</v>
      </c>
      <c r="AE57" s="30">
        <v>0.38</v>
      </c>
      <c r="AF57" s="30">
        <v>0.34</v>
      </c>
      <c r="AG57" s="30">
        <v>0.28999999999999998</v>
      </c>
      <c r="AH57" s="30">
        <v>0.25</v>
      </c>
    </row>
    <row r="58" spans="1:34" x14ac:dyDescent="0.3">
      <c r="A58" t="s">
        <v>55</v>
      </c>
      <c r="B58" t="s">
        <v>2</v>
      </c>
      <c r="C58">
        <v>1</v>
      </c>
      <c r="D58" s="30">
        <v>0.97</v>
      </c>
      <c r="E58" s="30">
        <v>0.94</v>
      </c>
      <c r="F58" s="30">
        <v>0.91</v>
      </c>
      <c r="G58" s="30">
        <v>0.88</v>
      </c>
      <c r="H58" s="30">
        <v>0.85</v>
      </c>
      <c r="I58" s="30">
        <v>0.82</v>
      </c>
      <c r="J58" s="30">
        <v>0.79</v>
      </c>
      <c r="K58" s="30">
        <v>0.76</v>
      </c>
      <c r="L58" s="30">
        <v>0.73</v>
      </c>
      <c r="M58" s="30">
        <v>0.7</v>
      </c>
      <c r="N58" s="30">
        <v>0.67</v>
      </c>
      <c r="O58" s="30">
        <v>0.64</v>
      </c>
      <c r="P58" s="30">
        <v>0.61</v>
      </c>
      <c r="Q58" s="30">
        <v>0.57999999999999996</v>
      </c>
      <c r="R58" s="30">
        <v>0.55000000000000004</v>
      </c>
      <c r="S58" s="30">
        <v>0.53</v>
      </c>
      <c r="T58" s="30">
        <v>0.5</v>
      </c>
      <c r="U58" s="30">
        <v>0.47</v>
      </c>
      <c r="V58" s="30">
        <v>0.44</v>
      </c>
      <c r="W58" s="30">
        <v>0.41</v>
      </c>
      <c r="X58" s="30">
        <v>0.38</v>
      </c>
      <c r="Y58" s="30">
        <v>0.35</v>
      </c>
      <c r="Z58" s="30">
        <v>0.32</v>
      </c>
      <c r="AA58" s="30">
        <v>0.28999999999999998</v>
      </c>
      <c r="AB58" s="30">
        <v>0.27</v>
      </c>
      <c r="AC58" s="30">
        <v>0.24</v>
      </c>
      <c r="AD58" s="30">
        <v>0.21</v>
      </c>
      <c r="AE58" s="30">
        <v>0.18</v>
      </c>
      <c r="AF58" s="30">
        <v>0.16</v>
      </c>
      <c r="AG58" s="30">
        <v>0.13</v>
      </c>
      <c r="AH58" s="30">
        <v>0.1</v>
      </c>
    </row>
    <row r="59" spans="1:34" x14ac:dyDescent="0.3">
      <c r="A59" t="s">
        <v>55</v>
      </c>
      <c r="B59" t="s">
        <v>3</v>
      </c>
      <c r="C59">
        <v>1</v>
      </c>
      <c r="D59" s="30">
        <v>1.01</v>
      </c>
      <c r="E59" s="30">
        <v>1.02</v>
      </c>
      <c r="F59" s="30">
        <v>1.04</v>
      </c>
      <c r="G59" s="30">
        <v>1.05</v>
      </c>
      <c r="H59" s="30">
        <v>1.06</v>
      </c>
      <c r="I59" s="30">
        <v>1.07</v>
      </c>
      <c r="J59" s="30">
        <v>1.0900000000000001</v>
      </c>
      <c r="K59" s="30">
        <v>1.1000000000000001</v>
      </c>
      <c r="L59" s="30">
        <v>1.1100000000000001</v>
      </c>
      <c r="M59" s="30">
        <v>1.1200000000000001</v>
      </c>
      <c r="N59" s="30">
        <v>1.1299999999999999</v>
      </c>
      <c r="O59" s="30">
        <v>1.1100000000000001</v>
      </c>
      <c r="P59" s="30">
        <v>1.08</v>
      </c>
      <c r="Q59" s="30">
        <v>1.05</v>
      </c>
      <c r="R59" s="30">
        <v>1.03</v>
      </c>
      <c r="S59" s="30">
        <v>1</v>
      </c>
      <c r="T59" s="30">
        <v>0.98</v>
      </c>
      <c r="U59" s="30">
        <v>0.95</v>
      </c>
      <c r="V59" s="30">
        <v>0.92</v>
      </c>
      <c r="W59" s="30">
        <v>0.9</v>
      </c>
      <c r="X59" s="30">
        <v>0.87</v>
      </c>
      <c r="Y59" s="30">
        <v>0.84</v>
      </c>
      <c r="Z59" s="30">
        <v>0.81</v>
      </c>
      <c r="AA59" s="30">
        <v>0.77</v>
      </c>
      <c r="AB59" s="30">
        <v>0.74</v>
      </c>
      <c r="AC59" s="30">
        <v>0.71</v>
      </c>
      <c r="AD59" s="30">
        <v>0.68</v>
      </c>
      <c r="AE59" s="30">
        <v>0.65</v>
      </c>
      <c r="AF59" s="30">
        <v>0.61</v>
      </c>
      <c r="AG59" s="30">
        <v>0.57999999999999996</v>
      </c>
      <c r="AH59" s="30">
        <v>0.55000000000000004</v>
      </c>
    </row>
    <row r="60" spans="1:34" x14ac:dyDescent="0.3">
      <c r="A60" t="s">
        <v>55</v>
      </c>
      <c r="B60" t="s">
        <v>4</v>
      </c>
      <c r="C60">
        <v>1</v>
      </c>
      <c r="D60" s="30">
        <v>1.01</v>
      </c>
      <c r="E60" s="30">
        <v>1.02</v>
      </c>
      <c r="F60" s="30">
        <v>1.04</v>
      </c>
      <c r="G60" s="30">
        <v>1.05</v>
      </c>
      <c r="H60" s="30">
        <v>1.06</v>
      </c>
      <c r="I60" s="30">
        <v>1.07</v>
      </c>
      <c r="J60" s="30">
        <v>1.0900000000000001</v>
      </c>
      <c r="K60" s="30">
        <v>1.1000000000000001</v>
      </c>
      <c r="L60" s="30">
        <v>1.1100000000000001</v>
      </c>
      <c r="M60" s="30">
        <v>1.1200000000000001</v>
      </c>
      <c r="N60" s="30">
        <v>1.1299999999999999</v>
      </c>
      <c r="O60" s="30">
        <v>1.1100000000000001</v>
      </c>
      <c r="P60" s="30">
        <v>1.08</v>
      </c>
      <c r="Q60" s="30">
        <v>1.05</v>
      </c>
      <c r="R60" s="30">
        <v>1.03</v>
      </c>
      <c r="S60" s="30">
        <v>1</v>
      </c>
      <c r="T60" s="30">
        <v>0.98</v>
      </c>
      <c r="U60" s="30">
        <v>0.95</v>
      </c>
      <c r="V60" s="30">
        <v>0.92</v>
      </c>
      <c r="W60" s="30">
        <v>0.9</v>
      </c>
      <c r="X60" s="30">
        <v>0.87</v>
      </c>
      <c r="Y60" s="30">
        <v>0.84</v>
      </c>
      <c r="Z60" s="30">
        <v>0.81</v>
      </c>
      <c r="AA60" s="30">
        <v>0.77</v>
      </c>
      <c r="AB60" s="30">
        <v>0.74</v>
      </c>
      <c r="AC60" s="30">
        <v>0.71</v>
      </c>
      <c r="AD60" s="30">
        <v>0.68</v>
      </c>
      <c r="AE60" s="30">
        <v>0.65</v>
      </c>
      <c r="AF60" s="30">
        <v>0.61</v>
      </c>
      <c r="AG60" s="30">
        <v>0.57999999999999996</v>
      </c>
      <c r="AH60" s="30">
        <v>0.55000000000000004</v>
      </c>
    </row>
    <row r="61" spans="1:34" x14ac:dyDescent="0.3">
      <c r="A61" t="s">
        <v>55</v>
      </c>
      <c r="B61" t="s">
        <v>5</v>
      </c>
      <c r="C61">
        <v>1</v>
      </c>
      <c r="D61" s="30">
        <v>1.01</v>
      </c>
      <c r="E61" s="30">
        <v>1.02</v>
      </c>
      <c r="F61" s="30">
        <v>1.04</v>
      </c>
      <c r="G61" s="30">
        <v>1.05</v>
      </c>
      <c r="H61" s="30">
        <v>1.06</v>
      </c>
      <c r="I61" s="30">
        <v>1.07</v>
      </c>
      <c r="J61" s="30">
        <v>1.0900000000000001</v>
      </c>
      <c r="K61" s="30">
        <v>1.1000000000000001</v>
      </c>
      <c r="L61" s="30">
        <v>1.1100000000000001</v>
      </c>
      <c r="M61" s="30">
        <v>1.1200000000000001</v>
      </c>
      <c r="N61" s="30">
        <v>1.1299999999999999</v>
      </c>
      <c r="O61" s="30">
        <v>1.1100000000000001</v>
      </c>
      <c r="P61" s="30">
        <v>1.08</v>
      </c>
      <c r="Q61" s="30">
        <v>1.05</v>
      </c>
      <c r="R61" s="30">
        <v>1.03</v>
      </c>
      <c r="S61" s="30">
        <v>1</v>
      </c>
      <c r="T61" s="30">
        <v>0.98</v>
      </c>
      <c r="U61" s="30">
        <v>0.95</v>
      </c>
      <c r="V61" s="30">
        <v>0.92</v>
      </c>
      <c r="W61" s="30">
        <v>0.9</v>
      </c>
      <c r="X61" s="30">
        <v>0.87</v>
      </c>
      <c r="Y61" s="30">
        <v>0.84</v>
      </c>
      <c r="Z61" s="30">
        <v>0.81</v>
      </c>
      <c r="AA61" s="30">
        <v>0.77</v>
      </c>
      <c r="AB61" s="30">
        <v>0.74</v>
      </c>
      <c r="AC61" s="30">
        <v>0.71</v>
      </c>
      <c r="AD61" s="30">
        <v>0.68</v>
      </c>
      <c r="AE61" s="30">
        <v>0.65</v>
      </c>
      <c r="AF61" s="30">
        <v>0.61</v>
      </c>
      <c r="AG61" s="30">
        <v>0.57999999999999996</v>
      </c>
      <c r="AH61" s="30">
        <v>0.55000000000000004</v>
      </c>
    </row>
    <row r="62" spans="1:34" x14ac:dyDescent="0.3">
      <c r="A62" t="s">
        <v>55</v>
      </c>
      <c r="B62" t="s">
        <v>6</v>
      </c>
      <c r="C62">
        <v>1</v>
      </c>
      <c r="D62" s="30">
        <v>0.95</v>
      </c>
      <c r="E62" s="30">
        <v>0.91</v>
      </c>
      <c r="F62" s="30">
        <v>0.86</v>
      </c>
      <c r="G62" s="30">
        <v>0.82</v>
      </c>
      <c r="H62" s="30">
        <v>0.77</v>
      </c>
      <c r="I62" s="30">
        <v>0.73</v>
      </c>
      <c r="J62" s="30">
        <v>0.68</v>
      </c>
      <c r="K62" s="30">
        <v>0.64</v>
      </c>
      <c r="L62" s="30">
        <v>0.59</v>
      </c>
      <c r="M62" s="30">
        <v>0.55000000000000004</v>
      </c>
      <c r="N62" s="30">
        <v>0.5</v>
      </c>
      <c r="O62" s="30">
        <v>0.48</v>
      </c>
      <c r="P62" s="30">
        <v>0.46</v>
      </c>
      <c r="Q62" s="30">
        <v>0.44</v>
      </c>
      <c r="R62" s="30">
        <v>0.42</v>
      </c>
      <c r="S62" s="30">
        <v>0.4</v>
      </c>
      <c r="T62" s="30">
        <v>0.38</v>
      </c>
      <c r="U62" s="30">
        <v>0.36</v>
      </c>
      <c r="V62" s="30">
        <v>0.34</v>
      </c>
      <c r="W62" s="30">
        <v>0.32</v>
      </c>
      <c r="X62" s="30">
        <v>0.3</v>
      </c>
      <c r="Y62" s="30">
        <v>0.28000000000000003</v>
      </c>
      <c r="Z62" s="30">
        <v>0.25</v>
      </c>
      <c r="AA62" s="30">
        <v>0.23</v>
      </c>
      <c r="AB62" s="30">
        <v>0.2</v>
      </c>
      <c r="AC62" s="30">
        <v>0.18</v>
      </c>
      <c r="AD62" s="30">
        <v>0.15</v>
      </c>
      <c r="AE62" s="30">
        <v>0.13</v>
      </c>
      <c r="AF62" s="30">
        <v>0.1</v>
      </c>
      <c r="AG62" s="30">
        <v>0.08</v>
      </c>
      <c r="AH62" s="30">
        <v>0.05</v>
      </c>
    </row>
    <row r="63" spans="1:34" x14ac:dyDescent="0.3">
      <c r="A63" t="s">
        <v>55</v>
      </c>
      <c r="B63" t="s">
        <v>7</v>
      </c>
      <c r="C63">
        <v>1</v>
      </c>
      <c r="D63" s="30">
        <v>1</v>
      </c>
      <c r="E63" s="30">
        <v>0.99</v>
      </c>
      <c r="F63" s="30">
        <v>0.99</v>
      </c>
      <c r="G63" s="30">
        <v>0.99</v>
      </c>
      <c r="H63" s="30">
        <v>0.99</v>
      </c>
      <c r="I63" s="30">
        <v>0.98</v>
      </c>
      <c r="J63" s="30">
        <v>0.98</v>
      </c>
      <c r="K63" s="30">
        <v>0.98</v>
      </c>
      <c r="L63" s="30">
        <v>0.98</v>
      </c>
      <c r="M63" s="30">
        <v>0.97</v>
      </c>
      <c r="N63" s="30">
        <v>0.97</v>
      </c>
      <c r="O63" s="30">
        <v>0.94</v>
      </c>
      <c r="P63" s="30">
        <v>0.91</v>
      </c>
      <c r="Q63" s="30">
        <v>0.88</v>
      </c>
      <c r="R63" s="30">
        <v>0.85</v>
      </c>
      <c r="S63" s="30">
        <v>0.82</v>
      </c>
      <c r="T63" s="30">
        <v>0.79</v>
      </c>
      <c r="U63" s="30">
        <v>0.77</v>
      </c>
      <c r="V63" s="30">
        <v>0.74</v>
      </c>
      <c r="W63" s="30">
        <v>0.71</v>
      </c>
      <c r="X63" s="30">
        <v>0.68</v>
      </c>
      <c r="Y63" s="30">
        <v>0.63</v>
      </c>
      <c r="Z63" s="30">
        <v>0.59</v>
      </c>
      <c r="AA63" s="30">
        <v>0.55000000000000004</v>
      </c>
      <c r="AB63" s="30">
        <v>0.51</v>
      </c>
      <c r="AC63" s="30">
        <v>0.46</v>
      </c>
      <c r="AD63" s="30">
        <v>0.42</v>
      </c>
      <c r="AE63" s="30">
        <v>0.38</v>
      </c>
      <c r="AF63" s="30">
        <v>0.34</v>
      </c>
      <c r="AG63" s="30">
        <v>0.28999999999999998</v>
      </c>
      <c r="AH63" s="30">
        <v>0.25</v>
      </c>
    </row>
    <row r="64" spans="1:34" x14ac:dyDescent="0.3">
      <c r="A64" t="s">
        <v>55</v>
      </c>
      <c r="B64" t="s">
        <v>8</v>
      </c>
      <c r="C64">
        <v>1</v>
      </c>
      <c r="D64" s="30">
        <v>0.95</v>
      </c>
      <c r="E64" s="30">
        <v>0.91</v>
      </c>
      <c r="F64" s="30">
        <v>0.86</v>
      </c>
      <c r="G64" s="30">
        <v>0.82</v>
      </c>
      <c r="H64" s="30">
        <v>0.77</v>
      </c>
      <c r="I64" s="30">
        <v>0.73</v>
      </c>
      <c r="J64" s="30">
        <v>0.68</v>
      </c>
      <c r="K64" s="30">
        <v>0.64</v>
      </c>
      <c r="L64" s="30">
        <v>0.59</v>
      </c>
      <c r="M64" s="30">
        <v>0.55000000000000004</v>
      </c>
      <c r="N64" s="30">
        <v>0.5</v>
      </c>
      <c r="O64" s="30">
        <v>0.48</v>
      </c>
      <c r="P64" s="30">
        <v>0.46</v>
      </c>
      <c r="Q64" s="30">
        <v>0.44</v>
      </c>
      <c r="R64" s="30">
        <v>0.42</v>
      </c>
      <c r="S64" s="30">
        <v>0.4</v>
      </c>
      <c r="T64" s="30">
        <v>0.38</v>
      </c>
      <c r="U64" s="30">
        <v>0.36</v>
      </c>
      <c r="V64" s="30">
        <v>0.34</v>
      </c>
      <c r="W64" s="30">
        <v>0.32</v>
      </c>
      <c r="X64" s="30">
        <v>0.3</v>
      </c>
      <c r="Y64" s="30">
        <v>0.28000000000000003</v>
      </c>
      <c r="Z64" s="30">
        <v>0.25</v>
      </c>
      <c r="AA64" s="30">
        <v>0.23</v>
      </c>
      <c r="AB64" s="30">
        <v>0.2</v>
      </c>
      <c r="AC64" s="30">
        <v>0.18</v>
      </c>
      <c r="AD64" s="30">
        <v>0.15</v>
      </c>
      <c r="AE64" s="30">
        <v>0.13</v>
      </c>
      <c r="AF64" s="30">
        <v>0.1</v>
      </c>
      <c r="AG64" s="30">
        <v>0.08</v>
      </c>
      <c r="AH64" s="30">
        <v>0.05</v>
      </c>
    </row>
    <row r="65" spans="1:34" x14ac:dyDescent="0.3">
      <c r="A65" t="s">
        <v>55</v>
      </c>
      <c r="B65" t="s">
        <v>9</v>
      </c>
      <c r="C65">
        <v>1</v>
      </c>
      <c r="D65" s="30">
        <v>0.95</v>
      </c>
      <c r="E65" s="30">
        <v>0.91</v>
      </c>
      <c r="F65" s="30">
        <v>0.86</v>
      </c>
      <c r="G65" s="30">
        <v>0.82</v>
      </c>
      <c r="H65" s="30">
        <v>0.77</v>
      </c>
      <c r="I65" s="30">
        <v>0.73</v>
      </c>
      <c r="J65" s="30">
        <v>0.68</v>
      </c>
      <c r="K65" s="30">
        <v>0.64</v>
      </c>
      <c r="L65" s="30">
        <v>0.59</v>
      </c>
      <c r="M65" s="30">
        <v>0.55000000000000004</v>
      </c>
      <c r="N65" s="30">
        <v>0.5</v>
      </c>
      <c r="O65" s="30">
        <v>0.48</v>
      </c>
      <c r="P65" s="30">
        <v>0.46</v>
      </c>
      <c r="Q65" s="30">
        <v>0.44</v>
      </c>
      <c r="R65" s="30">
        <v>0.42</v>
      </c>
      <c r="S65" s="30">
        <v>0.4</v>
      </c>
      <c r="T65" s="30">
        <v>0.38</v>
      </c>
      <c r="U65" s="30">
        <v>0.36</v>
      </c>
      <c r="V65" s="30">
        <v>0.34</v>
      </c>
      <c r="W65" s="30">
        <v>0.32</v>
      </c>
      <c r="X65" s="30">
        <v>0.3</v>
      </c>
      <c r="Y65" s="30">
        <v>0.28000000000000003</v>
      </c>
      <c r="Z65" s="30">
        <v>0.25</v>
      </c>
      <c r="AA65" s="30">
        <v>0.23</v>
      </c>
      <c r="AB65" s="30">
        <v>0.2</v>
      </c>
      <c r="AC65" s="30">
        <v>0.18</v>
      </c>
      <c r="AD65" s="30">
        <v>0.15</v>
      </c>
      <c r="AE65" s="30">
        <v>0.13</v>
      </c>
      <c r="AF65" s="30">
        <v>0.1</v>
      </c>
      <c r="AG65" s="30">
        <v>0.08</v>
      </c>
      <c r="AH65" s="30">
        <v>0.05</v>
      </c>
    </row>
    <row r="66" spans="1:34" x14ac:dyDescent="0.3">
      <c r="A66" t="s">
        <v>55</v>
      </c>
      <c r="B66" t="s">
        <v>14</v>
      </c>
      <c r="C66">
        <v>1</v>
      </c>
      <c r="D66" s="30">
        <v>1</v>
      </c>
      <c r="E66" s="30">
        <v>0.99</v>
      </c>
      <c r="F66" s="30">
        <v>0.99</v>
      </c>
      <c r="G66" s="30">
        <v>0.99</v>
      </c>
      <c r="H66" s="30">
        <v>0.99</v>
      </c>
      <c r="I66" s="30">
        <v>0.98</v>
      </c>
      <c r="J66" s="30">
        <v>0.98</v>
      </c>
      <c r="K66" s="30">
        <v>0.98</v>
      </c>
      <c r="L66" s="30">
        <v>0.98</v>
      </c>
      <c r="M66" s="30">
        <v>0.97</v>
      </c>
      <c r="N66" s="30">
        <v>0.97</v>
      </c>
      <c r="O66" s="30">
        <v>0.94</v>
      </c>
      <c r="P66" s="30">
        <v>0.91</v>
      </c>
      <c r="Q66" s="30">
        <v>0.88</v>
      </c>
      <c r="R66" s="30">
        <v>0.85</v>
      </c>
      <c r="S66" s="30">
        <v>0.82</v>
      </c>
      <c r="T66" s="30">
        <v>0.79</v>
      </c>
      <c r="U66" s="30">
        <v>0.77</v>
      </c>
      <c r="V66" s="30">
        <v>0.74</v>
      </c>
      <c r="W66" s="30">
        <v>0.71</v>
      </c>
      <c r="X66" s="30">
        <v>0.68</v>
      </c>
      <c r="Y66" s="30">
        <v>0.63</v>
      </c>
      <c r="Z66" s="30">
        <v>0.59</v>
      </c>
      <c r="AA66" s="30">
        <v>0.55000000000000004</v>
      </c>
      <c r="AB66" s="30">
        <v>0.51</v>
      </c>
      <c r="AC66" s="30">
        <v>0.46</v>
      </c>
      <c r="AD66" s="30">
        <v>0.42</v>
      </c>
      <c r="AE66" s="30">
        <v>0.38</v>
      </c>
      <c r="AF66" s="30">
        <v>0.34</v>
      </c>
      <c r="AG66" s="30">
        <v>0.28999999999999998</v>
      </c>
      <c r="AH66" s="30">
        <v>0.25</v>
      </c>
    </row>
    <row r="67" spans="1:34" x14ac:dyDescent="0.3">
      <c r="A67" t="s">
        <v>55</v>
      </c>
      <c r="B67" t="s">
        <v>10</v>
      </c>
      <c r="C67">
        <v>1</v>
      </c>
      <c r="D67" s="30">
        <v>1</v>
      </c>
      <c r="E67" s="30">
        <v>0.99</v>
      </c>
      <c r="F67" s="30">
        <v>0.99</v>
      </c>
      <c r="G67" s="30">
        <v>0.99</v>
      </c>
      <c r="H67" s="30">
        <v>0.99</v>
      </c>
      <c r="I67" s="30">
        <v>0.98</v>
      </c>
      <c r="J67" s="30">
        <v>0.98</v>
      </c>
      <c r="K67" s="30">
        <v>0.98</v>
      </c>
      <c r="L67" s="30">
        <v>0.98</v>
      </c>
      <c r="M67" s="30">
        <v>0.97</v>
      </c>
      <c r="N67" s="30">
        <v>0.97</v>
      </c>
      <c r="O67" s="30">
        <v>0.94</v>
      </c>
      <c r="P67" s="30">
        <v>0.91</v>
      </c>
      <c r="Q67" s="30">
        <v>0.88</v>
      </c>
      <c r="R67" s="30">
        <v>0.85</v>
      </c>
      <c r="S67" s="30">
        <v>0.82</v>
      </c>
      <c r="T67" s="30">
        <v>0.79</v>
      </c>
      <c r="U67" s="30">
        <v>0.77</v>
      </c>
      <c r="V67" s="30">
        <v>0.74</v>
      </c>
      <c r="W67" s="30">
        <v>0.71</v>
      </c>
      <c r="X67" s="30">
        <v>0.68</v>
      </c>
      <c r="Y67" s="30">
        <v>0.63</v>
      </c>
      <c r="Z67" s="30">
        <v>0.59</v>
      </c>
      <c r="AA67" s="30">
        <v>0.55000000000000004</v>
      </c>
      <c r="AB67" s="30">
        <v>0.51</v>
      </c>
      <c r="AC67" s="30">
        <v>0.46</v>
      </c>
      <c r="AD67" s="30">
        <v>0.42</v>
      </c>
      <c r="AE67" s="30">
        <v>0.38</v>
      </c>
      <c r="AF67" s="30">
        <v>0.34</v>
      </c>
      <c r="AG67" s="30">
        <v>0.28999999999999998</v>
      </c>
      <c r="AH67" s="30">
        <v>0.25</v>
      </c>
    </row>
    <row r="68" spans="1:34" x14ac:dyDescent="0.3">
      <c r="A68" t="s">
        <v>55</v>
      </c>
      <c r="B68" t="s">
        <v>11</v>
      </c>
      <c r="C68">
        <v>1</v>
      </c>
      <c r="D68" s="30">
        <v>1</v>
      </c>
      <c r="E68" s="30">
        <v>0.99</v>
      </c>
      <c r="F68" s="30">
        <v>0.99</v>
      </c>
      <c r="G68" s="30">
        <v>0.99</v>
      </c>
      <c r="H68" s="30">
        <v>0.99</v>
      </c>
      <c r="I68" s="30">
        <v>0.98</v>
      </c>
      <c r="J68" s="30">
        <v>0.98</v>
      </c>
      <c r="K68" s="30">
        <v>0.98</v>
      </c>
      <c r="L68" s="30">
        <v>0.98</v>
      </c>
      <c r="M68" s="30">
        <v>0.97</v>
      </c>
      <c r="N68" s="30">
        <v>0.97</v>
      </c>
      <c r="O68" s="30">
        <v>0.94</v>
      </c>
      <c r="P68" s="30">
        <v>0.91</v>
      </c>
      <c r="Q68" s="30">
        <v>0.88</v>
      </c>
      <c r="R68" s="30">
        <v>0.85</v>
      </c>
      <c r="S68" s="30">
        <v>0.82</v>
      </c>
      <c r="T68" s="30">
        <v>0.79</v>
      </c>
      <c r="U68" s="30">
        <v>0.77</v>
      </c>
      <c r="V68" s="30">
        <v>0.74</v>
      </c>
      <c r="W68" s="30">
        <v>0.71</v>
      </c>
      <c r="X68" s="30">
        <v>0.68</v>
      </c>
      <c r="Y68" s="30">
        <v>0.63</v>
      </c>
      <c r="Z68" s="30">
        <v>0.59</v>
      </c>
      <c r="AA68" s="30">
        <v>0.55000000000000004</v>
      </c>
      <c r="AB68" s="30">
        <v>0.51</v>
      </c>
      <c r="AC68" s="30">
        <v>0.46</v>
      </c>
      <c r="AD68" s="30">
        <v>0.42</v>
      </c>
      <c r="AE68" s="30">
        <v>0.38</v>
      </c>
      <c r="AF68" s="30">
        <v>0.34</v>
      </c>
      <c r="AG68" s="30">
        <v>0.28999999999999998</v>
      </c>
      <c r="AH68" s="30">
        <v>0.25</v>
      </c>
    </row>
    <row r="69" spans="1:34" x14ac:dyDescent="0.3">
      <c r="A69" t="s">
        <v>55</v>
      </c>
      <c r="B69" t="s">
        <v>15</v>
      </c>
      <c r="C69">
        <v>1</v>
      </c>
      <c r="D69" s="30">
        <v>1</v>
      </c>
      <c r="E69" s="30">
        <v>0.99</v>
      </c>
      <c r="F69" s="30">
        <v>0.99</v>
      </c>
      <c r="G69" s="30">
        <v>0.99</v>
      </c>
      <c r="H69" s="30">
        <v>0.99</v>
      </c>
      <c r="I69" s="30">
        <v>0.98</v>
      </c>
      <c r="J69" s="30">
        <v>0.98</v>
      </c>
      <c r="K69" s="30">
        <v>0.98</v>
      </c>
      <c r="L69" s="30">
        <v>0.98</v>
      </c>
      <c r="M69" s="30">
        <v>0.97</v>
      </c>
      <c r="N69" s="30">
        <v>0.97</v>
      </c>
      <c r="O69" s="30">
        <v>0.94</v>
      </c>
      <c r="P69" s="30">
        <v>0.91</v>
      </c>
      <c r="Q69" s="30">
        <v>0.88</v>
      </c>
      <c r="R69" s="30">
        <v>0.85</v>
      </c>
      <c r="S69" s="30">
        <v>0.82</v>
      </c>
      <c r="T69" s="30">
        <v>0.79</v>
      </c>
      <c r="U69" s="30">
        <v>0.77</v>
      </c>
      <c r="V69" s="30">
        <v>0.74</v>
      </c>
      <c r="W69" s="30">
        <v>0.71</v>
      </c>
      <c r="X69" s="30">
        <v>0.68</v>
      </c>
      <c r="Y69" s="30">
        <v>0.63</v>
      </c>
      <c r="Z69" s="30">
        <v>0.59</v>
      </c>
      <c r="AA69" s="30">
        <v>0.55000000000000004</v>
      </c>
      <c r="AB69" s="30">
        <v>0.51</v>
      </c>
      <c r="AC69" s="30">
        <v>0.46</v>
      </c>
      <c r="AD69" s="30">
        <v>0.42</v>
      </c>
      <c r="AE69" s="30">
        <v>0.38</v>
      </c>
      <c r="AF69" s="30">
        <v>0.34</v>
      </c>
      <c r="AG69" s="30">
        <v>0.28999999999999998</v>
      </c>
      <c r="AH69" s="30">
        <v>0.25</v>
      </c>
    </row>
    <row r="70" spans="1:34" x14ac:dyDescent="0.3">
      <c r="A70" t="s">
        <v>55</v>
      </c>
      <c r="B70" t="s">
        <v>12</v>
      </c>
      <c r="C70">
        <v>1</v>
      </c>
      <c r="D70" s="30">
        <v>1</v>
      </c>
      <c r="E70" s="30">
        <v>0.99</v>
      </c>
      <c r="F70" s="30">
        <v>0.99</v>
      </c>
      <c r="G70" s="30">
        <v>0.99</v>
      </c>
      <c r="H70" s="30">
        <v>0.99</v>
      </c>
      <c r="I70" s="30">
        <v>0.98</v>
      </c>
      <c r="J70" s="30">
        <v>0.98</v>
      </c>
      <c r="K70" s="30">
        <v>0.98</v>
      </c>
      <c r="L70" s="30">
        <v>0.98</v>
      </c>
      <c r="M70" s="30">
        <v>0.97</v>
      </c>
      <c r="N70" s="30">
        <v>0.97</v>
      </c>
      <c r="O70" s="30">
        <v>0.94</v>
      </c>
      <c r="P70" s="30">
        <v>0.91</v>
      </c>
      <c r="Q70" s="30">
        <v>0.88</v>
      </c>
      <c r="R70" s="30">
        <v>0.85</v>
      </c>
      <c r="S70" s="30">
        <v>0.82</v>
      </c>
      <c r="T70" s="30">
        <v>0.79</v>
      </c>
      <c r="U70" s="30">
        <v>0.77</v>
      </c>
      <c r="V70" s="30">
        <v>0.74</v>
      </c>
      <c r="W70" s="30">
        <v>0.71</v>
      </c>
      <c r="X70" s="30">
        <v>0.68</v>
      </c>
      <c r="Y70" s="30">
        <v>0.63</v>
      </c>
      <c r="Z70" s="30">
        <v>0.59</v>
      </c>
      <c r="AA70" s="30">
        <v>0.55000000000000004</v>
      </c>
      <c r="AB70" s="30">
        <v>0.51</v>
      </c>
      <c r="AC70" s="30">
        <v>0.46</v>
      </c>
      <c r="AD70" s="30">
        <v>0.42</v>
      </c>
      <c r="AE70" s="30">
        <v>0.38</v>
      </c>
      <c r="AF70" s="30">
        <v>0.34</v>
      </c>
      <c r="AG70" s="30">
        <v>0.28999999999999998</v>
      </c>
      <c r="AH70" s="30">
        <v>0.25</v>
      </c>
    </row>
    <row r="71" spans="1:34" x14ac:dyDescent="0.3">
      <c r="A71" t="s">
        <v>55</v>
      </c>
      <c r="B71" t="s">
        <v>16</v>
      </c>
      <c r="C71">
        <v>1</v>
      </c>
      <c r="D71" s="30">
        <v>1</v>
      </c>
      <c r="E71" s="30">
        <v>0.99</v>
      </c>
      <c r="F71" s="30">
        <v>0.99</v>
      </c>
      <c r="G71" s="30">
        <v>0.99</v>
      </c>
      <c r="H71" s="30">
        <v>0.99</v>
      </c>
      <c r="I71" s="30">
        <v>0.98</v>
      </c>
      <c r="J71" s="30">
        <v>0.98</v>
      </c>
      <c r="K71" s="30">
        <v>0.98</v>
      </c>
      <c r="L71" s="30">
        <v>0.98</v>
      </c>
      <c r="M71" s="30">
        <v>0.97</v>
      </c>
      <c r="N71" s="30">
        <v>0.97</v>
      </c>
      <c r="O71" s="30">
        <v>0.94</v>
      </c>
      <c r="P71" s="30">
        <v>0.91</v>
      </c>
      <c r="Q71" s="30">
        <v>0.88</v>
      </c>
      <c r="R71" s="30">
        <v>0.85</v>
      </c>
      <c r="S71" s="30">
        <v>0.82</v>
      </c>
      <c r="T71" s="30">
        <v>0.79</v>
      </c>
      <c r="U71" s="30">
        <v>0.77</v>
      </c>
      <c r="V71" s="30">
        <v>0.74</v>
      </c>
      <c r="W71" s="30">
        <v>0.71</v>
      </c>
      <c r="X71" s="30">
        <v>0.68</v>
      </c>
      <c r="Y71" s="30">
        <v>0.63</v>
      </c>
      <c r="Z71" s="30">
        <v>0.59</v>
      </c>
      <c r="AA71" s="30">
        <v>0.55000000000000004</v>
      </c>
      <c r="AB71" s="30">
        <v>0.51</v>
      </c>
      <c r="AC71" s="30">
        <v>0.46</v>
      </c>
      <c r="AD71" s="30">
        <v>0.42</v>
      </c>
      <c r="AE71" s="30">
        <v>0.38</v>
      </c>
      <c r="AF71" s="30">
        <v>0.34</v>
      </c>
      <c r="AG71" s="30">
        <v>0.28999999999999998</v>
      </c>
      <c r="AH71" s="30">
        <v>0.25</v>
      </c>
    </row>
    <row r="72" spans="1:34" x14ac:dyDescent="0.3">
      <c r="A72" t="s">
        <v>55</v>
      </c>
      <c r="B72" t="s">
        <v>17</v>
      </c>
      <c r="C72">
        <v>1</v>
      </c>
      <c r="D72" s="30">
        <v>0.97</v>
      </c>
      <c r="E72" s="30">
        <v>0.94</v>
      </c>
      <c r="F72" s="30">
        <v>0.91</v>
      </c>
      <c r="G72" s="30">
        <v>0.88</v>
      </c>
      <c r="H72" s="30">
        <v>0.84</v>
      </c>
      <c r="I72" s="30">
        <v>0.81</v>
      </c>
      <c r="J72" s="30">
        <v>0.78</v>
      </c>
      <c r="K72" s="30">
        <v>0.75</v>
      </c>
      <c r="L72" s="30">
        <v>0.72</v>
      </c>
      <c r="M72" s="30">
        <v>0.69</v>
      </c>
      <c r="N72" s="30">
        <v>0.66</v>
      </c>
      <c r="O72" s="30">
        <v>0.63</v>
      </c>
      <c r="P72" s="30">
        <v>0.6</v>
      </c>
      <c r="Q72" s="30">
        <v>0.56999999999999995</v>
      </c>
      <c r="R72" s="30">
        <v>0.54</v>
      </c>
      <c r="S72" s="30">
        <v>0.51</v>
      </c>
      <c r="T72" s="30">
        <v>0.48</v>
      </c>
      <c r="U72" s="30">
        <v>0.46</v>
      </c>
      <c r="V72" s="30">
        <v>0.43</v>
      </c>
      <c r="W72" s="30">
        <v>0.4</v>
      </c>
      <c r="X72" s="30">
        <v>0.37</v>
      </c>
      <c r="Y72" s="30">
        <v>0.34</v>
      </c>
      <c r="Z72" s="30">
        <v>0.32</v>
      </c>
      <c r="AA72" s="30">
        <v>0.28999999999999998</v>
      </c>
      <c r="AB72" s="30">
        <v>0.26</v>
      </c>
      <c r="AC72" s="30">
        <v>0.23</v>
      </c>
      <c r="AD72" s="30">
        <v>0.21</v>
      </c>
      <c r="AE72" s="30">
        <v>0.18</v>
      </c>
      <c r="AF72" s="30">
        <v>0.15</v>
      </c>
      <c r="AG72" s="30">
        <v>0.13</v>
      </c>
      <c r="AH72" s="3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CGE_Frozen</vt:lpstr>
      <vt:lpstr>Data</vt:lpstr>
      <vt:lpstr>KAYA</vt:lpstr>
      <vt:lpstr>Emission Projection</vt:lpstr>
      <vt:lpstr>REF_Constraint</vt:lpstr>
      <vt:lpstr>NDC_Constraint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2026-06-12T03:15:33Z</dcterms:created>
  <dcterms:modified xsi:type="dcterms:W3CDTF">2026-06-12T04:35:29Z</dcterms:modified>
</cp:coreProperties>
</file>