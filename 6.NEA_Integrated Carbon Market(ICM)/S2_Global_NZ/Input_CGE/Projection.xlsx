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GUIDE-GLOBAL-CGE_v2\Input_CGE\"/>
    </mc:Choice>
  </mc:AlternateContent>
  <xr:revisionPtr revIDLastSave="0" documentId="13_ncr:1_{FEBA1AE3-4D18-493A-B67E-BE48CA243952}" xr6:coauthVersionLast="36" xr6:coauthVersionMax="36" xr10:uidLastSave="{00000000-0000-0000-0000-000000000000}"/>
  <bookViews>
    <workbookView xWindow="0" yWindow="0" windowWidth="23040" windowHeight="9684" tabRatio="907" activeTab="11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medium" sheetId="32" r:id="rId9"/>
    <sheet name="AEEI_high" sheetId="11" r:id="rId10"/>
    <sheet name="PERMIT_NDC_old" sheetId="30" r:id="rId11"/>
    <sheet name="PERMIT_NZ" sheetId="29" r:id="rId12"/>
    <sheet name="PERMIT_NEA_NZ" sheetId="31" r:id="rId13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1" l="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/>
  <c r="F14" i="1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/>
  <c r="F18" i="1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O7" i="30" l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N5" i="30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N6" i="30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N7" i="30"/>
  <c r="N12" i="30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N18" i="30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C2" i="30"/>
  <c r="D2" i="30"/>
  <c r="E2" i="30"/>
  <c r="F2" i="30"/>
  <c r="G2" i="30"/>
  <c r="H2" i="30"/>
  <c r="I2" i="30"/>
  <c r="J2" i="30"/>
  <c r="K2" i="30"/>
  <c r="L2" i="30"/>
  <c r="M2" i="30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C3" i="30"/>
  <c r="D3" i="30"/>
  <c r="E3" i="30"/>
  <c r="F3" i="30"/>
  <c r="G3" i="30"/>
  <c r="H3" i="30"/>
  <c r="I3" i="30"/>
  <c r="J3" i="30"/>
  <c r="K3" i="30"/>
  <c r="L3" i="30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C4" i="30"/>
  <c r="D4" i="30"/>
  <c r="E4" i="30"/>
  <c r="F4" i="30"/>
  <c r="G4" i="30"/>
  <c r="H4" i="30"/>
  <c r="I4" i="30"/>
  <c r="J4" i="30"/>
  <c r="K4" i="30"/>
  <c r="L4" i="30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C5" i="30"/>
  <c r="D5" i="30"/>
  <c r="E5" i="30"/>
  <c r="F5" i="30"/>
  <c r="G5" i="30"/>
  <c r="H5" i="30"/>
  <c r="I5" i="30"/>
  <c r="J5" i="30"/>
  <c r="K5" i="30"/>
  <c r="L5" i="30"/>
  <c r="M5" i="30"/>
  <c r="C6" i="30"/>
  <c r="D6" i="30"/>
  <c r="E6" i="30"/>
  <c r="F6" i="30"/>
  <c r="G6" i="30"/>
  <c r="H6" i="30"/>
  <c r="I6" i="30"/>
  <c r="J6" i="30"/>
  <c r="K6" i="30"/>
  <c r="L6" i="30"/>
  <c r="M6" i="30"/>
  <c r="C7" i="30"/>
  <c r="D7" i="30"/>
  <c r="E7" i="30"/>
  <c r="F7" i="30"/>
  <c r="G7" i="30"/>
  <c r="H7" i="30"/>
  <c r="I7" i="30"/>
  <c r="J7" i="30"/>
  <c r="K7" i="30"/>
  <c r="L7" i="30"/>
  <c r="M7" i="30"/>
  <c r="C8" i="30"/>
  <c r="D8" i="30"/>
  <c r="E8" i="30"/>
  <c r="F8" i="30"/>
  <c r="G8" i="30"/>
  <c r="H8" i="30"/>
  <c r="I8" i="30"/>
  <c r="J8" i="30"/>
  <c r="K8" i="30"/>
  <c r="L8" i="30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C9" i="30"/>
  <c r="D9" i="30"/>
  <c r="E9" i="30"/>
  <c r="F9" i="30"/>
  <c r="G9" i="30"/>
  <c r="H9" i="30"/>
  <c r="I9" i="30"/>
  <c r="J9" i="30"/>
  <c r="K9" i="30"/>
  <c r="L9" i="30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C10" i="30"/>
  <c r="D10" i="30"/>
  <c r="E10" i="30"/>
  <c r="F10" i="30"/>
  <c r="G10" i="30"/>
  <c r="H10" i="30"/>
  <c r="I10" i="30"/>
  <c r="J10" i="30"/>
  <c r="K10" i="30"/>
  <c r="L10" i="30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C11" i="30"/>
  <c r="D11" i="30"/>
  <c r="E11" i="30"/>
  <c r="F11" i="30"/>
  <c r="G11" i="30"/>
  <c r="H11" i="30"/>
  <c r="I11" i="30"/>
  <c r="J11" i="30"/>
  <c r="K11" i="30"/>
  <c r="L11" i="30"/>
  <c r="C12" i="30"/>
  <c r="D12" i="30"/>
  <c r="E12" i="30"/>
  <c r="F12" i="30"/>
  <c r="G12" i="30"/>
  <c r="H12" i="30"/>
  <c r="I12" i="30"/>
  <c r="J12" i="30"/>
  <c r="K12" i="30"/>
  <c r="L12" i="30"/>
  <c r="M12" i="30"/>
  <c r="C13" i="30"/>
  <c r="D13" i="30"/>
  <c r="E13" i="30"/>
  <c r="F13" i="30"/>
  <c r="G13" i="30"/>
  <c r="H13" i="30"/>
  <c r="I13" i="30"/>
  <c r="J13" i="30"/>
  <c r="K13" i="30"/>
  <c r="L13" i="30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C14" i="30"/>
  <c r="D14" i="30"/>
  <c r="E14" i="30"/>
  <c r="F14" i="30"/>
  <c r="G14" i="30"/>
  <c r="H14" i="30"/>
  <c r="I14" i="30"/>
  <c r="J14" i="30"/>
  <c r="K14" i="30"/>
  <c r="L14" i="30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C15" i="30"/>
  <c r="D15" i="30"/>
  <c r="E15" i="30"/>
  <c r="F15" i="30"/>
  <c r="G15" i="30"/>
  <c r="H15" i="30"/>
  <c r="I15" i="30"/>
  <c r="J15" i="30"/>
  <c r="K15" i="30"/>
  <c r="L15" i="30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C16" i="30"/>
  <c r="D16" i="30"/>
  <c r="E16" i="30"/>
  <c r="F16" i="30"/>
  <c r="G16" i="30"/>
  <c r="H16" i="30"/>
  <c r="I16" i="30"/>
  <c r="J16" i="30"/>
  <c r="K16" i="30"/>
  <c r="L16" i="30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C17" i="30"/>
  <c r="D17" i="30"/>
  <c r="E17" i="30"/>
  <c r="F17" i="30"/>
  <c r="G17" i="30"/>
  <c r="H17" i="30"/>
  <c r="I17" i="30"/>
  <c r="J17" i="30"/>
  <c r="K17" i="30"/>
  <c r="L17" i="30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C18" i="30"/>
  <c r="D18" i="30"/>
  <c r="E18" i="30"/>
  <c r="F18" i="30"/>
  <c r="G18" i="30"/>
  <c r="H18" i="30"/>
  <c r="I18" i="30"/>
  <c r="J18" i="30"/>
  <c r="K18" i="30"/>
  <c r="L18" i="30"/>
  <c r="M18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C2" i="31" l="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AG2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AA3" i="31"/>
  <c r="AG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AA4" i="31"/>
  <c r="AB4" i="31"/>
  <c r="AG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AG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AG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AA7" i="31"/>
  <c r="AB7" i="31"/>
  <c r="AC7" i="31"/>
  <c r="AD7" i="31"/>
  <c r="AE7" i="31"/>
  <c r="AF7" i="31"/>
  <c r="AG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AC8" i="31"/>
  <c r="AD8" i="31"/>
  <c r="AE8" i="31"/>
  <c r="AF8" i="31"/>
  <c r="AG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G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AG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G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Y12" i="31"/>
  <c r="AG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G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AG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AG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AG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AG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AG18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X3" i="29"/>
  <c r="Y3" i="29" s="1"/>
  <c r="Z3" i="29" s="1"/>
  <c r="AA3" i="29" s="1"/>
  <c r="AB3" i="29" s="1"/>
  <c r="AC3" i="29" s="1"/>
  <c r="AD3" i="29" s="1"/>
  <c r="AE3" i="29" s="1"/>
  <c r="AF3" i="29" s="1"/>
  <c r="AF3" i="31" s="1"/>
  <c r="X4" i="29"/>
  <c r="Y4" i="29" s="1"/>
  <c r="Z4" i="29" s="1"/>
  <c r="AA4" i="29" s="1"/>
  <c r="AB4" i="29" s="1"/>
  <c r="AC4" i="29" s="1"/>
  <c r="AD4" i="29" s="1"/>
  <c r="AE4" i="29" s="1"/>
  <c r="AF4" i="29" s="1"/>
  <c r="AF4" i="31" s="1"/>
  <c r="X5" i="29"/>
  <c r="X5" i="31" s="1"/>
  <c r="X6" i="29"/>
  <c r="X6" i="31" s="1"/>
  <c r="Y6" i="29"/>
  <c r="Z6" i="29" s="1"/>
  <c r="X7" i="29"/>
  <c r="Y7" i="29" s="1"/>
  <c r="Z7" i="29" s="1"/>
  <c r="AA7" i="29" s="1"/>
  <c r="AB7" i="29" s="1"/>
  <c r="AC7" i="29" s="1"/>
  <c r="AD7" i="29" s="1"/>
  <c r="AE7" i="29" s="1"/>
  <c r="AF7" i="29" s="1"/>
  <c r="X8" i="29"/>
  <c r="Y8" i="29" s="1"/>
  <c r="Z8" i="29" s="1"/>
  <c r="AA8" i="29" s="1"/>
  <c r="AB8" i="29" s="1"/>
  <c r="AC8" i="29" s="1"/>
  <c r="AD8" i="29" s="1"/>
  <c r="AE8" i="29" s="1"/>
  <c r="AF8" i="29" s="1"/>
  <c r="X9" i="29"/>
  <c r="Y9" i="29" s="1"/>
  <c r="Z9" i="29" s="1"/>
  <c r="AA9" i="29" s="1"/>
  <c r="AB9" i="29" s="1"/>
  <c r="AC9" i="29" s="1"/>
  <c r="AD9" i="29" s="1"/>
  <c r="AE9" i="29" s="1"/>
  <c r="AF9" i="29" s="1"/>
  <c r="AF9" i="31" s="1"/>
  <c r="X10" i="29"/>
  <c r="X10" i="31" s="1"/>
  <c r="X11" i="29"/>
  <c r="Y11" i="29" s="1"/>
  <c r="Z11" i="29" s="1"/>
  <c r="AA11" i="29" s="1"/>
  <c r="AB11" i="29" s="1"/>
  <c r="AC11" i="29" s="1"/>
  <c r="AD11" i="29" s="1"/>
  <c r="AE11" i="29" s="1"/>
  <c r="AF11" i="29" s="1"/>
  <c r="AF11" i="31" s="1"/>
  <c r="X12" i="29"/>
  <c r="Y12" i="29" s="1"/>
  <c r="Z12" i="29" s="1"/>
  <c r="AA12" i="29" s="1"/>
  <c r="AB12" i="29" s="1"/>
  <c r="AC12" i="29" s="1"/>
  <c r="AD12" i="29" s="1"/>
  <c r="AE12" i="29" s="1"/>
  <c r="AF12" i="29" s="1"/>
  <c r="AF12" i="31" s="1"/>
  <c r="X13" i="29"/>
  <c r="Y13" i="29" s="1"/>
  <c r="Z13" i="29" s="1"/>
  <c r="AA13" i="29" s="1"/>
  <c r="AB13" i="29" s="1"/>
  <c r="AC13" i="29" s="1"/>
  <c r="AD13" i="29" s="1"/>
  <c r="AE13" i="29" s="1"/>
  <c r="AF13" i="29" s="1"/>
  <c r="AF13" i="31" s="1"/>
  <c r="X14" i="29"/>
  <c r="Y14" i="29"/>
  <c r="Z14" i="29"/>
  <c r="Z14" i="31" s="1"/>
  <c r="X15" i="29"/>
  <c r="Y15" i="29" s="1"/>
  <c r="Z15" i="29" s="1"/>
  <c r="AA15" i="29" s="1"/>
  <c r="AB15" i="29" s="1"/>
  <c r="AC15" i="29" s="1"/>
  <c r="AD15" i="29" s="1"/>
  <c r="AE15" i="29" s="1"/>
  <c r="AF15" i="29" s="1"/>
  <c r="AF15" i="31" s="1"/>
  <c r="X16" i="29"/>
  <c r="Y16" i="29" s="1"/>
  <c r="Z16" i="29" s="1"/>
  <c r="AA16" i="29" s="1"/>
  <c r="AB16" i="29" s="1"/>
  <c r="AC16" i="29" s="1"/>
  <c r="AD16" i="29" s="1"/>
  <c r="AE16" i="29" s="1"/>
  <c r="AF16" i="29" s="1"/>
  <c r="AF16" i="31" s="1"/>
  <c r="X17" i="29"/>
  <c r="Y17" i="29"/>
  <c r="Z17" i="29" s="1"/>
  <c r="X18" i="29"/>
  <c r="Y18" i="29" s="1"/>
  <c r="X2" i="29"/>
  <c r="Y2" i="29" s="1"/>
  <c r="N3" i="29"/>
  <c r="O3" i="29" s="1"/>
  <c r="P3" i="29" s="1"/>
  <c r="Q3" i="29" s="1"/>
  <c r="R3" i="29" s="1"/>
  <c r="S3" i="29" s="1"/>
  <c r="T3" i="29" s="1"/>
  <c r="U3" i="29" s="1"/>
  <c r="V3" i="29" s="1"/>
  <c r="N4" i="29"/>
  <c r="O4" i="29"/>
  <c r="P4" i="29"/>
  <c r="Q4" i="29" s="1"/>
  <c r="R4" i="29" s="1"/>
  <c r="S4" i="29" s="1"/>
  <c r="T4" i="29" s="1"/>
  <c r="U4" i="29" s="1"/>
  <c r="V4" i="29" s="1"/>
  <c r="N5" i="29"/>
  <c r="O5" i="29"/>
  <c r="P5" i="29" s="1"/>
  <c r="Q5" i="29" s="1"/>
  <c r="R5" i="29" s="1"/>
  <c r="S5" i="29" s="1"/>
  <c r="T5" i="29" s="1"/>
  <c r="U5" i="29" s="1"/>
  <c r="V5" i="29" s="1"/>
  <c r="N6" i="29"/>
  <c r="O6" i="29" s="1"/>
  <c r="P6" i="29" s="1"/>
  <c r="Q6" i="29" s="1"/>
  <c r="R6" i="29" s="1"/>
  <c r="S6" i="29" s="1"/>
  <c r="T6" i="29" s="1"/>
  <c r="U6" i="29" s="1"/>
  <c r="V6" i="29" s="1"/>
  <c r="N7" i="29"/>
  <c r="O7" i="29" s="1"/>
  <c r="P7" i="29" s="1"/>
  <c r="Q7" i="29" s="1"/>
  <c r="R7" i="29" s="1"/>
  <c r="S7" i="29" s="1"/>
  <c r="T7" i="29" s="1"/>
  <c r="U7" i="29" s="1"/>
  <c r="V7" i="29" s="1"/>
  <c r="N8" i="29"/>
  <c r="O8" i="29"/>
  <c r="P8" i="29"/>
  <c r="Q8" i="29" s="1"/>
  <c r="R8" i="29" s="1"/>
  <c r="S8" i="29" s="1"/>
  <c r="T8" i="29" s="1"/>
  <c r="U8" i="29" s="1"/>
  <c r="V8" i="29" s="1"/>
  <c r="N9" i="29"/>
  <c r="O9" i="29"/>
  <c r="P9" i="29" s="1"/>
  <c r="Q9" i="29" s="1"/>
  <c r="R9" i="29" s="1"/>
  <c r="S9" i="29" s="1"/>
  <c r="T9" i="29" s="1"/>
  <c r="U9" i="29" s="1"/>
  <c r="V9" i="29" s="1"/>
  <c r="N10" i="29"/>
  <c r="O10" i="29" s="1"/>
  <c r="P10" i="29" s="1"/>
  <c r="Q10" i="29" s="1"/>
  <c r="R10" i="29" s="1"/>
  <c r="S10" i="29" s="1"/>
  <c r="T10" i="29" s="1"/>
  <c r="U10" i="29" s="1"/>
  <c r="V10" i="29" s="1"/>
  <c r="N11" i="29"/>
  <c r="O11" i="29" s="1"/>
  <c r="P11" i="29" s="1"/>
  <c r="Q11" i="29" s="1"/>
  <c r="R11" i="29" s="1"/>
  <c r="S11" i="29" s="1"/>
  <c r="T11" i="29" s="1"/>
  <c r="U11" i="29" s="1"/>
  <c r="V11" i="29" s="1"/>
  <c r="N12" i="29"/>
  <c r="O12" i="29"/>
  <c r="P12" i="29"/>
  <c r="Q12" i="29" s="1"/>
  <c r="R12" i="29" s="1"/>
  <c r="S12" i="29" s="1"/>
  <c r="T12" i="29" s="1"/>
  <c r="U12" i="29" s="1"/>
  <c r="V12" i="29" s="1"/>
  <c r="N13" i="29"/>
  <c r="O13" i="29"/>
  <c r="P13" i="29" s="1"/>
  <c r="Q13" i="29" s="1"/>
  <c r="R13" i="29" s="1"/>
  <c r="S13" i="29" s="1"/>
  <c r="T13" i="29" s="1"/>
  <c r="U13" i="29" s="1"/>
  <c r="V13" i="29" s="1"/>
  <c r="N14" i="29"/>
  <c r="O14" i="29" s="1"/>
  <c r="P14" i="29" s="1"/>
  <c r="Q14" i="29" s="1"/>
  <c r="R14" i="29" s="1"/>
  <c r="S14" i="29" s="1"/>
  <c r="T14" i="29" s="1"/>
  <c r="U14" i="29" s="1"/>
  <c r="V14" i="29" s="1"/>
  <c r="N15" i="29"/>
  <c r="O15" i="29" s="1"/>
  <c r="P15" i="29" s="1"/>
  <c r="Q15" i="29" s="1"/>
  <c r="R15" i="29" s="1"/>
  <c r="S15" i="29" s="1"/>
  <c r="T15" i="29" s="1"/>
  <c r="U15" i="29" s="1"/>
  <c r="V15" i="29" s="1"/>
  <c r="N16" i="29"/>
  <c r="O16" i="29"/>
  <c r="P16" i="29"/>
  <c r="Q16" i="29" s="1"/>
  <c r="R16" i="29" s="1"/>
  <c r="S16" i="29" s="1"/>
  <c r="T16" i="29" s="1"/>
  <c r="U16" i="29" s="1"/>
  <c r="V16" i="29" s="1"/>
  <c r="N17" i="29"/>
  <c r="O17" i="29" s="1"/>
  <c r="P17" i="29" s="1"/>
  <c r="Q17" i="29" s="1"/>
  <c r="R17" i="29" s="1"/>
  <c r="S17" i="29" s="1"/>
  <c r="T17" i="29" s="1"/>
  <c r="U17" i="29" s="1"/>
  <c r="V17" i="29" s="1"/>
  <c r="N18" i="29"/>
  <c r="O18" i="29" s="1"/>
  <c r="P18" i="29" s="1"/>
  <c r="Q18" i="29" s="1"/>
  <c r="R18" i="29" s="1"/>
  <c r="S18" i="29" s="1"/>
  <c r="T18" i="29" s="1"/>
  <c r="U18" i="29" s="1"/>
  <c r="V18" i="29" s="1"/>
  <c r="O2" i="29"/>
  <c r="P2" i="29" s="1"/>
  <c r="Q2" i="29" s="1"/>
  <c r="R2" i="29" s="1"/>
  <c r="S2" i="29" s="1"/>
  <c r="T2" i="29" s="1"/>
  <c r="U2" i="29" s="1"/>
  <c r="V2" i="29" s="1"/>
  <c r="N2" i="29"/>
  <c r="C3" i="29"/>
  <c r="D3" i="29" s="1"/>
  <c r="E3" i="29" s="1"/>
  <c r="F3" i="29" s="1"/>
  <c r="G3" i="29" s="1"/>
  <c r="H3" i="29" s="1"/>
  <c r="I3" i="29" s="1"/>
  <c r="J3" i="29" s="1"/>
  <c r="K3" i="29" s="1"/>
  <c r="L3" i="29" s="1"/>
  <c r="C4" i="29"/>
  <c r="D4" i="29"/>
  <c r="E4" i="29" s="1"/>
  <c r="F4" i="29" s="1"/>
  <c r="G4" i="29" s="1"/>
  <c r="H4" i="29" s="1"/>
  <c r="I4" i="29" s="1"/>
  <c r="J4" i="29" s="1"/>
  <c r="K4" i="29" s="1"/>
  <c r="L4" i="29" s="1"/>
  <c r="C5" i="29"/>
  <c r="D5" i="29" s="1"/>
  <c r="E5" i="29" s="1"/>
  <c r="F5" i="29" s="1"/>
  <c r="G5" i="29" s="1"/>
  <c r="H5" i="29" s="1"/>
  <c r="I5" i="29" s="1"/>
  <c r="J5" i="29" s="1"/>
  <c r="K5" i="29" s="1"/>
  <c r="L5" i="29" s="1"/>
  <c r="C6" i="29"/>
  <c r="D6" i="29"/>
  <c r="E6" i="29"/>
  <c r="F6" i="29" s="1"/>
  <c r="G6" i="29" s="1"/>
  <c r="H6" i="29" s="1"/>
  <c r="I6" i="29" s="1"/>
  <c r="J6" i="29" s="1"/>
  <c r="K6" i="29" s="1"/>
  <c r="L6" i="29" s="1"/>
  <c r="C7" i="29"/>
  <c r="D7" i="29"/>
  <c r="E7" i="29" s="1"/>
  <c r="F7" i="29" s="1"/>
  <c r="G7" i="29" s="1"/>
  <c r="H7" i="29" s="1"/>
  <c r="I7" i="29" s="1"/>
  <c r="J7" i="29" s="1"/>
  <c r="K7" i="29" s="1"/>
  <c r="L7" i="29" s="1"/>
  <c r="C8" i="29"/>
  <c r="D8" i="29"/>
  <c r="E8" i="29"/>
  <c r="F8" i="29"/>
  <c r="G8" i="29" s="1"/>
  <c r="H8" i="29" s="1"/>
  <c r="I8" i="29" s="1"/>
  <c r="J8" i="29" s="1"/>
  <c r="K8" i="29" s="1"/>
  <c r="L8" i="29" s="1"/>
  <c r="C9" i="29"/>
  <c r="D9" i="29" s="1"/>
  <c r="E9" i="29" s="1"/>
  <c r="F9" i="29" s="1"/>
  <c r="G9" i="29" s="1"/>
  <c r="H9" i="29" s="1"/>
  <c r="I9" i="29" s="1"/>
  <c r="J9" i="29" s="1"/>
  <c r="K9" i="29" s="1"/>
  <c r="L9" i="29" s="1"/>
  <c r="C10" i="29"/>
  <c r="D10" i="29"/>
  <c r="E10" i="29" s="1"/>
  <c r="F10" i="29" s="1"/>
  <c r="G10" i="29" s="1"/>
  <c r="H10" i="29" s="1"/>
  <c r="I10" i="29" s="1"/>
  <c r="J10" i="29" s="1"/>
  <c r="K10" i="29" s="1"/>
  <c r="L10" i="29" s="1"/>
  <c r="C11" i="29"/>
  <c r="D11" i="29" s="1"/>
  <c r="E11" i="29" s="1"/>
  <c r="F11" i="29" s="1"/>
  <c r="G11" i="29" s="1"/>
  <c r="H11" i="29" s="1"/>
  <c r="I11" i="29" s="1"/>
  <c r="J11" i="29" s="1"/>
  <c r="K11" i="29" s="1"/>
  <c r="L11" i="29" s="1"/>
  <c r="C12" i="29"/>
  <c r="D12" i="29"/>
  <c r="E12" i="29"/>
  <c r="F12" i="29" s="1"/>
  <c r="G12" i="29" s="1"/>
  <c r="H12" i="29" s="1"/>
  <c r="I12" i="29" s="1"/>
  <c r="J12" i="29" s="1"/>
  <c r="K12" i="29" s="1"/>
  <c r="L12" i="29" s="1"/>
  <c r="C13" i="29"/>
  <c r="D13" i="29"/>
  <c r="E13" i="29" s="1"/>
  <c r="F13" i="29" s="1"/>
  <c r="G13" i="29" s="1"/>
  <c r="H13" i="29" s="1"/>
  <c r="I13" i="29" s="1"/>
  <c r="J13" i="29" s="1"/>
  <c r="K13" i="29" s="1"/>
  <c r="L13" i="29" s="1"/>
  <c r="C14" i="29"/>
  <c r="D14" i="29"/>
  <c r="E14" i="29"/>
  <c r="F14" i="29"/>
  <c r="G14" i="29" s="1"/>
  <c r="H14" i="29" s="1"/>
  <c r="I14" i="29" s="1"/>
  <c r="J14" i="29" s="1"/>
  <c r="K14" i="29" s="1"/>
  <c r="L14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C16" i="29"/>
  <c r="D16" i="29"/>
  <c r="E16" i="29" s="1"/>
  <c r="F16" i="29" s="1"/>
  <c r="G16" i="29" s="1"/>
  <c r="H16" i="29" s="1"/>
  <c r="I16" i="29" s="1"/>
  <c r="J16" i="29" s="1"/>
  <c r="K16" i="29" s="1"/>
  <c r="L16" i="29" s="1"/>
  <c r="C17" i="29"/>
  <c r="D17" i="29" s="1"/>
  <c r="E17" i="29" s="1"/>
  <c r="F17" i="29" s="1"/>
  <c r="G17" i="29" s="1"/>
  <c r="H17" i="29" s="1"/>
  <c r="I17" i="29" s="1"/>
  <c r="J17" i="29" s="1"/>
  <c r="K17" i="29" s="1"/>
  <c r="L17" i="29" s="1"/>
  <c r="C18" i="29"/>
  <c r="D18" i="29"/>
  <c r="E18" i="29"/>
  <c r="F18" i="29" s="1"/>
  <c r="G18" i="29" s="1"/>
  <c r="H18" i="29" s="1"/>
  <c r="I18" i="29" s="1"/>
  <c r="J18" i="29" s="1"/>
  <c r="K18" i="29" s="1"/>
  <c r="L18" i="29" s="1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AD30" i="29"/>
  <c r="AE30" i="29"/>
  <c r="AF30" i="29"/>
  <c r="AG30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AD34" i="29"/>
  <c r="AE34" i="29"/>
  <c r="AF34" i="29"/>
  <c r="AG34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AD35" i="29"/>
  <c r="AE35" i="29"/>
  <c r="AF35" i="29"/>
  <c r="AG35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AE36" i="29"/>
  <c r="AF36" i="29"/>
  <c r="AG36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AD37" i="29"/>
  <c r="AE37" i="29"/>
  <c r="AF37" i="29"/>
  <c r="AG37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23" i="29"/>
  <c r="X18" i="31" l="1"/>
  <c r="AA17" i="29"/>
  <c r="Z17" i="31"/>
  <c r="X16" i="31"/>
  <c r="AE16" i="31"/>
  <c r="AD16" i="31"/>
  <c r="AC16" i="31"/>
  <c r="Y16" i="31"/>
  <c r="AB16" i="31"/>
  <c r="AA16" i="31"/>
  <c r="Z16" i="31"/>
  <c r="AE15" i="31"/>
  <c r="AD15" i="31"/>
  <c r="AC15" i="31"/>
  <c r="AB15" i="31"/>
  <c r="AA15" i="31"/>
  <c r="Z15" i="31"/>
  <c r="AA14" i="29"/>
  <c r="AE13" i="31"/>
  <c r="AD13" i="31"/>
  <c r="AC13" i="31"/>
  <c r="AB13" i="31"/>
  <c r="AA13" i="31"/>
  <c r="X12" i="31"/>
  <c r="AE12" i="31"/>
  <c r="AD12" i="31"/>
  <c r="AC12" i="31"/>
  <c r="AB12" i="31"/>
  <c r="AA12" i="31"/>
  <c r="Z12" i="31"/>
  <c r="AE11" i="31"/>
  <c r="AD11" i="31"/>
  <c r="AC11" i="31"/>
  <c r="AB11" i="31"/>
  <c r="Y10" i="29"/>
  <c r="AE9" i="31"/>
  <c r="AD9" i="31"/>
  <c r="AC9" i="31"/>
  <c r="AB9" i="31"/>
  <c r="AA9" i="31"/>
  <c r="Z7" i="31"/>
  <c r="Y7" i="31"/>
  <c r="X7" i="31"/>
  <c r="AA6" i="29"/>
  <c r="Z6" i="31"/>
  <c r="Y6" i="31"/>
  <c r="Y5" i="29"/>
  <c r="Z18" i="29"/>
  <c r="Y18" i="31"/>
  <c r="Z4" i="31"/>
  <c r="Y4" i="31"/>
  <c r="X4" i="31"/>
  <c r="AE4" i="31"/>
  <c r="AD4" i="31"/>
  <c r="AC4" i="31"/>
  <c r="Y3" i="31"/>
  <c r="X3" i="31"/>
  <c r="Z3" i="31"/>
  <c r="AE3" i="31"/>
  <c r="AD3" i="31"/>
  <c r="AC3" i="31"/>
  <c r="AB3" i="31"/>
  <c r="Z2" i="29"/>
  <c r="Y2" i="31"/>
  <c r="AB8" i="31"/>
  <c r="AA8" i="31"/>
  <c r="Z8" i="31"/>
  <c r="Y8" i="31"/>
  <c r="X8" i="31"/>
  <c r="U2" i="2"/>
  <c r="U3" i="2"/>
  <c r="G3" i="2" s="1"/>
  <c r="AB17" i="29" l="1"/>
  <c r="AA17" i="31"/>
  <c r="AA14" i="31"/>
  <c r="AB14" i="29"/>
  <c r="Z10" i="29"/>
  <c r="Y10" i="31"/>
  <c r="AB6" i="29"/>
  <c r="AA6" i="31"/>
  <c r="Z5" i="29"/>
  <c r="Y5" i="31"/>
  <c r="AA18" i="29"/>
  <c r="Z18" i="31"/>
  <c r="AA2" i="29"/>
  <c r="Z2" i="31"/>
  <c r="G2" i="2"/>
  <c r="AC17" i="29" l="1"/>
  <c r="AB17" i="31"/>
  <c r="AB14" i="31"/>
  <c r="AC14" i="29"/>
  <c r="Z10" i="31"/>
  <c r="AA10" i="29"/>
  <c r="AC6" i="29"/>
  <c r="AB6" i="31"/>
  <c r="AA5" i="29"/>
  <c r="Z5" i="31"/>
  <c r="AB18" i="29"/>
  <c r="AA18" i="31"/>
  <c r="AB2" i="29"/>
  <c r="AA2" i="31"/>
  <c r="G35" i="2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AD17" i="29" l="1"/>
  <c r="AC17" i="31"/>
  <c r="AC14" i="31"/>
  <c r="AD14" i="29"/>
  <c r="AA10" i="31"/>
  <c r="AB10" i="29"/>
  <c r="AD6" i="29"/>
  <c r="AC6" i="31"/>
  <c r="AB5" i="29"/>
  <c r="AA5" i="31"/>
  <c r="AC18" i="29"/>
  <c r="AB18" i="31"/>
  <c r="AC2" i="29"/>
  <c r="AB2" i="31"/>
  <c r="D2" i="22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AE17" i="29" l="1"/>
  <c r="AD17" i="31"/>
  <c r="AE14" i="29"/>
  <c r="AD14" i="31"/>
  <c r="AB10" i="31"/>
  <c r="AC10" i="29"/>
  <c r="AE6" i="29"/>
  <c r="AD6" i="31"/>
  <c r="AC5" i="29"/>
  <c r="AB5" i="31"/>
  <c r="AD18" i="29"/>
  <c r="AC18" i="31"/>
  <c r="AD2" i="29"/>
  <c r="AC2" i="31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AF17" i="29" l="1"/>
  <c r="AF17" i="31" s="1"/>
  <c r="AE17" i="31"/>
  <c r="AF14" i="29"/>
  <c r="AF14" i="31" s="1"/>
  <c r="AE14" i="31"/>
  <c r="AC10" i="31"/>
  <c r="AD10" i="29"/>
  <c r="AF6" i="29"/>
  <c r="AF6" i="31" s="1"/>
  <c r="AE6" i="31"/>
  <c r="AD5" i="29"/>
  <c r="AC5" i="31"/>
  <c r="AE18" i="29"/>
  <c r="AD18" i="31"/>
  <c r="AE2" i="29"/>
  <c r="AD2" i="31"/>
  <c r="B3" i="20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AE10" i="29" l="1"/>
  <c r="AD10" i="31"/>
  <c r="AE5" i="29"/>
  <c r="AD5" i="31"/>
  <c r="AF18" i="29"/>
  <c r="AF18" i="31" s="1"/>
  <c r="AE18" i="31"/>
  <c r="AF2" i="29"/>
  <c r="AF2" i="31" s="1"/>
  <c r="AE2" i="31"/>
  <c r="B24" i="12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AF10" i="29" l="1"/>
  <c r="AF10" i="31" s="1"/>
  <c r="AE10" i="31"/>
  <c r="AF5" i="29"/>
  <c r="AF5" i="31" s="1"/>
  <c r="AE5" i="31"/>
  <c r="B3" i="5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C2" i="29" l="1"/>
  <c r="D2" i="29"/>
  <c r="E2" i="29" s="1"/>
  <c r="F2" i="29" s="1"/>
  <c r="G2" i="29" s="1"/>
  <c r="H2" i="29" s="1"/>
  <c r="I2" i="29" s="1"/>
  <c r="J2" i="29" s="1"/>
  <c r="K2" i="29" s="1"/>
  <c r="L2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<sst xmlns="http://schemas.openxmlformats.org/spreadsheetml/2006/main" count="481" uniqueCount="84">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</sst>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0.65685833081631229</c:v>
                </c:pt>
                <c:pt idx="13">
                  <c:v>0.65685833081631229</c:v>
                </c:pt>
                <c:pt idx="14">
                  <c:v>0.65685833081631229</c:v>
                </c:pt>
                <c:pt idx="15">
                  <c:v>0.65685833081631229</c:v>
                </c:pt>
                <c:pt idx="16">
                  <c:v>0.65685833081631229</c:v>
                </c:pt>
                <c:pt idx="17">
                  <c:v>0.65685833081631229</c:v>
                </c:pt>
                <c:pt idx="18">
                  <c:v>0.65685833081631229</c:v>
                </c:pt>
                <c:pt idx="19">
                  <c:v>0.65685833081631229</c:v>
                </c:pt>
                <c:pt idx="20">
                  <c:v>0.65685833081631229</c:v>
                </c:pt>
                <c:pt idx="21">
                  <c:v>0.65685833081631229</c:v>
                </c:pt>
                <c:pt idx="22">
                  <c:v>0.65685833081631229</c:v>
                </c:pt>
                <c:pt idx="23">
                  <c:v>0.65685833081631229</c:v>
                </c:pt>
                <c:pt idx="24">
                  <c:v>0.65685833081631229</c:v>
                </c:pt>
                <c:pt idx="25">
                  <c:v>0.65685833081631229</c:v>
                </c:pt>
                <c:pt idx="26">
                  <c:v>0.65685833081631229</c:v>
                </c:pt>
                <c:pt idx="27">
                  <c:v>0.65685833081631229</c:v>
                </c:pt>
                <c:pt idx="28">
                  <c:v>0.65685833081631229</c:v>
                </c:pt>
                <c:pt idx="29">
                  <c:v>0.65685833081631229</c:v>
                </c:pt>
                <c:pt idx="30">
                  <c:v>0.65685833081631229</c:v>
                </c:pt>
                <c:pt idx="31">
                  <c:v>0.65685833081631229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0.67340518052159881</c:v>
                </c:pt>
                <c:pt idx="13">
                  <c:v>0.67340518052159881</c:v>
                </c:pt>
                <c:pt idx="14">
                  <c:v>0.67340518052159881</c:v>
                </c:pt>
                <c:pt idx="15">
                  <c:v>0.67340518052159881</c:v>
                </c:pt>
                <c:pt idx="16">
                  <c:v>0.67340518052159881</c:v>
                </c:pt>
                <c:pt idx="17">
                  <c:v>0.67340518052159881</c:v>
                </c:pt>
                <c:pt idx="18">
                  <c:v>0.67340518052159881</c:v>
                </c:pt>
                <c:pt idx="19">
                  <c:v>0.67340518052159881</c:v>
                </c:pt>
                <c:pt idx="20">
                  <c:v>0.67340518052159881</c:v>
                </c:pt>
                <c:pt idx="21">
                  <c:v>0.67340518052159881</c:v>
                </c:pt>
                <c:pt idx="22">
                  <c:v>0.67340518052159881</c:v>
                </c:pt>
                <c:pt idx="23">
                  <c:v>0.67340518052159881</c:v>
                </c:pt>
                <c:pt idx="24">
                  <c:v>0.67340518052159881</c:v>
                </c:pt>
                <c:pt idx="25">
                  <c:v>0.67340518052159881</c:v>
                </c:pt>
                <c:pt idx="26">
                  <c:v>0.67340518052159881</c:v>
                </c:pt>
                <c:pt idx="27">
                  <c:v>0.67340518052159881</c:v>
                </c:pt>
                <c:pt idx="28">
                  <c:v>0.67340518052159881</c:v>
                </c:pt>
                <c:pt idx="29">
                  <c:v>0.67340518052159881</c:v>
                </c:pt>
                <c:pt idx="30">
                  <c:v>0.67340518052159881</c:v>
                </c:pt>
                <c:pt idx="31">
                  <c:v>0.67340518052159881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1.1345147057436833</c:v>
                </c:pt>
                <c:pt idx="13">
                  <c:v>1.1345147057436833</c:v>
                </c:pt>
                <c:pt idx="14">
                  <c:v>1.1345147057436833</c:v>
                </c:pt>
                <c:pt idx="15">
                  <c:v>1.1345147057436833</c:v>
                </c:pt>
                <c:pt idx="16">
                  <c:v>1.1345147057436833</c:v>
                </c:pt>
                <c:pt idx="17">
                  <c:v>1.1345147057436833</c:v>
                </c:pt>
                <c:pt idx="18">
                  <c:v>1.1345147057436833</c:v>
                </c:pt>
                <c:pt idx="19">
                  <c:v>1.1345147057436833</c:v>
                </c:pt>
                <c:pt idx="20">
                  <c:v>1.1345147057436833</c:v>
                </c:pt>
                <c:pt idx="21">
                  <c:v>1.1345147057436833</c:v>
                </c:pt>
                <c:pt idx="22">
                  <c:v>1.1345147057436833</c:v>
                </c:pt>
                <c:pt idx="23">
                  <c:v>1.1345147057436833</c:v>
                </c:pt>
                <c:pt idx="24">
                  <c:v>1.1345147057436833</c:v>
                </c:pt>
                <c:pt idx="25">
                  <c:v>1.1345147057436833</c:v>
                </c:pt>
                <c:pt idx="26">
                  <c:v>1.1345147057436833</c:v>
                </c:pt>
                <c:pt idx="27">
                  <c:v>1.1345147057436833</c:v>
                </c:pt>
                <c:pt idx="28">
                  <c:v>1.1345147057436833</c:v>
                </c:pt>
                <c:pt idx="29">
                  <c:v>1.1345147057436833</c:v>
                </c:pt>
                <c:pt idx="30">
                  <c:v>1.1345147057436833</c:v>
                </c:pt>
                <c:pt idx="31">
                  <c:v>1.1345147057436833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0.65685833081631206</c:v>
                </c:pt>
                <c:pt idx="13">
                  <c:v>0.65685833081631206</c:v>
                </c:pt>
                <c:pt idx="14">
                  <c:v>0.65685833081631206</c:v>
                </c:pt>
                <c:pt idx="15">
                  <c:v>0.65685833081631206</c:v>
                </c:pt>
                <c:pt idx="16">
                  <c:v>0.65685833081631206</c:v>
                </c:pt>
                <c:pt idx="17">
                  <c:v>0.65685833081631206</c:v>
                </c:pt>
                <c:pt idx="18">
                  <c:v>0.65685833081631206</c:v>
                </c:pt>
                <c:pt idx="19">
                  <c:v>0.65685833081631206</c:v>
                </c:pt>
                <c:pt idx="20">
                  <c:v>0.65685833081631206</c:v>
                </c:pt>
                <c:pt idx="21">
                  <c:v>0.65685833081631206</c:v>
                </c:pt>
                <c:pt idx="22">
                  <c:v>0.65685833081631206</c:v>
                </c:pt>
                <c:pt idx="23">
                  <c:v>0.65685833081631206</c:v>
                </c:pt>
                <c:pt idx="24">
                  <c:v>0.65685833081631206</c:v>
                </c:pt>
                <c:pt idx="25">
                  <c:v>0.65685833081631206</c:v>
                </c:pt>
                <c:pt idx="26">
                  <c:v>0.65685833081631206</c:v>
                </c:pt>
                <c:pt idx="27">
                  <c:v>0.65685833081631206</c:v>
                </c:pt>
                <c:pt idx="28">
                  <c:v>0.65685833081631206</c:v>
                </c:pt>
                <c:pt idx="29">
                  <c:v>0.65685833081631206</c:v>
                </c:pt>
                <c:pt idx="30">
                  <c:v>0.65685833081631206</c:v>
                </c:pt>
                <c:pt idx="31">
                  <c:v>0.65685833081631206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0.34244545873649285</c:v>
                </c:pt>
                <c:pt idx="23">
                  <c:v>0.31550707443243808</c:v>
                </c:pt>
                <c:pt idx="24">
                  <c:v>0.28856869012838332</c:v>
                </c:pt>
                <c:pt idx="25">
                  <c:v>0.26163030582432856</c:v>
                </c:pt>
                <c:pt idx="26">
                  <c:v>0.23469192152027379</c:v>
                </c:pt>
                <c:pt idx="27">
                  <c:v>0.20775353721621903</c:v>
                </c:pt>
                <c:pt idx="28">
                  <c:v>0.18081515291216427</c:v>
                </c:pt>
                <c:pt idx="29">
                  <c:v>0.1538767686081095</c:v>
                </c:pt>
                <c:pt idx="30">
                  <c:v>0.12693838430405474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0.34956116380360425</c:v>
                </c:pt>
                <c:pt idx="23">
                  <c:v>0.32183214560320378</c:v>
                </c:pt>
                <c:pt idx="24">
                  <c:v>0.29410312740280331</c:v>
                </c:pt>
                <c:pt idx="25">
                  <c:v>0.26637410920240284</c:v>
                </c:pt>
                <c:pt idx="26">
                  <c:v>0.23864509100200237</c:v>
                </c:pt>
                <c:pt idx="27">
                  <c:v>0.21091607280160191</c:v>
                </c:pt>
                <c:pt idx="28">
                  <c:v>0.18318705460120144</c:v>
                </c:pt>
                <c:pt idx="29">
                  <c:v>0.15545803640080097</c:v>
                </c:pt>
                <c:pt idx="30">
                  <c:v>0.1277290182004005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0.8375167659354118</c:v>
                </c:pt>
                <c:pt idx="23">
                  <c:v>0.80557045860925491</c:v>
                </c:pt>
                <c:pt idx="24">
                  <c:v>0.77362415128309803</c:v>
                </c:pt>
                <c:pt idx="25">
                  <c:v>0.74167784395694114</c:v>
                </c:pt>
                <c:pt idx="26">
                  <c:v>0.70973153663078425</c:v>
                </c:pt>
                <c:pt idx="27">
                  <c:v>0.67778522930462737</c:v>
                </c:pt>
                <c:pt idx="28">
                  <c:v>0.64583892197847048</c:v>
                </c:pt>
                <c:pt idx="29">
                  <c:v>0.6138926146523136</c:v>
                </c:pt>
                <c:pt idx="30">
                  <c:v>0.58194630732615671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0.83751676593541191</c:v>
                </c:pt>
                <c:pt idx="23">
                  <c:v>0.80557045860925502</c:v>
                </c:pt>
                <c:pt idx="24">
                  <c:v>0.77362415128309814</c:v>
                </c:pt>
                <c:pt idx="25">
                  <c:v>0.74167784395694125</c:v>
                </c:pt>
                <c:pt idx="26">
                  <c:v>0.70973153663078437</c:v>
                </c:pt>
                <c:pt idx="27">
                  <c:v>0.67778522930462748</c:v>
                </c:pt>
                <c:pt idx="28">
                  <c:v>0.64583892197847059</c:v>
                </c:pt>
                <c:pt idx="29">
                  <c:v>0.61389261465231371</c:v>
                </c:pt>
                <c:pt idx="30">
                  <c:v>0.58194630732615682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0.83751676593541169</c:v>
                </c:pt>
                <c:pt idx="23">
                  <c:v>0.8055704586092548</c:v>
                </c:pt>
                <c:pt idx="24">
                  <c:v>0.77362415128309792</c:v>
                </c:pt>
                <c:pt idx="25">
                  <c:v>0.74167784395694103</c:v>
                </c:pt>
                <c:pt idx="26">
                  <c:v>0.70973153663078414</c:v>
                </c:pt>
                <c:pt idx="27">
                  <c:v>0.67778522930462726</c:v>
                </c:pt>
                <c:pt idx="28">
                  <c:v>0.64583892197847037</c:v>
                </c:pt>
                <c:pt idx="29">
                  <c:v>0.61389261465231348</c:v>
                </c:pt>
                <c:pt idx="30">
                  <c:v>0.5819463073261566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0.34244545873649285</c:v>
                </c:pt>
                <c:pt idx="23">
                  <c:v>0.31550707443243808</c:v>
                </c:pt>
                <c:pt idx="24">
                  <c:v>0.28856869012838332</c:v>
                </c:pt>
                <c:pt idx="25">
                  <c:v>0.26163030582432856</c:v>
                </c:pt>
                <c:pt idx="26">
                  <c:v>0.23469192152027379</c:v>
                </c:pt>
                <c:pt idx="27">
                  <c:v>0.20775353721621903</c:v>
                </c:pt>
                <c:pt idx="28">
                  <c:v>0.18081515291216427</c:v>
                </c:pt>
                <c:pt idx="29">
                  <c:v>0.1538767686081095</c:v>
                </c:pt>
                <c:pt idx="30">
                  <c:v>0.12693838430405474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526472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C8" sqref="C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C2" sqref="C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opLeftCell="J1" workbookViewId="0">
      <selection activeCell="AA37" sqref="AA3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B2-B2*0.015</f>
        <v>0.98499999999999999</v>
      </c>
      <c r="D2" s="11">
        <f t="shared" ref="D2:AG10" si="0">C2-C2*0.015</f>
        <v>0.970225</v>
      </c>
      <c r="E2" s="11">
        <f t="shared" si="0"/>
        <v>0.95567162500000002</v>
      </c>
      <c r="F2" s="11">
        <f t="shared" si="0"/>
        <v>0.94133655062499999</v>
      </c>
      <c r="G2" s="11">
        <f t="shared" si="0"/>
        <v>0.92721650236562503</v>
      </c>
      <c r="H2" s="11">
        <f t="shared" si="0"/>
        <v>0.91330825483014066</v>
      </c>
      <c r="I2" s="11">
        <f t="shared" si="0"/>
        <v>0.89960863100768851</v>
      </c>
      <c r="J2" s="11">
        <f t="shared" si="0"/>
        <v>0.88611450154257321</v>
      </c>
      <c r="K2" s="11">
        <f t="shared" si="0"/>
        <v>0.87282278401943458</v>
      </c>
      <c r="L2" s="11">
        <f t="shared" si="0"/>
        <v>0.85973044225914308</v>
      </c>
      <c r="M2" s="11">
        <f t="shared" si="0"/>
        <v>0.84683448562525598</v>
      </c>
      <c r="N2" s="11">
        <f t="shared" si="0"/>
        <v>0.83413196834087711</v>
      </c>
      <c r="O2" s="11">
        <f t="shared" si="0"/>
        <v>0.82161998881576392</v>
      </c>
      <c r="P2" s="11">
        <f t="shared" si="0"/>
        <v>0.80929568898352744</v>
      </c>
      <c r="Q2" s="11">
        <f t="shared" si="0"/>
        <v>0.79715625364877452</v>
      </c>
      <c r="R2" s="11">
        <f t="shared" si="0"/>
        <v>0.78519890984404295</v>
      </c>
      <c r="S2" s="11">
        <f t="shared" si="0"/>
        <v>0.77342092619638225</v>
      </c>
      <c r="T2" s="11">
        <f t="shared" si="0"/>
        <v>0.76181961230343653</v>
      </c>
      <c r="U2" s="11">
        <f t="shared" si="0"/>
        <v>0.75039231811888496</v>
      </c>
      <c r="V2" s="11">
        <f t="shared" si="0"/>
        <v>0.73913643334710166</v>
      </c>
      <c r="W2" s="11">
        <f t="shared" si="0"/>
        <v>0.72804938684689513</v>
      </c>
      <c r="X2" s="11">
        <f t="shared" si="0"/>
        <v>0.71712864604419169</v>
      </c>
      <c r="Y2" s="11">
        <f t="shared" si="0"/>
        <v>0.7063717163535288</v>
      </c>
      <c r="Z2" s="11">
        <f t="shared" si="0"/>
        <v>0.6957761406082259</v>
      </c>
      <c r="AA2" s="11">
        <f t="shared" si="0"/>
        <v>0.68533949849910247</v>
      </c>
      <c r="AB2" s="11">
        <f t="shared" si="0"/>
        <v>0.67505940602161596</v>
      </c>
      <c r="AC2" s="11">
        <f t="shared" si="0"/>
        <v>0.66493351493129171</v>
      </c>
      <c r="AD2" s="11">
        <f t="shared" si="0"/>
        <v>0.65495951220732229</v>
      </c>
      <c r="AE2" s="11">
        <f t="shared" si="0"/>
        <v>0.64513511952421243</v>
      </c>
      <c r="AF2" s="11">
        <f t="shared" si="0"/>
        <v>0.63545809273134923</v>
      </c>
      <c r="AG2" s="11">
        <f t="shared" si="0"/>
        <v>0.62592622134037901</v>
      </c>
    </row>
    <row r="3" spans="1:33" x14ac:dyDescent="0.3">
      <c r="A3" s="2" t="s">
        <v>1</v>
      </c>
      <c r="B3" s="11">
        <v>1</v>
      </c>
      <c r="C3" s="11">
        <f t="shared" ref="C3:R18" si="1">B3-B3*0.015</f>
        <v>0.98499999999999999</v>
      </c>
      <c r="D3" s="11">
        <f t="shared" si="1"/>
        <v>0.970225</v>
      </c>
      <c r="E3" s="11">
        <f t="shared" si="1"/>
        <v>0.95567162500000002</v>
      </c>
      <c r="F3" s="11">
        <f t="shared" si="1"/>
        <v>0.94133655062499999</v>
      </c>
      <c r="G3" s="11">
        <f t="shared" si="1"/>
        <v>0.92721650236562503</v>
      </c>
      <c r="H3" s="11">
        <f t="shared" si="1"/>
        <v>0.91330825483014066</v>
      </c>
      <c r="I3" s="11">
        <f t="shared" si="1"/>
        <v>0.89960863100768851</v>
      </c>
      <c r="J3" s="11">
        <f t="shared" si="1"/>
        <v>0.88611450154257321</v>
      </c>
      <c r="K3" s="11">
        <f t="shared" si="1"/>
        <v>0.87282278401943458</v>
      </c>
      <c r="L3" s="11">
        <f t="shared" si="1"/>
        <v>0.85973044225914308</v>
      </c>
      <c r="M3" s="11">
        <f t="shared" si="1"/>
        <v>0.84683448562525598</v>
      </c>
      <c r="N3" s="11">
        <f t="shared" si="1"/>
        <v>0.83413196834087711</v>
      </c>
      <c r="O3" s="11">
        <f t="shared" si="1"/>
        <v>0.82161998881576392</v>
      </c>
      <c r="P3" s="11">
        <f t="shared" si="1"/>
        <v>0.80929568898352744</v>
      </c>
      <c r="Q3" s="11">
        <f t="shared" si="1"/>
        <v>0.79715625364877452</v>
      </c>
      <c r="R3" s="11">
        <f t="shared" si="1"/>
        <v>0.78519890984404295</v>
      </c>
      <c r="S3" s="11">
        <f t="shared" si="0"/>
        <v>0.77342092619638225</v>
      </c>
      <c r="T3" s="11">
        <f t="shared" si="0"/>
        <v>0.76181961230343653</v>
      </c>
      <c r="U3" s="11">
        <f t="shared" si="0"/>
        <v>0.75039231811888496</v>
      </c>
      <c r="V3" s="11">
        <f t="shared" si="0"/>
        <v>0.73913643334710166</v>
      </c>
      <c r="W3" s="11">
        <f t="shared" si="0"/>
        <v>0.72804938684689513</v>
      </c>
      <c r="X3" s="11">
        <f t="shared" si="0"/>
        <v>0.71712864604419169</v>
      </c>
      <c r="Y3" s="11">
        <f t="shared" si="0"/>
        <v>0.7063717163535288</v>
      </c>
      <c r="Z3" s="11">
        <f t="shared" si="0"/>
        <v>0.6957761406082259</v>
      </c>
      <c r="AA3" s="11">
        <f t="shared" si="0"/>
        <v>0.68533949849910247</v>
      </c>
      <c r="AB3" s="11">
        <f t="shared" si="0"/>
        <v>0.67505940602161596</v>
      </c>
      <c r="AC3" s="11">
        <f t="shared" si="0"/>
        <v>0.66493351493129171</v>
      </c>
      <c r="AD3" s="11">
        <f t="shared" si="0"/>
        <v>0.65495951220732229</v>
      </c>
      <c r="AE3" s="11">
        <f t="shared" si="0"/>
        <v>0.64513511952421243</v>
      </c>
      <c r="AF3" s="11">
        <f t="shared" si="0"/>
        <v>0.63545809273134923</v>
      </c>
      <c r="AG3" s="11">
        <f t="shared" si="0"/>
        <v>0.62592622134037901</v>
      </c>
    </row>
    <row r="4" spans="1:33" x14ac:dyDescent="0.3">
      <c r="A4" s="2" t="s">
        <v>2</v>
      </c>
      <c r="B4" s="11">
        <v>1</v>
      </c>
      <c r="C4" s="11">
        <f t="shared" si="1"/>
        <v>0.98499999999999999</v>
      </c>
      <c r="D4" s="11">
        <f t="shared" si="0"/>
        <v>0.970225</v>
      </c>
      <c r="E4" s="11">
        <f t="shared" si="0"/>
        <v>0.95567162500000002</v>
      </c>
      <c r="F4" s="11">
        <f t="shared" si="0"/>
        <v>0.94133655062499999</v>
      </c>
      <c r="G4" s="11">
        <f t="shared" si="0"/>
        <v>0.92721650236562503</v>
      </c>
      <c r="H4" s="11">
        <f t="shared" si="0"/>
        <v>0.91330825483014066</v>
      </c>
      <c r="I4" s="11">
        <f t="shared" si="0"/>
        <v>0.89960863100768851</v>
      </c>
      <c r="J4" s="11">
        <f t="shared" si="0"/>
        <v>0.88611450154257321</v>
      </c>
      <c r="K4" s="11">
        <f t="shared" si="0"/>
        <v>0.87282278401943458</v>
      </c>
      <c r="L4" s="11">
        <f t="shared" si="0"/>
        <v>0.85973044225914308</v>
      </c>
      <c r="M4" s="11">
        <f t="shared" si="0"/>
        <v>0.84683448562525598</v>
      </c>
      <c r="N4" s="11">
        <f t="shared" si="0"/>
        <v>0.83413196834087711</v>
      </c>
      <c r="O4" s="11">
        <f t="shared" si="0"/>
        <v>0.82161998881576392</v>
      </c>
      <c r="P4" s="11">
        <f t="shared" si="0"/>
        <v>0.80929568898352744</v>
      </c>
      <c r="Q4" s="11">
        <f t="shared" si="0"/>
        <v>0.79715625364877452</v>
      </c>
      <c r="R4" s="11">
        <f t="shared" si="0"/>
        <v>0.78519890984404295</v>
      </c>
      <c r="S4" s="11">
        <f t="shared" si="0"/>
        <v>0.77342092619638225</v>
      </c>
      <c r="T4" s="11">
        <f t="shared" si="0"/>
        <v>0.76181961230343653</v>
      </c>
      <c r="U4" s="11">
        <f t="shared" si="0"/>
        <v>0.75039231811888496</v>
      </c>
      <c r="V4" s="11">
        <f t="shared" si="0"/>
        <v>0.73913643334710166</v>
      </c>
      <c r="W4" s="11">
        <f t="shared" si="0"/>
        <v>0.72804938684689513</v>
      </c>
      <c r="X4" s="11">
        <f t="shared" si="0"/>
        <v>0.71712864604419169</v>
      </c>
      <c r="Y4" s="11">
        <f t="shared" si="0"/>
        <v>0.7063717163535288</v>
      </c>
      <c r="Z4" s="11">
        <f t="shared" si="0"/>
        <v>0.6957761406082259</v>
      </c>
      <c r="AA4" s="11">
        <f t="shared" si="0"/>
        <v>0.68533949849910247</v>
      </c>
      <c r="AB4" s="11">
        <f t="shared" si="0"/>
        <v>0.67505940602161596</v>
      </c>
      <c r="AC4" s="11">
        <f t="shared" si="0"/>
        <v>0.66493351493129171</v>
      </c>
      <c r="AD4" s="11">
        <f t="shared" si="0"/>
        <v>0.65495951220732229</v>
      </c>
      <c r="AE4" s="11">
        <f t="shared" si="0"/>
        <v>0.64513511952421243</v>
      </c>
      <c r="AF4" s="11">
        <f t="shared" si="0"/>
        <v>0.63545809273134923</v>
      </c>
      <c r="AG4" s="11">
        <f t="shared" si="0"/>
        <v>0.62592622134037901</v>
      </c>
    </row>
    <row r="5" spans="1:33" x14ac:dyDescent="0.3">
      <c r="A5" s="2" t="s">
        <v>3</v>
      </c>
      <c r="B5" s="11">
        <v>1</v>
      </c>
      <c r="C5" s="11">
        <f t="shared" si="1"/>
        <v>0.98499999999999999</v>
      </c>
      <c r="D5" s="11">
        <f t="shared" si="0"/>
        <v>0.970225</v>
      </c>
      <c r="E5" s="11">
        <f t="shared" si="0"/>
        <v>0.95567162500000002</v>
      </c>
      <c r="F5" s="11">
        <f t="shared" si="0"/>
        <v>0.94133655062499999</v>
      </c>
      <c r="G5" s="11">
        <f t="shared" si="0"/>
        <v>0.92721650236562503</v>
      </c>
      <c r="H5" s="11">
        <f t="shared" si="0"/>
        <v>0.91330825483014066</v>
      </c>
      <c r="I5" s="11">
        <f t="shared" si="0"/>
        <v>0.89960863100768851</v>
      </c>
      <c r="J5" s="11">
        <f t="shared" si="0"/>
        <v>0.88611450154257321</v>
      </c>
      <c r="K5" s="11">
        <f t="shared" si="0"/>
        <v>0.87282278401943458</v>
      </c>
      <c r="L5" s="11">
        <f t="shared" si="0"/>
        <v>0.85973044225914308</v>
      </c>
      <c r="M5" s="11">
        <f t="shared" si="0"/>
        <v>0.84683448562525598</v>
      </c>
      <c r="N5" s="11">
        <f t="shared" si="0"/>
        <v>0.83413196834087711</v>
      </c>
      <c r="O5" s="11">
        <f t="shared" si="0"/>
        <v>0.82161998881576392</v>
      </c>
      <c r="P5" s="11">
        <f t="shared" si="0"/>
        <v>0.80929568898352744</v>
      </c>
      <c r="Q5" s="11">
        <f t="shared" si="0"/>
        <v>0.79715625364877452</v>
      </c>
      <c r="R5" s="11">
        <f t="shared" si="0"/>
        <v>0.78519890984404295</v>
      </c>
      <c r="S5" s="11">
        <f t="shared" si="0"/>
        <v>0.77342092619638225</v>
      </c>
      <c r="T5" s="11">
        <f t="shared" si="0"/>
        <v>0.76181961230343653</v>
      </c>
      <c r="U5" s="11">
        <f t="shared" si="0"/>
        <v>0.75039231811888496</v>
      </c>
      <c r="V5" s="11">
        <f t="shared" si="0"/>
        <v>0.73913643334710166</v>
      </c>
      <c r="W5" s="11">
        <f t="shared" si="0"/>
        <v>0.72804938684689513</v>
      </c>
      <c r="X5" s="11">
        <f t="shared" si="0"/>
        <v>0.71712864604419169</v>
      </c>
      <c r="Y5" s="11">
        <f t="shared" si="0"/>
        <v>0.7063717163535288</v>
      </c>
      <c r="Z5" s="11">
        <f t="shared" si="0"/>
        <v>0.6957761406082259</v>
      </c>
      <c r="AA5" s="11">
        <f t="shared" si="0"/>
        <v>0.68533949849910247</v>
      </c>
      <c r="AB5" s="11">
        <f t="shared" si="0"/>
        <v>0.67505940602161596</v>
      </c>
      <c r="AC5" s="11">
        <f t="shared" si="0"/>
        <v>0.66493351493129171</v>
      </c>
      <c r="AD5" s="11">
        <f t="shared" si="0"/>
        <v>0.65495951220732229</v>
      </c>
      <c r="AE5" s="11">
        <f t="shared" si="0"/>
        <v>0.64513511952421243</v>
      </c>
      <c r="AF5" s="11">
        <f t="shared" si="0"/>
        <v>0.63545809273134923</v>
      </c>
      <c r="AG5" s="11">
        <f t="shared" si="0"/>
        <v>0.62592622134037901</v>
      </c>
    </row>
    <row r="6" spans="1:33" x14ac:dyDescent="0.3">
      <c r="A6" s="2" t="s">
        <v>4</v>
      </c>
      <c r="B6" s="11">
        <v>1</v>
      </c>
      <c r="C6" s="11">
        <f t="shared" si="1"/>
        <v>0.98499999999999999</v>
      </c>
      <c r="D6" s="11">
        <f t="shared" si="0"/>
        <v>0.970225</v>
      </c>
      <c r="E6" s="11">
        <f t="shared" si="0"/>
        <v>0.95567162500000002</v>
      </c>
      <c r="F6" s="11">
        <f t="shared" si="0"/>
        <v>0.94133655062499999</v>
      </c>
      <c r="G6" s="11">
        <f t="shared" si="0"/>
        <v>0.92721650236562503</v>
      </c>
      <c r="H6" s="11">
        <f t="shared" si="0"/>
        <v>0.91330825483014066</v>
      </c>
      <c r="I6" s="11">
        <f t="shared" si="0"/>
        <v>0.89960863100768851</v>
      </c>
      <c r="J6" s="11">
        <f t="shared" si="0"/>
        <v>0.88611450154257321</v>
      </c>
      <c r="K6" s="11">
        <f t="shared" si="0"/>
        <v>0.87282278401943458</v>
      </c>
      <c r="L6" s="11">
        <f t="shared" si="0"/>
        <v>0.85973044225914308</v>
      </c>
      <c r="M6" s="11">
        <f t="shared" si="0"/>
        <v>0.84683448562525598</v>
      </c>
      <c r="N6" s="11">
        <f t="shared" si="0"/>
        <v>0.83413196834087711</v>
      </c>
      <c r="O6" s="11">
        <f t="shared" si="0"/>
        <v>0.82161998881576392</v>
      </c>
      <c r="P6" s="11">
        <f t="shared" si="0"/>
        <v>0.80929568898352744</v>
      </c>
      <c r="Q6" s="11">
        <f t="shared" si="0"/>
        <v>0.79715625364877452</v>
      </c>
      <c r="R6" s="11">
        <f t="shared" si="0"/>
        <v>0.78519890984404295</v>
      </c>
      <c r="S6" s="11">
        <f t="shared" si="0"/>
        <v>0.77342092619638225</v>
      </c>
      <c r="T6" s="11">
        <f t="shared" si="0"/>
        <v>0.76181961230343653</v>
      </c>
      <c r="U6" s="11">
        <f t="shared" si="0"/>
        <v>0.75039231811888496</v>
      </c>
      <c r="V6" s="11">
        <f t="shared" si="0"/>
        <v>0.73913643334710166</v>
      </c>
      <c r="W6" s="11">
        <f t="shared" si="0"/>
        <v>0.72804938684689513</v>
      </c>
      <c r="X6" s="11">
        <f t="shared" si="0"/>
        <v>0.71712864604419169</v>
      </c>
      <c r="Y6" s="11">
        <f t="shared" si="0"/>
        <v>0.7063717163535288</v>
      </c>
      <c r="Z6" s="11">
        <f t="shared" si="0"/>
        <v>0.6957761406082259</v>
      </c>
      <c r="AA6" s="11">
        <f t="shared" si="0"/>
        <v>0.68533949849910247</v>
      </c>
      <c r="AB6" s="11">
        <f t="shared" si="0"/>
        <v>0.67505940602161596</v>
      </c>
      <c r="AC6" s="11">
        <f t="shared" si="0"/>
        <v>0.66493351493129171</v>
      </c>
      <c r="AD6" s="11">
        <f t="shared" si="0"/>
        <v>0.65495951220732229</v>
      </c>
      <c r="AE6" s="11">
        <f t="shared" si="0"/>
        <v>0.64513511952421243</v>
      </c>
      <c r="AF6" s="11">
        <f t="shared" si="0"/>
        <v>0.63545809273134923</v>
      </c>
      <c r="AG6" s="11">
        <f t="shared" si="0"/>
        <v>0.62592622134037901</v>
      </c>
    </row>
    <row r="7" spans="1:33" x14ac:dyDescent="0.3">
      <c r="A7" s="2" t="s">
        <v>5</v>
      </c>
      <c r="B7" s="11">
        <v>1</v>
      </c>
      <c r="C7" s="11">
        <f t="shared" si="1"/>
        <v>0.98499999999999999</v>
      </c>
      <c r="D7" s="11">
        <f t="shared" si="0"/>
        <v>0.970225</v>
      </c>
      <c r="E7" s="11">
        <f t="shared" si="0"/>
        <v>0.95567162500000002</v>
      </c>
      <c r="F7" s="11">
        <f t="shared" si="0"/>
        <v>0.94133655062499999</v>
      </c>
      <c r="G7" s="11">
        <f t="shared" si="0"/>
        <v>0.92721650236562503</v>
      </c>
      <c r="H7" s="11">
        <f t="shared" si="0"/>
        <v>0.91330825483014066</v>
      </c>
      <c r="I7" s="11">
        <f t="shared" si="0"/>
        <v>0.89960863100768851</v>
      </c>
      <c r="J7" s="11">
        <f t="shared" si="0"/>
        <v>0.88611450154257321</v>
      </c>
      <c r="K7" s="11">
        <f t="shared" si="0"/>
        <v>0.87282278401943458</v>
      </c>
      <c r="L7" s="11">
        <f t="shared" si="0"/>
        <v>0.85973044225914308</v>
      </c>
      <c r="M7" s="11">
        <f t="shared" si="0"/>
        <v>0.84683448562525598</v>
      </c>
      <c r="N7" s="11">
        <f t="shared" si="0"/>
        <v>0.83413196834087711</v>
      </c>
      <c r="O7" s="11">
        <f t="shared" si="0"/>
        <v>0.82161998881576392</v>
      </c>
      <c r="P7" s="11">
        <f t="shared" si="0"/>
        <v>0.80929568898352744</v>
      </c>
      <c r="Q7" s="11">
        <f t="shared" si="0"/>
        <v>0.79715625364877452</v>
      </c>
      <c r="R7" s="11">
        <f t="shared" si="0"/>
        <v>0.78519890984404295</v>
      </c>
      <c r="S7" s="11">
        <f t="shared" si="0"/>
        <v>0.77342092619638225</v>
      </c>
      <c r="T7" s="11">
        <f t="shared" si="0"/>
        <v>0.76181961230343653</v>
      </c>
      <c r="U7" s="11">
        <f t="shared" si="0"/>
        <v>0.75039231811888496</v>
      </c>
      <c r="V7" s="11">
        <f t="shared" si="0"/>
        <v>0.73913643334710166</v>
      </c>
      <c r="W7" s="11">
        <f t="shared" si="0"/>
        <v>0.72804938684689513</v>
      </c>
      <c r="X7" s="11">
        <f t="shared" si="0"/>
        <v>0.71712864604419169</v>
      </c>
      <c r="Y7" s="11">
        <f t="shared" si="0"/>
        <v>0.7063717163535288</v>
      </c>
      <c r="Z7" s="11">
        <f t="shared" si="0"/>
        <v>0.6957761406082259</v>
      </c>
      <c r="AA7" s="11">
        <f t="shared" si="0"/>
        <v>0.68533949849910247</v>
      </c>
      <c r="AB7" s="11">
        <f t="shared" si="0"/>
        <v>0.67505940602161596</v>
      </c>
      <c r="AC7" s="11">
        <f t="shared" si="0"/>
        <v>0.66493351493129171</v>
      </c>
      <c r="AD7" s="11">
        <f t="shared" si="0"/>
        <v>0.65495951220732229</v>
      </c>
      <c r="AE7" s="11">
        <f t="shared" si="0"/>
        <v>0.64513511952421243</v>
      </c>
      <c r="AF7" s="11">
        <f t="shared" si="0"/>
        <v>0.63545809273134923</v>
      </c>
      <c r="AG7" s="11">
        <f t="shared" si="0"/>
        <v>0.62592622134037901</v>
      </c>
    </row>
    <row r="8" spans="1:33" x14ac:dyDescent="0.3">
      <c r="A8" s="2" t="s">
        <v>6</v>
      </c>
      <c r="B8" s="11">
        <v>1</v>
      </c>
      <c r="C8" s="11">
        <f t="shared" si="1"/>
        <v>0.98499999999999999</v>
      </c>
      <c r="D8" s="11">
        <f t="shared" si="0"/>
        <v>0.970225</v>
      </c>
      <c r="E8" s="11">
        <f t="shared" si="0"/>
        <v>0.95567162500000002</v>
      </c>
      <c r="F8" s="11">
        <f t="shared" si="0"/>
        <v>0.94133655062499999</v>
      </c>
      <c r="G8" s="11">
        <f t="shared" si="0"/>
        <v>0.92721650236562503</v>
      </c>
      <c r="H8" s="11">
        <f t="shared" si="0"/>
        <v>0.91330825483014066</v>
      </c>
      <c r="I8" s="11">
        <f t="shared" si="0"/>
        <v>0.89960863100768851</v>
      </c>
      <c r="J8" s="11">
        <f t="shared" si="0"/>
        <v>0.88611450154257321</v>
      </c>
      <c r="K8" s="11">
        <f t="shared" si="0"/>
        <v>0.87282278401943458</v>
      </c>
      <c r="L8" s="11">
        <f t="shared" si="0"/>
        <v>0.85973044225914308</v>
      </c>
      <c r="M8" s="11">
        <f t="shared" si="0"/>
        <v>0.84683448562525598</v>
      </c>
      <c r="N8" s="11">
        <f t="shared" si="0"/>
        <v>0.83413196834087711</v>
      </c>
      <c r="O8" s="11">
        <f t="shared" si="0"/>
        <v>0.82161998881576392</v>
      </c>
      <c r="P8" s="11">
        <f t="shared" si="0"/>
        <v>0.80929568898352744</v>
      </c>
      <c r="Q8" s="11">
        <f t="shared" si="0"/>
        <v>0.79715625364877452</v>
      </c>
      <c r="R8" s="11">
        <f t="shared" si="0"/>
        <v>0.78519890984404295</v>
      </c>
      <c r="S8" s="11">
        <f t="shared" si="0"/>
        <v>0.77342092619638225</v>
      </c>
      <c r="T8" s="11">
        <f t="shared" si="0"/>
        <v>0.76181961230343653</v>
      </c>
      <c r="U8" s="11">
        <f t="shared" si="0"/>
        <v>0.75039231811888496</v>
      </c>
      <c r="V8" s="11">
        <f t="shared" si="0"/>
        <v>0.73913643334710166</v>
      </c>
      <c r="W8" s="11">
        <f t="shared" si="0"/>
        <v>0.72804938684689513</v>
      </c>
      <c r="X8" s="11">
        <f t="shared" si="0"/>
        <v>0.71712864604419169</v>
      </c>
      <c r="Y8" s="11">
        <f t="shared" si="0"/>
        <v>0.7063717163535288</v>
      </c>
      <c r="Z8" s="11">
        <f t="shared" si="0"/>
        <v>0.6957761406082259</v>
      </c>
      <c r="AA8" s="11">
        <f t="shared" si="0"/>
        <v>0.68533949849910247</v>
      </c>
      <c r="AB8" s="11">
        <f t="shared" si="0"/>
        <v>0.67505940602161596</v>
      </c>
      <c r="AC8" s="11">
        <f t="shared" si="0"/>
        <v>0.66493351493129171</v>
      </c>
      <c r="AD8" s="11">
        <f t="shared" si="0"/>
        <v>0.65495951220732229</v>
      </c>
      <c r="AE8" s="11">
        <f t="shared" si="0"/>
        <v>0.64513511952421243</v>
      </c>
      <c r="AF8" s="11">
        <f t="shared" si="0"/>
        <v>0.63545809273134923</v>
      </c>
      <c r="AG8" s="11">
        <f t="shared" si="0"/>
        <v>0.62592622134037901</v>
      </c>
    </row>
    <row r="9" spans="1:33" x14ac:dyDescent="0.3">
      <c r="A9" s="2" t="s">
        <v>7</v>
      </c>
      <c r="B9" s="11">
        <v>1</v>
      </c>
      <c r="C9" s="11">
        <f t="shared" si="1"/>
        <v>0.98499999999999999</v>
      </c>
      <c r="D9" s="11">
        <f t="shared" si="0"/>
        <v>0.970225</v>
      </c>
      <c r="E9" s="11">
        <f t="shared" si="0"/>
        <v>0.95567162500000002</v>
      </c>
      <c r="F9" s="11">
        <f t="shared" si="0"/>
        <v>0.94133655062499999</v>
      </c>
      <c r="G9" s="11">
        <f t="shared" si="0"/>
        <v>0.92721650236562503</v>
      </c>
      <c r="H9" s="11">
        <f t="shared" si="0"/>
        <v>0.91330825483014066</v>
      </c>
      <c r="I9" s="11">
        <f t="shared" si="0"/>
        <v>0.89960863100768851</v>
      </c>
      <c r="J9" s="11">
        <f t="shared" si="0"/>
        <v>0.88611450154257321</v>
      </c>
      <c r="K9" s="11">
        <f t="shared" si="0"/>
        <v>0.87282278401943458</v>
      </c>
      <c r="L9" s="11">
        <f t="shared" si="0"/>
        <v>0.85973044225914308</v>
      </c>
      <c r="M9" s="11">
        <f t="shared" si="0"/>
        <v>0.84683448562525598</v>
      </c>
      <c r="N9" s="11">
        <f t="shared" si="0"/>
        <v>0.83413196834087711</v>
      </c>
      <c r="O9" s="11">
        <f t="shared" si="0"/>
        <v>0.82161998881576392</v>
      </c>
      <c r="P9" s="11">
        <f t="shared" si="0"/>
        <v>0.80929568898352744</v>
      </c>
      <c r="Q9" s="11">
        <f t="shared" si="0"/>
        <v>0.79715625364877452</v>
      </c>
      <c r="R9" s="11">
        <f t="shared" si="0"/>
        <v>0.78519890984404295</v>
      </c>
      <c r="S9" s="11">
        <f t="shared" si="0"/>
        <v>0.77342092619638225</v>
      </c>
      <c r="T9" s="11">
        <f t="shared" si="0"/>
        <v>0.76181961230343653</v>
      </c>
      <c r="U9" s="11">
        <f t="shared" si="0"/>
        <v>0.75039231811888496</v>
      </c>
      <c r="V9" s="11">
        <f t="shared" si="0"/>
        <v>0.73913643334710166</v>
      </c>
      <c r="W9" s="11">
        <f t="shared" si="0"/>
        <v>0.72804938684689513</v>
      </c>
      <c r="X9" s="11">
        <f t="shared" si="0"/>
        <v>0.71712864604419169</v>
      </c>
      <c r="Y9" s="11">
        <f t="shared" si="0"/>
        <v>0.7063717163535288</v>
      </c>
      <c r="Z9" s="11">
        <f t="shared" si="0"/>
        <v>0.6957761406082259</v>
      </c>
      <c r="AA9" s="11">
        <f t="shared" si="0"/>
        <v>0.68533949849910247</v>
      </c>
      <c r="AB9" s="11">
        <f t="shared" si="0"/>
        <v>0.67505940602161596</v>
      </c>
      <c r="AC9" s="11">
        <f t="shared" si="0"/>
        <v>0.66493351493129171</v>
      </c>
      <c r="AD9" s="11">
        <f t="shared" si="0"/>
        <v>0.65495951220732229</v>
      </c>
      <c r="AE9" s="11">
        <f t="shared" si="0"/>
        <v>0.64513511952421243</v>
      </c>
      <c r="AF9" s="11">
        <f t="shared" si="0"/>
        <v>0.63545809273134923</v>
      </c>
      <c r="AG9" s="11">
        <f t="shared" si="0"/>
        <v>0.62592622134037901</v>
      </c>
    </row>
    <row r="10" spans="1:33" x14ac:dyDescent="0.3">
      <c r="A10" s="2" t="s">
        <v>8</v>
      </c>
      <c r="B10" s="11">
        <v>1</v>
      </c>
      <c r="C10" s="11">
        <f t="shared" si="1"/>
        <v>0.98499999999999999</v>
      </c>
      <c r="D10" s="11">
        <f t="shared" si="0"/>
        <v>0.970225</v>
      </c>
      <c r="E10" s="11">
        <f t="shared" si="0"/>
        <v>0.95567162500000002</v>
      </c>
      <c r="F10" s="11">
        <f t="shared" si="0"/>
        <v>0.94133655062499999</v>
      </c>
      <c r="G10" s="11">
        <f t="shared" si="0"/>
        <v>0.92721650236562503</v>
      </c>
      <c r="H10" s="11">
        <f t="shared" si="0"/>
        <v>0.91330825483014066</v>
      </c>
      <c r="I10" s="11">
        <f t="shared" si="0"/>
        <v>0.89960863100768851</v>
      </c>
      <c r="J10" s="11">
        <f t="shared" si="0"/>
        <v>0.88611450154257321</v>
      </c>
      <c r="K10" s="11">
        <f t="shared" si="0"/>
        <v>0.87282278401943458</v>
      </c>
      <c r="L10" s="11">
        <f t="shared" si="0"/>
        <v>0.85973044225914308</v>
      </c>
      <c r="M10" s="11">
        <f t="shared" si="0"/>
        <v>0.84683448562525598</v>
      </c>
      <c r="N10" s="11">
        <f t="shared" si="0"/>
        <v>0.83413196834087711</v>
      </c>
      <c r="O10" s="11">
        <f t="shared" si="0"/>
        <v>0.82161998881576392</v>
      </c>
      <c r="P10" s="11">
        <f t="shared" si="0"/>
        <v>0.80929568898352744</v>
      </c>
      <c r="Q10" s="11">
        <f t="shared" si="0"/>
        <v>0.79715625364877452</v>
      </c>
      <c r="R10" s="11">
        <f t="shared" si="0"/>
        <v>0.78519890984404295</v>
      </c>
      <c r="S10" s="11">
        <f t="shared" si="0"/>
        <v>0.77342092619638225</v>
      </c>
      <c r="T10" s="11">
        <f t="shared" si="0"/>
        <v>0.76181961230343653</v>
      </c>
      <c r="U10" s="11">
        <f t="shared" si="0"/>
        <v>0.75039231811888496</v>
      </c>
      <c r="V10" s="11">
        <f t="shared" si="0"/>
        <v>0.73913643334710166</v>
      </c>
      <c r="W10" s="11">
        <f t="shared" si="0"/>
        <v>0.72804938684689513</v>
      </c>
      <c r="X10" s="11">
        <f t="shared" si="0"/>
        <v>0.71712864604419169</v>
      </c>
      <c r="Y10" s="11">
        <f t="shared" si="0"/>
        <v>0.7063717163535288</v>
      </c>
      <c r="Z10" s="11">
        <f t="shared" si="0"/>
        <v>0.6957761406082259</v>
      </c>
      <c r="AA10" s="11">
        <f t="shared" si="0"/>
        <v>0.68533949849910247</v>
      </c>
      <c r="AB10" s="11">
        <f t="shared" si="0"/>
        <v>0.67505940602161596</v>
      </c>
      <c r="AC10" s="11">
        <f t="shared" si="0"/>
        <v>0.66493351493129171</v>
      </c>
      <c r="AD10" s="11">
        <f t="shared" si="0"/>
        <v>0.65495951220732229</v>
      </c>
      <c r="AE10" s="11">
        <f t="shared" si="0"/>
        <v>0.64513511952421243</v>
      </c>
      <c r="AF10" s="11">
        <f t="shared" si="0"/>
        <v>0.63545809273134923</v>
      </c>
      <c r="AG10" s="11">
        <f t="shared" si="0"/>
        <v>0.62592622134037901</v>
      </c>
    </row>
    <row r="11" spans="1:33" x14ac:dyDescent="0.3">
      <c r="A11" s="2" t="s">
        <v>9</v>
      </c>
      <c r="B11" s="11">
        <v>1</v>
      </c>
      <c r="C11" s="11">
        <f t="shared" si="1"/>
        <v>0.98499999999999999</v>
      </c>
      <c r="D11" s="11">
        <f t="shared" ref="D11:AG18" si="2">C11-C11*0.015</f>
        <v>0.970225</v>
      </c>
      <c r="E11" s="11">
        <f t="shared" si="2"/>
        <v>0.95567162500000002</v>
      </c>
      <c r="F11" s="11">
        <f t="shared" si="2"/>
        <v>0.94133655062499999</v>
      </c>
      <c r="G11" s="11">
        <f t="shared" si="2"/>
        <v>0.92721650236562503</v>
      </c>
      <c r="H11" s="11">
        <f t="shared" si="2"/>
        <v>0.91330825483014066</v>
      </c>
      <c r="I11" s="11">
        <f t="shared" si="2"/>
        <v>0.89960863100768851</v>
      </c>
      <c r="J11" s="11">
        <f t="shared" si="2"/>
        <v>0.88611450154257321</v>
      </c>
      <c r="K11" s="11">
        <f t="shared" si="2"/>
        <v>0.87282278401943458</v>
      </c>
      <c r="L11" s="11">
        <f t="shared" si="2"/>
        <v>0.85973044225914308</v>
      </c>
      <c r="M11" s="11">
        <f t="shared" si="2"/>
        <v>0.84683448562525598</v>
      </c>
      <c r="N11" s="11">
        <f t="shared" si="2"/>
        <v>0.83413196834087711</v>
      </c>
      <c r="O11" s="11">
        <f t="shared" si="2"/>
        <v>0.82161998881576392</v>
      </c>
      <c r="P11" s="11">
        <f t="shared" si="2"/>
        <v>0.80929568898352744</v>
      </c>
      <c r="Q11" s="11">
        <f t="shared" si="2"/>
        <v>0.79715625364877452</v>
      </c>
      <c r="R11" s="11">
        <f t="shared" si="2"/>
        <v>0.78519890984404295</v>
      </c>
      <c r="S11" s="11">
        <f t="shared" si="2"/>
        <v>0.77342092619638225</v>
      </c>
      <c r="T11" s="11">
        <f t="shared" si="2"/>
        <v>0.76181961230343653</v>
      </c>
      <c r="U11" s="11">
        <f t="shared" si="2"/>
        <v>0.75039231811888496</v>
      </c>
      <c r="V11" s="11">
        <f t="shared" si="2"/>
        <v>0.73913643334710166</v>
      </c>
      <c r="W11" s="11">
        <f t="shared" si="2"/>
        <v>0.72804938684689513</v>
      </c>
      <c r="X11" s="11">
        <f t="shared" si="2"/>
        <v>0.71712864604419169</v>
      </c>
      <c r="Y11" s="11">
        <f t="shared" si="2"/>
        <v>0.7063717163535288</v>
      </c>
      <c r="Z11" s="11">
        <f t="shared" si="2"/>
        <v>0.6957761406082259</v>
      </c>
      <c r="AA11" s="11">
        <f t="shared" si="2"/>
        <v>0.68533949849910247</v>
      </c>
      <c r="AB11" s="11">
        <f t="shared" si="2"/>
        <v>0.67505940602161596</v>
      </c>
      <c r="AC11" s="11">
        <f t="shared" si="2"/>
        <v>0.66493351493129171</v>
      </c>
      <c r="AD11" s="11">
        <f t="shared" si="2"/>
        <v>0.65495951220732229</v>
      </c>
      <c r="AE11" s="11">
        <f t="shared" si="2"/>
        <v>0.64513511952421243</v>
      </c>
      <c r="AF11" s="11">
        <f t="shared" si="2"/>
        <v>0.63545809273134923</v>
      </c>
      <c r="AG11" s="11">
        <f t="shared" si="2"/>
        <v>0.62592622134037901</v>
      </c>
    </row>
    <row r="12" spans="1:33" x14ac:dyDescent="0.3">
      <c r="A12" s="2" t="s">
        <v>10</v>
      </c>
      <c r="B12" s="11">
        <v>1</v>
      </c>
      <c r="C12" s="11">
        <f t="shared" si="1"/>
        <v>0.98499999999999999</v>
      </c>
      <c r="D12" s="11">
        <f t="shared" si="2"/>
        <v>0.970225</v>
      </c>
      <c r="E12" s="11">
        <f t="shared" si="2"/>
        <v>0.95567162500000002</v>
      </c>
      <c r="F12" s="11">
        <f t="shared" si="2"/>
        <v>0.94133655062499999</v>
      </c>
      <c r="G12" s="11">
        <f t="shared" si="2"/>
        <v>0.92721650236562503</v>
      </c>
      <c r="H12" s="11">
        <f t="shared" si="2"/>
        <v>0.91330825483014066</v>
      </c>
      <c r="I12" s="11">
        <f t="shared" si="2"/>
        <v>0.89960863100768851</v>
      </c>
      <c r="J12" s="11">
        <f t="shared" si="2"/>
        <v>0.88611450154257321</v>
      </c>
      <c r="K12" s="11">
        <f t="shared" si="2"/>
        <v>0.87282278401943458</v>
      </c>
      <c r="L12" s="11">
        <f t="shared" si="2"/>
        <v>0.85973044225914308</v>
      </c>
      <c r="M12" s="11">
        <f t="shared" si="2"/>
        <v>0.84683448562525598</v>
      </c>
      <c r="N12" s="11">
        <f t="shared" si="2"/>
        <v>0.83413196834087711</v>
      </c>
      <c r="O12" s="11">
        <f t="shared" si="2"/>
        <v>0.82161998881576392</v>
      </c>
      <c r="P12" s="11">
        <f t="shared" si="2"/>
        <v>0.80929568898352744</v>
      </c>
      <c r="Q12" s="11">
        <f t="shared" si="2"/>
        <v>0.79715625364877452</v>
      </c>
      <c r="R12" s="11">
        <f t="shared" si="2"/>
        <v>0.78519890984404295</v>
      </c>
      <c r="S12" s="11">
        <f t="shared" si="2"/>
        <v>0.77342092619638225</v>
      </c>
      <c r="T12" s="11">
        <f t="shared" si="2"/>
        <v>0.76181961230343653</v>
      </c>
      <c r="U12" s="11">
        <f t="shared" si="2"/>
        <v>0.75039231811888496</v>
      </c>
      <c r="V12" s="11">
        <f t="shared" si="2"/>
        <v>0.73913643334710166</v>
      </c>
      <c r="W12" s="11">
        <f t="shared" si="2"/>
        <v>0.72804938684689513</v>
      </c>
      <c r="X12" s="11">
        <f t="shared" si="2"/>
        <v>0.71712864604419169</v>
      </c>
      <c r="Y12" s="11">
        <f t="shared" si="2"/>
        <v>0.7063717163535288</v>
      </c>
      <c r="Z12" s="11">
        <f t="shared" si="2"/>
        <v>0.6957761406082259</v>
      </c>
      <c r="AA12" s="11">
        <f t="shared" si="2"/>
        <v>0.68533949849910247</v>
      </c>
      <c r="AB12" s="11">
        <f t="shared" si="2"/>
        <v>0.67505940602161596</v>
      </c>
      <c r="AC12" s="11">
        <f t="shared" si="2"/>
        <v>0.66493351493129171</v>
      </c>
      <c r="AD12" s="11">
        <f t="shared" si="2"/>
        <v>0.65495951220732229</v>
      </c>
      <c r="AE12" s="11">
        <f t="shared" si="2"/>
        <v>0.64513511952421243</v>
      </c>
      <c r="AF12" s="11">
        <f t="shared" si="2"/>
        <v>0.63545809273134923</v>
      </c>
      <c r="AG12" s="11">
        <f t="shared" si="2"/>
        <v>0.62592622134037901</v>
      </c>
    </row>
    <row r="13" spans="1:33" x14ac:dyDescent="0.3">
      <c r="A13" s="2" t="s">
        <v>11</v>
      </c>
      <c r="B13" s="11">
        <v>1</v>
      </c>
      <c r="C13" s="11">
        <f t="shared" si="1"/>
        <v>0.98499999999999999</v>
      </c>
      <c r="D13" s="11">
        <f t="shared" si="2"/>
        <v>0.970225</v>
      </c>
      <c r="E13" s="11">
        <f t="shared" si="2"/>
        <v>0.95567162500000002</v>
      </c>
      <c r="F13" s="11">
        <f t="shared" si="2"/>
        <v>0.94133655062499999</v>
      </c>
      <c r="G13" s="11">
        <f t="shared" si="2"/>
        <v>0.92721650236562503</v>
      </c>
      <c r="H13" s="11">
        <f t="shared" si="2"/>
        <v>0.91330825483014066</v>
      </c>
      <c r="I13" s="11">
        <f t="shared" si="2"/>
        <v>0.89960863100768851</v>
      </c>
      <c r="J13" s="11">
        <f t="shared" si="2"/>
        <v>0.88611450154257321</v>
      </c>
      <c r="K13" s="11">
        <f t="shared" si="2"/>
        <v>0.87282278401943458</v>
      </c>
      <c r="L13" s="11">
        <f t="shared" si="2"/>
        <v>0.85973044225914308</v>
      </c>
      <c r="M13" s="11">
        <f t="shared" si="2"/>
        <v>0.84683448562525598</v>
      </c>
      <c r="N13" s="11">
        <f t="shared" si="2"/>
        <v>0.83413196834087711</v>
      </c>
      <c r="O13" s="11">
        <f t="shared" si="2"/>
        <v>0.82161998881576392</v>
      </c>
      <c r="P13" s="11">
        <f t="shared" si="2"/>
        <v>0.80929568898352744</v>
      </c>
      <c r="Q13" s="11">
        <f t="shared" si="2"/>
        <v>0.79715625364877452</v>
      </c>
      <c r="R13" s="11">
        <f t="shared" si="2"/>
        <v>0.78519890984404295</v>
      </c>
      <c r="S13" s="11">
        <f t="shared" si="2"/>
        <v>0.77342092619638225</v>
      </c>
      <c r="T13" s="11">
        <f t="shared" si="2"/>
        <v>0.76181961230343653</v>
      </c>
      <c r="U13" s="11">
        <f t="shared" si="2"/>
        <v>0.75039231811888496</v>
      </c>
      <c r="V13" s="11">
        <f t="shared" si="2"/>
        <v>0.73913643334710166</v>
      </c>
      <c r="W13" s="11">
        <f t="shared" si="2"/>
        <v>0.72804938684689513</v>
      </c>
      <c r="X13" s="11">
        <f t="shared" si="2"/>
        <v>0.71712864604419169</v>
      </c>
      <c r="Y13" s="11">
        <f t="shared" si="2"/>
        <v>0.7063717163535288</v>
      </c>
      <c r="Z13" s="11">
        <f t="shared" si="2"/>
        <v>0.6957761406082259</v>
      </c>
      <c r="AA13" s="11">
        <f t="shared" si="2"/>
        <v>0.68533949849910247</v>
      </c>
      <c r="AB13" s="11">
        <f t="shared" si="2"/>
        <v>0.67505940602161596</v>
      </c>
      <c r="AC13" s="11">
        <f t="shared" si="2"/>
        <v>0.66493351493129171</v>
      </c>
      <c r="AD13" s="11">
        <f t="shared" si="2"/>
        <v>0.65495951220732229</v>
      </c>
      <c r="AE13" s="11">
        <f t="shared" si="2"/>
        <v>0.64513511952421243</v>
      </c>
      <c r="AF13" s="11">
        <f t="shared" si="2"/>
        <v>0.63545809273134923</v>
      </c>
      <c r="AG13" s="11">
        <f t="shared" si="2"/>
        <v>0.62592622134037901</v>
      </c>
    </row>
    <row r="14" spans="1:33" x14ac:dyDescent="0.3">
      <c r="A14" s="2" t="s">
        <v>12</v>
      </c>
      <c r="B14" s="11">
        <v>1</v>
      </c>
      <c r="C14" s="11">
        <f t="shared" si="1"/>
        <v>0.98499999999999999</v>
      </c>
      <c r="D14" s="11">
        <f t="shared" si="2"/>
        <v>0.970225</v>
      </c>
      <c r="E14" s="11">
        <f t="shared" si="2"/>
        <v>0.95567162500000002</v>
      </c>
      <c r="F14" s="11">
        <f t="shared" si="2"/>
        <v>0.94133655062499999</v>
      </c>
      <c r="G14" s="11">
        <f t="shared" si="2"/>
        <v>0.92721650236562503</v>
      </c>
      <c r="H14" s="11">
        <f t="shared" si="2"/>
        <v>0.91330825483014066</v>
      </c>
      <c r="I14" s="11">
        <f t="shared" si="2"/>
        <v>0.89960863100768851</v>
      </c>
      <c r="J14" s="11">
        <f t="shared" si="2"/>
        <v>0.88611450154257321</v>
      </c>
      <c r="K14" s="11">
        <f t="shared" si="2"/>
        <v>0.87282278401943458</v>
      </c>
      <c r="L14" s="11">
        <f t="shared" si="2"/>
        <v>0.85973044225914308</v>
      </c>
      <c r="M14" s="11">
        <f t="shared" si="2"/>
        <v>0.84683448562525598</v>
      </c>
      <c r="N14" s="11">
        <f t="shared" si="2"/>
        <v>0.83413196834087711</v>
      </c>
      <c r="O14" s="11">
        <f t="shared" si="2"/>
        <v>0.82161998881576392</v>
      </c>
      <c r="P14" s="11">
        <f t="shared" si="2"/>
        <v>0.80929568898352744</v>
      </c>
      <c r="Q14" s="11">
        <f t="shared" si="2"/>
        <v>0.79715625364877452</v>
      </c>
      <c r="R14" s="11">
        <f t="shared" si="2"/>
        <v>0.78519890984404295</v>
      </c>
      <c r="S14" s="11">
        <f t="shared" si="2"/>
        <v>0.77342092619638225</v>
      </c>
      <c r="T14" s="11">
        <f t="shared" si="2"/>
        <v>0.76181961230343653</v>
      </c>
      <c r="U14" s="11">
        <f t="shared" si="2"/>
        <v>0.75039231811888496</v>
      </c>
      <c r="V14" s="11">
        <f t="shared" si="2"/>
        <v>0.73913643334710166</v>
      </c>
      <c r="W14" s="11">
        <f t="shared" si="2"/>
        <v>0.72804938684689513</v>
      </c>
      <c r="X14" s="11">
        <f t="shared" si="2"/>
        <v>0.71712864604419169</v>
      </c>
      <c r="Y14" s="11">
        <f t="shared" si="2"/>
        <v>0.7063717163535288</v>
      </c>
      <c r="Z14" s="11">
        <f t="shared" si="2"/>
        <v>0.6957761406082259</v>
      </c>
      <c r="AA14" s="11">
        <f t="shared" si="2"/>
        <v>0.68533949849910247</v>
      </c>
      <c r="AB14" s="11">
        <f t="shared" si="2"/>
        <v>0.67505940602161596</v>
      </c>
      <c r="AC14" s="11">
        <f t="shared" si="2"/>
        <v>0.66493351493129171</v>
      </c>
      <c r="AD14" s="11">
        <f t="shared" si="2"/>
        <v>0.65495951220732229</v>
      </c>
      <c r="AE14" s="11">
        <f t="shared" si="2"/>
        <v>0.64513511952421243</v>
      </c>
      <c r="AF14" s="11">
        <f t="shared" si="2"/>
        <v>0.63545809273134923</v>
      </c>
      <c r="AG14" s="11">
        <f t="shared" si="2"/>
        <v>0.62592622134037901</v>
      </c>
    </row>
    <row r="15" spans="1:33" x14ac:dyDescent="0.3">
      <c r="A15" s="2" t="s">
        <v>13</v>
      </c>
      <c r="B15" s="11">
        <v>1</v>
      </c>
      <c r="C15" s="11">
        <f t="shared" si="1"/>
        <v>0.98499999999999999</v>
      </c>
      <c r="D15" s="11">
        <f t="shared" si="2"/>
        <v>0.970225</v>
      </c>
      <c r="E15" s="11">
        <f t="shared" si="2"/>
        <v>0.95567162500000002</v>
      </c>
      <c r="F15" s="11">
        <f t="shared" si="2"/>
        <v>0.94133655062499999</v>
      </c>
      <c r="G15" s="11">
        <f t="shared" si="2"/>
        <v>0.92721650236562503</v>
      </c>
      <c r="H15" s="11">
        <f t="shared" si="2"/>
        <v>0.91330825483014066</v>
      </c>
      <c r="I15" s="11">
        <f t="shared" si="2"/>
        <v>0.89960863100768851</v>
      </c>
      <c r="J15" s="11">
        <f t="shared" si="2"/>
        <v>0.88611450154257321</v>
      </c>
      <c r="K15" s="11">
        <f t="shared" si="2"/>
        <v>0.87282278401943458</v>
      </c>
      <c r="L15" s="11">
        <f t="shared" si="2"/>
        <v>0.85973044225914308</v>
      </c>
      <c r="M15" s="11">
        <f t="shared" si="2"/>
        <v>0.84683448562525598</v>
      </c>
      <c r="N15" s="11">
        <f t="shared" si="2"/>
        <v>0.83413196834087711</v>
      </c>
      <c r="O15" s="11">
        <f t="shared" si="2"/>
        <v>0.82161998881576392</v>
      </c>
      <c r="P15" s="11">
        <f t="shared" si="2"/>
        <v>0.80929568898352744</v>
      </c>
      <c r="Q15" s="11">
        <f t="shared" si="2"/>
        <v>0.79715625364877452</v>
      </c>
      <c r="R15" s="11">
        <f t="shared" si="2"/>
        <v>0.78519890984404295</v>
      </c>
      <c r="S15" s="11">
        <f t="shared" si="2"/>
        <v>0.77342092619638225</v>
      </c>
      <c r="T15" s="11">
        <f t="shared" si="2"/>
        <v>0.76181961230343653</v>
      </c>
      <c r="U15" s="11">
        <f t="shared" si="2"/>
        <v>0.75039231811888496</v>
      </c>
      <c r="V15" s="11">
        <f t="shared" si="2"/>
        <v>0.73913643334710166</v>
      </c>
      <c r="W15" s="11">
        <f t="shared" si="2"/>
        <v>0.72804938684689513</v>
      </c>
      <c r="X15" s="11">
        <f t="shared" si="2"/>
        <v>0.71712864604419169</v>
      </c>
      <c r="Y15" s="11">
        <f t="shared" si="2"/>
        <v>0.7063717163535288</v>
      </c>
      <c r="Z15" s="11">
        <f t="shared" si="2"/>
        <v>0.6957761406082259</v>
      </c>
      <c r="AA15" s="11">
        <f t="shared" si="2"/>
        <v>0.68533949849910247</v>
      </c>
      <c r="AB15" s="11">
        <f t="shared" si="2"/>
        <v>0.67505940602161596</v>
      </c>
      <c r="AC15" s="11">
        <f t="shared" si="2"/>
        <v>0.66493351493129171</v>
      </c>
      <c r="AD15" s="11">
        <f t="shared" si="2"/>
        <v>0.65495951220732229</v>
      </c>
      <c r="AE15" s="11">
        <f t="shared" si="2"/>
        <v>0.64513511952421243</v>
      </c>
      <c r="AF15" s="11">
        <f t="shared" si="2"/>
        <v>0.63545809273134923</v>
      </c>
      <c r="AG15" s="11">
        <f t="shared" si="2"/>
        <v>0.62592622134037901</v>
      </c>
    </row>
    <row r="16" spans="1:33" x14ac:dyDescent="0.3">
      <c r="A16" s="2" t="s">
        <v>14</v>
      </c>
      <c r="B16" s="11">
        <v>1</v>
      </c>
      <c r="C16" s="11">
        <f t="shared" si="1"/>
        <v>0.98499999999999999</v>
      </c>
      <c r="D16" s="11">
        <f t="shared" si="2"/>
        <v>0.970225</v>
      </c>
      <c r="E16" s="11">
        <f t="shared" si="2"/>
        <v>0.95567162500000002</v>
      </c>
      <c r="F16" s="11">
        <f t="shared" si="2"/>
        <v>0.94133655062499999</v>
      </c>
      <c r="G16" s="11">
        <f t="shared" si="2"/>
        <v>0.92721650236562503</v>
      </c>
      <c r="H16" s="11">
        <f t="shared" si="2"/>
        <v>0.91330825483014066</v>
      </c>
      <c r="I16" s="11">
        <f t="shared" si="2"/>
        <v>0.89960863100768851</v>
      </c>
      <c r="J16" s="11">
        <f t="shared" si="2"/>
        <v>0.88611450154257321</v>
      </c>
      <c r="K16" s="11">
        <f t="shared" si="2"/>
        <v>0.87282278401943458</v>
      </c>
      <c r="L16" s="11">
        <f t="shared" si="2"/>
        <v>0.85973044225914308</v>
      </c>
      <c r="M16" s="11">
        <f t="shared" si="2"/>
        <v>0.84683448562525598</v>
      </c>
      <c r="N16" s="11">
        <f t="shared" si="2"/>
        <v>0.83413196834087711</v>
      </c>
      <c r="O16" s="11">
        <f t="shared" si="2"/>
        <v>0.82161998881576392</v>
      </c>
      <c r="P16" s="11">
        <f t="shared" si="2"/>
        <v>0.80929568898352744</v>
      </c>
      <c r="Q16" s="11">
        <f t="shared" si="2"/>
        <v>0.79715625364877452</v>
      </c>
      <c r="R16" s="11">
        <f t="shared" si="2"/>
        <v>0.78519890984404295</v>
      </c>
      <c r="S16" s="11">
        <f t="shared" si="2"/>
        <v>0.77342092619638225</v>
      </c>
      <c r="T16" s="11">
        <f t="shared" si="2"/>
        <v>0.76181961230343653</v>
      </c>
      <c r="U16" s="11">
        <f t="shared" si="2"/>
        <v>0.75039231811888496</v>
      </c>
      <c r="V16" s="11">
        <f t="shared" si="2"/>
        <v>0.73913643334710166</v>
      </c>
      <c r="W16" s="11">
        <f t="shared" si="2"/>
        <v>0.72804938684689513</v>
      </c>
      <c r="X16" s="11">
        <f t="shared" si="2"/>
        <v>0.71712864604419169</v>
      </c>
      <c r="Y16" s="11">
        <f t="shared" si="2"/>
        <v>0.7063717163535288</v>
      </c>
      <c r="Z16" s="11">
        <f t="shared" si="2"/>
        <v>0.6957761406082259</v>
      </c>
      <c r="AA16" s="11">
        <f t="shared" si="2"/>
        <v>0.68533949849910247</v>
      </c>
      <c r="AB16" s="11">
        <f t="shared" si="2"/>
        <v>0.67505940602161596</v>
      </c>
      <c r="AC16" s="11">
        <f t="shared" si="2"/>
        <v>0.66493351493129171</v>
      </c>
      <c r="AD16" s="11">
        <f t="shared" si="2"/>
        <v>0.65495951220732229</v>
      </c>
      <c r="AE16" s="11">
        <f t="shared" si="2"/>
        <v>0.64513511952421243</v>
      </c>
      <c r="AF16" s="11">
        <f t="shared" si="2"/>
        <v>0.63545809273134923</v>
      </c>
      <c r="AG16" s="11">
        <f t="shared" si="2"/>
        <v>0.62592622134037901</v>
      </c>
    </row>
    <row r="17" spans="1:33" x14ac:dyDescent="0.3">
      <c r="A17" s="2" t="s">
        <v>15</v>
      </c>
      <c r="B17" s="11">
        <v>1</v>
      </c>
      <c r="C17" s="11">
        <f t="shared" si="1"/>
        <v>0.98499999999999999</v>
      </c>
      <c r="D17" s="11">
        <f t="shared" si="2"/>
        <v>0.970225</v>
      </c>
      <c r="E17" s="11">
        <f t="shared" si="2"/>
        <v>0.95567162500000002</v>
      </c>
      <c r="F17" s="11">
        <f t="shared" si="2"/>
        <v>0.94133655062499999</v>
      </c>
      <c r="G17" s="11">
        <f t="shared" si="2"/>
        <v>0.92721650236562503</v>
      </c>
      <c r="H17" s="11">
        <f t="shared" si="2"/>
        <v>0.91330825483014066</v>
      </c>
      <c r="I17" s="11">
        <f t="shared" si="2"/>
        <v>0.89960863100768851</v>
      </c>
      <c r="J17" s="11">
        <f t="shared" si="2"/>
        <v>0.88611450154257321</v>
      </c>
      <c r="K17" s="11">
        <f t="shared" si="2"/>
        <v>0.87282278401943458</v>
      </c>
      <c r="L17" s="11">
        <f t="shared" si="2"/>
        <v>0.85973044225914308</v>
      </c>
      <c r="M17" s="11">
        <f t="shared" si="2"/>
        <v>0.84683448562525598</v>
      </c>
      <c r="N17" s="11">
        <f t="shared" si="2"/>
        <v>0.83413196834087711</v>
      </c>
      <c r="O17" s="11">
        <f t="shared" si="2"/>
        <v>0.82161998881576392</v>
      </c>
      <c r="P17" s="11">
        <f t="shared" si="2"/>
        <v>0.80929568898352744</v>
      </c>
      <c r="Q17" s="11">
        <f t="shared" si="2"/>
        <v>0.79715625364877452</v>
      </c>
      <c r="R17" s="11">
        <f t="shared" si="2"/>
        <v>0.78519890984404295</v>
      </c>
      <c r="S17" s="11">
        <f t="shared" si="2"/>
        <v>0.77342092619638225</v>
      </c>
      <c r="T17" s="11">
        <f t="shared" si="2"/>
        <v>0.76181961230343653</v>
      </c>
      <c r="U17" s="11">
        <f t="shared" si="2"/>
        <v>0.75039231811888496</v>
      </c>
      <c r="V17" s="11">
        <f t="shared" si="2"/>
        <v>0.73913643334710166</v>
      </c>
      <c r="W17" s="11">
        <f t="shared" si="2"/>
        <v>0.72804938684689513</v>
      </c>
      <c r="X17" s="11">
        <f t="shared" si="2"/>
        <v>0.71712864604419169</v>
      </c>
      <c r="Y17" s="11">
        <f t="shared" si="2"/>
        <v>0.7063717163535288</v>
      </c>
      <c r="Z17" s="11">
        <f t="shared" si="2"/>
        <v>0.6957761406082259</v>
      </c>
      <c r="AA17" s="11">
        <f t="shared" si="2"/>
        <v>0.68533949849910247</v>
      </c>
      <c r="AB17" s="11">
        <f t="shared" si="2"/>
        <v>0.67505940602161596</v>
      </c>
      <c r="AC17" s="11">
        <f t="shared" si="2"/>
        <v>0.66493351493129171</v>
      </c>
      <c r="AD17" s="11">
        <f t="shared" si="2"/>
        <v>0.65495951220732229</v>
      </c>
      <c r="AE17" s="11">
        <f t="shared" si="2"/>
        <v>0.64513511952421243</v>
      </c>
      <c r="AF17" s="11">
        <f t="shared" si="2"/>
        <v>0.63545809273134923</v>
      </c>
      <c r="AG17" s="11">
        <f t="shared" si="2"/>
        <v>0.62592622134037901</v>
      </c>
    </row>
    <row r="18" spans="1:33" x14ac:dyDescent="0.3">
      <c r="A18" s="2" t="s">
        <v>16</v>
      </c>
      <c r="B18" s="11">
        <v>1</v>
      </c>
      <c r="C18" s="11">
        <f t="shared" si="1"/>
        <v>0.98499999999999999</v>
      </c>
      <c r="D18" s="11">
        <f t="shared" si="2"/>
        <v>0.970225</v>
      </c>
      <c r="E18" s="11">
        <f t="shared" si="2"/>
        <v>0.95567162500000002</v>
      </c>
      <c r="F18" s="11">
        <f t="shared" si="2"/>
        <v>0.94133655062499999</v>
      </c>
      <c r="G18" s="11">
        <f t="shared" si="2"/>
        <v>0.92721650236562503</v>
      </c>
      <c r="H18" s="11">
        <f t="shared" si="2"/>
        <v>0.91330825483014066</v>
      </c>
      <c r="I18" s="11">
        <f t="shared" si="2"/>
        <v>0.89960863100768851</v>
      </c>
      <c r="J18" s="11">
        <f t="shared" si="2"/>
        <v>0.88611450154257321</v>
      </c>
      <c r="K18" s="11">
        <f t="shared" si="2"/>
        <v>0.87282278401943458</v>
      </c>
      <c r="L18" s="11">
        <f t="shared" si="2"/>
        <v>0.85973044225914308</v>
      </c>
      <c r="M18" s="11">
        <f t="shared" si="2"/>
        <v>0.84683448562525598</v>
      </c>
      <c r="N18" s="11">
        <f t="shared" si="2"/>
        <v>0.83413196834087711</v>
      </c>
      <c r="O18" s="11">
        <f t="shared" si="2"/>
        <v>0.82161998881576392</v>
      </c>
      <c r="P18" s="11">
        <f t="shared" si="2"/>
        <v>0.80929568898352744</v>
      </c>
      <c r="Q18" s="11">
        <f t="shared" si="2"/>
        <v>0.79715625364877452</v>
      </c>
      <c r="R18" s="11">
        <f t="shared" si="2"/>
        <v>0.78519890984404295</v>
      </c>
      <c r="S18" s="11">
        <f t="shared" si="2"/>
        <v>0.77342092619638225</v>
      </c>
      <c r="T18" s="11">
        <f t="shared" si="2"/>
        <v>0.76181961230343653</v>
      </c>
      <c r="U18" s="11">
        <f t="shared" si="2"/>
        <v>0.75039231811888496</v>
      </c>
      <c r="V18" s="11">
        <f t="shared" si="2"/>
        <v>0.73913643334710166</v>
      </c>
      <c r="W18" s="11">
        <f t="shared" si="2"/>
        <v>0.72804938684689513</v>
      </c>
      <c r="X18" s="11">
        <f t="shared" si="2"/>
        <v>0.71712864604419169</v>
      </c>
      <c r="Y18" s="11">
        <f t="shared" si="2"/>
        <v>0.7063717163535288</v>
      </c>
      <c r="Z18" s="11">
        <f t="shared" si="2"/>
        <v>0.6957761406082259</v>
      </c>
      <c r="AA18" s="11">
        <f t="shared" si="2"/>
        <v>0.68533949849910247</v>
      </c>
      <c r="AB18" s="11">
        <f t="shared" si="2"/>
        <v>0.67505940602161596</v>
      </c>
      <c r="AC18" s="11">
        <f t="shared" si="2"/>
        <v>0.66493351493129171</v>
      </c>
      <c r="AD18" s="11">
        <f t="shared" si="2"/>
        <v>0.65495951220732229</v>
      </c>
      <c r="AE18" s="11">
        <f t="shared" si="2"/>
        <v>0.64513511952421243</v>
      </c>
      <c r="AF18" s="11">
        <f t="shared" si="2"/>
        <v>0.63545809273134923</v>
      </c>
      <c r="AG18" s="11">
        <f t="shared" si="2"/>
        <v>0.62592622134037901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E31" sqref="AE31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0.96880530280148291</v>
      </c>
      <c r="D2" s="30">
        <f>PERMIT_NZ!D2</f>
        <v>0.93761060560296583</v>
      </c>
      <c r="E2" s="30">
        <f>PERMIT_NZ!E2</f>
        <v>0.90641590840444874</v>
      </c>
      <c r="F2" s="30">
        <f>PERMIT_NZ!F2</f>
        <v>0.87522121120593166</v>
      </c>
      <c r="G2" s="30">
        <f>PERMIT_NZ!G2</f>
        <v>0.84402651400741457</v>
      </c>
      <c r="H2" s="30">
        <f>PERMIT_NZ!H2</f>
        <v>0.81283181680889749</v>
      </c>
      <c r="I2" s="30">
        <f>PERMIT_NZ!I2</f>
        <v>0.7816371196103804</v>
      </c>
      <c r="J2" s="30">
        <f>PERMIT_NZ!J2</f>
        <v>0.75044242241186332</v>
      </c>
      <c r="K2" s="30">
        <f>PERMIT_NZ!K2</f>
        <v>0.71924772521334623</v>
      </c>
      <c r="L2" s="30">
        <f>PERMIT_NZ!L2</f>
        <v>0.68805302801482915</v>
      </c>
      <c r="M2" s="30">
        <f>PERMIT_NZ!M2</f>
        <v>0.65685833081631229</v>
      </c>
      <c r="N2" s="30">
        <f>M2</f>
        <v>0.65685833081631229</v>
      </c>
      <c r="O2" s="30">
        <f t="shared" ref="O2:AG16" si="0">N2</f>
        <v>0.65685833081631229</v>
      </c>
      <c r="P2" s="30">
        <f t="shared" si="0"/>
        <v>0.65685833081631229</v>
      </c>
      <c r="Q2" s="30">
        <f t="shared" si="0"/>
        <v>0.65685833081631229</v>
      </c>
      <c r="R2" s="30">
        <f t="shared" si="0"/>
        <v>0.65685833081631229</v>
      </c>
      <c r="S2" s="30">
        <f t="shared" si="0"/>
        <v>0.65685833081631229</v>
      </c>
      <c r="T2" s="30">
        <f t="shared" si="0"/>
        <v>0.65685833081631229</v>
      </c>
      <c r="U2" s="30">
        <f t="shared" si="0"/>
        <v>0.65685833081631229</v>
      </c>
      <c r="V2" s="30">
        <f t="shared" si="0"/>
        <v>0.65685833081631229</v>
      </c>
      <c r="W2" s="30">
        <f t="shared" si="0"/>
        <v>0.65685833081631229</v>
      </c>
      <c r="X2" s="30">
        <f t="shared" si="0"/>
        <v>0.65685833081631229</v>
      </c>
      <c r="Y2" s="30">
        <f t="shared" si="0"/>
        <v>0.65685833081631229</v>
      </c>
      <c r="Z2" s="30">
        <f t="shared" si="0"/>
        <v>0.65685833081631229</v>
      </c>
      <c r="AA2" s="30">
        <f t="shared" si="0"/>
        <v>0.65685833081631229</v>
      </c>
      <c r="AB2" s="30">
        <f t="shared" si="0"/>
        <v>0.65685833081631229</v>
      </c>
      <c r="AC2" s="30">
        <f t="shared" si="0"/>
        <v>0.65685833081631229</v>
      </c>
      <c r="AD2" s="30">
        <f t="shared" si="0"/>
        <v>0.65685833081631229</v>
      </c>
      <c r="AE2" s="30">
        <f t="shared" si="0"/>
        <v>0.65685833081631229</v>
      </c>
      <c r="AF2" s="30">
        <f t="shared" si="0"/>
        <v>0.65685833081631229</v>
      </c>
      <c r="AG2" s="30">
        <f t="shared" si="0"/>
        <v>0.65685833081631229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0.99732060293140912</v>
      </c>
      <c r="D3" s="30">
        <f>PERMIT_NZ!D3</f>
        <v>0.99464120586281823</v>
      </c>
      <c r="E3" s="30">
        <f>PERMIT_NZ!E3</f>
        <v>0.99196180879422735</v>
      </c>
      <c r="F3" s="30">
        <f>PERMIT_NZ!F3</f>
        <v>0.98928241172563647</v>
      </c>
      <c r="G3" s="30">
        <f>PERMIT_NZ!G3</f>
        <v>0.98660301465704558</v>
      </c>
      <c r="H3" s="30">
        <f>PERMIT_NZ!H3</f>
        <v>0.9839236175884547</v>
      </c>
      <c r="I3" s="30">
        <f>PERMIT_NZ!I3</f>
        <v>0.98124422051986382</v>
      </c>
      <c r="J3" s="30">
        <f>PERMIT_NZ!J3</f>
        <v>0.97856482345127294</v>
      </c>
      <c r="K3" s="30">
        <f>PERMIT_NZ!K3</f>
        <v>0.97588542638268205</v>
      </c>
      <c r="L3" s="30">
        <f>PERMIT_NZ!L3</f>
        <v>0.97320602931409117</v>
      </c>
      <c r="M3" s="30">
        <f>PERMIT_NZ!M3</f>
        <v>0.97052663224549995</v>
      </c>
      <c r="N3" s="30">
        <f t="shared" ref="N3:AC18" si="1">M3</f>
        <v>0.97052663224549995</v>
      </c>
      <c r="O3" s="30">
        <f t="shared" si="1"/>
        <v>0.97052663224549995</v>
      </c>
      <c r="P3" s="30">
        <f t="shared" si="1"/>
        <v>0.97052663224549995</v>
      </c>
      <c r="Q3" s="30">
        <f t="shared" si="1"/>
        <v>0.97052663224549995</v>
      </c>
      <c r="R3" s="30">
        <f t="shared" si="1"/>
        <v>0.97052663224549995</v>
      </c>
      <c r="S3" s="30">
        <f t="shared" si="1"/>
        <v>0.97052663224549995</v>
      </c>
      <c r="T3" s="30">
        <f t="shared" si="1"/>
        <v>0.97052663224549995</v>
      </c>
      <c r="U3" s="30">
        <f t="shared" si="1"/>
        <v>0.97052663224549995</v>
      </c>
      <c r="V3" s="30">
        <f t="shared" si="1"/>
        <v>0.97052663224549995</v>
      </c>
      <c r="W3" s="30">
        <f t="shared" si="1"/>
        <v>0.97052663224549995</v>
      </c>
      <c r="X3" s="30">
        <f t="shared" si="1"/>
        <v>0.97052663224549995</v>
      </c>
      <c r="Y3" s="30">
        <f t="shared" si="1"/>
        <v>0.97052663224549995</v>
      </c>
      <c r="Z3" s="30">
        <f t="shared" si="1"/>
        <v>0.97052663224549995</v>
      </c>
      <c r="AA3" s="30">
        <f t="shared" si="1"/>
        <v>0.97052663224549995</v>
      </c>
      <c r="AB3" s="30">
        <f t="shared" si="1"/>
        <v>0.97052663224549995</v>
      </c>
      <c r="AC3" s="30">
        <f t="shared" si="1"/>
        <v>0.97052663224549995</v>
      </c>
      <c r="AD3" s="30">
        <f t="shared" si="0"/>
        <v>0.97052663224549995</v>
      </c>
      <c r="AE3" s="30">
        <f t="shared" si="0"/>
        <v>0.97052663224549995</v>
      </c>
      <c r="AF3" s="30">
        <f t="shared" si="0"/>
        <v>0.97052663224549995</v>
      </c>
      <c r="AG3" s="30">
        <f t="shared" si="0"/>
        <v>0.97052663224549995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0.97030956186559991</v>
      </c>
      <c r="D4" s="30">
        <f>PERMIT_NZ!D4</f>
        <v>0.94061912373119982</v>
      </c>
      <c r="E4" s="30">
        <f>PERMIT_NZ!E4</f>
        <v>0.91092868559679974</v>
      </c>
      <c r="F4" s="30">
        <f>PERMIT_NZ!F4</f>
        <v>0.88123824746239965</v>
      </c>
      <c r="G4" s="30">
        <f>PERMIT_NZ!G4</f>
        <v>0.85154780932799956</v>
      </c>
      <c r="H4" s="30">
        <f>PERMIT_NZ!H4</f>
        <v>0.82185737119359947</v>
      </c>
      <c r="I4" s="30">
        <f>PERMIT_NZ!I4</f>
        <v>0.79216693305919939</v>
      </c>
      <c r="J4" s="30">
        <f>PERMIT_NZ!J4</f>
        <v>0.7624764949247993</v>
      </c>
      <c r="K4" s="30">
        <f>PERMIT_NZ!K4</f>
        <v>0.73278605679039921</v>
      </c>
      <c r="L4" s="30">
        <f>PERMIT_NZ!L4</f>
        <v>0.70309561865599912</v>
      </c>
      <c r="M4" s="30">
        <f>PERMIT_NZ!M4</f>
        <v>0.67340518052159881</v>
      </c>
      <c r="N4" s="30">
        <f t="shared" si="1"/>
        <v>0.67340518052159881</v>
      </c>
      <c r="O4" s="30">
        <f t="shared" si="0"/>
        <v>0.67340518052159881</v>
      </c>
      <c r="P4" s="30">
        <f t="shared" si="0"/>
        <v>0.67340518052159881</v>
      </c>
      <c r="Q4" s="30">
        <f t="shared" si="0"/>
        <v>0.67340518052159881</v>
      </c>
      <c r="R4" s="30">
        <f t="shared" si="0"/>
        <v>0.67340518052159881</v>
      </c>
      <c r="S4" s="30">
        <f t="shared" si="0"/>
        <v>0.67340518052159881</v>
      </c>
      <c r="T4" s="30">
        <f t="shared" si="0"/>
        <v>0.67340518052159881</v>
      </c>
      <c r="U4" s="30">
        <f t="shared" si="0"/>
        <v>0.67340518052159881</v>
      </c>
      <c r="V4" s="30">
        <f t="shared" si="0"/>
        <v>0.67340518052159881</v>
      </c>
      <c r="W4" s="30">
        <f t="shared" si="0"/>
        <v>0.67340518052159881</v>
      </c>
      <c r="X4" s="30">
        <f t="shared" si="0"/>
        <v>0.67340518052159881</v>
      </c>
      <c r="Y4" s="30">
        <f t="shared" si="0"/>
        <v>0.67340518052159881</v>
      </c>
      <c r="Z4" s="30">
        <f t="shared" si="0"/>
        <v>0.67340518052159881</v>
      </c>
      <c r="AA4" s="30">
        <f t="shared" si="0"/>
        <v>0.67340518052159881</v>
      </c>
      <c r="AB4" s="30">
        <f t="shared" si="0"/>
        <v>0.67340518052159881</v>
      </c>
      <c r="AC4" s="30">
        <f t="shared" si="0"/>
        <v>0.67340518052159881</v>
      </c>
      <c r="AD4" s="30">
        <f t="shared" si="0"/>
        <v>0.67340518052159881</v>
      </c>
      <c r="AE4" s="30">
        <f t="shared" si="0"/>
        <v>0.67340518052159881</v>
      </c>
      <c r="AF4" s="30">
        <f t="shared" si="0"/>
        <v>0.67340518052159881</v>
      </c>
      <c r="AG4" s="30">
        <f t="shared" si="0"/>
        <v>0.67340518052159881</v>
      </c>
    </row>
    <row r="5" spans="1:33" x14ac:dyDescent="0.3">
      <c r="A5" s="1" t="s">
        <v>3</v>
      </c>
      <c r="B5" s="30">
        <f>PERMIT_NZ!B5</f>
        <v>1</v>
      </c>
      <c r="C5" s="30">
        <f>PERMIT_NZ!C5</f>
        <v>1.0122286096130622</v>
      </c>
      <c r="D5" s="30">
        <f>PERMIT_NZ!D5</f>
        <v>1.0244572192261243</v>
      </c>
      <c r="E5" s="30">
        <f>PERMIT_NZ!E5</f>
        <v>1.0366858288391865</v>
      </c>
      <c r="F5" s="30">
        <f>PERMIT_NZ!F5</f>
        <v>1.0489144384522486</v>
      </c>
      <c r="G5" s="30">
        <f>PERMIT_NZ!G5</f>
        <v>1.0611430480653108</v>
      </c>
      <c r="H5" s="30">
        <f>PERMIT_NZ!H5</f>
        <v>1.0733716576783729</v>
      </c>
      <c r="I5" s="30">
        <f>PERMIT_NZ!I5</f>
        <v>1.0856002672914351</v>
      </c>
      <c r="J5" s="30">
        <f>PERMIT_NZ!J5</f>
        <v>1.0978288769044973</v>
      </c>
      <c r="K5" s="30">
        <f>PERMIT_NZ!K5</f>
        <v>1.1100574865175594</v>
      </c>
      <c r="L5" s="30">
        <f>PERMIT_NZ!L5</f>
        <v>1.1222860961306216</v>
      </c>
      <c r="M5" s="30">
        <f>PERMIT_NZ!M5</f>
        <v>1.1345147057436835</v>
      </c>
      <c r="N5" s="30">
        <f t="shared" si="1"/>
        <v>1.1345147057436835</v>
      </c>
      <c r="O5" s="30">
        <f t="shared" si="0"/>
        <v>1.1345147057436835</v>
      </c>
      <c r="P5" s="30">
        <f t="shared" si="0"/>
        <v>1.1345147057436835</v>
      </c>
      <c r="Q5" s="30">
        <f t="shared" si="0"/>
        <v>1.1345147057436835</v>
      </c>
      <c r="R5" s="30">
        <f t="shared" si="0"/>
        <v>1.1345147057436835</v>
      </c>
      <c r="S5" s="30">
        <f t="shared" si="0"/>
        <v>1.1345147057436835</v>
      </c>
      <c r="T5" s="30">
        <f t="shared" si="0"/>
        <v>1.1345147057436835</v>
      </c>
      <c r="U5" s="30">
        <f t="shared" si="0"/>
        <v>1.1345147057436835</v>
      </c>
      <c r="V5" s="30">
        <f t="shared" si="0"/>
        <v>1.1345147057436835</v>
      </c>
      <c r="W5" s="30">
        <f t="shared" si="0"/>
        <v>1.1345147057436835</v>
      </c>
      <c r="X5" s="30">
        <f t="shared" si="0"/>
        <v>1.1345147057436835</v>
      </c>
      <c r="Y5" s="30">
        <f t="shared" si="0"/>
        <v>1.1345147057436835</v>
      </c>
      <c r="Z5" s="30">
        <f t="shared" si="0"/>
        <v>1.1345147057436835</v>
      </c>
      <c r="AA5" s="30">
        <f t="shared" si="0"/>
        <v>1.1345147057436835</v>
      </c>
      <c r="AB5" s="30">
        <f t="shared" si="0"/>
        <v>1.1345147057436835</v>
      </c>
      <c r="AC5" s="30">
        <f t="shared" si="0"/>
        <v>1.1345147057436835</v>
      </c>
      <c r="AD5" s="30">
        <f t="shared" si="0"/>
        <v>1.1345147057436835</v>
      </c>
      <c r="AE5" s="30">
        <f t="shared" si="0"/>
        <v>1.1345147057436835</v>
      </c>
      <c r="AF5" s="30">
        <f t="shared" si="0"/>
        <v>1.1345147057436835</v>
      </c>
      <c r="AG5" s="30">
        <f t="shared" si="0"/>
        <v>1.1345147057436835</v>
      </c>
    </row>
    <row r="6" spans="1:33" x14ac:dyDescent="0.3">
      <c r="A6" s="23" t="s">
        <v>4</v>
      </c>
      <c r="B6" s="30">
        <f>PERMIT_NZ!B6</f>
        <v>1</v>
      </c>
      <c r="C6" s="30">
        <f>PERMIT_NZ!C6</f>
        <v>1.0122286096130622</v>
      </c>
      <c r="D6" s="30">
        <f>PERMIT_NZ!D6</f>
        <v>1.0244572192261243</v>
      </c>
      <c r="E6" s="30">
        <f>PERMIT_NZ!E6</f>
        <v>1.0366858288391865</v>
      </c>
      <c r="F6" s="30">
        <f>PERMIT_NZ!F6</f>
        <v>1.0489144384522486</v>
      </c>
      <c r="G6" s="30">
        <f>PERMIT_NZ!G6</f>
        <v>1.0611430480653108</v>
      </c>
      <c r="H6" s="30">
        <f>PERMIT_NZ!H6</f>
        <v>1.0733716576783729</v>
      </c>
      <c r="I6" s="30">
        <f>PERMIT_NZ!I6</f>
        <v>1.0856002672914351</v>
      </c>
      <c r="J6" s="30">
        <f>PERMIT_NZ!J6</f>
        <v>1.0978288769044973</v>
      </c>
      <c r="K6" s="30">
        <f>PERMIT_NZ!K6</f>
        <v>1.1100574865175594</v>
      </c>
      <c r="L6" s="30">
        <f>PERMIT_NZ!L6</f>
        <v>1.1222860961306216</v>
      </c>
      <c r="M6" s="30">
        <f>PERMIT_NZ!M6</f>
        <v>1.1345147057436833</v>
      </c>
      <c r="N6" s="30">
        <f t="shared" si="1"/>
        <v>1.1345147057436833</v>
      </c>
      <c r="O6" s="30">
        <f t="shared" si="0"/>
        <v>1.1345147057436833</v>
      </c>
      <c r="P6" s="30">
        <f t="shared" si="0"/>
        <v>1.1345147057436833</v>
      </c>
      <c r="Q6" s="30">
        <f t="shared" si="0"/>
        <v>1.1345147057436833</v>
      </c>
      <c r="R6" s="30">
        <f t="shared" si="0"/>
        <v>1.1345147057436833</v>
      </c>
      <c r="S6" s="30">
        <f t="shared" si="0"/>
        <v>1.1345147057436833</v>
      </c>
      <c r="T6" s="30">
        <f t="shared" si="0"/>
        <v>1.1345147057436833</v>
      </c>
      <c r="U6" s="30">
        <f t="shared" si="0"/>
        <v>1.1345147057436833</v>
      </c>
      <c r="V6" s="30">
        <f t="shared" si="0"/>
        <v>1.1345147057436833</v>
      </c>
      <c r="W6" s="30">
        <f t="shared" si="0"/>
        <v>1.1345147057436833</v>
      </c>
      <c r="X6" s="30">
        <f t="shared" si="0"/>
        <v>1.1345147057436833</v>
      </c>
      <c r="Y6" s="30">
        <f t="shared" si="0"/>
        <v>1.1345147057436833</v>
      </c>
      <c r="Z6" s="30">
        <f t="shared" si="0"/>
        <v>1.1345147057436833</v>
      </c>
      <c r="AA6" s="30">
        <f t="shared" si="0"/>
        <v>1.1345147057436833</v>
      </c>
      <c r="AB6" s="30">
        <f t="shared" si="0"/>
        <v>1.1345147057436833</v>
      </c>
      <c r="AC6" s="30">
        <f t="shared" si="0"/>
        <v>1.1345147057436833</v>
      </c>
      <c r="AD6" s="30">
        <f t="shared" si="0"/>
        <v>1.1345147057436833</v>
      </c>
      <c r="AE6" s="30">
        <f t="shared" si="0"/>
        <v>1.1345147057436833</v>
      </c>
      <c r="AF6" s="30">
        <f t="shared" si="0"/>
        <v>1.1345147057436833</v>
      </c>
      <c r="AG6" s="30">
        <f t="shared" si="0"/>
        <v>1.1345147057436833</v>
      </c>
    </row>
    <row r="7" spans="1:33" x14ac:dyDescent="0.3">
      <c r="A7" s="23" t="s">
        <v>5</v>
      </c>
      <c r="B7" s="30">
        <f>PERMIT_NZ!B7</f>
        <v>1</v>
      </c>
      <c r="C7" s="30">
        <f>PERMIT_NZ!C7</f>
        <v>1.0122286096130622</v>
      </c>
      <c r="D7" s="30">
        <f>PERMIT_NZ!D7</f>
        <v>1.0244572192261243</v>
      </c>
      <c r="E7" s="30">
        <f>PERMIT_NZ!E7</f>
        <v>1.0366858288391865</v>
      </c>
      <c r="F7" s="30">
        <f>PERMIT_NZ!F7</f>
        <v>1.0489144384522486</v>
      </c>
      <c r="G7" s="30">
        <f>PERMIT_NZ!G7</f>
        <v>1.0611430480653108</v>
      </c>
      <c r="H7" s="30">
        <f>PERMIT_NZ!H7</f>
        <v>1.0733716576783729</v>
      </c>
      <c r="I7" s="30">
        <f>PERMIT_NZ!I7</f>
        <v>1.0856002672914351</v>
      </c>
      <c r="J7" s="30">
        <f>PERMIT_NZ!J7</f>
        <v>1.0978288769044973</v>
      </c>
      <c r="K7" s="30">
        <f>PERMIT_NZ!K7</f>
        <v>1.1100574865175594</v>
      </c>
      <c r="L7" s="30">
        <f>PERMIT_NZ!L7</f>
        <v>1.1222860961306216</v>
      </c>
      <c r="M7" s="30">
        <f>PERMIT_NZ!M7</f>
        <v>1.1345147057436835</v>
      </c>
      <c r="N7" s="30">
        <f t="shared" si="1"/>
        <v>1.1345147057436835</v>
      </c>
      <c r="O7" s="30">
        <f t="shared" si="0"/>
        <v>1.1345147057436835</v>
      </c>
      <c r="P7" s="30">
        <f t="shared" si="0"/>
        <v>1.1345147057436835</v>
      </c>
      <c r="Q7" s="30">
        <f t="shared" si="0"/>
        <v>1.1345147057436835</v>
      </c>
      <c r="R7" s="30">
        <f t="shared" si="0"/>
        <v>1.1345147057436835</v>
      </c>
      <c r="S7" s="30">
        <f t="shared" si="0"/>
        <v>1.1345147057436835</v>
      </c>
      <c r="T7" s="30">
        <f t="shared" si="0"/>
        <v>1.1345147057436835</v>
      </c>
      <c r="U7" s="30">
        <f t="shared" si="0"/>
        <v>1.1345147057436835</v>
      </c>
      <c r="V7" s="30">
        <f t="shared" si="0"/>
        <v>1.1345147057436835</v>
      </c>
      <c r="W7" s="30">
        <f t="shared" si="0"/>
        <v>1.1345147057436835</v>
      </c>
      <c r="X7" s="30">
        <f t="shared" si="0"/>
        <v>1.1345147057436835</v>
      </c>
      <c r="Y7" s="30">
        <f t="shared" si="0"/>
        <v>1.1345147057436835</v>
      </c>
      <c r="Z7" s="30">
        <f t="shared" si="0"/>
        <v>1.1345147057436835</v>
      </c>
      <c r="AA7" s="30">
        <f t="shared" si="0"/>
        <v>1.1345147057436835</v>
      </c>
      <c r="AB7" s="30">
        <f t="shared" si="0"/>
        <v>1.1345147057436835</v>
      </c>
      <c r="AC7" s="30">
        <f t="shared" si="0"/>
        <v>1.1345147057436835</v>
      </c>
      <c r="AD7" s="30">
        <f t="shared" si="0"/>
        <v>1.1345147057436835</v>
      </c>
      <c r="AE7" s="30">
        <f t="shared" si="0"/>
        <v>1.1345147057436835</v>
      </c>
      <c r="AF7" s="30">
        <f t="shared" si="0"/>
        <v>1.1345147057436835</v>
      </c>
      <c r="AG7" s="30">
        <f t="shared" si="0"/>
        <v>1.1345147057436835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0.99732060293140912</v>
      </c>
      <c r="D9" s="30">
        <f>PERMIT_NZ!D9</f>
        <v>0.99464120586281823</v>
      </c>
      <c r="E9" s="30">
        <f>PERMIT_NZ!E9</f>
        <v>0.99196180879422735</v>
      </c>
      <c r="F9" s="30">
        <f>PERMIT_NZ!F9</f>
        <v>0.98928241172563647</v>
      </c>
      <c r="G9" s="30">
        <f>PERMIT_NZ!G9</f>
        <v>0.98660301465704558</v>
      </c>
      <c r="H9" s="30">
        <f>PERMIT_NZ!H9</f>
        <v>0.9839236175884547</v>
      </c>
      <c r="I9" s="30">
        <f>PERMIT_NZ!I9</f>
        <v>0.98124422051986382</v>
      </c>
      <c r="J9" s="30">
        <f>PERMIT_NZ!J9</f>
        <v>0.97856482345127294</v>
      </c>
      <c r="K9" s="30">
        <f>PERMIT_NZ!K9</f>
        <v>0.97588542638268205</v>
      </c>
      <c r="L9" s="30">
        <f>PERMIT_NZ!L9</f>
        <v>0.97320602931409117</v>
      </c>
      <c r="M9" s="30">
        <f>PERMIT_NZ!M9</f>
        <v>0.97052663224550006</v>
      </c>
      <c r="N9" s="30">
        <f t="shared" si="1"/>
        <v>0.97052663224550006</v>
      </c>
      <c r="O9" s="30">
        <f t="shared" si="0"/>
        <v>0.97052663224550006</v>
      </c>
      <c r="P9" s="30">
        <f t="shared" si="0"/>
        <v>0.97052663224550006</v>
      </c>
      <c r="Q9" s="30">
        <f t="shared" si="0"/>
        <v>0.97052663224550006</v>
      </c>
      <c r="R9" s="30">
        <f t="shared" si="0"/>
        <v>0.97052663224550006</v>
      </c>
      <c r="S9" s="30">
        <f t="shared" si="0"/>
        <v>0.97052663224550006</v>
      </c>
      <c r="T9" s="30">
        <f t="shared" si="0"/>
        <v>0.97052663224550006</v>
      </c>
      <c r="U9" s="30">
        <f t="shared" si="0"/>
        <v>0.97052663224550006</v>
      </c>
      <c r="V9" s="30">
        <f t="shared" si="0"/>
        <v>0.97052663224550006</v>
      </c>
      <c r="W9" s="30">
        <f t="shared" si="0"/>
        <v>0.97052663224550006</v>
      </c>
      <c r="X9" s="30">
        <f t="shared" si="0"/>
        <v>0.97052663224550006</v>
      </c>
      <c r="Y9" s="30">
        <f t="shared" si="0"/>
        <v>0.97052663224550006</v>
      </c>
      <c r="Z9" s="30">
        <f t="shared" si="0"/>
        <v>0.97052663224550006</v>
      </c>
      <c r="AA9" s="30">
        <f t="shared" si="0"/>
        <v>0.97052663224550006</v>
      </c>
      <c r="AB9" s="30">
        <f t="shared" si="0"/>
        <v>0.97052663224550006</v>
      </c>
      <c r="AC9" s="30">
        <f t="shared" si="0"/>
        <v>0.97052663224550006</v>
      </c>
      <c r="AD9" s="30">
        <f t="shared" si="0"/>
        <v>0.97052663224550006</v>
      </c>
      <c r="AE9" s="30">
        <f t="shared" si="0"/>
        <v>0.97052663224550006</v>
      </c>
      <c r="AF9" s="30">
        <f t="shared" si="0"/>
        <v>0.97052663224550006</v>
      </c>
      <c r="AG9" s="30">
        <f t="shared" si="0"/>
        <v>0.97052663224550006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0.49999999999999989</v>
      </c>
      <c r="N10" s="30">
        <f t="shared" si="1"/>
        <v>0.49999999999999989</v>
      </c>
      <c r="O10" s="30">
        <f t="shared" si="0"/>
        <v>0.49999999999999989</v>
      </c>
      <c r="P10" s="30">
        <f t="shared" si="0"/>
        <v>0.49999999999999989</v>
      </c>
      <c r="Q10" s="30">
        <f t="shared" si="0"/>
        <v>0.49999999999999989</v>
      </c>
      <c r="R10" s="30">
        <f t="shared" si="0"/>
        <v>0.49999999999999989</v>
      </c>
      <c r="S10" s="30">
        <f t="shared" si="0"/>
        <v>0.49999999999999989</v>
      </c>
      <c r="T10" s="30">
        <f t="shared" si="0"/>
        <v>0.49999999999999989</v>
      </c>
      <c r="U10" s="30">
        <f t="shared" si="0"/>
        <v>0.49999999999999989</v>
      </c>
      <c r="V10" s="30">
        <f t="shared" si="0"/>
        <v>0.49999999999999989</v>
      </c>
      <c r="W10" s="30">
        <f t="shared" si="0"/>
        <v>0.49999999999999989</v>
      </c>
      <c r="X10" s="30">
        <f t="shared" si="0"/>
        <v>0.49999999999999989</v>
      </c>
      <c r="Y10" s="30">
        <f t="shared" si="0"/>
        <v>0.49999999999999989</v>
      </c>
      <c r="Z10" s="30">
        <f t="shared" si="0"/>
        <v>0.49999999999999989</v>
      </c>
      <c r="AA10" s="30">
        <f t="shared" si="0"/>
        <v>0.49999999999999989</v>
      </c>
      <c r="AB10" s="30">
        <f t="shared" si="0"/>
        <v>0.49999999999999989</v>
      </c>
      <c r="AC10" s="30">
        <f t="shared" si="0"/>
        <v>0.49999999999999989</v>
      </c>
      <c r="AD10" s="30">
        <f t="shared" si="0"/>
        <v>0.49999999999999989</v>
      </c>
      <c r="AE10" s="30">
        <f t="shared" si="0"/>
        <v>0.49999999999999989</v>
      </c>
      <c r="AF10" s="30">
        <f t="shared" si="0"/>
        <v>0.49999999999999989</v>
      </c>
      <c r="AG10" s="30">
        <f t="shared" si="0"/>
        <v>0.49999999999999989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M10</f>
        <v>0.49999999999999989</v>
      </c>
      <c r="N11" s="30">
        <f t="shared" si="1"/>
        <v>0.49999999999999989</v>
      </c>
      <c r="O11" s="30">
        <f t="shared" si="0"/>
        <v>0.49999999999999989</v>
      </c>
      <c r="P11" s="30">
        <f t="shared" si="0"/>
        <v>0.49999999999999989</v>
      </c>
      <c r="Q11" s="30">
        <f t="shared" si="0"/>
        <v>0.49999999999999989</v>
      </c>
      <c r="R11" s="30">
        <f t="shared" si="0"/>
        <v>0.49999999999999989</v>
      </c>
      <c r="S11" s="30">
        <f t="shared" si="0"/>
        <v>0.49999999999999989</v>
      </c>
      <c r="T11" s="30">
        <f t="shared" si="0"/>
        <v>0.49999999999999989</v>
      </c>
      <c r="U11" s="30">
        <f t="shared" si="0"/>
        <v>0.49999999999999989</v>
      </c>
      <c r="V11" s="30">
        <f t="shared" si="0"/>
        <v>0.49999999999999989</v>
      </c>
      <c r="W11" s="30">
        <f t="shared" si="0"/>
        <v>0.49999999999999989</v>
      </c>
      <c r="X11" s="30">
        <f t="shared" si="0"/>
        <v>0.49999999999999989</v>
      </c>
      <c r="Y11" s="30">
        <f t="shared" si="0"/>
        <v>0.49999999999999989</v>
      </c>
      <c r="Z11" s="30">
        <f t="shared" si="0"/>
        <v>0.49999999999999989</v>
      </c>
      <c r="AA11" s="30">
        <f t="shared" si="0"/>
        <v>0.49999999999999989</v>
      </c>
      <c r="AB11" s="30">
        <f t="shared" si="0"/>
        <v>0.49999999999999989</v>
      </c>
      <c r="AC11" s="30">
        <f t="shared" si="0"/>
        <v>0.49999999999999989</v>
      </c>
      <c r="AD11" s="30">
        <f t="shared" si="0"/>
        <v>0.49999999999999989</v>
      </c>
      <c r="AE11" s="30">
        <f t="shared" si="0"/>
        <v>0.49999999999999989</v>
      </c>
      <c r="AF11" s="30">
        <f t="shared" si="0"/>
        <v>0.49999999999999989</v>
      </c>
      <c r="AG11" s="30">
        <f t="shared" si="0"/>
        <v>0.49999999999999989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0.99732060293140912</v>
      </c>
      <c r="D12" s="30">
        <f>PERMIT_NZ!D12</f>
        <v>0.99464120586281823</v>
      </c>
      <c r="E12" s="30">
        <f>PERMIT_NZ!E12</f>
        <v>0.99196180879422735</v>
      </c>
      <c r="F12" s="30">
        <f>PERMIT_NZ!F12</f>
        <v>0.98928241172563647</v>
      </c>
      <c r="G12" s="30">
        <f>PERMIT_NZ!G12</f>
        <v>0.98660301465704558</v>
      </c>
      <c r="H12" s="30">
        <f>PERMIT_NZ!H12</f>
        <v>0.9839236175884547</v>
      </c>
      <c r="I12" s="30">
        <f>PERMIT_NZ!I12</f>
        <v>0.98124422051986382</v>
      </c>
      <c r="J12" s="30">
        <f>PERMIT_NZ!J12</f>
        <v>0.97856482345127294</v>
      </c>
      <c r="K12" s="30">
        <f>PERMIT_NZ!K12</f>
        <v>0.97588542638268205</v>
      </c>
      <c r="L12" s="30">
        <f>PERMIT_NZ!L12</f>
        <v>0.97320602931409117</v>
      </c>
      <c r="M12" s="30">
        <f>PERMIT_NZ!M12</f>
        <v>0.97052663224550006</v>
      </c>
      <c r="N12" s="30">
        <f t="shared" si="1"/>
        <v>0.97052663224550006</v>
      </c>
      <c r="O12" s="30">
        <f t="shared" si="0"/>
        <v>0.97052663224550006</v>
      </c>
      <c r="P12" s="30">
        <f t="shared" si="0"/>
        <v>0.97052663224550006</v>
      </c>
      <c r="Q12" s="30">
        <f t="shared" si="0"/>
        <v>0.97052663224550006</v>
      </c>
      <c r="R12" s="30">
        <f t="shared" si="0"/>
        <v>0.97052663224550006</v>
      </c>
      <c r="S12" s="30">
        <f t="shared" si="0"/>
        <v>0.97052663224550006</v>
      </c>
      <c r="T12" s="30">
        <f t="shared" si="0"/>
        <v>0.97052663224550006</v>
      </c>
      <c r="U12" s="30">
        <f t="shared" si="0"/>
        <v>0.97052663224550006</v>
      </c>
      <c r="V12" s="30">
        <f t="shared" si="0"/>
        <v>0.97052663224550006</v>
      </c>
      <c r="W12" s="30">
        <f t="shared" si="0"/>
        <v>0.97052663224550006</v>
      </c>
      <c r="X12" s="30">
        <f t="shared" si="0"/>
        <v>0.97052663224550006</v>
      </c>
      <c r="Y12" s="30">
        <f t="shared" si="0"/>
        <v>0.97052663224550006</v>
      </c>
      <c r="Z12" s="30">
        <f t="shared" si="0"/>
        <v>0.97052663224550006</v>
      </c>
      <c r="AA12" s="30">
        <f t="shared" si="0"/>
        <v>0.97052663224550006</v>
      </c>
      <c r="AB12" s="30">
        <f t="shared" si="0"/>
        <v>0.97052663224550006</v>
      </c>
      <c r="AC12" s="30">
        <f t="shared" si="0"/>
        <v>0.97052663224550006</v>
      </c>
      <c r="AD12" s="30">
        <f t="shared" si="0"/>
        <v>0.97052663224550006</v>
      </c>
      <c r="AE12" s="30">
        <f t="shared" si="0"/>
        <v>0.97052663224550006</v>
      </c>
      <c r="AF12" s="30">
        <f t="shared" si="0"/>
        <v>0.97052663224550006</v>
      </c>
      <c r="AG12" s="30">
        <f t="shared" si="0"/>
        <v>0.97052663224550006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0.99732060293140912</v>
      </c>
      <c r="D13" s="30">
        <f>PERMIT_NZ!D13</f>
        <v>0.99464120586281823</v>
      </c>
      <c r="E13" s="30">
        <f>PERMIT_NZ!E13</f>
        <v>0.99196180879422735</v>
      </c>
      <c r="F13" s="30">
        <f>PERMIT_NZ!F13</f>
        <v>0.98928241172563647</v>
      </c>
      <c r="G13" s="30">
        <f>PERMIT_NZ!G13</f>
        <v>0.98660301465704558</v>
      </c>
      <c r="H13" s="30">
        <f>PERMIT_NZ!H13</f>
        <v>0.9839236175884547</v>
      </c>
      <c r="I13" s="30">
        <f>PERMIT_NZ!I13</f>
        <v>0.98124422051986382</v>
      </c>
      <c r="J13" s="30">
        <f>PERMIT_NZ!J13</f>
        <v>0.97856482345127294</v>
      </c>
      <c r="K13" s="30">
        <f>PERMIT_NZ!K13</f>
        <v>0.97588542638268205</v>
      </c>
      <c r="L13" s="30">
        <f>PERMIT_NZ!L13</f>
        <v>0.97320602931409117</v>
      </c>
      <c r="M13" s="30">
        <f>PERMIT_NZ!M13</f>
        <v>0.97052663224549995</v>
      </c>
      <c r="N13" s="30">
        <f t="shared" si="1"/>
        <v>0.97052663224549995</v>
      </c>
      <c r="O13" s="30">
        <f t="shared" si="0"/>
        <v>0.97052663224549995</v>
      </c>
      <c r="P13" s="30">
        <f t="shared" si="0"/>
        <v>0.97052663224549995</v>
      </c>
      <c r="Q13" s="30">
        <f t="shared" si="0"/>
        <v>0.97052663224549995</v>
      </c>
      <c r="R13" s="30">
        <f t="shared" si="0"/>
        <v>0.97052663224549995</v>
      </c>
      <c r="S13" s="30">
        <f t="shared" si="0"/>
        <v>0.97052663224549995</v>
      </c>
      <c r="T13" s="30">
        <f t="shared" si="0"/>
        <v>0.97052663224549995</v>
      </c>
      <c r="U13" s="30">
        <f t="shared" si="0"/>
        <v>0.97052663224549995</v>
      </c>
      <c r="V13" s="30">
        <f t="shared" si="0"/>
        <v>0.97052663224549995</v>
      </c>
      <c r="W13" s="30">
        <f t="shared" si="0"/>
        <v>0.97052663224549995</v>
      </c>
      <c r="X13" s="30">
        <f t="shared" si="0"/>
        <v>0.97052663224549995</v>
      </c>
      <c r="Y13" s="30">
        <f t="shared" si="0"/>
        <v>0.97052663224549995</v>
      </c>
      <c r="Z13" s="30">
        <f t="shared" si="0"/>
        <v>0.97052663224549995</v>
      </c>
      <c r="AA13" s="30">
        <f t="shared" si="0"/>
        <v>0.97052663224549995</v>
      </c>
      <c r="AB13" s="30">
        <f t="shared" si="0"/>
        <v>0.97052663224549995</v>
      </c>
      <c r="AC13" s="30">
        <f t="shared" si="0"/>
        <v>0.97052663224549995</v>
      </c>
      <c r="AD13" s="30">
        <f t="shared" si="0"/>
        <v>0.97052663224549995</v>
      </c>
      <c r="AE13" s="30">
        <f t="shared" si="0"/>
        <v>0.97052663224549995</v>
      </c>
      <c r="AF13" s="30">
        <f t="shared" si="0"/>
        <v>0.97052663224549995</v>
      </c>
      <c r="AG13" s="30">
        <f t="shared" si="0"/>
        <v>0.97052663224549995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0.99732060293140912</v>
      </c>
      <c r="D14" s="30">
        <f>PERMIT_NZ!D14</f>
        <v>0.99464120586281823</v>
      </c>
      <c r="E14" s="30">
        <f>PERMIT_NZ!E14</f>
        <v>0.99196180879422735</v>
      </c>
      <c r="F14" s="30">
        <f>PERMIT_NZ!F14</f>
        <v>0.98928241172563647</v>
      </c>
      <c r="G14" s="30">
        <f>PERMIT_NZ!G14</f>
        <v>0.98660301465704558</v>
      </c>
      <c r="H14" s="30">
        <f>PERMIT_NZ!H14</f>
        <v>0.9839236175884547</v>
      </c>
      <c r="I14" s="30">
        <f>PERMIT_NZ!I14</f>
        <v>0.98124422051986382</v>
      </c>
      <c r="J14" s="30">
        <f>PERMIT_NZ!J14</f>
        <v>0.97856482345127294</v>
      </c>
      <c r="K14" s="30">
        <f>PERMIT_NZ!K14</f>
        <v>0.97588542638268205</v>
      </c>
      <c r="L14" s="30">
        <f>PERMIT_NZ!L14</f>
        <v>0.97320602931409117</v>
      </c>
      <c r="M14" s="30">
        <f>PERMIT_NZ!M14</f>
        <v>0.97052663224549995</v>
      </c>
      <c r="N14" s="30">
        <f t="shared" si="1"/>
        <v>0.97052663224549995</v>
      </c>
      <c r="O14" s="30">
        <f t="shared" si="0"/>
        <v>0.97052663224549995</v>
      </c>
      <c r="P14" s="30">
        <f t="shared" si="0"/>
        <v>0.97052663224549995</v>
      </c>
      <c r="Q14" s="30">
        <f t="shared" si="0"/>
        <v>0.97052663224549995</v>
      </c>
      <c r="R14" s="30">
        <f t="shared" si="0"/>
        <v>0.97052663224549995</v>
      </c>
      <c r="S14" s="30">
        <f t="shared" si="0"/>
        <v>0.97052663224549995</v>
      </c>
      <c r="T14" s="30">
        <f t="shared" si="0"/>
        <v>0.97052663224549995</v>
      </c>
      <c r="U14" s="30">
        <f t="shared" si="0"/>
        <v>0.97052663224549995</v>
      </c>
      <c r="V14" s="30">
        <f t="shared" si="0"/>
        <v>0.97052663224549995</v>
      </c>
      <c r="W14" s="30">
        <f t="shared" si="0"/>
        <v>0.97052663224549995</v>
      </c>
      <c r="X14" s="30">
        <f t="shared" si="0"/>
        <v>0.97052663224549995</v>
      </c>
      <c r="Y14" s="30">
        <f t="shared" si="0"/>
        <v>0.97052663224549995</v>
      </c>
      <c r="Z14" s="30">
        <f t="shared" si="0"/>
        <v>0.97052663224549995</v>
      </c>
      <c r="AA14" s="30">
        <f t="shared" si="0"/>
        <v>0.97052663224549995</v>
      </c>
      <c r="AB14" s="30">
        <f t="shared" si="0"/>
        <v>0.97052663224549995</v>
      </c>
      <c r="AC14" s="30">
        <f t="shared" si="0"/>
        <v>0.97052663224549995</v>
      </c>
      <c r="AD14" s="30">
        <f t="shared" si="0"/>
        <v>0.97052663224549995</v>
      </c>
      <c r="AE14" s="30">
        <f t="shared" si="0"/>
        <v>0.97052663224549995</v>
      </c>
      <c r="AF14" s="30">
        <f t="shared" si="0"/>
        <v>0.97052663224549995</v>
      </c>
      <c r="AG14" s="30">
        <f t="shared" si="0"/>
        <v>0.97052663224549995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0.99732060293140912</v>
      </c>
      <c r="D15" s="30">
        <f>PERMIT_NZ!D15</f>
        <v>0.99464120586281823</v>
      </c>
      <c r="E15" s="30">
        <f>PERMIT_NZ!E15</f>
        <v>0.99196180879422735</v>
      </c>
      <c r="F15" s="30">
        <f>PERMIT_NZ!F15</f>
        <v>0.98928241172563647</v>
      </c>
      <c r="G15" s="30">
        <f>PERMIT_NZ!G15</f>
        <v>0.98660301465704558</v>
      </c>
      <c r="H15" s="30">
        <f>PERMIT_NZ!H15</f>
        <v>0.9839236175884547</v>
      </c>
      <c r="I15" s="30">
        <f>PERMIT_NZ!I15</f>
        <v>0.98124422051986382</v>
      </c>
      <c r="J15" s="30">
        <f>PERMIT_NZ!J15</f>
        <v>0.97856482345127294</v>
      </c>
      <c r="K15" s="30">
        <f>PERMIT_NZ!K15</f>
        <v>0.97588542638268205</v>
      </c>
      <c r="L15" s="30">
        <f>PERMIT_NZ!L15</f>
        <v>0.97320602931409117</v>
      </c>
      <c r="M15" s="30">
        <f>PERMIT_NZ!M15</f>
        <v>0.97052663224550006</v>
      </c>
      <c r="N15" s="30">
        <f t="shared" si="1"/>
        <v>0.97052663224550006</v>
      </c>
      <c r="O15" s="30">
        <f t="shared" si="0"/>
        <v>0.97052663224550006</v>
      </c>
      <c r="P15" s="30">
        <f t="shared" si="0"/>
        <v>0.97052663224550006</v>
      </c>
      <c r="Q15" s="30">
        <f t="shared" si="0"/>
        <v>0.97052663224550006</v>
      </c>
      <c r="R15" s="30">
        <f t="shared" si="0"/>
        <v>0.97052663224550006</v>
      </c>
      <c r="S15" s="30">
        <f t="shared" si="0"/>
        <v>0.97052663224550006</v>
      </c>
      <c r="T15" s="30">
        <f t="shared" si="0"/>
        <v>0.97052663224550006</v>
      </c>
      <c r="U15" s="30">
        <f t="shared" si="0"/>
        <v>0.97052663224550006</v>
      </c>
      <c r="V15" s="30">
        <f t="shared" si="0"/>
        <v>0.97052663224550006</v>
      </c>
      <c r="W15" s="30">
        <f t="shared" si="0"/>
        <v>0.97052663224550006</v>
      </c>
      <c r="X15" s="30">
        <f t="shared" si="0"/>
        <v>0.97052663224550006</v>
      </c>
      <c r="Y15" s="30">
        <f t="shared" si="0"/>
        <v>0.97052663224550006</v>
      </c>
      <c r="Z15" s="30">
        <f t="shared" si="0"/>
        <v>0.97052663224550006</v>
      </c>
      <c r="AA15" s="30">
        <f t="shared" si="0"/>
        <v>0.97052663224550006</v>
      </c>
      <c r="AB15" s="30">
        <f t="shared" si="0"/>
        <v>0.97052663224550006</v>
      </c>
      <c r="AC15" s="30">
        <f t="shared" si="0"/>
        <v>0.97052663224550006</v>
      </c>
      <c r="AD15" s="30">
        <f t="shared" si="0"/>
        <v>0.97052663224550006</v>
      </c>
      <c r="AE15" s="30">
        <f t="shared" si="0"/>
        <v>0.97052663224550006</v>
      </c>
      <c r="AF15" s="30">
        <f t="shared" si="0"/>
        <v>0.97052663224550006</v>
      </c>
      <c r="AG15" s="30">
        <f t="shared" si="0"/>
        <v>0.97052663224550006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0.99732060293140912</v>
      </c>
      <c r="D16" s="30">
        <f>PERMIT_NZ!D16</f>
        <v>0.99464120586281823</v>
      </c>
      <c r="E16" s="30">
        <f>PERMIT_NZ!E16</f>
        <v>0.99196180879422735</v>
      </c>
      <c r="F16" s="30">
        <f>PERMIT_NZ!F16</f>
        <v>0.98928241172563647</v>
      </c>
      <c r="G16" s="30">
        <f>PERMIT_NZ!G16</f>
        <v>0.98660301465704558</v>
      </c>
      <c r="H16" s="30">
        <f>PERMIT_NZ!H16</f>
        <v>0.9839236175884547</v>
      </c>
      <c r="I16" s="30">
        <f>PERMIT_NZ!I16</f>
        <v>0.98124422051986382</v>
      </c>
      <c r="J16" s="30">
        <f>PERMIT_NZ!J16</f>
        <v>0.97856482345127294</v>
      </c>
      <c r="K16" s="30">
        <f>PERMIT_NZ!K16</f>
        <v>0.97588542638268205</v>
      </c>
      <c r="L16" s="30">
        <f>PERMIT_NZ!L16</f>
        <v>0.97320602931409117</v>
      </c>
      <c r="M16" s="30">
        <f>PERMIT_NZ!M16</f>
        <v>0.97052663224550018</v>
      </c>
      <c r="N16" s="30">
        <f t="shared" si="1"/>
        <v>0.97052663224550018</v>
      </c>
      <c r="O16" s="30">
        <f t="shared" si="0"/>
        <v>0.97052663224550018</v>
      </c>
      <c r="P16" s="30">
        <f t="shared" si="0"/>
        <v>0.97052663224550018</v>
      </c>
      <c r="Q16" s="30">
        <f t="shared" si="0"/>
        <v>0.97052663224550018</v>
      </c>
      <c r="R16" s="30">
        <f t="shared" si="0"/>
        <v>0.97052663224550018</v>
      </c>
      <c r="S16" s="30">
        <f t="shared" ref="O16:AG18" si="2">R16</f>
        <v>0.97052663224550018</v>
      </c>
      <c r="T16" s="30">
        <f t="shared" si="2"/>
        <v>0.97052663224550018</v>
      </c>
      <c r="U16" s="30">
        <f t="shared" si="2"/>
        <v>0.97052663224550018</v>
      </c>
      <c r="V16" s="30">
        <f t="shared" si="2"/>
        <v>0.97052663224550018</v>
      </c>
      <c r="W16" s="30">
        <f t="shared" si="2"/>
        <v>0.97052663224550018</v>
      </c>
      <c r="X16" s="30">
        <f t="shared" si="2"/>
        <v>0.97052663224550018</v>
      </c>
      <c r="Y16" s="30">
        <f t="shared" si="2"/>
        <v>0.97052663224550018</v>
      </c>
      <c r="Z16" s="30">
        <f t="shared" si="2"/>
        <v>0.97052663224550018</v>
      </c>
      <c r="AA16" s="30">
        <f t="shared" si="2"/>
        <v>0.97052663224550018</v>
      </c>
      <c r="AB16" s="30">
        <f t="shared" si="2"/>
        <v>0.97052663224550018</v>
      </c>
      <c r="AC16" s="30">
        <f t="shared" si="2"/>
        <v>0.97052663224550018</v>
      </c>
      <c r="AD16" s="30">
        <f t="shared" si="2"/>
        <v>0.97052663224550018</v>
      </c>
      <c r="AE16" s="30">
        <f t="shared" si="2"/>
        <v>0.97052663224550018</v>
      </c>
      <c r="AF16" s="30">
        <f t="shared" si="2"/>
        <v>0.97052663224550018</v>
      </c>
      <c r="AG16" s="30">
        <f t="shared" si="2"/>
        <v>0.97052663224550018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0.99732060293140912</v>
      </c>
      <c r="D17" s="30">
        <f>PERMIT_NZ!D17</f>
        <v>0.99464120586281823</v>
      </c>
      <c r="E17" s="30">
        <f>PERMIT_NZ!E17</f>
        <v>0.99196180879422735</v>
      </c>
      <c r="F17" s="30">
        <f>PERMIT_NZ!F17</f>
        <v>0.98928241172563647</v>
      </c>
      <c r="G17" s="30">
        <f>PERMIT_NZ!G17</f>
        <v>0.98660301465704558</v>
      </c>
      <c r="H17" s="30">
        <f>PERMIT_NZ!H17</f>
        <v>0.9839236175884547</v>
      </c>
      <c r="I17" s="30">
        <f>PERMIT_NZ!I17</f>
        <v>0.98124422051986382</v>
      </c>
      <c r="J17" s="30">
        <f>PERMIT_NZ!J17</f>
        <v>0.97856482345127294</v>
      </c>
      <c r="K17" s="30">
        <f>PERMIT_NZ!K17</f>
        <v>0.97588542638268205</v>
      </c>
      <c r="L17" s="30">
        <f>PERMIT_NZ!L17</f>
        <v>0.97320602931409117</v>
      </c>
      <c r="M17" s="30">
        <f>PERMIT_NZ!M17</f>
        <v>0.97052663224550018</v>
      </c>
      <c r="N17" s="30">
        <f t="shared" si="1"/>
        <v>0.97052663224550018</v>
      </c>
      <c r="O17" s="30">
        <f t="shared" si="2"/>
        <v>0.97052663224550018</v>
      </c>
      <c r="P17" s="30">
        <f t="shared" si="2"/>
        <v>0.97052663224550018</v>
      </c>
      <c r="Q17" s="30">
        <f t="shared" si="2"/>
        <v>0.97052663224550018</v>
      </c>
      <c r="R17" s="30">
        <f t="shared" si="2"/>
        <v>0.97052663224550018</v>
      </c>
      <c r="S17" s="30">
        <f t="shared" si="2"/>
        <v>0.97052663224550018</v>
      </c>
      <c r="T17" s="30">
        <f t="shared" si="2"/>
        <v>0.97052663224550018</v>
      </c>
      <c r="U17" s="30">
        <f t="shared" si="2"/>
        <v>0.97052663224550018</v>
      </c>
      <c r="V17" s="30">
        <f t="shared" si="2"/>
        <v>0.97052663224550018</v>
      </c>
      <c r="W17" s="30">
        <f t="shared" si="2"/>
        <v>0.97052663224550018</v>
      </c>
      <c r="X17" s="30">
        <f t="shared" si="2"/>
        <v>0.97052663224550018</v>
      </c>
      <c r="Y17" s="30">
        <f t="shared" si="2"/>
        <v>0.97052663224550018</v>
      </c>
      <c r="Z17" s="30">
        <f t="shared" si="2"/>
        <v>0.97052663224550018</v>
      </c>
      <c r="AA17" s="30">
        <f t="shared" si="2"/>
        <v>0.97052663224550018</v>
      </c>
      <c r="AB17" s="30">
        <f t="shared" si="2"/>
        <v>0.97052663224550018</v>
      </c>
      <c r="AC17" s="30">
        <f t="shared" si="2"/>
        <v>0.97052663224550018</v>
      </c>
      <c r="AD17" s="30">
        <f t="shared" si="2"/>
        <v>0.97052663224550018</v>
      </c>
      <c r="AE17" s="30">
        <f t="shared" si="2"/>
        <v>0.97052663224550018</v>
      </c>
      <c r="AF17" s="30">
        <f t="shared" si="2"/>
        <v>0.97052663224550018</v>
      </c>
      <c r="AG17" s="30">
        <f t="shared" si="2"/>
        <v>0.97052663224550018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0.96880530280148291</v>
      </c>
      <c r="D18" s="30">
        <f>PERMIT_NZ!D18</f>
        <v>0.93761060560296583</v>
      </c>
      <c r="E18" s="30">
        <f>PERMIT_NZ!E18</f>
        <v>0.90641590840444874</v>
      </c>
      <c r="F18" s="30">
        <f>PERMIT_NZ!F18</f>
        <v>0.87522121120593166</v>
      </c>
      <c r="G18" s="30">
        <f>PERMIT_NZ!G18</f>
        <v>0.84402651400741457</v>
      </c>
      <c r="H18" s="30">
        <f>PERMIT_NZ!H18</f>
        <v>0.81283181680889749</v>
      </c>
      <c r="I18" s="30">
        <f>PERMIT_NZ!I18</f>
        <v>0.7816371196103804</v>
      </c>
      <c r="J18" s="30">
        <f>PERMIT_NZ!J18</f>
        <v>0.75044242241186332</v>
      </c>
      <c r="K18" s="30">
        <f>PERMIT_NZ!K18</f>
        <v>0.71924772521334623</v>
      </c>
      <c r="L18" s="30">
        <f>PERMIT_NZ!L18</f>
        <v>0.68805302801482915</v>
      </c>
      <c r="M18" s="30">
        <f>PERMIT_NZ!M18</f>
        <v>0.65685833081631206</v>
      </c>
      <c r="N18" s="30">
        <f t="shared" si="1"/>
        <v>0.65685833081631206</v>
      </c>
      <c r="O18" s="30">
        <f t="shared" si="2"/>
        <v>0.65685833081631206</v>
      </c>
      <c r="P18" s="30">
        <f t="shared" si="2"/>
        <v>0.65685833081631206</v>
      </c>
      <c r="Q18" s="30">
        <f t="shared" si="2"/>
        <v>0.65685833081631206</v>
      </c>
      <c r="R18" s="30">
        <f t="shared" si="2"/>
        <v>0.65685833081631206</v>
      </c>
      <c r="S18" s="30">
        <f t="shared" si="2"/>
        <v>0.65685833081631206</v>
      </c>
      <c r="T18" s="30">
        <f t="shared" si="2"/>
        <v>0.65685833081631206</v>
      </c>
      <c r="U18" s="30">
        <f t="shared" si="2"/>
        <v>0.65685833081631206</v>
      </c>
      <c r="V18" s="30">
        <f t="shared" si="2"/>
        <v>0.65685833081631206</v>
      </c>
      <c r="W18" s="30">
        <f t="shared" si="2"/>
        <v>0.65685833081631206</v>
      </c>
      <c r="X18" s="30">
        <f t="shared" si="2"/>
        <v>0.65685833081631206</v>
      </c>
      <c r="Y18" s="30">
        <f t="shared" si="2"/>
        <v>0.65685833081631206</v>
      </c>
      <c r="Z18" s="30">
        <f t="shared" si="2"/>
        <v>0.65685833081631206</v>
      </c>
      <c r="AA18" s="30">
        <f t="shared" si="2"/>
        <v>0.65685833081631206</v>
      </c>
      <c r="AB18" s="30">
        <f t="shared" si="2"/>
        <v>0.65685833081631206</v>
      </c>
      <c r="AC18" s="30">
        <f t="shared" si="2"/>
        <v>0.65685833081631206</v>
      </c>
      <c r="AD18" s="30">
        <f t="shared" si="2"/>
        <v>0.65685833081631206</v>
      </c>
      <c r="AE18" s="30">
        <f t="shared" si="2"/>
        <v>0.65685833081631206</v>
      </c>
      <c r="AF18" s="30">
        <f t="shared" si="2"/>
        <v>0.65685833081631206</v>
      </c>
      <c r="AG18" s="30">
        <f t="shared" si="2"/>
        <v>0.65685833081631206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60"/>
  <sheetViews>
    <sheetView tabSelected="1" zoomScale="55" zoomScaleNormal="55" workbookViewId="0">
      <selection sqref="A1:AG18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B23</f>
        <v>1</v>
      </c>
      <c r="C2" s="30">
        <f t="shared" ref="C2:L2" si="0">B2+($M2-$B2)/(2030-2019)</f>
        <v>0.96880530280148291</v>
      </c>
      <c r="D2" s="30">
        <f t="shared" si="0"/>
        <v>0.93761060560296583</v>
      </c>
      <c r="E2" s="30">
        <f t="shared" si="0"/>
        <v>0.90641590840444874</v>
      </c>
      <c r="F2" s="30">
        <f t="shared" si="0"/>
        <v>0.87522121120593166</v>
      </c>
      <c r="G2" s="30">
        <f t="shared" si="0"/>
        <v>0.84402651400741457</v>
      </c>
      <c r="H2" s="30">
        <f t="shared" si="0"/>
        <v>0.81283181680889749</v>
      </c>
      <c r="I2" s="30">
        <f t="shared" si="0"/>
        <v>0.7816371196103804</v>
      </c>
      <c r="J2" s="30">
        <f t="shared" si="0"/>
        <v>0.75044242241186332</v>
      </c>
      <c r="K2" s="30">
        <f t="shared" si="0"/>
        <v>0.71924772521334623</v>
      </c>
      <c r="L2" s="30">
        <f t="shared" si="0"/>
        <v>0.68805302801482915</v>
      </c>
      <c r="M2" s="30">
        <v>0.65685833081631229</v>
      </c>
      <c r="N2" s="32">
        <f>M2+($W2-$M2)/(2040-2030)</f>
        <v>0.62811088203873577</v>
      </c>
      <c r="O2" s="32">
        <f t="shared" ref="O2:V2" si="1">N2+($W2-$M2)/(2040-2030)</f>
        <v>0.59936343326115926</v>
      </c>
      <c r="P2" s="32">
        <f t="shared" si="1"/>
        <v>0.57061598448358275</v>
      </c>
      <c r="Q2" s="32">
        <f t="shared" si="1"/>
        <v>0.54186853570600624</v>
      </c>
      <c r="R2" s="32">
        <f t="shared" si="1"/>
        <v>0.51312108692842973</v>
      </c>
      <c r="S2" s="32">
        <f t="shared" si="1"/>
        <v>0.48437363815085327</v>
      </c>
      <c r="T2" s="32">
        <f t="shared" si="1"/>
        <v>0.45562618937327681</v>
      </c>
      <c r="U2" s="32">
        <f t="shared" si="1"/>
        <v>0.42687874059570036</v>
      </c>
      <c r="V2" s="32">
        <f t="shared" si="1"/>
        <v>0.3981312918181239</v>
      </c>
      <c r="W2" s="30">
        <v>0.36938384304054761</v>
      </c>
      <c r="X2" s="30">
        <f>W2+($AG2-$W2)/(2050-2040)</f>
        <v>0.34244545873649285</v>
      </c>
      <c r="Y2" s="30">
        <f t="shared" ref="Y2:AF2" si="2">X2+($AG2-$W2)/(2050-2040)</f>
        <v>0.31550707443243808</v>
      </c>
      <c r="Z2" s="30">
        <f t="shared" si="2"/>
        <v>0.28856869012838332</v>
      </c>
      <c r="AA2" s="30">
        <f t="shared" si="2"/>
        <v>0.26163030582432856</v>
      </c>
      <c r="AB2" s="30">
        <f t="shared" si="2"/>
        <v>0.23469192152027379</v>
      </c>
      <c r="AC2" s="30">
        <f t="shared" si="2"/>
        <v>0.20775353721621903</v>
      </c>
      <c r="AD2" s="30">
        <f t="shared" si="2"/>
        <v>0.18081515291216427</v>
      </c>
      <c r="AE2" s="30">
        <f t="shared" si="2"/>
        <v>0.1538767686081095</v>
      </c>
      <c r="AF2" s="30">
        <f t="shared" si="2"/>
        <v>0.12693838430405474</v>
      </c>
      <c r="AG2" s="31">
        <v>0.1</v>
      </c>
    </row>
    <row r="3" spans="1:33" x14ac:dyDescent="0.3">
      <c r="A3" s="1" t="s">
        <v>1</v>
      </c>
      <c r="B3" s="30">
        <f t="shared" ref="B3:B18" si="3">B24</f>
        <v>1</v>
      </c>
      <c r="C3" s="30">
        <f t="shared" ref="C3:L3" si="4">B3+($M3-$B3)/(2030-2019)</f>
        <v>0.99732060293140912</v>
      </c>
      <c r="D3" s="30">
        <f t="shared" si="4"/>
        <v>0.99464120586281823</v>
      </c>
      <c r="E3" s="30">
        <f t="shared" si="4"/>
        <v>0.99196180879422735</v>
      </c>
      <c r="F3" s="30">
        <f t="shared" si="4"/>
        <v>0.98928241172563647</v>
      </c>
      <c r="G3" s="30">
        <f t="shared" si="4"/>
        <v>0.98660301465704558</v>
      </c>
      <c r="H3" s="30">
        <f t="shared" si="4"/>
        <v>0.9839236175884547</v>
      </c>
      <c r="I3" s="30">
        <f t="shared" si="4"/>
        <v>0.98124422051986382</v>
      </c>
      <c r="J3" s="30">
        <f t="shared" si="4"/>
        <v>0.97856482345127294</v>
      </c>
      <c r="K3" s="30">
        <f t="shared" si="4"/>
        <v>0.97588542638268205</v>
      </c>
      <c r="L3" s="30">
        <f t="shared" si="4"/>
        <v>0.97320602931409117</v>
      </c>
      <c r="M3" s="30">
        <v>0.97052663224549995</v>
      </c>
      <c r="N3" s="32">
        <f t="shared" ref="N3:V3" si="5">M3+($W3-$M3)/(2040-2030)</f>
        <v>0.94123083520852557</v>
      </c>
      <c r="O3" s="32">
        <f t="shared" si="5"/>
        <v>0.91193503817155119</v>
      </c>
      <c r="P3" s="32">
        <f t="shared" si="5"/>
        <v>0.88263924113457681</v>
      </c>
      <c r="Q3" s="32">
        <f t="shared" si="5"/>
        <v>0.85334344409760243</v>
      </c>
      <c r="R3" s="32">
        <f t="shared" si="5"/>
        <v>0.82404764706062805</v>
      </c>
      <c r="S3" s="32">
        <f t="shared" si="5"/>
        <v>0.79475185002365367</v>
      </c>
      <c r="T3" s="32">
        <f t="shared" si="5"/>
        <v>0.76545605298667929</v>
      </c>
      <c r="U3" s="32">
        <f t="shared" si="5"/>
        <v>0.73616025594970491</v>
      </c>
      <c r="V3" s="32">
        <f t="shared" si="5"/>
        <v>0.70686445891273053</v>
      </c>
      <c r="W3" s="30">
        <v>0.67756866187575593</v>
      </c>
      <c r="X3" s="30">
        <f t="shared" ref="X3:AF3" si="6">W3+($AG3-$W3)/(2050-2040)</f>
        <v>0.64481179568818037</v>
      </c>
      <c r="Y3" s="30">
        <f t="shared" si="6"/>
        <v>0.61205492950060481</v>
      </c>
      <c r="Z3" s="30">
        <f t="shared" si="6"/>
        <v>0.57929806331302924</v>
      </c>
      <c r="AA3" s="30">
        <f t="shared" si="6"/>
        <v>0.54654119712545368</v>
      </c>
      <c r="AB3" s="30">
        <f t="shared" si="6"/>
        <v>0.51378433093787812</v>
      </c>
      <c r="AC3" s="30">
        <f t="shared" si="6"/>
        <v>0.4810274647503025</v>
      </c>
      <c r="AD3" s="30">
        <f t="shared" si="6"/>
        <v>0.44827059856272689</v>
      </c>
      <c r="AE3" s="30">
        <f t="shared" si="6"/>
        <v>0.41551373237515127</v>
      </c>
      <c r="AF3" s="30">
        <f t="shared" si="6"/>
        <v>0.38275686618757565</v>
      </c>
      <c r="AG3" s="30">
        <v>0.35</v>
      </c>
    </row>
    <row r="4" spans="1:33" x14ac:dyDescent="0.3">
      <c r="A4" s="1" t="s">
        <v>2</v>
      </c>
      <c r="B4" s="30">
        <f t="shared" si="3"/>
        <v>1</v>
      </c>
      <c r="C4" s="30">
        <f t="shared" ref="C4:L4" si="7">B4+($M4-$B4)/(2030-2019)</f>
        <v>0.97030956186559991</v>
      </c>
      <c r="D4" s="30">
        <f t="shared" si="7"/>
        <v>0.94061912373119982</v>
      </c>
      <c r="E4" s="30">
        <f t="shared" si="7"/>
        <v>0.91092868559679974</v>
      </c>
      <c r="F4" s="30">
        <f t="shared" si="7"/>
        <v>0.88123824746239965</v>
      </c>
      <c r="G4" s="30">
        <f t="shared" si="7"/>
        <v>0.85154780932799956</v>
      </c>
      <c r="H4" s="30">
        <f t="shared" si="7"/>
        <v>0.82185737119359947</v>
      </c>
      <c r="I4" s="30">
        <f t="shared" si="7"/>
        <v>0.79216693305919939</v>
      </c>
      <c r="J4" s="30">
        <f t="shared" si="7"/>
        <v>0.7624764949247993</v>
      </c>
      <c r="K4" s="30">
        <f t="shared" si="7"/>
        <v>0.73278605679039921</v>
      </c>
      <c r="L4" s="30">
        <f t="shared" si="7"/>
        <v>0.70309561865599912</v>
      </c>
      <c r="M4" s="30">
        <v>0.67340518052159881</v>
      </c>
      <c r="N4" s="32">
        <f t="shared" ref="N4:V4" si="8">M4+($W4-$M4)/(2040-2030)</f>
        <v>0.64379368066983944</v>
      </c>
      <c r="O4" s="32">
        <f t="shared" si="8"/>
        <v>0.61418218081808007</v>
      </c>
      <c r="P4" s="32">
        <f t="shared" si="8"/>
        <v>0.5845706809663207</v>
      </c>
      <c r="Q4" s="32">
        <f t="shared" si="8"/>
        <v>0.55495918111456133</v>
      </c>
      <c r="R4" s="32">
        <f t="shared" si="8"/>
        <v>0.52534768126280196</v>
      </c>
      <c r="S4" s="32">
        <f t="shared" si="8"/>
        <v>0.49573618141104253</v>
      </c>
      <c r="T4" s="32">
        <f t="shared" si="8"/>
        <v>0.4661246815592831</v>
      </c>
      <c r="U4" s="32">
        <f t="shared" si="8"/>
        <v>0.43651318170752368</v>
      </c>
      <c r="V4" s="32">
        <f t="shared" si="8"/>
        <v>0.40690168185576425</v>
      </c>
      <c r="W4" s="30">
        <v>0.37729018200400471</v>
      </c>
      <c r="X4" s="30">
        <f t="shared" ref="X4:AF4" si="9">W4+($AG4-$W4)/(2050-2040)</f>
        <v>0.34956116380360425</v>
      </c>
      <c r="Y4" s="30">
        <f t="shared" si="9"/>
        <v>0.32183214560320378</v>
      </c>
      <c r="Z4" s="30">
        <f t="shared" si="9"/>
        <v>0.29410312740280331</v>
      </c>
      <c r="AA4" s="30">
        <f t="shared" si="9"/>
        <v>0.26637410920240284</v>
      </c>
      <c r="AB4" s="30">
        <f t="shared" si="9"/>
        <v>0.23864509100200237</v>
      </c>
      <c r="AC4" s="30">
        <f t="shared" si="9"/>
        <v>0.21091607280160191</v>
      </c>
      <c r="AD4" s="30">
        <f t="shared" si="9"/>
        <v>0.18318705460120144</v>
      </c>
      <c r="AE4" s="30">
        <f t="shared" si="9"/>
        <v>0.15545803640080097</v>
      </c>
      <c r="AF4" s="30">
        <f t="shared" si="9"/>
        <v>0.1277290182004005</v>
      </c>
      <c r="AG4" s="31">
        <v>0.1</v>
      </c>
    </row>
    <row r="5" spans="1:33" x14ac:dyDescent="0.3">
      <c r="A5" s="1" t="s">
        <v>3</v>
      </c>
      <c r="B5" s="30">
        <f t="shared" si="3"/>
        <v>1</v>
      </c>
      <c r="C5" s="30">
        <f t="shared" ref="C5:L5" si="10">B5+($M5-$B5)/(2030-2019)</f>
        <v>1.0122286096130622</v>
      </c>
      <c r="D5" s="30">
        <f t="shared" si="10"/>
        <v>1.0244572192261243</v>
      </c>
      <c r="E5" s="30">
        <f t="shared" si="10"/>
        <v>1.0366858288391865</v>
      </c>
      <c r="F5" s="30">
        <f t="shared" si="10"/>
        <v>1.0489144384522486</v>
      </c>
      <c r="G5" s="30">
        <f t="shared" si="10"/>
        <v>1.0611430480653108</v>
      </c>
      <c r="H5" s="30">
        <f t="shared" si="10"/>
        <v>1.0733716576783729</v>
      </c>
      <c r="I5" s="30">
        <f t="shared" si="10"/>
        <v>1.0856002672914351</v>
      </c>
      <c r="J5" s="30">
        <f t="shared" si="10"/>
        <v>1.0978288769044973</v>
      </c>
      <c r="K5" s="30">
        <f t="shared" si="10"/>
        <v>1.1100574865175594</v>
      </c>
      <c r="L5" s="30">
        <f t="shared" si="10"/>
        <v>1.1222860961306216</v>
      </c>
      <c r="M5" s="30">
        <v>1.1345147057436835</v>
      </c>
      <c r="N5" s="32">
        <f t="shared" ref="N5:V5" si="11">M5+($W5-$M5)/(2040-2030)</f>
        <v>1.1080095424954721</v>
      </c>
      <c r="O5" s="32">
        <f t="shared" si="11"/>
        <v>1.0815043792472607</v>
      </c>
      <c r="P5" s="32">
        <f t="shared" si="11"/>
        <v>1.0549992159990493</v>
      </c>
      <c r="Q5" s="32">
        <f t="shared" si="11"/>
        <v>1.0284940527508379</v>
      </c>
      <c r="R5" s="32">
        <f t="shared" si="11"/>
        <v>1.0019888895026265</v>
      </c>
      <c r="S5" s="32">
        <f t="shared" si="11"/>
        <v>0.97548372625441504</v>
      </c>
      <c r="T5" s="32">
        <f t="shared" si="11"/>
        <v>0.94897856300620353</v>
      </c>
      <c r="U5" s="32">
        <f t="shared" si="11"/>
        <v>0.92247339975799203</v>
      </c>
      <c r="V5" s="32">
        <f t="shared" si="11"/>
        <v>0.89596823650978052</v>
      </c>
      <c r="W5" s="30">
        <v>0.86946307326156869</v>
      </c>
      <c r="X5" s="30">
        <f t="shared" ref="X5:AF5" si="12">W5+($AG5-$W5)/(2050-2040)</f>
        <v>0.8375167659354118</v>
      </c>
      <c r="Y5" s="30">
        <f t="shared" si="12"/>
        <v>0.80557045860925491</v>
      </c>
      <c r="Z5" s="30">
        <f t="shared" si="12"/>
        <v>0.77362415128309803</v>
      </c>
      <c r="AA5" s="30">
        <f t="shared" si="12"/>
        <v>0.74167784395694114</v>
      </c>
      <c r="AB5" s="30">
        <f t="shared" si="12"/>
        <v>0.70973153663078425</v>
      </c>
      <c r="AC5" s="30">
        <f t="shared" si="12"/>
        <v>0.67778522930462737</v>
      </c>
      <c r="AD5" s="30">
        <f t="shared" si="12"/>
        <v>0.64583892197847048</v>
      </c>
      <c r="AE5" s="30">
        <f t="shared" si="12"/>
        <v>0.6138926146523136</v>
      </c>
      <c r="AF5" s="30">
        <f t="shared" si="12"/>
        <v>0.58194630732615671</v>
      </c>
      <c r="AG5" s="30">
        <v>0.55000000000000004</v>
      </c>
    </row>
    <row r="6" spans="1:33" s="16" customFormat="1" x14ac:dyDescent="0.3">
      <c r="A6" s="23" t="s">
        <v>4</v>
      </c>
      <c r="B6" s="30">
        <f t="shared" si="3"/>
        <v>1</v>
      </c>
      <c r="C6" s="30">
        <f t="shared" ref="C6:L6" si="13">B6+($M6-$B6)/(2030-2019)</f>
        <v>1.0122286096130622</v>
      </c>
      <c r="D6" s="30">
        <f t="shared" si="13"/>
        <v>1.0244572192261243</v>
      </c>
      <c r="E6" s="30">
        <f t="shared" si="13"/>
        <v>1.0366858288391865</v>
      </c>
      <c r="F6" s="30">
        <f t="shared" si="13"/>
        <v>1.0489144384522486</v>
      </c>
      <c r="G6" s="30">
        <f t="shared" si="13"/>
        <v>1.0611430480653108</v>
      </c>
      <c r="H6" s="30">
        <f t="shared" si="13"/>
        <v>1.0733716576783729</v>
      </c>
      <c r="I6" s="30">
        <f t="shared" si="13"/>
        <v>1.0856002672914351</v>
      </c>
      <c r="J6" s="30">
        <f t="shared" si="13"/>
        <v>1.0978288769044973</v>
      </c>
      <c r="K6" s="30">
        <f t="shared" si="13"/>
        <v>1.1100574865175594</v>
      </c>
      <c r="L6" s="30">
        <f t="shared" si="13"/>
        <v>1.1222860961306216</v>
      </c>
      <c r="M6" s="30">
        <v>1.1345147057436833</v>
      </c>
      <c r="N6" s="32">
        <f t="shared" ref="N6:V6" si="14">M6+($W6-$M6)/(2040-2030)</f>
        <v>1.1080095424954719</v>
      </c>
      <c r="O6" s="32">
        <f t="shared" si="14"/>
        <v>1.0815043792472605</v>
      </c>
      <c r="P6" s="32">
        <f t="shared" si="14"/>
        <v>1.0549992159990491</v>
      </c>
      <c r="Q6" s="32">
        <f t="shared" si="14"/>
        <v>1.0284940527508377</v>
      </c>
      <c r="R6" s="32">
        <f t="shared" si="14"/>
        <v>1.0019888895026263</v>
      </c>
      <c r="S6" s="32">
        <f t="shared" si="14"/>
        <v>0.97548372625441493</v>
      </c>
      <c r="T6" s="32">
        <f t="shared" si="14"/>
        <v>0.94897856300620353</v>
      </c>
      <c r="U6" s="32">
        <f t="shared" si="14"/>
        <v>0.92247339975799214</v>
      </c>
      <c r="V6" s="32">
        <f t="shared" si="14"/>
        <v>0.89596823650978075</v>
      </c>
      <c r="W6" s="30">
        <v>0.8694630732615688</v>
      </c>
      <c r="X6" s="30">
        <f t="shared" ref="X6:AF6" si="15">W6+($AG6-$W6)/(2050-2040)</f>
        <v>0.83751676593541191</v>
      </c>
      <c r="Y6" s="30">
        <f t="shared" si="15"/>
        <v>0.80557045860925502</v>
      </c>
      <c r="Z6" s="30">
        <f t="shared" si="15"/>
        <v>0.77362415128309814</v>
      </c>
      <c r="AA6" s="30">
        <f t="shared" si="15"/>
        <v>0.74167784395694125</v>
      </c>
      <c r="AB6" s="30">
        <f t="shared" si="15"/>
        <v>0.70973153663078437</v>
      </c>
      <c r="AC6" s="30">
        <f t="shared" si="15"/>
        <v>0.67778522930462748</v>
      </c>
      <c r="AD6" s="30">
        <f t="shared" si="15"/>
        <v>0.64583892197847059</v>
      </c>
      <c r="AE6" s="30">
        <f t="shared" si="15"/>
        <v>0.61389261465231371</v>
      </c>
      <c r="AF6" s="30">
        <f t="shared" si="15"/>
        <v>0.58194630732615682</v>
      </c>
      <c r="AG6" s="30">
        <v>0.55000000000000004</v>
      </c>
    </row>
    <row r="7" spans="1:33" s="16" customFormat="1" x14ac:dyDescent="0.3">
      <c r="A7" s="23" t="s">
        <v>5</v>
      </c>
      <c r="B7" s="30">
        <f t="shared" si="3"/>
        <v>1</v>
      </c>
      <c r="C7" s="30">
        <f t="shared" ref="C7:L7" si="16">B7+($M7-$B7)/(2030-2019)</f>
        <v>1.0122286096130622</v>
      </c>
      <c r="D7" s="30">
        <f t="shared" si="16"/>
        <v>1.0244572192261243</v>
      </c>
      <c r="E7" s="30">
        <f t="shared" si="16"/>
        <v>1.0366858288391865</v>
      </c>
      <c r="F7" s="30">
        <f t="shared" si="16"/>
        <v>1.0489144384522486</v>
      </c>
      <c r="G7" s="30">
        <f t="shared" si="16"/>
        <v>1.0611430480653108</v>
      </c>
      <c r="H7" s="30">
        <f t="shared" si="16"/>
        <v>1.0733716576783729</v>
      </c>
      <c r="I7" s="30">
        <f t="shared" si="16"/>
        <v>1.0856002672914351</v>
      </c>
      <c r="J7" s="30">
        <f t="shared" si="16"/>
        <v>1.0978288769044973</v>
      </c>
      <c r="K7" s="30">
        <f t="shared" si="16"/>
        <v>1.1100574865175594</v>
      </c>
      <c r="L7" s="30">
        <f t="shared" si="16"/>
        <v>1.1222860961306216</v>
      </c>
      <c r="M7" s="30">
        <v>1.1345147057436835</v>
      </c>
      <c r="N7" s="32">
        <f t="shared" ref="N7:V7" si="17">M7+($W7-$M7)/(2040-2030)</f>
        <v>1.1080095424954721</v>
      </c>
      <c r="O7" s="32">
        <f t="shared" si="17"/>
        <v>1.0815043792472607</v>
      </c>
      <c r="P7" s="32">
        <f t="shared" si="17"/>
        <v>1.0549992159990493</v>
      </c>
      <c r="Q7" s="32">
        <f t="shared" si="17"/>
        <v>1.0284940527508379</v>
      </c>
      <c r="R7" s="32">
        <f t="shared" si="17"/>
        <v>1.0019888895026265</v>
      </c>
      <c r="S7" s="32">
        <f t="shared" si="17"/>
        <v>0.97548372625441504</v>
      </c>
      <c r="T7" s="32">
        <f t="shared" si="17"/>
        <v>0.94897856300620353</v>
      </c>
      <c r="U7" s="32">
        <f t="shared" si="17"/>
        <v>0.92247339975799203</v>
      </c>
      <c r="V7" s="32">
        <f t="shared" si="17"/>
        <v>0.89596823650978052</v>
      </c>
      <c r="W7" s="30">
        <v>0.86946307326156858</v>
      </c>
      <c r="X7" s="30">
        <f t="shared" ref="X7:AF7" si="18">W7+($AG7-$W7)/(2050-2040)</f>
        <v>0.83751676593541169</v>
      </c>
      <c r="Y7" s="30">
        <f t="shared" si="18"/>
        <v>0.8055704586092548</v>
      </c>
      <c r="Z7" s="30">
        <f t="shared" si="18"/>
        <v>0.77362415128309792</v>
      </c>
      <c r="AA7" s="30">
        <f t="shared" si="18"/>
        <v>0.74167784395694103</v>
      </c>
      <c r="AB7" s="30">
        <f t="shared" si="18"/>
        <v>0.70973153663078414</v>
      </c>
      <c r="AC7" s="30">
        <f t="shared" si="18"/>
        <v>0.67778522930462726</v>
      </c>
      <c r="AD7" s="30">
        <f t="shared" si="18"/>
        <v>0.64583892197847037</v>
      </c>
      <c r="AE7" s="30">
        <f t="shared" si="18"/>
        <v>0.61389261465231348</v>
      </c>
      <c r="AF7" s="30">
        <f t="shared" si="18"/>
        <v>0.5819463073261566</v>
      </c>
      <c r="AG7" s="30">
        <v>0.55000000000000004</v>
      </c>
    </row>
    <row r="8" spans="1:33" x14ac:dyDescent="0.3">
      <c r="A8" s="1" t="s">
        <v>6</v>
      </c>
      <c r="B8" s="30">
        <f t="shared" si="3"/>
        <v>1</v>
      </c>
      <c r="C8" s="30">
        <f t="shared" ref="C8:L8" si="19">B8+($M8-$B8)/(2030-2019)</f>
        <v>0.95454545454545459</v>
      </c>
      <c r="D8" s="30">
        <f t="shared" si="19"/>
        <v>0.90909090909090917</v>
      </c>
      <c r="E8" s="30">
        <f t="shared" si="19"/>
        <v>0.86363636363636376</v>
      </c>
      <c r="F8" s="30">
        <f t="shared" si="19"/>
        <v>0.81818181818181834</v>
      </c>
      <c r="G8" s="30">
        <f t="shared" si="19"/>
        <v>0.77272727272727293</v>
      </c>
      <c r="H8" s="30">
        <f t="shared" si="19"/>
        <v>0.72727272727272751</v>
      </c>
      <c r="I8" s="30">
        <f t="shared" si="19"/>
        <v>0.6818181818181821</v>
      </c>
      <c r="J8" s="30">
        <f t="shared" si="19"/>
        <v>0.63636363636363669</v>
      </c>
      <c r="K8" s="30">
        <f t="shared" si="19"/>
        <v>0.59090909090909127</v>
      </c>
      <c r="L8" s="30">
        <f t="shared" si="19"/>
        <v>0.54545454545454586</v>
      </c>
      <c r="M8" s="30">
        <v>0.5</v>
      </c>
      <c r="N8" s="32">
        <f t="shared" ref="N8:V8" si="20">M8+($W8-$M8)/(2040-2030)</f>
        <v>0.48</v>
      </c>
      <c r="O8" s="32">
        <f t="shared" si="20"/>
        <v>0.45999999999999996</v>
      </c>
      <c r="P8" s="32">
        <f t="shared" si="20"/>
        <v>0.43999999999999995</v>
      </c>
      <c r="Q8" s="32">
        <f t="shared" si="20"/>
        <v>0.41999999999999993</v>
      </c>
      <c r="R8" s="32">
        <f t="shared" si="20"/>
        <v>0.39999999999999991</v>
      </c>
      <c r="S8" s="32">
        <f t="shared" si="20"/>
        <v>0.37999999999999989</v>
      </c>
      <c r="T8" s="32">
        <f t="shared" si="20"/>
        <v>0.35999999999999988</v>
      </c>
      <c r="U8" s="32">
        <f t="shared" si="20"/>
        <v>0.33999999999999986</v>
      </c>
      <c r="V8" s="32">
        <f t="shared" si="20"/>
        <v>0.31999999999999984</v>
      </c>
      <c r="W8" s="31">
        <v>0.29999999999999977</v>
      </c>
      <c r="X8" s="30">
        <f t="shared" ref="X8:AF8" si="21">W8+($AG8-$W8)/(2050-2040)</f>
        <v>0.2749999999999998</v>
      </c>
      <c r="Y8" s="30">
        <f t="shared" si="21"/>
        <v>0.24999999999999983</v>
      </c>
      <c r="Z8" s="30">
        <f t="shared" si="21"/>
        <v>0.22499999999999987</v>
      </c>
      <c r="AA8" s="30">
        <f t="shared" si="21"/>
        <v>0.1999999999999999</v>
      </c>
      <c r="AB8" s="30">
        <f t="shared" si="21"/>
        <v>0.17499999999999993</v>
      </c>
      <c r="AC8" s="30">
        <f t="shared" si="21"/>
        <v>0.14999999999999997</v>
      </c>
      <c r="AD8" s="30">
        <f t="shared" si="21"/>
        <v>0.12499999999999999</v>
      </c>
      <c r="AE8" s="30">
        <f t="shared" si="21"/>
        <v>0.1</v>
      </c>
      <c r="AF8" s="30">
        <f t="shared" si="21"/>
        <v>7.5000000000000025E-2</v>
      </c>
      <c r="AG8" s="31">
        <v>0.05</v>
      </c>
    </row>
    <row r="9" spans="1:33" x14ac:dyDescent="0.3">
      <c r="A9" s="1" t="s">
        <v>7</v>
      </c>
      <c r="B9" s="30">
        <f t="shared" si="3"/>
        <v>1</v>
      </c>
      <c r="C9" s="30">
        <f t="shared" ref="C9:L9" si="22">B9+($M9-$B9)/(2030-2019)</f>
        <v>0.99732060293140912</v>
      </c>
      <c r="D9" s="30">
        <f t="shared" si="22"/>
        <v>0.99464120586281823</v>
      </c>
      <c r="E9" s="30">
        <f t="shared" si="22"/>
        <v>0.99196180879422735</v>
      </c>
      <c r="F9" s="30">
        <f t="shared" si="22"/>
        <v>0.98928241172563647</v>
      </c>
      <c r="G9" s="30">
        <f t="shared" si="22"/>
        <v>0.98660301465704558</v>
      </c>
      <c r="H9" s="30">
        <f t="shared" si="22"/>
        <v>0.9839236175884547</v>
      </c>
      <c r="I9" s="30">
        <f t="shared" si="22"/>
        <v>0.98124422051986382</v>
      </c>
      <c r="J9" s="30">
        <f t="shared" si="22"/>
        <v>0.97856482345127294</v>
      </c>
      <c r="K9" s="30">
        <f t="shared" si="22"/>
        <v>0.97588542638268205</v>
      </c>
      <c r="L9" s="30">
        <f t="shared" si="22"/>
        <v>0.97320602931409117</v>
      </c>
      <c r="M9" s="30">
        <v>0.97052663224550006</v>
      </c>
      <c r="N9" s="32">
        <f t="shared" ref="N9:V9" si="23">M9+($W9-$M9)/(2040-2030)</f>
        <v>0.94123083520852568</v>
      </c>
      <c r="O9" s="32">
        <f t="shared" si="23"/>
        <v>0.9119350381715513</v>
      </c>
      <c r="P9" s="32">
        <f t="shared" si="23"/>
        <v>0.88263924113457692</v>
      </c>
      <c r="Q9" s="32">
        <f t="shared" si="23"/>
        <v>0.85334344409760254</v>
      </c>
      <c r="R9" s="32">
        <f t="shared" si="23"/>
        <v>0.82404764706062816</v>
      </c>
      <c r="S9" s="32">
        <f t="shared" si="23"/>
        <v>0.79475185002365378</v>
      </c>
      <c r="T9" s="32">
        <f t="shared" si="23"/>
        <v>0.7654560529866794</v>
      </c>
      <c r="U9" s="32">
        <f t="shared" si="23"/>
        <v>0.73616025594970502</v>
      </c>
      <c r="V9" s="32">
        <f t="shared" si="23"/>
        <v>0.70686445891273064</v>
      </c>
      <c r="W9" s="30">
        <v>0.67756866187575593</v>
      </c>
      <c r="X9" s="30">
        <f t="shared" ref="X9:AF9" si="24">W9+($AG9-$W9)/(2050-2040)</f>
        <v>0.64481179568818037</v>
      </c>
      <c r="Y9" s="30">
        <f t="shared" si="24"/>
        <v>0.61205492950060481</v>
      </c>
      <c r="Z9" s="30">
        <f t="shared" si="24"/>
        <v>0.57929806331302924</v>
      </c>
      <c r="AA9" s="30">
        <f t="shared" si="24"/>
        <v>0.54654119712545368</v>
      </c>
      <c r="AB9" s="30">
        <f t="shared" si="24"/>
        <v>0.51378433093787812</v>
      </c>
      <c r="AC9" s="30">
        <f t="shared" si="24"/>
        <v>0.4810274647503025</v>
      </c>
      <c r="AD9" s="30">
        <f t="shared" si="24"/>
        <v>0.44827059856272689</v>
      </c>
      <c r="AE9" s="30">
        <f t="shared" si="24"/>
        <v>0.41551373237515127</v>
      </c>
      <c r="AF9" s="30">
        <f t="shared" si="24"/>
        <v>0.38275686618757565</v>
      </c>
      <c r="AG9" s="31">
        <v>0.35</v>
      </c>
    </row>
    <row r="10" spans="1:33" x14ac:dyDescent="0.3">
      <c r="A10" s="1" t="s">
        <v>8</v>
      </c>
      <c r="B10" s="30">
        <f t="shared" si="3"/>
        <v>1</v>
      </c>
      <c r="C10" s="30">
        <f t="shared" ref="C10:L10" si="25">B10+($M10-$B10)/(2030-2019)</f>
        <v>0.95454545454545459</v>
      </c>
      <c r="D10" s="30">
        <f t="shared" si="25"/>
        <v>0.90909090909090917</v>
      </c>
      <c r="E10" s="30">
        <f t="shared" si="25"/>
        <v>0.86363636363636376</v>
      </c>
      <c r="F10" s="30">
        <f t="shared" si="25"/>
        <v>0.81818181818181834</v>
      </c>
      <c r="G10" s="30">
        <f t="shared" si="25"/>
        <v>0.77272727272727293</v>
      </c>
      <c r="H10" s="30">
        <f t="shared" si="25"/>
        <v>0.72727272727272751</v>
      </c>
      <c r="I10" s="30">
        <f t="shared" si="25"/>
        <v>0.6818181818181821</v>
      </c>
      <c r="J10" s="30">
        <f t="shared" si="25"/>
        <v>0.63636363636363669</v>
      </c>
      <c r="K10" s="30">
        <f t="shared" si="25"/>
        <v>0.59090909090909127</v>
      </c>
      <c r="L10" s="30">
        <f t="shared" si="25"/>
        <v>0.54545454545454586</v>
      </c>
      <c r="M10" s="30">
        <v>0.49999999999999989</v>
      </c>
      <c r="N10" s="32">
        <f t="shared" ref="N10:V10" si="26">M10+($W10-$M10)/(2040-2030)</f>
        <v>0.47999999999999987</v>
      </c>
      <c r="O10" s="32">
        <f t="shared" si="26"/>
        <v>0.45999999999999985</v>
      </c>
      <c r="P10" s="32">
        <f t="shared" si="26"/>
        <v>0.43999999999999984</v>
      </c>
      <c r="Q10" s="32">
        <f t="shared" si="26"/>
        <v>0.41999999999999982</v>
      </c>
      <c r="R10" s="32">
        <f t="shared" si="26"/>
        <v>0.3999999999999998</v>
      </c>
      <c r="S10" s="32">
        <f t="shared" si="26"/>
        <v>0.37999999999999978</v>
      </c>
      <c r="T10" s="32">
        <f t="shared" si="26"/>
        <v>0.35999999999999976</v>
      </c>
      <c r="U10" s="32">
        <f t="shared" si="26"/>
        <v>0.33999999999999975</v>
      </c>
      <c r="V10" s="32">
        <f t="shared" si="26"/>
        <v>0.31999999999999973</v>
      </c>
      <c r="W10" s="31">
        <v>0.29999999999999977</v>
      </c>
      <c r="X10" s="30">
        <f t="shared" ref="X10:AF10" si="27">W10+($AG10-$W10)/(2050-2040)</f>
        <v>0.2749999999999998</v>
      </c>
      <c r="Y10" s="30">
        <f t="shared" si="27"/>
        <v>0.24999999999999983</v>
      </c>
      <c r="Z10" s="30">
        <f t="shared" si="27"/>
        <v>0.22499999999999987</v>
      </c>
      <c r="AA10" s="30">
        <f t="shared" si="27"/>
        <v>0.1999999999999999</v>
      </c>
      <c r="AB10" s="30">
        <f t="shared" si="27"/>
        <v>0.17499999999999993</v>
      </c>
      <c r="AC10" s="30">
        <f t="shared" si="27"/>
        <v>0.14999999999999997</v>
      </c>
      <c r="AD10" s="30">
        <f t="shared" si="27"/>
        <v>0.12499999999999999</v>
      </c>
      <c r="AE10" s="30">
        <f t="shared" si="27"/>
        <v>0.1</v>
      </c>
      <c r="AF10" s="30">
        <f t="shared" si="27"/>
        <v>7.5000000000000025E-2</v>
      </c>
      <c r="AG10" s="31">
        <v>0.05</v>
      </c>
    </row>
    <row r="11" spans="1:33" x14ac:dyDescent="0.3">
      <c r="A11" s="1" t="s">
        <v>9</v>
      </c>
      <c r="B11" s="30">
        <f t="shared" si="3"/>
        <v>1</v>
      </c>
      <c r="C11" s="30">
        <f t="shared" ref="C11:L11" si="28">B11+($M11-$B11)/(2030-2019)</f>
        <v>0.95454545454545459</v>
      </c>
      <c r="D11" s="30">
        <f t="shared" si="28"/>
        <v>0.90909090909090917</v>
      </c>
      <c r="E11" s="30">
        <f t="shared" si="28"/>
        <v>0.86363636363636376</v>
      </c>
      <c r="F11" s="30">
        <f t="shared" si="28"/>
        <v>0.81818181818181834</v>
      </c>
      <c r="G11" s="30">
        <f t="shared" si="28"/>
        <v>0.77272727272727293</v>
      </c>
      <c r="H11" s="30">
        <f t="shared" si="28"/>
        <v>0.72727272727272751</v>
      </c>
      <c r="I11" s="30">
        <f t="shared" si="28"/>
        <v>0.6818181818181821</v>
      </c>
      <c r="J11" s="30">
        <f t="shared" si="28"/>
        <v>0.63636363636363669</v>
      </c>
      <c r="K11" s="30">
        <f t="shared" si="28"/>
        <v>0.59090909090909127</v>
      </c>
      <c r="L11" s="30">
        <f t="shared" si="28"/>
        <v>0.54545454545454586</v>
      </c>
      <c r="M11" s="30">
        <v>0.50000000000000011</v>
      </c>
      <c r="N11" s="32">
        <f t="shared" ref="N11:V11" si="29">M11+($W11-$M11)/(2040-2030)</f>
        <v>0.48000000000000009</v>
      </c>
      <c r="O11" s="32">
        <f t="shared" si="29"/>
        <v>0.46000000000000008</v>
      </c>
      <c r="P11" s="32">
        <f t="shared" si="29"/>
        <v>0.44000000000000006</v>
      </c>
      <c r="Q11" s="32">
        <f t="shared" si="29"/>
        <v>0.42000000000000004</v>
      </c>
      <c r="R11" s="32">
        <f t="shared" si="29"/>
        <v>0.4</v>
      </c>
      <c r="S11" s="32">
        <f t="shared" si="29"/>
        <v>0.38</v>
      </c>
      <c r="T11" s="32">
        <f t="shared" si="29"/>
        <v>0.36</v>
      </c>
      <c r="U11" s="32">
        <f t="shared" si="29"/>
        <v>0.33999999999999997</v>
      </c>
      <c r="V11" s="32">
        <f t="shared" si="29"/>
        <v>0.31999999999999995</v>
      </c>
      <c r="W11" s="31">
        <v>0.29999999999999977</v>
      </c>
      <c r="X11" s="30">
        <f t="shared" ref="X11:AF11" si="30">W11+($AG11-$W11)/(2050-2040)</f>
        <v>0.2749999999999998</v>
      </c>
      <c r="Y11" s="30">
        <f t="shared" si="30"/>
        <v>0.24999999999999983</v>
      </c>
      <c r="Z11" s="30">
        <f t="shared" si="30"/>
        <v>0.22499999999999987</v>
      </c>
      <c r="AA11" s="30">
        <f t="shared" si="30"/>
        <v>0.1999999999999999</v>
      </c>
      <c r="AB11" s="30">
        <f t="shared" si="30"/>
        <v>0.17499999999999993</v>
      </c>
      <c r="AC11" s="30">
        <f t="shared" si="30"/>
        <v>0.14999999999999997</v>
      </c>
      <c r="AD11" s="30">
        <f t="shared" si="30"/>
        <v>0.12499999999999999</v>
      </c>
      <c r="AE11" s="30">
        <f t="shared" si="30"/>
        <v>0.1</v>
      </c>
      <c r="AF11" s="30">
        <f t="shared" si="30"/>
        <v>7.5000000000000025E-2</v>
      </c>
      <c r="AG11" s="31">
        <v>0.05</v>
      </c>
    </row>
    <row r="12" spans="1:33" x14ac:dyDescent="0.3">
      <c r="A12" s="1" t="s">
        <v>10</v>
      </c>
      <c r="B12" s="30">
        <f t="shared" si="3"/>
        <v>1</v>
      </c>
      <c r="C12" s="30">
        <f t="shared" ref="C12:L12" si="31">B12+($M12-$B12)/(2030-2019)</f>
        <v>0.99732060293140912</v>
      </c>
      <c r="D12" s="30">
        <f t="shared" si="31"/>
        <v>0.99464120586281823</v>
      </c>
      <c r="E12" s="30">
        <f t="shared" si="31"/>
        <v>0.99196180879422735</v>
      </c>
      <c r="F12" s="30">
        <f t="shared" si="31"/>
        <v>0.98928241172563647</v>
      </c>
      <c r="G12" s="30">
        <f t="shared" si="31"/>
        <v>0.98660301465704558</v>
      </c>
      <c r="H12" s="30">
        <f t="shared" si="31"/>
        <v>0.9839236175884547</v>
      </c>
      <c r="I12" s="30">
        <f t="shared" si="31"/>
        <v>0.98124422051986382</v>
      </c>
      <c r="J12" s="30">
        <f t="shared" si="31"/>
        <v>0.97856482345127294</v>
      </c>
      <c r="K12" s="30">
        <f t="shared" si="31"/>
        <v>0.97588542638268205</v>
      </c>
      <c r="L12" s="30">
        <f t="shared" si="31"/>
        <v>0.97320602931409117</v>
      </c>
      <c r="M12" s="30">
        <v>0.97052663224550006</v>
      </c>
      <c r="N12" s="32">
        <f t="shared" ref="N12:V12" si="32">M12+($W12-$M12)/(2040-2030)</f>
        <v>0.94123083520852568</v>
      </c>
      <c r="O12" s="32">
        <f t="shared" si="32"/>
        <v>0.9119350381715513</v>
      </c>
      <c r="P12" s="32">
        <f t="shared" si="32"/>
        <v>0.88263924113457692</v>
      </c>
      <c r="Q12" s="32">
        <f t="shared" si="32"/>
        <v>0.85334344409760254</v>
      </c>
      <c r="R12" s="32">
        <f t="shared" si="32"/>
        <v>0.82404764706062816</v>
      </c>
      <c r="S12" s="32">
        <f t="shared" si="32"/>
        <v>0.79475185002365378</v>
      </c>
      <c r="T12" s="32">
        <f t="shared" si="32"/>
        <v>0.7654560529866794</v>
      </c>
      <c r="U12" s="32">
        <f t="shared" si="32"/>
        <v>0.73616025594970502</v>
      </c>
      <c r="V12" s="32">
        <f t="shared" si="32"/>
        <v>0.70686445891273064</v>
      </c>
      <c r="W12" s="30">
        <v>0.67756866187575593</v>
      </c>
      <c r="X12" s="30">
        <f t="shared" ref="X12:AF12" si="33">W12+($AG12-$W12)/(2050-2040)</f>
        <v>0.64481179568818037</v>
      </c>
      <c r="Y12" s="30">
        <f t="shared" si="33"/>
        <v>0.61205492950060481</v>
      </c>
      <c r="Z12" s="30">
        <f t="shared" si="33"/>
        <v>0.57929806331302924</v>
      </c>
      <c r="AA12" s="30">
        <f t="shared" si="33"/>
        <v>0.54654119712545368</v>
      </c>
      <c r="AB12" s="30">
        <f t="shared" si="33"/>
        <v>0.51378433093787812</v>
      </c>
      <c r="AC12" s="30">
        <f t="shared" si="33"/>
        <v>0.4810274647503025</v>
      </c>
      <c r="AD12" s="30">
        <f t="shared" si="33"/>
        <v>0.44827059856272689</v>
      </c>
      <c r="AE12" s="30">
        <f t="shared" si="33"/>
        <v>0.41551373237515127</v>
      </c>
      <c r="AF12" s="30">
        <f t="shared" si="33"/>
        <v>0.38275686618757565</v>
      </c>
      <c r="AG12" s="31">
        <v>0.35</v>
      </c>
    </row>
    <row r="13" spans="1:33" x14ac:dyDescent="0.3">
      <c r="A13" s="1" t="s">
        <v>11</v>
      </c>
      <c r="B13" s="30">
        <f t="shared" si="3"/>
        <v>1</v>
      </c>
      <c r="C13" s="30">
        <f t="shared" ref="C13:L13" si="34">B13+($M13-$B13)/(2030-2019)</f>
        <v>0.99732060293140912</v>
      </c>
      <c r="D13" s="30">
        <f t="shared" si="34"/>
        <v>0.99464120586281823</v>
      </c>
      <c r="E13" s="30">
        <f t="shared" si="34"/>
        <v>0.99196180879422735</v>
      </c>
      <c r="F13" s="30">
        <f t="shared" si="34"/>
        <v>0.98928241172563647</v>
      </c>
      <c r="G13" s="30">
        <f t="shared" si="34"/>
        <v>0.98660301465704558</v>
      </c>
      <c r="H13" s="30">
        <f t="shared" si="34"/>
        <v>0.9839236175884547</v>
      </c>
      <c r="I13" s="30">
        <f t="shared" si="34"/>
        <v>0.98124422051986382</v>
      </c>
      <c r="J13" s="30">
        <f t="shared" si="34"/>
        <v>0.97856482345127294</v>
      </c>
      <c r="K13" s="30">
        <f t="shared" si="34"/>
        <v>0.97588542638268205</v>
      </c>
      <c r="L13" s="30">
        <f t="shared" si="34"/>
        <v>0.97320602931409117</v>
      </c>
      <c r="M13" s="30">
        <v>0.97052663224549995</v>
      </c>
      <c r="N13" s="32">
        <f t="shared" ref="N13:V13" si="35">M13+($W13-$M13)/(2040-2030)</f>
        <v>0.94123083520852557</v>
      </c>
      <c r="O13" s="32">
        <f t="shared" si="35"/>
        <v>0.91193503817155119</v>
      </c>
      <c r="P13" s="32">
        <f t="shared" si="35"/>
        <v>0.88263924113457681</v>
      </c>
      <c r="Q13" s="32">
        <f t="shared" si="35"/>
        <v>0.85334344409760243</v>
      </c>
      <c r="R13" s="32">
        <f t="shared" si="35"/>
        <v>0.82404764706062805</v>
      </c>
      <c r="S13" s="32">
        <f t="shared" si="35"/>
        <v>0.79475185002365367</v>
      </c>
      <c r="T13" s="32">
        <f t="shared" si="35"/>
        <v>0.76545605298667929</v>
      </c>
      <c r="U13" s="32">
        <f t="shared" si="35"/>
        <v>0.73616025594970491</v>
      </c>
      <c r="V13" s="32">
        <f t="shared" si="35"/>
        <v>0.70686445891273053</v>
      </c>
      <c r="W13" s="30">
        <v>0.67756866187575593</v>
      </c>
      <c r="X13" s="30">
        <f t="shared" ref="X13:AF13" si="36">W13+($AG13-$W13)/(2050-2040)</f>
        <v>0.64481179568818037</v>
      </c>
      <c r="Y13" s="30">
        <f t="shared" si="36"/>
        <v>0.61205492950060481</v>
      </c>
      <c r="Z13" s="30">
        <f t="shared" si="36"/>
        <v>0.57929806331302924</v>
      </c>
      <c r="AA13" s="30">
        <f t="shared" si="36"/>
        <v>0.54654119712545368</v>
      </c>
      <c r="AB13" s="30">
        <f t="shared" si="36"/>
        <v>0.51378433093787812</v>
      </c>
      <c r="AC13" s="30">
        <f t="shared" si="36"/>
        <v>0.4810274647503025</v>
      </c>
      <c r="AD13" s="30">
        <f t="shared" si="36"/>
        <v>0.44827059856272689</v>
      </c>
      <c r="AE13" s="30">
        <f t="shared" si="36"/>
        <v>0.41551373237515127</v>
      </c>
      <c r="AF13" s="30">
        <f t="shared" si="36"/>
        <v>0.38275686618757565</v>
      </c>
      <c r="AG13" s="31">
        <v>0.35</v>
      </c>
    </row>
    <row r="14" spans="1:33" x14ac:dyDescent="0.3">
      <c r="A14" s="1" t="s">
        <v>12</v>
      </c>
      <c r="B14" s="30">
        <f t="shared" si="3"/>
        <v>1</v>
      </c>
      <c r="C14" s="30">
        <f t="shared" ref="C14:L14" si="37">B14+($M14-$B14)/(2030-2019)</f>
        <v>0.99732060293140912</v>
      </c>
      <c r="D14" s="30">
        <f t="shared" si="37"/>
        <v>0.99464120586281823</v>
      </c>
      <c r="E14" s="30">
        <f t="shared" si="37"/>
        <v>0.99196180879422735</v>
      </c>
      <c r="F14" s="30">
        <f t="shared" si="37"/>
        <v>0.98928241172563647</v>
      </c>
      <c r="G14" s="30">
        <f t="shared" si="37"/>
        <v>0.98660301465704558</v>
      </c>
      <c r="H14" s="30">
        <f t="shared" si="37"/>
        <v>0.9839236175884547</v>
      </c>
      <c r="I14" s="30">
        <f t="shared" si="37"/>
        <v>0.98124422051986382</v>
      </c>
      <c r="J14" s="30">
        <f t="shared" si="37"/>
        <v>0.97856482345127294</v>
      </c>
      <c r="K14" s="30">
        <f t="shared" si="37"/>
        <v>0.97588542638268205</v>
      </c>
      <c r="L14" s="30">
        <f t="shared" si="37"/>
        <v>0.97320602931409117</v>
      </c>
      <c r="M14" s="30">
        <v>0.97052663224549995</v>
      </c>
      <c r="N14" s="32">
        <f t="shared" ref="N14:V14" si="38">M14+($W14-$M14)/(2040-2030)</f>
        <v>0.94123083520852557</v>
      </c>
      <c r="O14" s="32">
        <f t="shared" si="38"/>
        <v>0.91193503817155119</v>
      </c>
      <c r="P14" s="32">
        <f t="shared" si="38"/>
        <v>0.88263924113457681</v>
      </c>
      <c r="Q14" s="32">
        <f t="shared" si="38"/>
        <v>0.85334344409760243</v>
      </c>
      <c r="R14" s="32">
        <f t="shared" si="38"/>
        <v>0.82404764706062805</v>
      </c>
      <c r="S14" s="32">
        <f t="shared" si="38"/>
        <v>0.79475185002365367</v>
      </c>
      <c r="T14" s="32">
        <f t="shared" si="38"/>
        <v>0.76545605298667929</v>
      </c>
      <c r="U14" s="32">
        <f t="shared" si="38"/>
        <v>0.73616025594970491</v>
      </c>
      <c r="V14" s="32">
        <f t="shared" si="38"/>
        <v>0.70686445891273053</v>
      </c>
      <c r="W14" s="30">
        <v>0.67756866187575593</v>
      </c>
      <c r="X14" s="30">
        <f t="shared" ref="X14:AF14" si="39">W14+($AG14-$W14)/(2050-2040)</f>
        <v>0.64481179568818037</v>
      </c>
      <c r="Y14" s="30">
        <f t="shared" si="39"/>
        <v>0.61205492950060481</v>
      </c>
      <c r="Z14" s="30">
        <f t="shared" si="39"/>
        <v>0.57929806331302924</v>
      </c>
      <c r="AA14" s="30">
        <f t="shared" si="39"/>
        <v>0.54654119712545368</v>
      </c>
      <c r="AB14" s="30">
        <f t="shared" si="39"/>
        <v>0.51378433093787812</v>
      </c>
      <c r="AC14" s="30">
        <f t="shared" si="39"/>
        <v>0.4810274647503025</v>
      </c>
      <c r="AD14" s="30">
        <f t="shared" si="39"/>
        <v>0.44827059856272689</v>
      </c>
      <c r="AE14" s="30">
        <f t="shared" si="39"/>
        <v>0.41551373237515127</v>
      </c>
      <c r="AF14" s="30">
        <f t="shared" si="39"/>
        <v>0.38275686618757565</v>
      </c>
      <c r="AG14" s="31">
        <v>0.35</v>
      </c>
    </row>
    <row r="15" spans="1:33" x14ac:dyDescent="0.3">
      <c r="A15" s="1" t="s">
        <v>13</v>
      </c>
      <c r="B15" s="30">
        <f t="shared" si="3"/>
        <v>1</v>
      </c>
      <c r="C15" s="30">
        <f t="shared" ref="C15:L15" si="40">B15+($M15-$B15)/(2030-2019)</f>
        <v>0.99732060293140912</v>
      </c>
      <c r="D15" s="30">
        <f t="shared" si="40"/>
        <v>0.99464120586281823</v>
      </c>
      <c r="E15" s="30">
        <f t="shared" si="40"/>
        <v>0.99196180879422735</v>
      </c>
      <c r="F15" s="30">
        <f t="shared" si="40"/>
        <v>0.98928241172563647</v>
      </c>
      <c r="G15" s="30">
        <f t="shared" si="40"/>
        <v>0.98660301465704558</v>
      </c>
      <c r="H15" s="30">
        <f t="shared" si="40"/>
        <v>0.9839236175884547</v>
      </c>
      <c r="I15" s="30">
        <f t="shared" si="40"/>
        <v>0.98124422051986382</v>
      </c>
      <c r="J15" s="30">
        <f t="shared" si="40"/>
        <v>0.97856482345127294</v>
      </c>
      <c r="K15" s="30">
        <f t="shared" si="40"/>
        <v>0.97588542638268205</v>
      </c>
      <c r="L15" s="30">
        <f t="shared" si="40"/>
        <v>0.97320602931409117</v>
      </c>
      <c r="M15" s="30">
        <v>0.97052663224550006</v>
      </c>
      <c r="N15" s="32">
        <f t="shared" ref="N15:V15" si="41">M15+($W15-$M15)/(2040-2030)</f>
        <v>0.94123083520852568</v>
      </c>
      <c r="O15" s="32">
        <f t="shared" si="41"/>
        <v>0.9119350381715513</v>
      </c>
      <c r="P15" s="32">
        <f t="shared" si="41"/>
        <v>0.88263924113457692</v>
      </c>
      <c r="Q15" s="32">
        <f t="shared" si="41"/>
        <v>0.85334344409760254</v>
      </c>
      <c r="R15" s="32">
        <f t="shared" si="41"/>
        <v>0.82404764706062816</v>
      </c>
      <c r="S15" s="32">
        <f t="shared" si="41"/>
        <v>0.79475185002365378</v>
      </c>
      <c r="T15" s="32">
        <f t="shared" si="41"/>
        <v>0.7654560529866794</v>
      </c>
      <c r="U15" s="32">
        <f t="shared" si="41"/>
        <v>0.73616025594970502</v>
      </c>
      <c r="V15" s="32">
        <f t="shared" si="41"/>
        <v>0.70686445891273064</v>
      </c>
      <c r="W15" s="30">
        <v>0.67756866187575593</v>
      </c>
      <c r="X15" s="30">
        <f t="shared" ref="X15:AF15" si="42">W15+($AG15-$W15)/(2050-2040)</f>
        <v>0.64481179568818037</v>
      </c>
      <c r="Y15" s="30">
        <f t="shared" si="42"/>
        <v>0.61205492950060481</v>
      </c>
      <c r="Z15" s="30">
        <f t="shared" si="42"/>
        <v>0.57929806331302924</v>
      </c>
      <c r="AA15" s="30">
        <f t="shared" si="42"/>
        <v>0.54654119712545368</v>
      </c>
      <c r="AB15" s="30">
        <f t="shared" si="42"/>
        <v>0.51378433093787812</v>
      </c>
      <c r="AC15" s="30">
        <f t="shared" si="42"/>
        <v>0.4810274647503025</v>
      </c>
      <c r="AD15" s="30">
        <f t="shared" si="42"/>
        <v>0.44827059856272689</v>
      </c>
      <c r="AE15" s="30">
        <f t="shared" si="42"/>
        <v>0.41551373237515127</v>
      </c>
      <c r="AF15" s="30">
        <f t="shared" si="42"/>
        <v>0.38275686618757565</v>
      </c>
      <c r="AG15" s="31">
        <v>0.35</v>
      </c>
    </row>
    <row r="16" spans="1:33" x14ac:dyDescent="0.3">
      <c r="A16" s="1" t="s">
        <v>14</v>
      </c>
      <c r="B16" s="30">
        <f t="shared" si="3"/>
        <v>1</v>
      </c>
      <c r="C16" s="30">
        <f t="shared" ref="C16:L16" si="43">B16+($M16-$B16)/(2030-2019)</f>
        <v>0.99732060293140912</v>
      </c>
      <c r="D16" s="30">
        <f t="shared" si="43"/>
        <v>0.99464120586281823</v>
      </c>
      <c r="E16" s="30">
        <f t="shared" si="43"/>
        <v>0.99196180879422735</v>
      </c>
      <c r="F16" s="30">
        <f t="shared" si="43"/>
        <v>0.98928241172563647</v>
      </c>
      <c r="G16" s="30">
        <f t="shared" si="43"/>
        <v>0.98660301465704558</v>
      </c>
      <c r="H16" s="30">
        <f t="shared" si="43"/>
        <v>0.9839236175884547</v>
      </c>
      <c r="I16" s="30">
        <f t="shared" si="43"/>
        <v>0.98124422051986382</v>
      </c>
      <c r="J16" s="30">
        <f t="shared" si="43"/>
        <v>0.97856482345127294</v>
      </c>
      <c r="K16" s="30">
        <f t="shared" si="43"/>
        <v>0.97588542638268205</v>
      </c>
      <c r="L16" s="30">
        <f t="shared" si="43"/>
        <v>0.97320602931409117</v>
      </c>
      <c r="M16" s="30">
        <v>0.97052663224550018</v>
      </c>
      <c r="N16" s="32">
        <f t="shared" ref="N16:V16" si="44">M16+($W16-$M16)/(2040-2030)</f>
        <v>0.9412308352085258</v>
      </c>
      <c r="O16" s="32">
        <f t="shared" si="44"/>
        <v>0.91193503817155142</v>
      </c>
      <c r="P16" s="32">
        <f t="shared" si="44"/>
        <v>0.88263924113457704</v>
      </c>
      <c r="Q16" s="32">
        <f t="shared" si="44"/>
        <v>0.85334344409760265</v>
      </c>
      <c r="R16" s="32">
        <f t="shared" si="44"/>
        <v>0.82404764706062827</v>
      </c>
      <c r="S16" s="32">
        <f t="shared" si="44"/>
        <v>0.79475185002365389</v>
      </c>
      <c r="T16" s="32">
        <f t="shared" si="44"/>
        <v>0.76545605298667951</v>
      </c>
      <c r="U16" s="32">
        <f t="shared" si="44"/>
        <v>0.73616025594970513</v>
      </c>
      <c r="V16" s="32">
        <f t="shared" si="44"/>
        <v>0.70686445891273075</v>
      </c>
      <c r="W16" s="30">
        <v>0.67756866187575593</v>
      </c>
      <c r="X16" s="30">
        <f t="shared" ref="X16:AF16" si="45">W16+($AG16-$W16)/(2050-2040)</f>
        <v>0.64481179568818037</v>
      </c>
      <c r="Y16" s="30">
        <f t="shared" si="45"/>
        <v>0.61205492950060481</v>
      </c>
      <c r="Z16" s="30">
        <f t="shared" si="45"/>
        <v>0.57929806331302924</v>
      </c>
      <c r="AA16" s="30">
        <f t="shared" si="45"/>
        <v>0.54654119712545368</v>
      </c>
      <c r="AB16" s="30">
        <f t="shared" si="45"/>
        <v>0.51378433093787812</v>
      </c>
      <c r="AC16" s="30">
        <f t="shared" si="45"/>
        <v>0.4810274647503025</v>
      </c>
      <c r="AD16" s="30">
        <f t="shared" si="45"/>
        <v>0.44827059856272689</v>
      </c>
      <c r="AE16" s="30">
        <f t="shared" si="45"/>
        <v>0.41551373237515127</v>
      </c>
      <c r="AF16" s="30">
        <f t="shared" si="45"/>
        <v>0.38275686618757565</v>
      </c>
      <c r="AG16" s="31">
        <v>0.35</v>
      </c>
    </row>
    <row r="17" spans="1:33" x14ac:dyDescent="0.3">
      <c r="A17" s="1" t="s">
        <v>15</v>
      </c>
      <c r="B17" s="30">
        <f t="shared" si="3"/>
        <v>1</v>
      </c>
      <c r="C17" s="30">
        <f t="shared" ref="C17:L17" si="46">B17+($M17-$B17)/(2030-2019)</f>
        <v>0.99732060293140912</v>
      </c>
      <c r="D17" s="30">
        <f t="shared" si="46"/>
        <v>0.99464120586281823</v>
      </c>
      <c r="E17" s="30">
        <f t="shared" si="46"/>
        <v>0.99196180879422735</v>
      </c>
      <c r="F17" s="30">
        <f t="shared" si="46"/>
        <v>0.98928241172563647</v>
      </c>
      <c r="G17" s="30">
        <f t="shared" si="46"/>
        <v>0.98660301465704558</v>
      </c>
      <c r="H17" s="30">
        <f t="shared" si="46"/>
        <v>0.9839236175884547</v>
      </c>
      <c r="I17" s="30">
        <f t="shared" si="46"/>
        <v>0.98124422051986382</v>
      </c>
      <c r="J17" s="30">
        <f t="shared" si="46"/>
        <v>0.97856482345127294</v>
      </c>
      <c r="K17" s="30">
        <f t="shared" si="46"/>
        <v>0.97588542638268205</v>
      </c>
      <c r="L17" s="30">
        <f t="shared" si="46"/>
        <v>0.97320602931409117</v>
      </c>
      <c r="M17" s="30">
        <v>0.97052663224550018</v>
      </c>
      <c r="N17" s="32">
        <f t="shared" ref="N17:V17" si="47">M17+($W17-$M17)/(2040-2030)</f>
        <v>0.9412308352085258</v>
      </c>
      <c r="O17" s="32">
        <f t="shared" si="47"/>
        <v>0.91193503817155142</v>
      </c>
      <c r="P17" s="32">
        <f t="shared" si="47"/>
        <v>0.88263924113457704</v>
      </c>
      <c r="Q17" s="32">
        <f t="shared" si="47"/>
        <v>0.85334344409760265</v>
      </c>
      <c r="R17" s="32">
        <f t="shared" si="47"/>
        <v>0.82404764706062827</v>
      </c>
      <c r="S17" s="32">
        <f t="shared" si="47"/>
        <v>0.79475185002365389</v>
      </c>
      <c r="T17" s="32">
        <f t="shared" si="47"/>
        <v>0.76545605298667951</v>
      </c>
      <c r="U17" s="32">
        <f t="shared" si="47"/>
        <v>0.73616025594970513</v>
      </c>
      <c r="V17" s="32">
        <f t="shared" si="47"/>
        <v>0.70686445891273075</v>
      </c>
      <c r="W17" s="30">
        <v>0.67756866187575593</v>
      </c>
      <c r="X17" s="30">
        <f t="shared" ref="X17:AF17" si="48">W17+($AG17-$W17)/(2050-2040)</f>
        <v>0.64481179568818037</v>
      </c>
      <c r="Y17" s="30">
        <f t="shared" si="48"/>
        <v>0.61205492950060481</v>
      </c>
      <c r="Z17" s="30">
        <f t="shared" si="48"/>
        <v>0.57929806331302924</v>
      </c>
      <c r="AA17" s="30">
        <f t="shared" si="48"/>
        <v>0.54654119712545368</v>
      </c>
      <c r="AB17" s="30">
        <f t="shared" si="48"/>
        <v>0.51378433093787812</v>
      </c>
      <c r="AC17" s="30">
        <f t="shared" si="48"/>
        <v>0.4810274647503025</v>
      </c>
      <c r="AD17" s="30">
        <f t="shared" si="48"/>
        <v>0.44827059856272689</v>
      </c>
      <c r="AE17" s="30">
        <f t="shared" si="48"/>
        <v>0.41551373237515127</v>
      </c>
      <c r="AF17" s="30">
        <f t="shared" si="48"/>
        <v>0.38275686618757565</v>
      </c>
      <c r="AG17" s="31">
        <v>0.35</v>
      </c>
    </row>
    <row r="18" spans="1:33" x14ac:dyDescent="0.3">
      <c r="A18" s="1" t="s">
        <v>16</v>
      </c>
      <c r="B18" s="30">
        <f t="shared" si="3"/>
        <v>1</v>
      </c>
      <c r="C18" s="30">
        <f t="shared" ref="C18:L18" si="49">B18+($M18-$B18)/(2030-2019)</f>
        <v>0.96880530280148291</v>
      </c>
      <c r="D18" s="30">
        <f t="shared" si="49"/>
        <v>0.93761060560296583</v>
      </c>
      <c r="E18" s="30">
        <f t="shared" si="49"/>
        <v>0.90641590840444874</v>
      </c>
      <c r="F18" s="30">
        <f t="shared" si="49"/>
        <v>0.87522121120593166</v>
      </c>
      <c r="G18" s="30">
        <f t="shared" si="49"/>
        <v>0.84402651400741457</v>
      </c>
      <c r="H18" s="30">
        <f t="shared" si="49"/>
        <v>0.81283181680889749</v>
      </c>
      <c r="I18" s="30">
        <f t="shared" si="49"/>
        <v>0.7816371196103804</v>
      </c>
      <c r="J18" s="30">
        <f t="shared" si="49"/>
        <v>0.75044242241186332</v>
      </c>
      <c r="K18" s="30">
        <f t="shared" si="49"/>
        <v>0.71924772521334623</v>
      </c>
      <c r="L18" s="30">
        <f t="shared" si="49"/>
        <v>0.68805302801482915</v>
      </c>
      <c r="M18" s="30">
        <v>0.65685833081631206</v>
      </c>
      <c r="N18" s="32">
        <f t="shared" ref="N18:V18" si="50">M18+($W18-$M18)/(2040-2030)</f>
        <v>0.62811088203873566</v>
      </c>
      <c r="O18" s="32">
        <f t="shared" si="50"/>
        <v>0.59936343326115926</v>
      </c>
      <c r="P18" s="32">
        <f t="shared" si="50"/>
        <v>0.57061598448358286</v>
      </c>
      <c r="Q18" s="32">
        <f t="shared" si="50"/>
        <v>0.54186853570600646</v>
      </c>
      <c r="R18" s="32">
        <f t="shared" si="50"/>
        <v>0.51312108692843006</v>
      </c>
      <c r="S18" s="32">
        <f t="shared" si="50"/>
        <v>0.4843736381508536</v>
      </c>
      <c r="T18" s="32">
        <f t="shared" si="50"/>
        <v>0.45562618937327715</v>
      </c>
      <c r="U18" s="32">
        <f t="shared" si="50"/>
        <v>0.42687874059570069</v>
      </c>
      <c r="V18" s="32">
        <f t="shared" si="50"/>
        <v>0.39813129181812423</v>
      </c>
      <c r="W18" s="30">
        <v>0.36938384304054761</v>
      </c>
      <c r="X18" s="30">
        <f t="shared" ref="X18:AF18" si="51">W18+($AG18-$W18)/(2050-2040)</f>
        <v>0.34244545873649285</v>
      </c>
      <c r="Y18" s="30">
        <f t="shared" si="51"/>
        <v>0.31550707443243808</v>
      </c>
      <c r="Z18" s="30">
        <f t="shared" si="51"/>
        <v>0.28856869012838332</v>
      </c>
      <c r="AA18" s="30">
        <f t="shared" si="51"/>
        <v>0.26163030582432856</v>
      </c>
      <c r="AB18" s="30">
        <f t="shared" si="51"/>
        <v>0.23469192152027379</v>
      </c>
      <c r="AC18" s="30">
        <f t="shared" si="51"/>
        <v>0.20775353721621903</v>
      </c>
      <c r="AD18" s="30">
        <f t="shared" si="51"/>
        <v>0.18081515291216427</v>
      </c>
      <c r="AE18" s="30">
        <f t="shared" si="51"/>
        <v>0.1538767686081095</v>
      </c>
      <c r="AF18" s="30">
        <f t="shared" si="51"/>
        <v>0.12693838430405474</v>
      </c>
      <c r="AG18" s="31">
        <v>0.1</v>
      </c>
    </row>
    <row r="20" spans="1:33" x14ac:dyDescent="0.3">
      <c r="N20" s="4"/>
    </row>
    <row r="21" spans="1:33" x14ac:dyDescent="0.3"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83</v>
      </c>
    </row>
    <row r="22" spans="1:33" x14ac:dyDescent="0.3">
      <c r="B22">
        <v>2019</v>
      </c>
      <c r="C22">
        <v>2020</v>
      </c>
      <c r="D22">
        <v>2021</v>
      </c>
      <c r="E22">
        <v>2022</v>
      </c>
      <c r="F22">
        <v>2023</v>
      </c>
      <c r="G22">
        <v>2024</v>
      </c>
      <c r="H22">
        <v>2025</v>
      </c>
      <c r="I22">
        <v>2026</v>
      </c>
      <c r="J22">
        <v>2027</v>
      </c>
      <c r="K22">
        <v>2028</v>
      </c>
      <c r="L22">
        <v>2029</v>
      </c>
      <c r="M22">
        <v>2030</v>
      </c>
      <c r="N22">
        <v>2031</v>
      </c>
      <c r="O22">
        <v>2032</v>
      </c>
      <c r="P22">
        <v>2033</v>
      </c>
      <c r="Q22">
        <v>2034</v>
      </c>
      <c r="R22">
        <v>2035</v>
      </c>
      <c r="S22">
        <v>2036</v>
      </c>
      <c r="T22">
        <v>2037</v>
      </c>
      <c r="U22">
        <v>2038</v>
      </c>
      <c r="V22">
        <v>2039</v>
      </c>
      <c r="W22">
        <v>2040</v>
      </c>
      <c r="X22">
        <v>2041</v>
      </c>
      <c r="Y22">
        <v>2042</v>
      </c>
      <c r="Z22">
        <v>2043</v>
      </c>
      <c r="AA22">
        <v>2044</v>
      </c>
      <c r="AB22">
        <v>2045</v>
      </c>
      <c r="AC22">
        <v>2046</v>
      </c>
      <c r="AD22">
        <v>2047</v>
      </c>
      <c r="AE22">
        <v>2048</v>
      </c>
      <c r="AF22">
        <v>2049</v>
      </c>
      <c r="AG22">
        <v>2050</v>
      </c>
    </row>
    <row r="23" spans="1:33" x14ac:dyDescent="0.3">
      <c r="A23" t="s">
        <v>0</v>
      </c>
      <c r="B23" s="4">
        <f>B44/$B44</f>
        <v>1</v>
      </c>
      <c r="C23" s="4">
        <f t="shared" ref="C23:AG31" si="52">C44/$B44</f>
        <v>1.0156526606978629</v>
      </c>
      <c r="D23" s="4">
        <f t="shared" si="52"/>
        <v>1.0603986957327778</v>
      </c>
      <c r="E23" s="4">
        <f t="shared" si="52"/>
        <v>1.0933325336154156</v>
      </c>
      <c r="F23" s="4">
        <f t="shared" si="52"/>
        <v>1.1130001417681763</v>
      </c>
      <c r="G23" s="4">
        <f t="shared" si="52"/>
        <v>1.159587345554477</v>
      </c>
      <c r="H23" s="4">
        <f t="shared" si="52"/>
        <v>1.219257207457733</v>
      </c>
      <c r="I23" s="4">
        <f t="shared" si="52"/>
        <v>1.2430379102643794</v>
      </c>
      <c r="J23" s="4">
        <f t="shared" si="52"/>
        <v>1.2622293227479759</v>
      </c>
      <c r="K23" s="4">
        <f t="shared" si="52"/>
        <v>1.2892925040985543</v>
      </c>
      <c r="L23" s="4">
        <f t="shared" si="52"/>
        <v>1.3152288102014924</v>
      </c>
      <c r="M23" s="4">
        <f t="shared" si="52"/>
        <v>1.3476373788154723</v>
      </c>
      <c r="N23" s="4">
        <f t="shared" si="52"/>
        <v>1.3680792593158049</v>
      </c>
      <c r="O23" s="4">
        <f t="shared" si="52"/>
        <v>1.4051080164451084</v>
      </c>
      <c r="P23" s="4">
        <f t="shared" si="52"/>
        <v>1.4275201110880888</v>
      </c>
      <c r="Q23" s="4">
        <f t="shared" si="52"/>
        <v>1.4695998138838298</v>
      </c>
      <c r="R23" s="4">
        <f t="shared" si="52"/>
        <v>1.4890638574757267</v>
      </c>
      <c r="S23" s="4">
        <f t="shared" si="52"/>
        <v>1.5160270740865947</v>
      </c>
      <c r="T23" s="4">
        <f t="shared" si="52"/>
        <v>1.5288207432287517</v>
      </c>
      <c r="U23" s="4">
        <f t="shared" si="52"/>
        <v>1.5544335270831744</v>
      </c>
      <c r="V23" s="4">
        <f t="shared" si="52"/>
        <v>1.5680541772538414</v>
      </c>
      <c r="W23" s="4">
        <f t="shared" si="52"/>
        <v>1.5947265873491894</v>
      </c>
      <c r="X23" s="4">
        <f t="shared" si="52"/>
        <v>1.6065151564720808</v>
      </c>
      <c r="Y23" s="4">
        <f t="shared" si="52"/>
        <v>1.6312809663500512</v>
      </c>
      <c r="Z23" s="4">
        <f t="shared" si="52"/>
        <v>1.6426678589733803</v>
      </c>
      <c r="AA23" s="4">
        <f t="shared" si="52"/>
        <v>1.6652726129328925</v>
      </c>
      <c r="AB23" s="4">
        <f t="shared" si="52"/>
        <v>1.6762905447896559</v>
      </c>
      <c r="AC23" s="4">
        <f t="shared" si="52"/>
        <v>1.6951602525654585</v>
      </c>
      <c r="AD23" s="4">
        <f t="shared" si="52"/>
        <v>1.7052821368462761</v>
      </c>
      <c r="AE23" s="4">
        <f t="shared" si="52"/>
        <v>1.7221725427758208</v>
      </c>
      <c r="AF23" s="4">
        <f t="shared" si="52"/>
        <v>1.7325016266989464</v>
      </c>
      <c r="AG23" s="4">
        <f t="shared" si="52"/>
        <v>1.7474236360265649</v>
      </c>
    </row>
    <row r="24" spans="1:33" x14ac:dyDescent="0.3">
      <c r="A24" t="s">
        <v>1</v>
      </c>
      <c r="B24" s="4">
        <f t="shared" ref="B24:Q39" si="53">B45/$B45</f>
        <v>1</v>
      </c>
      <c r="C24" s="4">
        <f t="shared" si="53"/>
        <v>1.0418874581950412</v>
      </c>
      <c r="D24" s="4">
        <f t="shared" si="53"/>
        <v>1.1284112952186338</v>
      </c>
      <c r="E24" s="4">
        <f t="shared" si="53"/>
        <v>1.2026395561111922</v>
      </c>
      <c r="F24" s="4">
        <f t="shared" si="53"/>
        <v>1.2700034480497364</v>
      </c>
      <c r="G24" s="4">
        <f t="shared" si="53"/>
        <v>1.3296462470199755</v>
      </c>
      <c r="H24" s="4">
        <f t="shared" si="53"/>
        <v>1.3869727180997229</v>
      </c>
      <c r="I24" s="4">
        <f t="shared" si="53"/>
        <v>1.4390424998572129</v>
      </c>
      <c r="J24" s="4">
        <f t="shared" si="53"/>
        <v>1.488637301128972</v>
      </c>
      <c r="K24" s="4">
        <f t="shared" si="53"/>
        <v>1.5352705872896002</v>
      </c>
      <c r="L24" s="4">
        <f t="shared" si="53"/>
        <v>1.5803596548565675</v>
      </c>
      <c r="M24" s="4">
        <f t="shared" si="53"/>
        <v>1.6235131607616173</v>
      </c>
      <c r="N24" s="4">
        <f t="shared" si="53"/>
        <v>1.6621292024428269</v>
      </c>
      <c r="O24" s="4">
        <f t="shared" si="53"/>
        <v>1.6983337246764016</v>
      </c>
      <c r="P24" s="4">
        <f t="shared" si="53"/>
        <v>1.7336074850179066</v>
      </c>
      <c r="Q24" s="4">
        <f t="shared" si="53"/>
        <v>1.7668610689800333</v>
      </c>
      <c r="R24" s="4">
        <f t="shared" si="52"/>
        <v>1.7998396551104117</v>
      </c>
      <c r="S24" s="4">
        <f t="shared" si="52"/>
        <v>1.8236692749153323</v>
      </c>
      <c r="T24" s="4">
        <f t="shared" si="52"/>
        <v>1.8460604445234183</v>
      </c>
      <c r="U24" s="4">
        <f t="shared" si="52"/>
        <v>1.8668016271410168</v>
      </c>
      <c r="V24" s="4">
        <f t="shared" si="52"/>
        <v>1.8869716604157545</v>
      </c>
      <c r="W24" s="4">
        <f t="shared" si="52"/>
        <v>1.9060734328825484</v>
      </c>
      <c r="X24" s="4">
        <f t="shared" si="52"/>
        <v>1.9238107930302859</v>
      </c>
      <c r="Y24" s="4">
        <f t="shared" si="52"/>
        <v>1.9404904692097622</v>
      </c>
      <c r="Z24" s="4">
        <f t="shared" si="52"/>
        <v>1.9566730339241558</v>
      </c>
      <c r="AA24" s="4">
        <f t="shared" si="52"/>
        <v>1.9718719525480664</v>
      </c>
      <c r="AB24" s="4">
        <f t="shared" si="52"/>
        <v>1.9866795281037208</v>
      </c>
      <c r="AC24" s="4">
        <f t="shared" si="52"/>
        <v>1.9990861610514226</v>
      </c>
      <c r="AD24" s="4">
        <f t="shared" si="52"/>
        <v>2.0109956825340416</v>
      </c>
      <c r="AE24" s="4">
        <f t="shared" si="52"/>
        <v>2.0220061726436387</v>
      </c>
      <c r="AF24" s="4">
        <f t="shared" si="52"/>
        <v>2.0325301281278358</v>
      </c>
      <c r="AG24" s="4">
        <f t="shared" si="52"/>
        <v>2.0423877427120285</v>
      </c>
    </row>
    <row r="25" spans="1:33" x14ac:dyDescent="0.3">
      <c r="A25" t="s">
        <v>2</v>
      </c>
      <c r="B25" s="4">
        <f t="shared" si="53"/>
        <v>1</v>
      </c>
      <c r="C25" s="4">
        <f t="shared" si="52"/>
        <v>0.98175956490666538</v>
      </c>
      <c r="D25" s="4">
        <f t="shared" si="52"/>
        <v>1.0018864319411882</v>
      </c>
      <c r="E25" s="4">
        <f t="shared" si="52"/>
        <v>1.0272893968168175</v>
      </c>
      <c r="F25" s="4">
        <f t="shared" si="52"/>
        <v>1.0558001712251039</v>
      </c>
      <c r="G25" s="4">
        <f t="shared" si="52"/>
        <v>1.0776730698380961</v>
      </c>
      <c r="H25" s="4">
        <f t="shared" si="52"/>
        <v>1.1005066025117942</v>
      </c>
      <c r="I25" s="4">
        <f t="shared" si="52"/>
        <v>1.1200043070186458</v>
      </c>
      <c r="J25" s="4">
        <f t="shared" si="52"/>
        <v>1.1395442371984954</v>
      </c>
      <c r="K25" s="4">
        <f t="shared" si="52"/>
        <v>1.1569517708919435</v>
      </c>
      <c r="L25" s="4">
        <f t="shared" si="52"/>
        <v>1.1739264914371612</v>
      </c>
      <c r="M25" s="4">
        <f t="shared" si="52"/>
        <v>1.189602772537689</v>
      </c>
      <c r="N25" s="4">
        <f t="shared" si="52"/>
        <v>1.207875932527597</v>
      </c>
      <c r="O25" s="4">
        <f t="shared" si="52"/>
        <v>1.2246711939625732</v>
      </c>
      <c r="P25" s="4">
        <f t="shared" si="52"/>
        <v>1.2415825759982939</v>
      </c>
      <c r="Q25" s="4">
        <f t="shared" si="52"/>
        <v>1.2568577132053402</v>
      </c>
      <c r="R25" s="4">
        <f t="shared" si="52"/>
        <v>1.2727134534161098</v>
      </c>
      <c r="S25" s="4">
        <f t="shared" si="52"/>
        <v>1.288073041969152</v>
      </c>
      <c r="T25" s="4">
        <f t="shared" si="52"/>
        <v>1.3033692920126971</v>
      </c>
      <c r="U25" s="4">
        <f t="shared" si="52"/>
        <v>1.3174515539575484</v>
      </c>
      <c r="V25" s="4">
        <f t="shared" si="52"/>
        <v>1.3313965824651557</v>
      </c>
      <c r="W25" s="4">
        <f t="shared" si="52"/>
        <v>1.3443387512390594</v>
      </c>
      <c r="X25" s="4">
        <f t="shared" si="52"/>
        <v>1.3586110287124018</v>
      </c>
      <c r="Y25" s="4">
        <f t="shared" si="52"/>
        <v>1.3720176798892842</v>
      </c>
      <c r="Z25" s="4">
        <f t="shared" si="52"/>
        <v>1.385477113157414</v>
      </c>
      <c r="AA25" s="4">
        <f t="shared" si="52"/>
        <v>1.3980181380378363</v>
      </c>
      <c r="AB25" s="4">
        <f t="shared" si="52"/>
        <v>1.4105486065000088</v>
      </c>
      <c r="AC25" s="4">
        <f t="shared" si="52"/>
        <v>1.4236807908024038</v>
      </c>
      <c r="AD25" s="4">
        <f t="shared" si="52"/>
        <v>1.4367813058500503</v>
      </c>
      <c r="AE25" s="4">
        <f t="shared" si="52"/>
        <v>1.4492062101297276</v>
      </c>
      <c r="AF25" s="4">
        <f t="shared" si="52"/>
        <v>1.4614094296261655</v>
      </c>
      <c r="AG25" s="4">
        <f t="shared" si="52"/>
        <v>1.4730426025371295</v>
      </c>
    </row>
    <row r="26" spans="1:33" x14ac:dyDescent="0.3">
      <c r="A26" t="s">
        <v>3</v>
      </c>
      <c r="B26" s="4">
        <f t="shared" si="53"/>
        <v>1</v>
      </c>
      <c r="C26" s="4">
        <f t="shared" si="52"/>
        <v>0.98121058792432869</v>
      </c>
      <c r="D26" s="4">
        <f t="shared" si="52"/>
        <v>1.0285994789109996</v>
      </c>
      <c r="E26" s="4">
        <f t="shared" si="52"/>
        <v>1.0193482611486613</v>
      </c>
      <c r="F26" s="4">
        <f t="shared" si="52"/>
        <v>1.0072801419778725</v>
      </c>
      <c r="G26" s="4">
        <f t="shared" si="52"/>
        <v>0.99051466978816594</v>
      </c>
      <c r="H26" s="4">
        <f t="shared" si="52"/>
        <v>0.97393799796095604</v>
      </c>
      <c r="I26" s="4">
        <f t="shared" si="52"/>
        <v>0.98195823735981569</v>
      </c>
      <c r="J26" s="4">
        <f t="shared" si="52"/>
        <v>0.99200241664463995</v>
      </c>
      <c r="K26" s="4">
        <f t="shared" si="52"/>
        <v>1.0018577955669674</v>
      </c>
      <c r="L26" s="4">
        <f t="shared" si="52"/>
        <v>1.0116603103877959</v>
      </c>
      <c r="M26" s="4">
        <f t="shared" si="52"/>
        <v>1.0209946003096326</v>
      </c>
      <c r="N26" s="4">
        <f t="shared" si="52"/>
        <v>1.0360231091643697</v>
      </c>
      <c r="O26" s="4">
        <f t="shared" si="52"/>
        <v>1.0509156817581089</v>
      </c>
      <c r="P26" s="4">
        <f t="shared" si="52"/>
        <v>1.0657553902503492</v>
      </c>
      <c r="Q26" s="4">
        <f t="shared" si="52"/>
        <v>1.0800438016840992</v>
      </c>
      <c r="R26" s="4">
        <f t="shared" si="52"/>
        <v>1.0943095570743495</v>
      </c>
      <c r="S26" s="4">
        <f t="shared" si="52"/>
        <v>1.1090812974360911</v>
      </c>
      <c r="T26" s="4">
        <f t="shared" si="52"/>
        <v>1.1237624136238342</v>
      </c>
      <c r="U26" s="4">
        <f t="shared" si="52"/>
        <v>1.1379979609560851</v>
      </c>
      <c r="V26" s="4">
        <f t="shared" si="52"/>
        <v>1.1520749159838386</v>
      </c>
      <c r="W26" s="4">
        <f t="shared" si="52"/>
        <v>1.1657818223010987</v>
      </c>
      <c r="X26" s="4">
        <f t="shared" si="52"/>
        <v>1.1797001850243554</v>
      </c>
      <c r="Y26" s="4">
        <f t="shared" si="52"/>
        <v>1.1932787070951176</v>
      </c>
      <c r="Z26" s="4">
        <f t="shared" si="52"/>
        <v>1.206743948948382</v>
      </c>
      <c r="AA26" s="4">
        <f t="shared" si="52"/>
        <v>1.2198920061926517</v>
      </c>
      <c r="AB26" s="4">
        <f t="shared" si="52"/>
        <v>1.2329267832194237</v>
      </c>
      <c r="AC26" s="4">
        <f t="shared" si="52"/>
        <v>1.245938904202696</v>
      </c>
      <c r="AD26" s="4">
        <f t="shared" si="52"/>
        <v>1.2588301929539705</v>
      </c>
      <c r="AE26" s="4">
        <f t="shared" si="52"/>
        <v>1.2714798172412491</v>
      </c>
      <c r="AF26" s="4">
        <f t="shared" si="52"/>
        <v>1.2839859532530302</v>
      </c>
      <c r="AG26" s="4">
        <f t="shared" si="52"/>
        <v>1.296280632858815</v>
      </c>
    </row>
    <row r="27" spans="1:33" x14ac:dyDescent="0.3">
      <c r="A27" t="s">
        <v>4</v>
      </c>
      <c r="B27" s="4">
        <f t="shared" si="53"/>
        <v>1</v>
      </c>
      <c r="C27" s="4">
        <f t="shared" si="52"/>
        <v>0.95948963936845788</v>
      </c>
      <c r="D27" s="4">
        <f t="shared" si="52"/>
        <v>0.97808439982133499</v>
      </c>
      <c r="E27" s="4">
        <f t="shared" si="52"/>
        <v>1.0141524090653098</v>
      </c>
      <c r="F27" s="4">
        <f t="shared" si="52"/>
        <v>1.0599159109005107</v>
      </c>
      <c r="G27" s="4">
        <f t="shared" si="52"/>
        <v>1.0983386091313383</v>
      </c>
      <c r="H27" s="4">
        <f t="shared" si="52"/>
        <v>1.1401986677800866</v>
      </c>
      <c r="I27" s="4">
        <f t="shared" si="52"/>
        <v>1.1800584545472201</v>
      </c>
      <c r="J27" s="4">
        <f t="shared" si="52"/>
        <v>1.2218505427922242</v>
      </c>
      <c r="K27" s="4">
        <f t="shared" si="52"/>
        <v>1.2626230749810654</v>
      </c>
      <c r="L27" s="4">
        <f t="shared" si="52"/>
        <v>1.3037742994193384</v>
      </c>
      <c r="M27" s="4">
        <f t="shared" si="52"/>
        <v>1.344575961781213</v>
      </c>
      <c r="N27" s="4">
        <f t="shared" si="52"/>
        <v>1.394296312120094</v>
      </c>
      <c r="O27" s="4">
        <f t="shared" si="52"/>
        <v>1.4444681801409902</v>
      </c>
      <c r="P27" s="4">
        <f t="shared" si="52"/>
        <v>1.4947517138251802</v>
      </c>
      <c r="Q27" s="4">
        <f t="shared" si="52"/>
        <v>1.5450158273940149</v>
      </c>
      <c r="R27" s="4">
        <f t="shared" si="52"/>
        <v>1.5960470355193912</v>
      </c>
      <c r="S27" s="4">
        <f t="shared" si="52"/>
        <v>1.6510011069465753</v>
      </c>
      <c r="T27" s="4">
        <f t="shared" si="52"/>
        <v>1.7071640805546386</v>
      </c>
      <c r="U27" s="4">
        <f t="shared" si="52"/>
        <v>1.7639145126522053</v>
      </c>
      <c r="V27" s="4">
        <f t="shared" si="52"/>
        <v>1.8220146427669781</v>
      </c>
      <c r="W27" s="4">
        <f t="shared" si="52"/>
        <v>1.8815664265045735</v>
      </c>
      <c r="X27" s="4">
        <f t="shared" si="52"/>
        <v>1.9481531470296933</v>
      </c>
      <c r="Y27" s="4">
        <f t="shared" si="52"/>
        <v>2.016910065445789</v>
      </c>
      <c r="Z27" s="4">
        <f t="shared" si="52"/>
        <v>2.0882595692618415</v>
      </c>
      <c r="AA27" s="4">
        <f t="shared" si="52"/>
        <v>2.1623861495737287</v>
      </c>
      <c r="AB27" s="4">
        <f t="shared" si="52"/>
        <v>2.2400617559668308</v>
      </c>
      <c r="AC27" s="4">
        <f t="shared" si="52"/>
        <v>2.3293068960829628</v>
      </c>
      <c r="AD27" s="4">
        <f t="shared" si="52"/>
        <v>2.4231351834229895</v>
      </c>
      <c r="AE27" s="4">
        <f t="shared" si="52"/>
        <v>2.5216728487367219</v>
      </c>
      <c r="AF27" s="4">
        <f t="shared" si="52"/>
        <v>2.6257598120132837</v>
      </c>
      <c r="AG27" s="4">
        <f t="shared" si="52"/>
        <v>2.7360417920882454</v>
      </c>
    </row>
    <row r="28" spans="1:33" x14ac:dyDescent="0.3">
      <c r="A28" t="s">
        <v>5</v>
      </c>
      <c r="B28" s="4">
        <f t="shared" si="53"/>
        <v>1</v>
      </c>
      <c r="C28" s="4">
        <f t="shared" si="52"/>
        <v>0.98437968010543342</v>
      </c>
      <c r="D28" s="4">
        <f t="shared" si="52"/>
        <v>1.0321891411569721</v>
      </c>
      <c r="E28" s="4">
        <f t="shared" si="52"/>
        <v>1.0884003274825775</v>
      </c>
      <c r="F28" s="4">
        <f t="shared" si="52"/>
        <v>1.1495537051458695</v>
      </c>
      <c r="G28" s="4">
        <f t="shared" si="52"/>
        <v>1.199295113720322</v>
      </c>
      <c r="H28" s="4">
        <f t="shared" si="52"/>
        <v>1.2528105593162804</v>
      </c>
      <c r="I28" s="4">
        <f t="shared" si="52"/>
        <v>1.3236186824816789</v>
      </c>
      <c r="J28" s="4">
        <f t="shared" si="52"/>
        <v>1.3963936979572278</v>
      </c>
      <c r="K28" s="4">
        <f t="shared" si="52"/>
        <v>1.465973761456898</v>
      </c>
      <c r="L28" s="4">
        <f t="shared" si="52"/>
        <v>1.5358932886040058</v>
      </c>
      <c r="M28" s="4">
        <f t="shared" si="52"/>
        <v>1.6041853870884004</v>
      </c>
      <c r="N28" s="4">
        <f t="shared" si="52"/>
        <v>1.6940134587351983</v>
      </c>
      <c r="O28" s="4">
        <f t="shared" si="52"/>
        <v>1.783122666187424</v>
      </c>
      <c r="P28" s="4">
        <f t="shared" si="52"/>
        <v>1.8729507378342221</v>
      </c>
      <c r="Q28" s="4">
        <f t="shared" si="52"/>
        <v>1.961261207292478</v>
      </c>
      <c r="R28" s="4">
        <f t="shared" si="52"/>
        <v>2.051059326264502</v>
      </c>
      <c r="S28" s="4">
        <f t="shared" si="52"/>
        <v>2.1646897901315922</v>
      </c>
      <c r="T28" s="4">
        <f t="shared" si="52"/>
        <v>2.2795483136644101</v>
      </c>
      <c r="U28" s="4">
        <f t="shared" si="52"/>
        <v>2.3936080992032589</v>
      </c>
      <c r="V28" s="4">
        <f t="shared" si="52"/>
        <v>2.5085265280856248</v>
      </c>
      <c r="W28" s="4">
        <f t="shared" si="52"/>
        <v>2.6231653986701011</v>
      </c>
      <c r="X28" s="4">
        <f t="shared" si="52"/>
        <v>2.7638630963078334</v>
      </c>
      <c r="Y28" s="4">
        <f t="shared" si="52"/>
        <v>2.9054493899638572</v>
      </c>
      <c r="Z28" s="4">
        <f t="shared" si="52"/>
        <v>3.0486032069330458</v>
      </c>
      <c r="AA28" s="4">
        <f t="shared" si="52"/>
        <v>3.191667165877913</v>
      </c>
      <c r="AB28" s="4">
        <f t="shared" si="52"/>
        <v>3.3359292318137341</v>
      </c>
      <c r="AC28" s="4">
        <f t="shared" si="52"/>
        <v>3.5067293675991933</v>
      </c>
      <c r="AD28" s="4">
        <f t="shared" si="52"/>
        <v>3.6796661275185207</v>
      </c>
      <c r="AE28" s="4">
        <f t="shared" si="52"/>
        <v>3.8527426665867925</v>
      </c>
      <c r="AF28" s="4">
        <f t="shared" si="52"/>
        <v>4.026578006749336</v>
      </c>
      <c r="AG28" s="4">
        <f t="shared" si="52"/>
        <v>4.200203678188462</v>
      </c>
    </row>
    <row r="29" spans="1:33" x14ac:dyDescent="0.3">
      <c r="A29" t="s">
        <v>6</v>
      </c>
      <c r="B29" s="4">
        <f t="shared" si="53"/>
        <v>1</v>
      </c>
      <c r="C29" s="4">
        <f t="shared" si="52"/>
        <v>0.98915092406671312</v>
      </c>
      <c r="D29" s="4">
        <f t="shared" si="52"/>
        <v>1.0403434004015899</v>
      </c>
      <c r="E29" s="4">
        <f t="shared" si="52"/>
        <v>1.069159529566037</v>
      </c>
      <c r="F29" s="4">
        <f t="shared" si="52"/>
        <v>1.0946461500635167</v>
      </c>
      <c r="G29" s="4">
        <f t="shared" si="52"/>
        <v>1.1162828340777773</v>
      </c>
      <c r="H29" s="4">
        <f t="shared" si="52"/>
        <v>1.1362004671556776</v>
      </c>
      <c r="I29" s="4">
        <f t="shared" si="52"/>
        <v>1.1613039380404049</v>
      </c>
      <c r="J29" s="4">
        <f t="shared" si="52"/>
        <v>1.1860836782362825</v>
      </c>
      <c r="K29" s="4">
        <f t="shared" si="52"/>
        <v>1.2098758349383274</v>
      </c>
      <c r="L29" s="4">
        <f t="shared" si="52"/>
        <v>1.2329221816989715</v>
      </c>
      <c r="M29" s="4">
        <f t="shared" si="52"/>
        <v>1.2551325656681558</v>
      </c>
      <c r="N29" s="4">
        <f t="shared" si="52"/>
        <v>1.2762426750809328</v>
      </c>
      <c r="O29" s="4">
        <f t="shared" si="52"/>
        <v>1.296266852436176</v>
      </c>
      <c r="P29" s="4">
        <f t="shared" si="52"/>
        <v>1.3157644551899359</v>
      </c>
      <c r="Q29" s="4">
        <f t="shared" si="52"/>
        <v>1.334516248002295</v>
      </c>
      <c r="R29" s="4">
        <f t="shared" si="52"/>
        <v>1.3529135761996476</v>
      </c>
      <c r="S29" s="4">
        <f t="shared" si="52"/>
        <v>1.3709031676433225</v>
      </c>
      <c r="T29" s="4">
        <f t="shared" si="52"/>
        <v>1.3883231569888947</v>
      </c>
      <c r="U29" s="4">
        <f t="shared" si="52"/>
        <v>1.4051141253124617</v>
      </c>
      <c r="V29" s="4">
        <f t="shared" si="52"/>
        <v>1.4215035036675818</v>
      </c>
      <c r="W29" s="4">
        <f t="shared" si="52"/>
        <v>1.4373642584928084</v>
      </c>
      <c r="X29" s="4">
        <f t="shared" si="52"/>
        <v>1.4532823833135271</v>
      </c>
      <c r="Y29" s="4">
        <f t="shared" si="52"/>
        <v>1.4686985206736876</v>
      </c>
      <c r="Z29" s="4">
        <f t="shared" si="52"/>
        <v>1.4838851780518789</v>
      </c>
      <c r="AA29" s="4">
        <f t="shared" si="52"/>
        <v>1.4985821415399745</v>
      </c>
      <c r="AB29" s="4">
        <f t="shared" si="52"/>
        <v>1.5130414293324592</v>
      </c>
      <c r="AC29" s="4">
        <f t="shared" si="52"/>
        <v>1.5275662828340779</v>
      </c>
      <c r="AD29" s="4">
        <f t="shared" si="52"/>
        <v>1.5418124820718766</v>
      </c>
      <c r="AE29" s="4">
        <f t="shared" si="52"/>
        <v>1.5556980699094376</v>
      </c>
      <c r="AF29" s="4">
        <f t="shared" si="52"/>
        <v>1.5692783674138426</v>
      </c>
      <c r="AG29" s="4">
        <f t="shared" si="52"/>
        <v>1.5825164938737042</v>
      </c>
    </row>
    <row r="30" spans="1:33" x14ac:dyDescent="0.3">
      <c r="A30" t="s">
        <v>7</v>
      </c>
      <c r="B30" s="4">
        <f t="shared" si="53"/>
        <v>1</v>
      </c>
      <c r="C30" s="4">
        <f t="shared" si="52"/>
        <v>0.95316591990552602</v>
      </c>
      <c r="D30" s="4">
        <f t="shared" si="52"/>
        <v>1.0075370775589594</v>
      </c>
      <c r="E30" s="4">
        <f t="shared" si="52"/>
        <v>1.0317460317460316</v>
      </c>
      <c r="F30" s="4">
        <f t="shared" si="52"/>
        <v>1.0550936056406515</v>
      </c>
      <c r="G30" s="4">
        <f t="shared" si="52"/>
        <v>1.0745510749887117</v>
      </c>
      <c r="H30" s="4">
        <f t="shared" si="52"/>
        <v>1.093814039109444</v>
      </c>
      <c r="I30" s="4">
        <f t="shared" si="52"/>
        <v>1.1221979090688061</v>
      </c>
      <c r="J30" s="4">
        <f t="shared" si="52"/>
        <v>1.1509777360980862</v>
      </c>
      <c r="K30" s="4">
        <f t="shared" si="52"/>
        <v>1.1789378625264839</v>
      </c>
      <c r="L30" s="4">
        <f t="shared" si="52"/>
        <v>1.206453405578132</v>
      </c>
      <c r="M30" s="4">
        <f t="shared" si="52"/>
        <v>1.233267340488347</v>
      </c>
      <c r="N30" s="4">
        <f t="shared" si="52"/>
        <v>1.2674307943454552</v>
      </c>
      <c r="O30" s="4">
        <f t="shared" si="52"/>
        <v>1.3012399708242159</v>
      </c>
      <c r="P30" s="4">
        <f t="shared" si="52"/>
        <v>1.3348615886909103</v>
      </c>
      <c r="Q30" s="4">
        <f t="shared" si="52"/>
        <v>1.3677190788788163</v>
      </c>
      <c r="R30" s="4">
        <f t="shared" si="52"/>
        <v>1.4004167969157029</v>
      </c>
      <c r="S30" s="4">
        <f t="shared" si="52"/>
        <v>1.4390747108471398</v>
      </c>
      <c r="T30" s="4">
        <f t="shared" si="52"/>
        <v>1.4777395713938384</v>
      </c>
      <c r="U30" s="4">
        <f t="shared" si="52"/>
        <v>1.515869542565385</v>
      </c>
      <c r="V30" s="4">
        <f t="shared" si="52"/>
        <v>1.5536313431280608</v>
      </c>
      <c r="W30" s="4">
        <f t="shared" si="52"/>
        <v>1.5908235212392763</v>
      </c>
      <c r="X30" s="4">
        <f t="shared" si="52"/>
        <v>1.6334410058698898</v>
      </c>
      <c r="Y30" s="4">
        <f t="shared" si="52"/>
        <v>1.6759126115800076</v>
      </c>
      <c r="Z30" s="4">
        <f t="shared" si="52"/>
        <v>1.7182939112917233</v>
      </c>
      <c r="AA30" s="4">
        <f t="shared" si="52"/>
        <v>1.7601125351672398</v>
      </c>
      <c r="AB30" s="4">
        <f t="shared" si="52"/>
        <v>1.8017019207391198</v>
      </c>
      <c r="AC30" s="4">
        <f t="shared" si="52"/>
        <v>1.8476398874648328</v>
      </c>
      <c r="AD30" s="4">
        <f t="shared" si="52"/>
        <v>1.8936125872668541</v>
      </c>
      <c r="AE30" s="4">
        <f t="shared" si="52"/>
        <v>1.9392310096905283</v>
      </c>
      <c r="AF30" s="4">
        <f t="shared" si="52"/>
        <v>1.9844951547358549</v>
      </c>
      <c r="AG30" s="4">
        <f t="shared" si="52"/>
        <v>2.0293216630196937</v>
      </c>
    </row>
    <row r="31" spans="1:33" x14ac:dyDescent="0.3">
      <c r="A31" t="s">
        <v>8</v>
      </c>
      <c r="B31" s="4">
        <f t="shared" si="53"/>
        <v>1</v>
      </c>
      <c r="C31" s="4">
        <f t="shared" si="52"/>
        <v>0.97016191402839103</v>
      </c>
      <c r="D31" s="4">
        <f t="shared" si="52"/>
        <v>1.0221748205806285</v>
      </c>
      <c r="E31" s="4">
        <f t="shared" si="52"/>
        <v>1.0396053189631516</v>
      </c>
      <c r="F31" s="4">
        <f t="shared" si="52"/>
        <v>1.053721860472852</v>
      </c>
      <c r="G31" s="4">
        <f t="shared" si="52"/>
        <v>1.0643456494440702</v>
      </c>
      <c r="H31" s="4">
        <f t="shared" si="52"/>
        <v>1.0736056017097855</v>
      </c>
      <c r="I31" s="4">
        <f t="shared" si="52"/>
        <v>1.0977014361865796</v>
      </c>
      <c r="J31" s="4">
        <f t="shared" si="52"/>
        <v>1.1221548619946944</v>
      </c>
      <c r="K31" s="4">
        <f t="shared" si="52"/>
        <v>1.1458639988690134</v>
      </c>
      <c r="L31" s="4">
        <f t="shared" si="52"/>
        <v>1.1689577460103617</v>
      </c>
      <c r="M31" s="4">
        <f t="shared" si="52"/>
        <v>1.1912365175593975</v>
      </c>
      <c r="N31" s="4">
        <f t="shared" si="52"/>
        <v>1.2159560578466349</v>
      </c>
      <c r="O31" s="4">
        <f t="shared" si="52"/>
        <v>1.2397608296118885</v>
      </c>
      <c r="P31" s="4">
        <f t="shared" si="52"/>
        <v>1.2632495904331844</v>
      </c>
      <c r="Q31" s="4">
        <f t="shared" si="52"/>
        <v>1.2857653701901886</v>
      </c>
      <c r="R31" s="4">
        <f t="shared" si="52"/>
        <v>1.3081023542815324</v>
      </c>
      <c r="S31" s="4">
        <f t="shared" si="52"/>
        <v>1.3320859217124466</v>
      </c>
      <c r="T31" s="4">
        <f t="shared" si="52"/>
        <v>1.3556162629211053</v>
      </c>
      <c r="U31" s="4">
        <f t="shared" si="52"/>
        <v>1.3783066803050339</v>
      </c>
      <c r="V31" s="4">
        <f t="shared" si="52"/>
        <v>1.4005563455829155</v>
      </c>
      <c r="W31" s="4">
        <f t="shared" si="52"/>
        <v>1.4220575638882653</v>
      </c>
      <c r="X31" s="4">
        <f t="shared" si="52"/>
        <v>1.4450099377125798</v>
      </c>
      <c r="Y31" s="4">
        <f t="shared" ref="C31:AG39" si="54">Y52/$B52</f>
        <v>1.4672762351454065</v>
      </c>
      <c r="Z31" s="4">
        <f t="shared" si="54"/>
        <v>1.4892805761378471</v>
      </c>
      <c r="AA31" s="4">
        <f t="shared" si="54"/>
        <v>1.5105406281964924</v>
      </c>
      <c r="AB31" s="4">
        <f t="shared" si="54"/>
        <v>1.5314971434273881</v>
      </c>
      <c r="AC31" s="4">
        <f t="shared" si="54"/>
        <v>1.5531771573983983</v>
      </c>
      <c r="AD31" s="4">
        <f t="shared" si="54"/>
        <v>1.5745286863092416</v>
      </c>
      <c r="AE31" s="4">
        <f t="shared" si="54"/>
        <v>1.595306405874477</v>
      </c>
      <c r="AF31" s="4">
        <f t="shared" si="54"/>
        <v>1.6156433733336659</v>
      </c>
      <c r="AG31" s="4">
        <f t="shared" si="54"/>
        <v>1.6354148475247194</v>
      </c>
    </row>
    <row r="32" spans="1:33" x14ac:dyDescent="0.3">
      <c r="A32" t="s">
        <v>9</v>
      </c>
      <c r="B32" s="4">
        <f t="shared" si="53"/>
        <v>1</v>
      </c>
      <c r="C32" s="4">
        <f t="shared" si="54"/>
        <v>0.98257263122488192</v>
      </c>
      <c r="D32" s="4">
        <f t="shared" si="54"/>
        <v>1.037482170424562</v>
      </c>
      <c r="E32" s="4">
        <f t="shared" si="54"/>
        <v>1.0594662947643323</v>
      </c>
      <c r="F32" s="4">
        <f t="shared" si="54"/>
        <v>1.0776060532499407</v>
      </c>
      <c r="G32" s="4">
        <f t="shared" si="54"/>
        <v>1.0916634537732062</v>
      </c>
      <c r="H32" s="4">
        <f t="shared" si="54"/>
        <v>1.1046514764237083</v>
      </c>
      <c r="I32" s="4">
        <f t="shared" si="54"/>
        <v>1.1331423050011662</v>
      </c>
      <c r="J32" s="4">
        <f t="shared" si="54"/>
        <v>1.1623074445518053</v>
      </c>
      <c r="K32" s="4">
        <f t="shared" si="54"/>
        <v>1.1907300487249175</v>
      </c>
      <c r="L32" s="4">
        <f t="shared" si="54"/>
        <v>1.2184418498015939</v>
      </c>
      <c r="M32" s="4">
        <f t="shared" si="54"/>
        <v>1.2452429344109615</v>
      </c>
      <c r="N32" s="4">
        <f t="shared" si="54"/>
        <v>1.2682139326926585</v>
      </c>
      <c r="O32" s="4">
        <f t="shared" si="54"/>
        <v>1.2899489586258652</v>
      </c>
      <c r="P32" s="4">
        <f t="shared" si="54"/>
        <v>1.3110556853934723</v>
      </c>
      <c r="Q32" s="4">
        <f t="shared" si="54"/>
        <v>1.3311628453067164</v>
      </c>
      <c r="R32" s="4">
        <f t="shared" si="54"/>
        <v>1.3509003241452513</v>
      </c>
      <c r="S32" s="4">
        <f t="shared" si="54"/>
        <v>1.3668838741307336</v>
      </c>
      <c r="T32" s="4">
        <f t="shared" si="54"/>
        <v>1.3821058493700349</v>
      </c>
      <c r="U32" s="4">
        <f t="shared" si="54"/>
        <v>1.3965123049852999</v>
      </c>
      <c r="V32" s="4">
        <f t="shared" si="54"/>
        <v>1.4104427763842016</v>
      </c>
      <c r="W32" s="4">
        <f t="shared" si="54"/>
        <v>1.4237465352315584</v>
      </c>
      <c r="X32" s="4">
        <f t="shared" si="54"/>
        <v>1.4330694794160623</v>
      </c>
      <c r="Y32" s="4">
        <f t="shared" si="54"/>
        <v>1.4416292622403306</v>
      </c>
      <c r="Z32" s="4">
        <f t="shared" si="54"/>
        <v>1.4498542694990899</v>
      </c>
      <c r="AA32" s="4">
        <f t="shared" si="54"/>
        <v>1.4575588673479587</v>
      </c>
      <c r="AB32" s="4">
        <f t="shared" si="54"/>
        <v>1.4650064337199911</v>
      </c>
      <c r="AC32" s="4">
        <f t="shared" si="54"/>
        <v>1.4703580829259701</v>
      </c>
      <c r="AD32" s="4">
        <f t="shared" si="54"/>
        <v>1.4753400510572401</v>
      </c>
      <c r="AE32" s="4">
        <f t="shared" si="54"/>
        <v>1.4799412318154195</v>
      </c>
      <c r="AF32" s="4">
        <f t="shared" si="54"/>
        <v>1.4842742747983808</v>
      </c>
      <c r="AG32" s="4">
        <f t="shared" si="54"/>
        <v>1.4882995146547606</v>
      </c>
    </row>
    <row r="33" spans="1:33" x14ac:dyDescent="0.3">
      <c r="A33" t="s">
        <v>10</v>
      </c>
      <c r="B33" s="4">
        <f t="shared" si="53"/>
        <v>1</v>
      </c>
      <c r="C33" s="4">
        <f t="shared" si="54"/>
        <v>0.99148881504573327</v>
      </c>
      <c r="D33" s="4">
        <f t="shared" si="54"/>
        <v>1.0352694323592888</v>
      </c>
      <c r="E33" s="4">
        <f t="shared" si="54"/>
        <v>1.0634322222602857</v>
      </c>
      <c r="F33" s="4">
        <f t="shared" si="54"/>
        <v>1.0872049604330103</v>
      </c>
      <c r="G33" s="4">
        <f t="shared" si="54"/>
        <v>1.1057671885170086</v>
      </c>
      <c r="H33" s="4">
        <f t="shared" si="54"/>
        <v>1.1236459867767463</v>
      </c>
      <c r="I33" s="4">
        <f t="shared" si="54"/>
        <v>1.1604484258846905</v>
      </c>
      <c r="J33" s="4">
        <f t="shared" si="54"/>
        <v>1.1981980747490666</v>
      </c>
      <c r="K33" s="4">
        <f t="shared" si="54"/>
        <v>1.2352608680757768</v>
      </c>
      <c r="L33" s="4">
        <f t="shared" si="54"/>
        <v>1.2721438114487342</v>
      </c>
      <c r="M33" s="4">
        <f t="shared" si="54"/>
        <v>1.3083039292932754</v>
      </c>
      <c r="N33" s="4">
        <f t="shared" si="54"/>
        <v>1.3496848343667571</v>
      </c>
      <c r="O33" s="4">
        <f t="shared" si="54"/>
        <v>1.3905210510088728</v>
      </c>
      <c r="P33" s="4">
        <f t="shared" si="54"/>
        <v>1.4312527833921416</v>
      </c>
      <c r="Q33" s="4">
        <f t="shared" si="54"/>
        <v>1.4708848617724641</v>
      </c>
      <c r="R33" s="4">
        <f t="shared" si="54"/>
        <v>1.5105786029940738</v>
      </c>
      <c r="S33" s="4">
        <f t="shared" si="54"/>
        <v>1.5498407043266762</v>
      </c>
      <c r="T33" s="4">
        <f t="shared" si="54"/>
        <v>1.5888116200198692</v>
      </c>
      <c r="U33" s="4">
        <f t="shared" si="54"/>
        <v>1.6268164845329043</v>
      </c>
      <c r="V33" s="4">
        <f t="shared" si="54"/>
        <v>1.6645078962693982</v>
      </c>
      <c r="W33" s="4">
        <f t="shared" si="54"/>
        <v>1.7014319482032132</v>
      </c>
      <c r="X33" s="4">
        <f t="shared" si="54"/>
        <v>1.7376074817580764</v>
      </c>
      <c r="Y33" s="4">
        <f t="shared" si="54"/>
        <v>1.7730464869309035</v>
      </c>
      <c r="Z33" s="4">
        <f t="shared" si="54"/>
        <v>1.8082285635983697</v>
      </c>
      <c r="AA33" s="4">
        <f t="shared" si="54"/>
        <v>1.8427426261518962</v>
      </c>
      <c r="AB33" s="4">
        <f t="shared" si="54"/>
        <v>1.8770682744681582</v>
      </c>
      <c r="AC33" s="4">
        <f t="shared" si="54"/>
        <v>1.9117022369908534</v>
      </c>
      <c r="AD33" s="4">
        <f t="shared" si="54"/>
        <v>1.9462162995443801</v>
      </c>
      <c r="AE33" s="4">
        <f t="shared" si="54"/>
        <v>1.9801993765201604</v>
      </c>
      <c r="AF33" s="4">
        <f t="shared" si="54"/>
        <v>2.0139255249905794</v>
      </c>
      <c r="AG33" s="4">
        <f t="shared" si="54"/>
        <v>2.0472405878524205</v>
      </c>
    </row>
    <row r="34" spans="1:33" x14ac:dyDescent="0.3">
      <c r="A34" t="s">
        <v>11</v>
      </c>
      <c r="B34" s="4">
        <f t="shared" si="53"/>
        <v>1</v>
      </c>
      <c r="C34" s="4">
        <f t="shared" si="54"/>
        <v>0.98411173438290944</v>
      </c>
      <c r="D34" s="4">
        <f t="shared" si="54"/>
        <v>1.0199223148521193</v>
      </c>
      <c r="E34" s="4">
        <f t="shared" si="54"/>
        <v>1.0616419251867233</v>
      </c>
      <c r="F34" s="4">
        <f t="shared" si="54"/>
        <v>1.1029896385367919</v>
      </c>
      <c r="G34" s="4">
        <f t="shared" si="54"/>
        <v>1.1432836437640108</v>
      </c>
      <c r="H34" s="4">
        <f t="shared" si="54"/>
        <v>1.1819609301556802</v>
      </c>
      <c r="I34" s="4">
        <f t="shared" si="54"/>
        <v>1.2303901819196084</v>
      </c>
      <c r="J34" s="4">
        <f t="shared" si="54"/>
        <v>1.2790260431193894</v>
      </c>
      <c r="K34" s="4">
        <f t="shared" si="54"/>
        <v>1.3270575717193005</v>
      </c>
      <c r="L34" s="4">
        <f t="shared" si="54"/>
        <v>1.3745932376731647</v>
      </c>
      <c r="M34" s="4">
        <f t="shared" si="54"/>
        <v>1.4212818049400318</v>
      </c>
      <c r="N34" s="4">
        <f t="shared" si="54"/>
        <v>1.4744734042003698</v>
      </c>
      <c r="O34" s="4">
        <f t="shared" si="54"/>
        <v>1.5272517845890023</v>
      </c>
      <c r="P34" s="4">
        <f t="shared" si="54"/>
        <v>1.5797305812956479</v>
      </c>
      <c r="Q34" s="4">
        <f t="shared" si="54"/>
        <v>1.6313674445511928</v>
      </c>
      <c r="R34" s="4">
        <f t="shared" si="54"/>
        <v>1.682529106104276</v>
      </c>
      <c r="S34" s="4">
        <f t="shared" si="54"/>
        <v>1.7397909112509167</v>
      </c>
      <c r="T34" s="4">
        <f t="shared" si="54"/>
        <v>1.7969855683309057</v>
      </c>
      <c r="U34" s="4">
        <f t="shared" si="54"/>
        <v>1.8532866396008307</v>
      </c>
      <c r="V34" s="4">
        <f t="shared" si="54"/>
        <v>1.9090401958657455</v>
      </c>
      <c r="W34" s="4">
        <f t="shared" si="54"/>
        <v>1.9637607049513952</v>
      </c>
      <c r="X34" s="4">
        <f t="shared" si="54"/>
        <v>2.0237394241795026</v>
      </c>
      <c r="Y34" s="4">
        <f t="shared" si="54"/>
        <v>2.0831861241102883</v>
      </c>
      <c r="Z34" s="4">
        <f t="shared" si="54"/>
        <v>2.1421421266309233</v>
      </c>
      <c r="AA34" s="4">
        <f t="shared" si="54"/>
        <v>2.2000702472081901</v>
      </c>
      <c r="AB34" s="4">
        <f t="shared" si="54"/>
        <v>2.2573268871189347</v>
      </c>
      <c r="AC34" s="4">
        <f t="shared" si="54"/>
        <v>2.3198159109926553</v>
      </c>
      <c r="AD34" s="4">
        <f t="shared" si="54"/>
        <v>2.3821241516100042</v>
      </c>
      <c r="AE34" s="4">
        <f t="shared" si="54"/>
        <v>2.4434613278788446</v>
      </c>
      <c r="AF34" s="4">
        <f t="shared" si="54"/>
        <v>2.5039927273478582</v>
      </c>
      <c r="AG34" s="4">
        <f t="shared" si="54"/>
        <v>2.5634394272786443</v>
      </c>
    </row>
    <row r="35" spans="1:33" x14ac:dyDescent="0.3">
      <c r="A35" t="s">
        <v>12</v>
      </c>
      <c r="B35" s="4">
        <f t="shared" si="53"/>
        <v>1</v>
      </c>
      <c r="C35" s="4">
        <f t="shared" si="54"/>
        <v>1.0075713798681853</v>
      </c>
      <c r="D35" s="4">
        <f t="shared" si="54"/>
        <v>1.0484610433287744</v>
      </c>
      <c r="E35" s="4">
        <f t="shared" si="54"/>
        <v>1.0941762767818477</v>
      </c>
      <c r="F35" s="4">
        <f t="shared" si="54"/>
        <v>1.1407944946906885</v>
      </c>
      <c r="G35" s="4">
        <f t="shared" si="54"/>
        <v>1.1844668245353778</v>
      </c>
      <c r="H35" s="4">
        <f t="shared" si="54"/>
        <v>1.2280588598439126</v>
      </c>
      <c r="I35" s="4">
        <f t="shared" si="54"/>
        <v>1.2863553256996483</v>
      </c>
      <c r="J35" s="4">
        <f t="shared" si="54"/>
        <v>1.3457890781002575</v>
      </c>
      <c r="K35" s="4">
        <f t="shared" si="54"/>
        <v>1.4044830677251505</v>
      </c>
      <c r="L35" s="4">
        <f t="shared" si="54"/>
        <v>1.4627163509950598</v>
      </c>
      <c r="M35" s="4">
        <f t="shared" si="54"/>
        <v>1.5199887324388608</v>
      </c>
      <c r="N35" s="4">
        <f t="shared" si="54"/>
        <v>1.6007439749481047</v>
      </c>
      <c r="O35" s="4">
        <f t="shared" si="54"/>
        <v>1.6824469562447428</v>
      </c>
      <c r="P35" s="4">
        <f t="shared" si="54"/>
        <v>1.7643342200833747</v>
      </c>
      <c r="Q35" s="4">
        <f t="shared" si="54"/>
        <v>1.8448920170119112</v>
      </c>
      <c r="R35" s="4">
        <f t="shared" si="54"/>
        <v>1.9251470640500301</v>
      </c>
      <c r="S35" s="4">
        <f t="shared" si="54"/>
        <v>2.0228036482678098</v>
      </c>
      <c r="T35" s="4">
        <f t="shared" si="54"/>
        <v>2.1211710365761354</v>
      </c>
      <c r="U35" s="4">
        <f t="shared" si="54"/>
        <v>2.2183932405163596</v>
      </c>
      <c r="V35" s="4">
        <f t="shared" si="54"/>
        <v>2.3146940317466167</v>
      </c>
      <c r="W35" s="4">
        <f t="shared" si="54"/>
        <v>2.4094020952925024</v>
      </c>
      <c r="X35" s="4">
        <f t="shared" si="54"/>
        <v>2.526513650729298</v>
      </c>
      <c r="Y35" s="4">
        <f t="shared" si="54"/>
        <v>2.643980608211367</v>
      </c>
      <c r="Z35" s="4">
        <f t="shared" si="54"/>
        <v>2.7609473702223108</v>
      </c>
      <c r="AA35" s="4">
        <f t="shared" si="54"/>
        <v>2.8761502850456035</v>
      </c>
      <c r="AB35" s="4">
        <f t="shared" si="54"/>
        <v>2.9901027111910841</v>
      </c>
      <c r="AC35" s="4">
        <f t="shared" si="54"/>
        <v>3.130117953989914</v>
      </c>
      <c r="AD35" s="4">
        <f t="shared" si="54"/>
        <v>3.2710151203825708</v>
      </c>
      <c r="AE35" s="4">
        <f t="shared" si="54"/>
        <v>3.4105564937877038</v>
      </c>
      <c r="AF35" s="4">
        <f t="shared" si="54"/>
        <v>3.5484393243148964</v>
      </c>
      <c r="AG35" s="4">
        <f t="shared" si="54"/>
        <v>3.6842160686478795</v>
      </c>
    </row>
    <row r="36" spans="1:33" x14ac:dyDescent="0.3">
      <c r="A36" t="s">
        <v>13</v>
      </c>
      <c r="B36" s="4">
        <f t="shared" si="53"/>
        <v>1</v>
      </c>
      <c r="C36" s="4">
        <f t="shared" si="54"/>
        <v>1.0461171438507766</v>
      </c>
      <c r="D36" s="4">
        <f t="shared" si="54"/>
        <v>1.0818368852645504</v>
      </c>
      <c r="E36" s="4">
        <f t="shared" si="54"/>
        <v>1.1573196218062685</v>
      </c>
      <c r="F36" s="4">
        <f t="shared" si="54"/>
        <v>1.2313137649387498</v>
      </c>
      <c r="G36" s="4">
        <f t="shared" si="54"/>
        <v>1.299912569513737</v>
      </c>
      <c r="H36" s="4">
        <f t="shared" si="54"/>
        <v>1.3663012354025215</v>
      </c>
      <c r="I36" s="4">
        <f t="shared" si="54"/>
        <v>1.4534652049416101</v>
      </c>
      <c r="J36" s="4">
        <f t="shared" si="54"/>
        <v>1.5378762517347964</v>
      </c>
      <c r="K36" s="4">
        <f t="shared" si="54"/>
        <v>1.6175907538198022</v>
      </c>
      <c r="L36" s="4">
        <f t="shared" si="54"/>
        <v>1.6944808286719992</v>
      </c>
      <c r="M36" s="4">
        <f t="shared" si="54"/>
        <v>1.7675681649023476</v>
      </c>
      <c r="N36" s="4">
        <f t="shared" si="54"/>
        <v>1.8486575032583297</v>
      </c>
      <c r="O36" s="4">
        <f t="shared" si="54"/>
        <v>1.9257880932028486</v>
      </c>
      <c r="P36" s="4">
        <f t="shared" si="54"/>
        <v>2.0006240391584571</v>
      </c>
      <c r="Q36" s="4">
        <f t="shared" si="54"/>
        <v>2.0715792415974104</v>
      </c>
      <c r="R36" s="4">
        <f t="shared" si="54"/>
        <v>2.1409255930809659</v>
      </c>
      <c r="S36" s="4">
        <f t="shared" si="54"/>
        <v>2.2050651178361442</v>
      </c>
      <c r="T36" s="4">
        <f t="shared" si="54"/>
        <v>2.2671277622670822</v>
      </c>
      <c r="U36" s="4">
        <f t="shared" si="54"/>
        <v>2.3264537349718695</v>
      </c>
      <c r="V36" s="4">
        <f t="shared" si="54"/>
        <v>2.3841026024383027</v>
      </c>
      <c r="W36" s="4">
        <f t="shared" si="54"/>
        <v>2.4396713393765461</v>
      </c>
      <c r="X36" s="4">
        <f t="shared" si="54"/>
        <v>2.4924286498977808</v>
      </c>
      <c r="Y36" s="4">
        <f t="shared" si="54"/>
        <v>2.5434341004898058</v>
      </c>
      <c r="Z36" s="4">
        <f t="shared" si="54"/>
        <v>2.5933994858177352</v>
      </c>
      <c r="AA36" s="4">
        <f t="shared" si="54"/>
        <v>2.6417235181507639</v>
      </c>
      <c r="AB36" s="4">
        <f t="shared" si="54"/>
        <v>2.689163495009312</v>
      </c>
      <c r="AC36" s="4">
        <f t="shared" si="54"/>
        <v>2.7343965833856076</v>
      </c>
      <c r="AD36" s="4">
        <f t="shared" si="54"/>
        <v>2.7787651175111239</v>
      </c>
      <c r="AE36" s="4">
        <f t="shared" si="54"/>
        <v>2.8218920737276263</v>
      </c>
      <c r="AF36" s="4">
        <f t="shared" si="54"/>
        <v>2.8641024724301452</v>
      </c>
      <c r="AG36" s="4">
        <f t="shared" si="54"/>
        <v>2.9052630552567176</v>
      </c>
    </row>
    <row r="37" spans="1:33" x14ac:dyDescent="0.3">
      <c r="A37" t="s">
        <v>14</v>
      </c>
      <c r="B37" s="4">
        <f t="shared" si="53"/>
        <v>1</v>
      </c>
      <c r="C37" s="4">
        <f t="shared" si="54"/>
        <v>0.98311584295387799</v>
      </c>
      <c r="D37" s="4">
        <f t="shared" si="54"/>
        <v>1.0474932649445419</v>
      </c>
      <c r="E37" s="4">
        <f t="shared" si="54"/>
        <v>1.1152564175168074</v>
      </c>
      <c r="F37" s="4">
        <f t="shared" si="54"/>
        <v>1.1834604836295679</v>
      </c>
      <c r="G37" s="4">
        <f t="shared" si="54"/>
        <v>1.2462077390439052</v>
      </c>
      <c r="H37" s="4">
        <f t="shared" si="54"/>
        <v>1.3094848997225077</v>
      </c>
      <c r="I37" s="4">
        <f t="shared" si="54"/>
        <v>1.3876964896810051</v>
      </c>
      <c r="J37" s="4">
        <f t="shared" si="54"/>
        <v>1.4669314844628543</v>
      </c>
      <c r="K37" s="4">
        <f t="shared" si="54"/>
        <v>1.5437798830163341</v>
      </c>
      <c r="L37" s="4">
        <f t="shared" si="54"/>
        <v>1.6197140938619983</v>
      </c>
      <c r="M37" s="4">
        <f t="shared" si="54"/>
        <v>1.6936298106094314</v>
      </c>
      <c r="N37" s="4">
        <f t="shared" si="54"/>
        <v>1.7750612829370505</v>
      </c>
      <c r="O37" s="4">
        <f t="shared" si="54"/>
        <v>1.854955625490466</v>
      </c>
      <c r="P37" s="4">
        <f t="shared" si="54"/>
        <v>1.9341178088619579</v>
      </c>
      <c r="Q37" s="4">
        <f t="shared" si="54"/>
        <v>2.0104079866027007</v>
      </c>
      <c r="R37" s="4">
        <f t="shared" si="54"/>
        <v>2.0866334430897928</v>
      </c>
      <c r="S37" s="4">
        <f t="shared" si="54"/>
        <v>2.1692258529047708</v>
      </c>
      <c r="T37" s="4">
        <f t="shared" si="54"/>
        <v>2.2517697217795107</v>
      </c>
      <c r="U37" s="4">
        <f t="shared" si="54"/>
        <v>2.3315184415122121</v>
      </c>
      <c r="V37" s="4">
        <f t="shared" si="54"/>
        <v>2.4102235310297959</v>
      </c>
      <c r="W37" s="4">
        <f t="shared" si="54"/>
        <v>2.4865056186138328</v>
      </c>
      <c r="X37" s="4">
        <f t="shared" si="54"/>
        <v>2.5710760717435099</v>
      </c>
      <c r="Y37" s="4">
        <f t="shared" si="54"/>
        <v>2.6542024319011062</v>
      </c>
      <c r="Z37" s="4">
        <f t="shared" si="54"/>
        <v>2.7361031333176924</v>
      </c>
      <c r="AA37" s="4">
        <f t="shared" si="54"/>
        <v>2.8156091483492038</v>
      </c>
      <c r="AB37" s="4">
        <f t="shared" si="54"/>
        <v>2.8938530989345264</v>
      </c>
      <c r="AC37" s="4">
        <f t="shared" si="54"/>
        <v>2.9795076330628527</v>
      </c>
      <c r="AD37" s="4">
        <f t="shared" si="54"/>
        <v>3.0647536142775085</v>
      </c>
      <c r="AE37" s="4">
        <f t="shared" si="54"/>
        <v>3.1475240075400261</v>
      </c>
      <c r="AF37" s="4">
        <f t="shared" si="54"/>
        <v>3.2287572710283401</v>
      </c>
      <c r="AG37" s="4">
        <f t="shared" si="54"/>
        <v>3.3077455160306455</v>
      </c>
    </row>
    <row r="38" spans="1:33" x14ac:dyDescent="0.3">
      <c r="A38" t="s">
        <v>15</v>
      </c>
      <c r="B38" s="4">
        <f t="shared" si="53"/>
        <v>1</v>
      </c>
      <c r="C38" s="4">
        <f t="shared" si="54"/>
        <v>0.97541684042138654</v>
      </c>
      <c r="D38" s="4">
        <f t="shared" si="54"/>
        <v>1.0071028650729086</v>
      </c>
      <c r="E38" s="4">
        <f t="shared" si="54"/>
        <v>1.1019831964943705</v>
      </c>
      <c r="F38" s="4">
        <f t="shared" si="54"/>
        <v>1.2009037524183239</v>
      </c>
      <c r="G38" s="4">
        <f t="shared" si="54"/>
        <v>1.2974658016530054</v>
      </c>
      <c r="H38" s="4">
        <f t="shared" si="54"/>
        <v>1.3916419991933222</v>
      </c>
      <c r="I38" s="4">
        <f t="shared" si="54"/>
        <v>1.4584458466355388</v>
      </c>
      <c r="J38" s="4">
        <f t="shared" si="54"/>
        <v>1.521086417052345</v>
      </c>
      <c r="K38" s="4">
        <f t="shared" si="54"/>
        <v>1.5836244437000526</v>
      </c>
      <c r="L38" s="4">
        <f t="shared" si="54"/>
        <v>1.6424845671627506</v>
      </c>
      <c r="M38" s="4">
        <f t="shared" si="54"/>
        <v>1.7026982683775524</v>
      </c>
      <c r="N38" s="4">
        <f t="shared" si="54"/>
        <v>1.76187285939882</v>
      </c>
      <c r="O38" s="4">
        <f t="shared" si="54"/>
        <v>1.8217926018088721</v>
      </c>
      <c r="P38" s="4">
        <f t="shared" si="54"/>
        <v>1.8787385749150596</v>
      </c>
      <c r="Q38" s="4">
        <f t="shared" si="54"/>
        <v>1.9354179342215903</v>
      </c>
      <c r="R38" s="4">
        <f t="shared" si="54"/>
        <v>1.9904976107301799</v>
      </c>
      <c r="S38" s="4">
        <f t="shared" si="54"/>
        <v>2.045522597228584</v>
      </c>
      <c r="T38" s="4">
        <f t="shared" si="54"/>
        <v>2.0989479009290464</v>
      </c>
      <c r="U38" s="4">
        <f t="shared" si="54"/>
        <v>2.1509854456210391</v>
      </c>
      <c r="V38" s="4">
        <f t="shared" si="54"/>
        <v>2.2018745000991253</v>
      </c>
      <c r="W38" s="4">
        <f t="shared" si="54"/>
        <v>2.2512527430458236</v>
      </c>
      <c r="X38" s="4">
        <f t="shared" si="54"/>
        <v>2.3002823371775851</v>
      </c>
      <c r="Y38" s="4">
        <f t="shared" si="54"/>
        <v>2.3478216285317783</v>
      </c>
      <c r="Z38" s="4">
        <f t="shared" si="54"/>
        <v>2.3947730022764717</v>
      </c>
      <c r="AA38" s="4">
        <f t="shared" si="54"/>
        <v>2.4400836757155844</v>
      </c>
      <c r="AB38" s="4">
        <f t="shared" si="54"/>
        <v>2.4847722502888319</v>
      </c>
      <c r="AC38" s="4">
        <f t="shared" si="54"/>
        <v>2.5287430184783872</v>
      </c>
      <c r="AD38" s="4">
        <f t="shared" si="54"/>
        <v>2.5720848515508035</v>
      </c>
      <c r="AE38" s="4">
        <f t="shared" si="54"/>
        <v>2.6140457618660231</v>
      </c>
      <c r="AF38" s="4">
        <f t="shared" si="54"/>
        <v>2.6551042870131734</v>
      </c>
      <c r="AG38" s="4">
        <f t="shared" si="54"/>
        <v>2.6948912694234988</v>
      </c>
    </row>
    <row r="39" spans="1:33" x14ac:dyDescent="0.3">
      <c r="A39" t="s">
        <v>16</v>
      </c>
      <c r="B39" s="4">
        <f t="shared" si="53"/>
        <v>1</v>
      </c>
      <c r="C39" s="4">
        <f t="shared" si="54"/>
        <v>1.0139614003731403</v>
      </c>
      <c r="D39" s="4">
        <f t="shared" si="54"/>
        <v>1.042743886824598</v>
      </c>
      <c r="E39" s="4">
        <f t="shared" si="54"/>
        <v>1.0729347945377294</v>
      </c>
      <c r="F39" s="4">
        <f t="shared" si="54"/>
        <v>1.1026841007792045</v>
      </c>
      <c r="G39" s="4">
        <f t="shared" si="54"/>
        <v>1.130504993493564</v>
      </c>
      <c r="H39" s="4">
        <f t="shared" si="54"/>
        <v>1.1575524303759099</v>
      </c>
      <c r="I39" s="4">
        <f t="shared" si="54"/>
        <v>1.1959586932777282</v>
      </c>
      <c r="J39" s="4">
        <f t="shared" si="54"/>
        <v>1.2369936607978094</v>
      </c>
      <c r="K39" s="4">
        <f t="shared" si="54"/>
        <v>1.2738739162472761</v>
      </c>
      <c r="L39" s="4">
        <f t="shared" si="54"/>
        <v>1.314448991110484</v>
      </c>
      <c r="M39" s="4">
        <f t="shared" si="54"/>
        <v>1.3486613465447952</v>
      </c>
      <c r="N39" s="4">
        <f t="shared" si="54"/>
        <v>1.3914862371896379</v>
      </c>
      <c r="O39" s="4">
        <f t="shared" si="54"/>
        <v>1.4273029908700856</v>
      </c>
      <c r="P39" s="4">
        <f t="shared" si="54"/>
        <v>1.4680348473208642</v>
      </c>
      <c r="Q39" s="4">
        <f t="shared" si="54"/>
        <v>1.5025111184275852</v>
      </c>
      <c r="R39" s="4">
        <f t="shared" si="54"/>
        <v>1.5410114502819456</v>
      </c>
      <c r="S39" s="4">
        <f t="shared" si="54"/>
        <v>1.5786181270871549</v>
      </c>
      <c r="T39" s="4">
        <f t="shared" si="54"/>
        <v>1.6189109950927365</v>
      </c>
      <c r="U39" s="4">
        <f t="shared" si="54"/>
        <v>1.6553679402557633</v>
      </c>
      <c r="V39" s="4">
        <f t="shared" si="54"/>
        <v>1.6935886782789562</v>
      </c>
      <c r="W39" s="4">
        <f t="shared" si="54"/>
        <v>1.728903730879179</v>
      </c>
      <c r="X39" s="4">
        <f t="shared" si="54"/>
        <v>1.7687680625454014</v>
      </c>
      <c r="Y39" s="4">
        <f t="shared" si="54"/>
        <v>1.8067928235841317</v>
      </c>
      <c r="Z39" s="4">
        <f t="shared" si="54"/>
        <v>1.8453610941264393</v>
      </c>
      <c r="AA39" s="4">
        <f t="shared" si="54"/>
        <v>1.8824347135339092</v>
      </c>
      <c r="AB39" s="4">
        <f t="shared" si="54"/>
        <v>1.919584110708705</v>
      </c>
      <c r="AC39" s="4">
        <f t="shared" si="54"/>
        <v>1.9579198218961165</v>
      </c>
      <c r="AD39" s="4">
        <f t="shared" si="54"/>
        <v>1.996101364522417</v>
      </c>
      <c r="AE39" s="4">
        <f t="shared" si="54"/>
        <v>2.0334153823641619</v>
      </c>
      <c r="AF39" s="4">
        <f t="shared" ref="AF39:AG39" si="55">AF60/$B60</f>
        <v>2.0703217680782235</v>
      </c>
      <c r="AG39" s="4">
        <f t="shared" si="55"/>
        <v>2.1065069584894616</v>
      </c>
    </row>
    <row r="42" spans="1:33" x14ac:dyDescent="0.3"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 t="s">
        <v>83</v>
      </c>
      <c r="AE42" t="s">
        <v>83</v>
      </c>
      <c r="AF42" t="s">
        <v>83</v>
      </c>
      <c r="AG42" t="s">
        <v>83</v>
      </c>
    </row>
    <row r="43" spans="1:33" x14ac:dyDescent="0.3">
      <c r="B43">
        <v>2019</v>
      </c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3">
      <c r="A44" t="s">
        <v>0</v>
      </c>
      <c r="B44">
        <v>5.5019400000000003</v>
      </c>
      <c r="C44">
        <v>5.5880599999999996</v>
      </c>
      <c r="D44">
        <v>5.8342499999999999</v>
      </c>
      <c r="E44">
        <v>6.0154500000000004</v>
      </c>
      <c r="F44">
        <v>6.1236600000000001</v>
      </c>
      <c r="G44">
        <v>6.3799799999999998</v>
      </c>
      <c r="H44">
        <v>6.7082800000000002</v>
      </c>
      <c r="I44">
        <v>6.8391200000000003</v>
      </c>
      <c r="J44">
        <v>6.9447099999999997</v>
      </c>
      <c r="K44">
        <v>7.09361</v>
      </c>
      <c r="L44">
        <v>7.2363099999999996</v>
      </c>
      <c r="M44">
        <v>7.4146200000000002</v>
      </c>
      <c r="N44">
        <v>7.5270900000000003</v>
      </c>
      <c r="O44">
        <v>7.7308199999999996</v>
      </c>
      <c r="P44">
        <v>7.8541299999999996</v>
      </c>
      <c r="Q44">
        <v>8.0856499999999993</v>
      </c>
      <c r="R44">
        <v>8.1927400000000006</v>
      </c>
      <c r="S44">
        <v>8.3410899999999994</v>
      </c>
      <c r="T44">
        <v>8.4114799999999992</v>
      </c>
      <c r="U44">
        <v>8.5524000000000004</v>
      </c>
      <c r="V44">
        <v>8.6273400000000002</v>
      </c>
      <c r="W44">
        <v>8.7740899999999993</v>
      </c>
      <c r="X44">
        <v>8.8389500000000005</v>
      </c>
      <c r="Y44">
        <v>8.9752100000000006</v>
      </c>
      <c r="Z44">
        <v>9.0378600000000002</v>
      </c>
      <c r="AA44">
        <v>9.1622299999999992</v>
      </c>
      <c r="AB44">
        <v>9.2228499999999993</v>
      </c>
      <c r="AC44">
        <v>9.32667</v>
      </c>
      <c r="AD44">
        <v>9.3823600000000003</v>
      </c>
      <c r="AE44">
        <v>9.4752899999999993</v>
      </c>
      <c r="AF44">
        <v>9.5321200000000008</v>
      </c>
      <c r="AG44">
        <v>9.6142199999999995</v>
      </c>
    </row>
    <row r="45" spans="1:33" x14ac:dyDescent="0.3">
      <c r="A45" t="s">
        <v>1</v>
      </c>
      <c r="B45">
        <v>94.546199999999999</v>
      </c>
      <c r="C45">
        <v>98.506500000000003</v>
      </c>
      <c r="D45">
        <v>106.687</v>
      </c>
      <c r="E45">
        <v>113.705</v>
      </c>
      <c r="F45">
        <v>120.074</v>
      </c>
      <c r="G45">
        <v>125.71299999999999</v>
      </c>
      <c r="H45">
        <v>131.13300000000001</v>
      </c>
      <c r="I45">
        <v>136.05600000000001</v>
      </c>
      <c r="J45">
        <v>140.745</v>
      </c>
      <c r="K45">
        <v>145.154</v>
      </c>
      <c r="L45">
        <v>149.417</v>
      </c>
      <c r="M45">
        <v>153.49700000000001</v>
      </c>
      <c r="N45">
        <v>157.148</v>
      </c>
      <c r="O45">
        <v>160.571</v>
      </c>
      <c r="P45">
        <v>163.90600000000001</v>
      </c>
      <c r="Q45">
        <v>167.05</v>
      </c>
      <c r="R45">
        <v>170.16800000000001</v>
      </c>
      <c r="S45">
        <v>172.42099999999999</v>
      </c>
      <c r="T45">
        <v>174.53800000000001</v>
      </c>
      <c r="U45">
        <v>176.499</v>
      </c>
      <c r="V45">
        <v>178.40600000000001</v>
      </c>
      <c r="W45">
        <v>180.21199999999999</v>
      </c>
      <c r="X45">
        <v>181.88900000000001</v>
      </c>
      <c r="Y45">
        <v>183.46600000000001</v>
      </c>
      <c r="Z45">
        <v>184.99600000000001</v>
      </c>
      <c r="AA45">
        <v>186.43299999999999</v>
      </c>
      <c r="AB45">
        <v>187.833</v>
      </c>
      <c r="AC45">
        <v>189.006</v>
      </c>
      <c r="AD45">
        <v>190.13200000000001</v>
      </c>
      <c r="AE45">
        <v>191.173</v>
      </c>
      <c r="AF45">
        <v>192.16800000000001</v>
      </c>
      <c r="AG45">
        <v>193.1</v>
      </c>
    </row>
    <row r="46" spans="1:33" x14ac:dyDescent="0.3">
      <c r="A46" t="s">
        <v>2</v>
      </c>
      <c r="B46">
        <v>9.4729100000000006</v>
      </c>
      <c r="C46">
        <v>9.3001199999999997</v>
      </c>
      <c r="D46">
        <v>9.4907800000000009</v>
      </c>
      <c r="E46">
        <v>9.73142</v>
      </c>
      <c r="F46">
        <v>10.0015</v>
      </c>
      <c r="G46">
        <v>10.2087</v>
      </c>
      <c r="H46">
        <v>10.425000000000001</v>
      </c>
      <c r="I46">
        <v>10.6097</v>
      </c>
      <c r="J46">
        <v>10.7948</v>
      </c>
      <c r="K46">
        <v>10.9597</v>
      </c>
      <c r="L46">
        <v>11.1205</v>
      </c>
      <c r="M46">
        <v>11.269</v>
      </c>
      <c r="N46">
        <v>11.4421</v>
      </c>
      <c r="O46">
        <v>11.6012</v>
      </c>
      <c r="P46">
        <v>11.7614</v>
      </c>
      <c r="Q46">
        <v>11.9061</v>
      </c>
      <c r="R46">
        <v>12.0563</v>
      </c>
      <c r="S46">
        <v>12.2018</v>
      </c>
      <c r="T46">
        <v>12.3467</v>
      </c>
      <c r="U46">
        <v>12.4801</v>
      </c>
      <c r="V46">
        <v>12.6122</v>
      </c>
      <c r="W46">
        <v>12.7348</v>
      </c>
      <c r="X46">
        <v>12.87</v>
      </c>
      <c r="Y46">
        <v>12.997</v>
      </c>
      <c r="Z46">
        <v>13.124499999999999</v>
      </c>
      <c r="AA46">
        <v>13.2433</v>
      </c>
      <c r="AB46">
        <v>13.362</v>
      </c>
      <c r="AC46">
        <v>13.4864</v>
      </c>
      <c r="AD46">
        <v>13.6105</v>
      </c>
      <c r="AE46">
        <v>13.728199999999999</v>
      </c>
      <c r="AF46">
        <v>13.8438</v>
      </c>
      <c r="AG46">
        <v>13.954000000000001</v>
      </c>
    </row>
    <row r="47" spans="1:33" x14ac:dyDescent="0.3">
      <c r="A47" t="s">
        <v>3</v>
      </c>
      <c r="B47">
        <v>13.2415</v>
      </c>
      <c r="C47">
        <v>12.992699999999999</v>
      </c>
      <c r="D47">
        <v>13.620200000000001</v>
      </c>
      <c r="E47">
        <v>13.4977</v>
      </c>
      <c r="F47">
        <v>13.337899999999999</v>
      </c>
      <c r="G47">
        <v>13.1159</v>
      </c>
      <c r="H47">
        <v>12.8964</v>
      </c>
      <c r="I47">
        <v>13.002599999999999</v>
      </c>
      <c r="J47">
        <v>13.1356</v>
      </c>
      <c r="K47">
        <v>13.2661</v>
      </c>
      <c r="L47">
        <v>13.395899999999999</v>
      </c>
      <c r="M47">
        <v>13.519500000000001</v>
      </c>
      <c r="N47">
        <v>13.718500000000001</v>
      </c>
      <c r="O47">
        <v>13.915699999999999</v>
      </c>
      <c r="P47">
        <v>14.1122</v>
      </c>
      <c r="Q47">
        <v>14.301399999999999</v>
      </c>
      <c r="R47">
        <v>14.4903</v>
      </c>
      <c r="S47">
        <v>14.6859</v>
      </c>
      <c r="T47">
        <v>14.8803</v>
      </c>
      <c r="U47">
        <v>15.0688</v>
      </c>
      <c r="V47">
        <v>15.2552</v>
      </c>
      <c r="W47">
        <v>15.4367</v>
      </c>
      <c r="X47">
        <v>15.621</v>
      </c>
      <c r="Y47">
        <v>15.800800000000001</v>
      </c>
      <c r="Z47">
        <v>15.979100000000001</v>
      </c>
      <c r="AA47">
        <v>16.153199999999998</v>
      </c>
      <c r="AB47">
        <v>16.325800000000001</v>
      </c>
      <c r="AC47">
        <v>16.498100000000001</v>
      </c>
      <c r="AD47">
        <v>16.668800000000001</v>
      </c>
      <c r="AE47">
        <v>16.836300000000001</v>
      </c>
      <c r="AF47">
        <v>17.001899999999999</v>
      </c>
      <c r="AG47">
        <v>17.1647</v>
      </c>
    </row>
    <row r="48" spans="1:33" x14ac:dyDescent="0.3">
      <c r="A48" t="s">
        <v>4</v>
      </c>
      <c r="B48">
        <v>0.20597199999999999</v>
      </c>
      <c r="C48">
        <v>0.197628</v>
      </c>
      <c r="D48">
        <v>0.201458</v>
      </c>
      <c r="E48">
        <v>0.20888699999999999</v>
      </c>
      <c r="F48">
        <v>0.21831300000000001</v>
      </c>
      <c r="G48">
        <v>0.22622700000000001</v>
      </c>
      <c r="H48">
        <v>0.234849</v>
      </c>
      <c r="I48">
        <v>0.243059</v>
      </c>
      <c r="J48">
        <v>0.25166699999999997</v>
      </c>
      <c r="K48">
        <v>0.26006499999999999</v>
      </c>
      <c r="L48">
        <v>0.26854099999999997</v>
      </c>
      <c r="M48">
        <v>0.276945</v>
      </c>
      <c r="N48">
        <v>0.287186</v>
      </c>
      <c r="O48">
        <v>0.29752000000000001</v>
      </c>
      <c r="P48">
        <v>0.30787700000000001</v>
      </c>
      <c r="Q48">
        <v>0.31823000000000001</v>
      </c>
      <c r="R48">
        <v>0.32874100000000001</v>
      </c>
      <c r="S48">
        <v>0.34005999999999997</v>
      </c>
      <c r="T48">
        <v>0.351628</v>
      </c>
      <c r="U48">
        <v>0.363317</v>
      </c>
      <c r="V48">
        <v>0.37528400000000001</v>
      </c>
      <c r="W48">
        <v>0.38755000000000001</v>
      </c>
      <c r="X48">
        <v>0.40126499999999998</v>
      </c>
      <c r="Y48">
        <v>0.41542699999999999</v>
      </c>
      <c r="Z48">
        <v>0.43012299999999998</v>
      </c>
      <c r="AA48">
        <v>0.44539099999999998</v>
      </c>
      <c r="AB48">
        <v>0.46139000000000002</v>
      </c>
      <c r="AC48">
        <v>0.47977199999999998</v>
      </c>
      <c r="AD48">
        <v>0.49909799999999999</v>
      </c>
      <c r="AE48">
        <v>0.51939400000000002</v>
      </c>
      <c r="AF48">
        <v>0.54083300000000001</v>
      </c>
      <c r="AG48">
        <v>0.56354800000000005</v>
      </c>
    </row>
    <row r="49" spans="1:33" x14ac:dyDescent="0.3">
      <c r="A49" t="s">
        <v>5</v>
      </c>
      <c r="B49">
        <v>0.100158</v>
      </c>
      <c r="C49">
        <v>9.8593500000000001E-2</v>
      </c>
      <c r="D49">
        <v>0.103382</v>
      </c>
      <c r="E49">
        <v>0.109012</v>
      </c>
      <c r="F49">
        <v>0.115137</v>
      </c>
      <c r="G49">
        <v>0.120119</v>
      </c>
      <c r="H49">
        <v>0.12547900000000001</v>
      </c>
      <c r="I49">
        <v>0.13257099999999999</v>
      </c>
      <c r="J49">
        <v>0.13986000000000001</v>
      </c>
      <c r="K49">
        <v>0.14682899999999999</v>
      </c>
      <c r="L49">
        <v>0.153832</v>
      </c>
      <c r="M49">
        <v>0.16067200000000001</v>
      </c>
      <c r="N49">
        <v>0.16966899999999999</v>
      </c>
      <c r="O49">
        <v>0.178594</v>
      </c>
      <c r="P49">
        <v>0.18759100000000001</v>
      </c>
      <c r="Q49">
        <v>0.196436</v>
      </c>
      <c r="R49">
        <v>0.20543</v>
      </c>
      <c r="S49">
        <v>0.216811</v>
      </c>
      <c r="T49">
        <v>0.22831499999999999</v>
      </c>
      <c r="U49">
        <v>0.23973900000000001</v>
      </c>
      <c r="V49">
        <v>0.251249</v>
      </c>
      <c r="W49">
        <v>0.26273099999999999</v>
      </c>
      <c r="X49">
        <v>0.27682299999999999</v>
      </c>
      <c r="Y49">
        <v>0.29100399999999998</v>
      </c>
      <c r="Z49">
        <v>0.305342</v>
      </c>
      <c r="AA49">
        <v>0.31967099999999998</v>
      </c>
      <c r="AB49">
        <v>0.33411999999999997</v>
      </c>
      <c r="AC49">
        <v>0.35122700000000001</v>
      </c>
      <c r="AD49">
        <v>0.36854799999999999</v>
      </c>
      <c r="AE49">
        <v>0.38588299999999998</v>
      </c>
      <c r="AF49">
        <v>0.40329399999999999</v>
      </c>
      <c r="AG49">
        <v>0.420684</v>
      </c>
    </row>
    <row r="50" spans="1:33" x14ac:dyDescent="0.3">
      <c r="A50" t="s">
        <v>6</v>
      </c>
      <c r="B50">
        <v>48.805999999999997</v>
      </c>
      <c r="C50">
        <v>48.276499999999999</v>
      </c>
      <c r="D50">
        <v>50.774999999999999</v>
      </c>
      <c r="E50">
        <v>52.181399999999996</v>
      </c>
      <c r="F50">
        <v>53.4253</v>
      </c>
      <c r="G50">
        <v>54.481299999999997</v>
      </c>
      <c r="H50">
        <v>55.453400000000002</v>
      </c>
      <c r="I50">
        <v>56.678600000000003</v>
      </c>
      <c r="J50">
        <v>57.887999999999998</v>
      </c>
      <c r="K50">
        <v>59.049199999999999</v>
      </c>
      <c r="L50">
        <v>60.173999999999999</v>
      </c>
      <c r="M50">
        <v>61.258000000000003</v>
      </c>
      <c r="N50">
        <v>62.2883</v>
      </c>
      <c r="O50">
        <v>63.265599999999999</v>
      </c>
      <c r="P50">
        <v>64.217200000000005</v>
      </c>
      <c r="Q50">
        <v>65.132400000000004</v>
      </c>
      <c r="R50">
        <v>66.030299999999997</v>
      </c>
      <c r="S50">
        <v>66.908299999999997</v>
      </c>
      <c r="T50">
        <v>67.758499999999998</v>
      </c>
      <c r="U50">
        <v>68.578000000000003</v>
      </c>
      <c r="V50">
        <v>69.377899999999997</v>
      </c>
      <c r="W50">
        <v>70.152000000000001</v>
      </c>
      <c r="X50">
        <v>70.928899999999999</v>
      </c>
      <c r="Y50">
        <v>71.681299999999993</v>
      </c>
      <c r="Z50">
        <v>72.422499999999999</v>
      </c>
      <c r="AA50">
        <v>73.139799999999994</v>
      </c>
      <c r="AB50">
        <v>73.845500000000001</v>
      </c>
      <c r="AC50">
        <v>74.554400000000001</v>
      </c>
      <c r="AD50">
        <v>75.249700000000004</v>
      </c>
      <c r="AE50">
        <v>75.927400000000006</v>
      </c>
      <c r="AF50">
        <v>76.590199999999996</v>
      </c>
      <c r="AG50">
        <v>77.2363</v>
      </c>
    </row>
    <row r="51" spans="1:33" x14ac:dyDescent="0.3">
      <c r="A51" t="s">
        <v>7</v>
      </c>
      <c r="B51">
        <v>14.3955</v>
      </c>
      <c r="C51">
        <v>13.721299999999999</v>
      </c>
      <c r="D51">
        <v>14.504</v>
      </c>
      <c r="E51">
        <v>14.852499999999999</v>
      </c>
      <c r="F51">
        <v>15.188599999999999</v>
      </c>
      <c r="G51">
        <v>15.4687</v>
      </c>
      <c r="H51">
        <v>15.746</v>
      </c>
      <c r="I51">
        <v>16.154599999999999</v>
      </c>
      <c r="J51">
        <v>16.568899999999999</v>
      </c>
      <c r="K51">
        <v>16.971399999999999</v>
      </c>
      <c r="L51">
        <v>17.3675</v>
      </c>
      <c r="M51">
        <v>17.753499999999999</v>
      </c>
      <c r="N51">
        <v>18.2453</v>
      </c>
      <c r="O51">
        <v>18.731999999999999</v>
      </c>
      <c r="P51">
        <v>19.216000000000001</v>
      </c>
      <c r="Q51">
        <v>19.689</v>
      </c>
      <c r="R51">
        <v>20.159700000000001</v>
      </c>
      <c r="S51">
        <v>20.716200000000001</v>
      </c>
      <c r="T51">
        <v>21.2728</v>
      </c>
      <c r="U51">
        <v>21.8217</v>
      </c>
      <c r="V51">
        <v>22.365300000000001</v>
      </c>
      <c r="W51">
        <v>22.900700000000001</v>
      </c>
      <c r="X51">
        <v>23.514199999999999</v>
      </c>
      <c r="Y51">
        <v>24.125599999999999</v>
      </c>
      <c r="Z51">
        <v>24.735700000000001</v>
      </c>
      <c r="AA51">
        <v>25.337700000000002</v>
      </c>
      <c r="AB51">
        <v>25.936399999999999</v>
      </c>
      <c r="AC51">
        <v>26.5977</v>
      </c>
      <c r="AD51">
        <v>27.259499999999999</v>
      </c>
      <c r="AE51">
        <v>27.9162</v>
      </c>
      <c r="AF51">
        <v>28.567799999999998</v>
      </c>
      <c r="AG51">
        <v>29.213100000000001</v>
      </c>
    </row>
    <row r="52" spans="1:33" x14ac:dyDescent="0.3">
      <c r="A52" t="s">
        <v>8</v>
      </c>
      <c r="B52">
        <v>24.049800000000001</v>
      </c>
      <c r="C52">
        <v>23.3322</v>
      </c>
      <c r="D52">
        <v>24.583100000000002</v>
      </c>
      <c r="E52">
        <v>25.002300000000002</v>
      </c>
      <c r="F52">
        <v>25.341799999999999</v>
      </c>
      <c r="G52">
        <v>25.597300000000001</v>
      </c>
      <c r="H52">
        <v>25.82</v>
      </c>
      <c r="I52">
        <v>26.3995</v>
      </c>
      <c r="J52">
        <v>26.9876</v>
      </c>
      <c r="K52">
        <v>27.5578</v>
      </c>
      <c r="L52">
        <v>28.113199999999999</v>
      </c>
      <c r="M52">
        <v>28.649000000000001</v>
      </c>
      <c r="N52">
        <v>29.243500000000001</v>
      </c>
      <c r="O52">
        <v>29.815999999999999</v>
      </c>
      <c r="P52">
        <v>30.3809</v>
      </c>
      <c r="Q52">
        <v>30.9224</v>
      </c>
      <c r="R52">
        <v>31.459599999999998</v>
      </c>
      <c r="S52">
        <v>32.0364</v>
      </c>
      <c r="T52">
        <v>32.6023</v>
      </c>
      <c r="U52">
        <v>33.148000000000003</v>
      </c>
      <c r="V52">
        <v>33.683100000000003</v>
      </c>
      <c r="W52">
        <v>34.200200000000002</v>
      </c>
      <c r="X52">
        <v>34.752200000000002</v>
      </c>
      <c r="Y52">
        <v>35.287700000000001</v>
      </c>
      <c r="Z52">
        <v>35.816899999999997</v>
      </c>
      <c r="AA52">
        <v>36.328200000000002</v>
      </c>
      <c r="AB52">
        <v>36.8322</v>
      </c>
      <c r="AC52">
        <v>37.3536</v>
      </c>
      <c r="AD52">
        <v>37.867100000000001</v>
      </c>
      <c r="AE52">
        <v>38.366799999999998</v>
      </c>
      <c r="AF52">
        <v>38.855899999999998</v>
      </c>
      <c r="AG52">
        <v>39.331400000000002</v>
      </c>
    </row>
    <row r="53" spans="1:33" x14ac:dyDescent="0.3">
      <c r="A53" t="s">
        <v>9</v>
      </c>
      <c r="B53">
        <v>6.3027300000000004</v>
      </c>
      <c r="C53">
        <v>6.1928900000000002</v>
      </c>
      <c r="D53">
        <v>6.5389699999999999</v>
      </c>
      <c r="E53">
        <v>6.67753</v>
      </c>
      <c r="F53">
        <v>6.7918599999999998</v>
      </c>
      <c r="G53">
        <v>6.8804600000000002</v>
      </c>
      <c r="H53">
        <v>6.9623200000000001</v>
      </c>
      <c r="I53">
        <v>7.1418900000000001</v>
      </c>
      <c r="J53">
        <v>7.3257099999999999</v>
      </c>
      <c r="K53">
        <v>7.5048500000000002</v>
      </c>
      <c r="L53">
        <v>7.6795099999999996</v>
      </c>
      <c r="M53">
        <v>7.8484299999999996</v>
      </c>
      <c r="N53">
        <v>7.9932100000000004</v>
      </c>
      <c r="O53">
        <v>8.1302000000000003</v>
      </c>
      <c r="P53">
        <v>8.2632300000000001</v>
      </c>
      <c r="Q53">
        <v>8.3899600000000003</v>
      </c>
      <c r="R53">
        <v>8.5143599999999999</v>
      </c>
      <c r="S53">
        <v>8.6151</v>
      </c>
      <c r="T53">
        <v>8.7110400000000006</v>
      </c>
      <c r="U53">
        <v>8.8018400000000003</v>
      </c>
      <c r="V53">
        <v>8.88964</v>
      </c>
      <c r="W53">
        <v>8.97349</v>
      </c>
      <c r="X53">
        <v>9.0322499999999994</v>
      </c>
      <c r="Y53">
        <v>9.0861999999999998</v>
      </c>
      <c r="Z53">
        <v>9.1380400000000002</v>
      </c>
      <c r="AA53">
        <v>9.1866000000000003</v>
      </c>
      <c r="AB53">
        <v>9.2335399999999996</v>
      </c>
      <c r="AC53">
        <v>9.2672699999999999</v>
      </c>
      <c r="AD53">
        <v>9.2986699999999995</v>
      </c>
      <c r="AE53">
        <v>9.3276699999999995</v>
      </c>
      <c r="AF53">
        <v>9.3549799999999994</v>
      </c>
      <c r="AG53">
        <v>9.38035</v>
      </c>
    </row>
    <row r="54" spans="1:33" x14ac:dyDescent="0.3">
      <c r="A54" t="s">
        <v>10</v>
      </c>
      <c r="B54">
        <v>5.8381999999999996</v>
      </c>
      <c r="C54">
        <v>5.7885099999999996</v>
      </c>
      <c r="D54">
        <v>6.0441099999999999</v>
      </c>
      <c r="E54">
        <v>6.2085299999999997</v>
      </c>
      <c r="F54">
        <v>6.3473199999999999</v>
      </c>
      <c r="G54">
        <v>6.4556899999999997</v>
      </c>
      <c r="H54">
        <v>6.5600699999999996</v>
      </c>
      <c r="I54">
        <v>6.7749300000000003</v>
      </c>
      <c r="J54">
        <v>6.9953200000000004</v>
      </c>
      <c r="K54">
        <v>7.2117000000000004</v>
      </c>
      <c r="L54">
        <v>7.4270300000000002</v>
      </c>
      <c r="M54">
        <v>7.6381399999999999</v>
      </c>
      <c r="N54">
        <v>7.8797300000000003</v>
      </c>
      <c r="O54">
        <v>8.1181400000000004</v>
      </c>
      <c r="P54">
        <v>8.3559400000000004</v>
      </c>
      <c r="Q54">
        <v>8.5873200000000001</v>
      </c>
      <c r="R54">
        <v>8.8190600000000003</v>
      </c>
      <c r="S54">
        <v>9.0482800000000001</v>
      </c>
      <c r="T54">
        <v>9.2758000000000003</v>
      </c>
      <c r="U54">
        <v>9.4976800000000008</v>
      </c>
      <c r="V54">
        <v>9.7177299999999995</v>
      </c>
      <c r="W54">
        <v>9.9332999999999991</v>
      </c>
      <c r="X54">
        <v>10.144500000000001</v>
      </c>
      <c r="Y54">
        <v>10.3514</v>
      </c>
      <c r="Z54">
        <v>10.556800000000001</v>
      </c>
      <c r="AA54">
        <v>10.7583</v>
      </c>
      <c r="AB54">
        <v>10.9587</v>
      </c>
      <c r="AC54">
        <v>11.1609</v>
      </c>
      <c r="AD54">
        <v>11.362399999999999</v>
      </c>
      <c r="AE54">
        <v>11.5608</v>
      </c>
      <c r="AF54">
        <v>11.7577</v>
      </c>
      <c r="AG54">
        <v>11.952199999999999</v>
      </c>
    </row>
    <row r="55" spans="1:33" x14ac:dyDescent="0.3">
      <c r="A55" t="s">
        <v>11</v>
      </c>
      <c r="B55">
        <v>19.360199999999999</v>
      </c>
      <c r="C55">
        <v>19.052600000000002</v>
      </c>
      <c r="D55">
        <v>19.745899999999999</v>
      </c>
      <c r="E55">
        <v>20.553599999999999</v>
      </c>
      <c r="F55">
        <v>21.354099999999999</v>
      </c>
      <c r="G55">
        <v>22.1342</v>
      </c>
      <c r="H55">
        <v>22.882999999999999</v>
      </c>
      <c r="I55">
        <v>23.820599999999999</v>
      </c>
      <c r="J55">
        <v>24.7622</v>
      </c>
      <c r="K55">
        <v>25.6921</v>
      </c>
      <c r="L55">
        <v>26.612400000000001</v>
      </c>
      <c r="M55">
        <v>27.516300000000001</v>
      </c>
      <c r="N55">
        <v>28.546099999999999</v>
      </c>
      <c r="O55">
        <v>29.567900000000002</v>
      </c>
      <c r="P55">
        <v>30.5839</v>
      </c>
      <c r="Q55">
        <v>31.583600000000001</v>
      </c>
      <c r="R55">
        <v>32.574100000000001</v>
      </c>
      <c r="S55">
        <v>33.682699999999997</v>
      </c>
      <c r="T55">
        <v>34.79</v>
      </c>
      <c r="U55">
        <v>35.880000000000003</v>
      </c>
      <c r="V55">
        <v>36.959400000000002</v>
      </c>
      <c r="W55">
        <v>38.018799999999999</v>
      </c>
      <c r="X55">
        <v>39.18</v>
      </c>
      <c r="Y55">
        <v>40.3309</v>
      </c>
      <c r="Z55">
        <v>41.472299999999997</v>
      </c>
      <c r="AA55">
        <v>42.593800000000002</v>
      </c>
      <c r="AB55">
        <v>43.702300000000001</v>
      </c>
      <c r="AC55">
        <v>44.912100000000002</v>
      </c>
      <c r="AD55">
        <v>46.118400000000001</v>
      </c>
      <c r="AE55">
        <v>47.305900000000001</v>
      </c>
      <c r="AF55">
        <v>48.477800000000002</v>
      </c>
      <c r="AG55">
        <v>49.628700000000002</v>
      </c>
    </row>
    <row r="56" spans="1:33" x14ac:dyDescent="0.3">
      <c r="A56" t="s">
        <v>12</v>
      </c>
      <c r="B56">
        <v>7.5970300000000002</v>
      </c>
      <c r="C56">
        <v>7.6545500000000004</v>
      </c>
      <c r="D56">
        <v>7.9651899999999998</v>
      </c>
      <c r="E56">
        <v>8.3124900000000004</v>
      </c>
      <c r="F56">
        <v>8.6666500000000006</v>
      </c>
      <c r="G56">
        <v>8.9984300000000008</v>
      </c>
      <c r="H56">
        <v>9.3295999999999992</v>
      </c>
      <c r="I56">
        <v>9.7724799999999998</v>
      </c>
      <c r="J56">
        <v>10.224</v>
      </c>
      <c r="K56">
        <v>10.6699</v>
      </c>
      <c r="L56">
        <v>11.112299999999999</v>
      </c>
      <c r="M56">
        <v>11.5474</v>
      </c>
      <c r="N56">
        <v>12.1609</v>
      </c>
      <c r="O56">
        <v>12.781599999999999</v>
      </c>
      <c r="P56">
        <v>13.403700000000001</v>
      </c>
      <c r="Q56">
        <v>14.015700000000001</v>
      </c>
      <c r="R56">
        <v>14.625400000000001</v>
      </c>
      <c r="S56">
        <v>15.3673</v>
      </c>
      <c r="T56">
        <v>16.114599999999999</v>
      </c>
      <c r="U56">
        <v>16.853200000000001</v>
      </c>
      <c r="V56">
        <v>17.584800000000001</v>
      </c>
      <c r="W56">
        <v>18.304300000000001</v>
      </c>
      <c r="X56">
        <v>19.193999999999999</v>
      </c>
      <c r="Y56">
        <v>20.086400000000001</v>
      </c>
      <c r="Z56">
        <v>20.975000000000001</v>
      </c>
      <c r="AA56">
        <v>21.850200000000001</v>
      </c>
      <c r="AB56">
        <v>22.715900000000001</v>
      </c>
      <c r="AC56">
        <v>23.779599999999999</v>
      </c>
      <c r="AD56">
        <v>24.85</v>
      </c>
      <c r="AE56">
        <v>25.9101</v>
      </c>
      <c r="AF56">
        <v>26.957599999999999</v>
      </c>
      <c r="AG56">
        <v>27.989100000000001</v>
      </c>
    </row>
    <row r="57" spans="1:33" x14ac:dyDescent="0.3">
      <c r="A57" t="s">
        <v>13</v>
      </c>
      <c r="B57">
        <v>3.07673</v>
      </c>
      <c r="C57">
        <v>3.21862</v>
      </c>
      <c r="D57">
        <v>3.3285200000000001</v>
      </c>
      <c r="E57">
        <v>3.5607600000000001</v>
      </c>
      <c r="F57">
        <v>3.7884199999999999</v>
      </c>
      <c r="G57">
        <v>3.9994800000000001</v>
      </c>
      <c r="H57">
        <v>4.2037399999999998</v>
      </c>
      <c r="I57">
        <v>4.4719199999999999</v>
      </c>
      <c r="J57">
        <v>4.73163</v>
      </c>
      <c r="K57">
        <v>4.97689</v>
      </c>
      <c r="L57">
        <v>5.2134600000000004</v>
      </c>
      <c r="M57">
        <v>5.4383299999999997</v>
      </c>
      <c r="N57">
        <v>5.6878200000000003</v>
      </c>
      <c r="O57">
        <v>5.9251300000000002</v>
      </c>
      <c r="P57">
        <v>6.1553800000000001</v>
      </c>
      <c r="Q57">
        <v>6.3736899999999999</v>
      </c>
      <c r="R57">
        <v>6.5870499999999996</v>
      </c>
      <c r="S57">
        <v>6.7843900000000001</v>
      </c>
      <c r="T57">
        <v>6.9753400000000001</v>
      </c>
      <c r="U57">
        <v>7.15787</v>
      </c>
      <c r="V57">
        <v>7.3352399999999998</v>
      </c>
      <c r="W57">
        <v>7.5062100000000003</v>
      </c>
      <c r="X57">
        <v>7.6685299999999996</v>
      </c>
      <c r="Y57">
        <v>7.8254599999999996</v>
      </c>
      <c r="Z57">
        <v>7.97919</v>
      </c>
      <c r="AA57">
        <v>8.1278699999999997</v>
      </c>
      <c r="AB57">
        <v>8.2738300000000002</v>
      </c>
      <c r="AC57">
        <v>8.4130000000000003</v>
      </c>
      <c r="AD57">
        <v>8.5495099999999997</v>
      </c>
      <c r="AE57">
        <v>8.6821999999999999</v>
      </c>
      <c r="AF57">
        <v>8.8120700000000003</v>
      </c>
      <c r="AG57">
        <v>8.9387100000000004</v>
      </c>
    </row>
    <row r="58" spans="1:33" x14ac:dyDescent="0.3">
      <c r="A58" t="s">
        <v>14</v>
      </c>
      <c r="B58">
        <v>24.721399999999999</v>
      </c>
      <c r="C58">
        <v>24.303999999999998</v>
      </c>
      <c r="D58">
        <v>25.895499999999998</v>
      </c>
      <c r="E58">
        <v>27.570699999999999</v>
      </c>
      <c r="F58">
        <v>29.256799999999998</v>
      </c>
      <c r="G58">
        <v>30.808</v>
      </c>
      <c r="H58">
        <v>32.372300000000003</v>
      </c>
      <c r="I58">
        <v>34.305799999999998</v>
      </c>
      <c r="J58">
        <v>36.264600000000002</v>
      </c>
      <c r="K58">
        <v>38.164400000000001</v>
      </c>
      <c r="L58">
        <v>40.041600000000003</v>
      </c>
      <c r="M58">
        <v>41.868899999999996</v>
      </c>
      <c r="N58">
        <v>43.881999999999998</v>
      </c>
      <c r="O58">
        <v>45.857100000000003</v>
      </c>
      <c r="P58">
        <v>47.814100000000003</v>
      </c>
      <c r="Q58">
        <v>49.700099999999999</v>
      </c>
      <c r="R58">
        <v>51.584499999999998</v>
      </c>
      <c r="S58">
        <v>53.626300000000001</v>
      </c>
      <c r="T58">
        <v>55.666899999999998</v>
      </c>
      <c r="U58">
        <v>57.638399999999997</v>
      </c>
      <c r="V58">
        <v>59.584099999999999</v>
      </c>
      <c r="W58">
        <v>61.469900000000003</v>
      </c>
      <c r="X58">
        <v>63.560600000000001</v>
      </c>
      <c r="Y58">
        <v>65.615600000000001</v>
      </c>
      <c r="Z58">
        <v>67.640299999999996</v>
      </c>
      <c r="AA58">
        <v>69.605800000000002</v>
      </c>
      <c r="AB58">
        <v>71.540099999999995</v>
      </c>
      <c r="AC58">
        <v>73.657600000000002</v>
      </c>
      <c r="AD58">
        <v>75.765000000000001</v>
      </c>
      <c r="AE58">
        <v>77.811199999999999</v>
      </c>
      <c r="AF58">
        <v>79.819400000000002</v>
      </c>
      <c r="AG58">
        <v>81.772099999999995</v>
      </c>
    </row>
    <row r="59" spans="1:33" x14ac:dyDescent="0.3">
      <c r="A59" t="s">
        <v>15</v>
      </c>
      <c r="B59">
        <v>14.6279</v>
      </c>
      <c r="C59">
        <v>14.2683</v>
      </c>
      <c r="D59">
        <v>14.7318</v>
      </c>
      <c r="E59">
        <v>16.119700000000002</v>
      </c>
      <c r="F59">
        <v>17.566700000000001</v>
      </c>
      <c r="G59">
        <v>18.979199999999999</v>
      </c>
      <c r="H59">
        <v>20.3568</v>
      </c>
      <c r="I59">
        <v>21.334</v>
      </c>
      <c r="J59">
        <v>22.250299999999999</v>
      </c>
      <c r="K59">
        <v>23.165099999999999</v>
      </c>
      <c r="L59">
        <v>24.0261</v>
      </c>
      <c r="M59">
        <v>24.9069</v>
      </c>
      <c r="N59">
        <v>25.772500000000001</v>
      </c>
      <c r="O59">
        <v>26.649000000000001</v>
      </c>
      <c r="P59">
        <v>27.481999999999999</v>
      </c>
      <c r="Q59">
        <v>28.3111</v>
      </c>
      <c r="R59">
        <v>29.116800000000001</v>
      </c>
      <c r="S59">
        <v>29.921700000000001</v>
      </c>
      <c r="T59">
        <v>30.703199999999999</v>
      </c>
      <c r="U59">
        <v>31.464400000000001</v>
      </c>
      <c r="V59">
        <v>32.208799999999997</v>
      </c>
      <c r="W59">
        <v>32.931100000000001</v>
      </c>
      <c r="X59">
        <v>33.648299999999999</v>
      </c>
      <c r="Y59">
        <v>34.343699999999998</v>
      </c>
      <c r="Z59">
        <v>35.030500000000004</v>
      </c>
      <c r="AA59">
        <v>35.693300000000001</v>
      </c>
      <c r="AB59">
        <v>36.347000000000001</v>
      </c>
      <c r="AC59">
        <v>36.990200000000002</v>
      </c>
      <c r="AD59">
        <v>37.624200000000002</v>
      </c>
      <c r="AE59">
        <v>38.238</v>
      </c>
      <c r="AF59">
        <v>38.8386</v>
      </c>
      <c r="AG59">
        <v>39.4206</v>
      </c>
    </row>
    <row r="60" spans="1:33" x14ac:dyDescent="0.3">
      <c r="A60" t="s">
        <v>16</v>
      </c>
      <c r="B60">
        <v>3.8269799999999998</v>
      </c>
      <c r="C60">
        <v>3.8804099999999999</v>
      </c>
      <c r="D60">
        <v>3.9905599999999999</v>
      </c>
      <c r="E60">
        <v>4.1060999999999996</v>
      </c>
      <c r="F60">
        <v>4.2199499999999999</v>
      </c>
      <c r="G60">
        <v>4.3264199999999997</v>
      </c>
      <c r="H60">
        <v>4.4299299999999997</v>
      </c>
      <c r="I60">
        <v>4.5769099999999998</v>
      </c>
      <c r="J60">
        <v>4.7339500000000001</v>
      </c>
      <c r="K60">
        <v>4.8750900000000001</v>
      </c>
      <c r="L60">
        <v>5.0303699999999996</v>
      </c>
      <c r="M60">
        <v>5.1612999999999998</v>
      </c>
      <c r="N60">
        <v>5.3251900000000001</v>
      </c>
      <c r="O60">
        <v>5.4622599999999997</v>
      </c>
      <c r="P60">
        <v>5.6181400000000004</v>
      </c>
      <c r="Q60">
        <v>5.7500799999999996</v>
      </c>
      <c r="R60">
        <v>5.8974200000000003</v>
      </c>
      <c r="S60">
        <v>6.0413399999999999</v>
      </c>
      <c r="T60">
        <v>6.1955400000000003</v>
      </c>
      <c r="U60">
        <v>6.3350600000000004</v>
      </c>
      <c r="V60">
        <v>6.4813299999999998</v>
      </c>
      <c r="W60">
        <v>6.6164800000000001</v>
      </c>
      <c r="X60">
        <v>6.7690400000000004</v>
      </c>
      <c r="Y60">
        <v>6.9145599999999998</v>
      </c>
      <c r="Z60">
        <v>7.0621600000000004</v>
      </c>
      <c r="AA60">
        <v>7.20404</v>
      </c>
      <c r="AB60">
        <v>7.3462100000000001</v>
      </c>
      <c r="AC60">
        <v>7.4929199999999998</v>
      </c>
      <c r="AD60">
        <v>7.6390399999999996</v>
      </c>
      <c r="AE60">
        <v>7.7818399999999999</v>
      </c>
      <c r="AF60">
        <v>7.9230799999999997</v>
      </c>
      <c r="AG60">
        <v>8.0615600000000001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92D-9F54-4F75-9A80-DC7BCCB82108}">
  <dimension ref="A1:AG18"/>
  <sheetViews>
    <sheetView topLeftCell="L1" workbookViewId="0">
      <selection activeCell="AA23" sqref="AA23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0.96880530280148291</v>
      </c>
      <c r="D2" s="30">
        <f>PERMIT_NZ!D2</f>
        <v>0.93761060560296583</v>
      </c>
      <c r="E2" s="30">
        <f>PERMIT_NZ!E2</f>
        <v>0.90641590840444874</v>
      </c>
      <c r="F2" s="30">
        <f>PERMIT_NZ!F2</f>
        <v>0.87522121120593166</v>
      </c>
      <c r="G2" s="30">
        <f>PERMIT_NZ!G2</f>
        <v>0.84402651400741457</v>
      </c>
      <c r="H2" s="30">
        <f>PERMIT_NZ!H2</f>
        <v>0.81283181680889749</v>
      </c>
      <c r="I2" s="30">
        <f>PERMIT_NZ!I2</f>
        <v>0.7816371196103804</v>
      </c>
      <c r="J2" s="30">
        <f>PERMIT_NZ!J2</f>
        <v>0.75044242241186332</v>
      </c>
      <c r="K2" s="30">
        <f>PERMIT_NZ!K2</f>
        <v>0.71924772521334623</v>
      </c>
      <c r="L2" s="30">
        <f>PERMIT_NZ!L2</f>
        <v>0.68805302801482915</v>
      </c>
      <c r="M2" s="30">
        <f>PERMIT_NZ!M2</f>
        <v>0.65685833081631229</v>
      </c>
      <c r="N2" s="30">
        <f>PERMIT_NZ!N2</f>
        <v>0.62811088203873577</v>
      </c>
      <c r="O2" s="30">
        <f>PERMIT_NZ!O2</f>
        <v>0.59936343326115926</v>
      </c>
      <c r="P2" s="30">
        <f>PERMIT_NZ!P2</f>
        <v>0.57061598448358275</v>
      </c>
      <c r="Q2" s="30">
        <f>PERMIT_NZ!Q2</f>
        <v>0.54186853570600624</v>
      </c>
      <c r="R2" s="30">
        <f>PERMIT_NZ!R2</f>
        <v>0.51312108692842973</v>
      </c>
      <c r="S2" s="30">
        <f>PERMIT_NZ!S2</f>
        <v>0.48437363815085327</v>
      </c>
      <c r="T2" s="30">
        <f>PERMIT_NZ!T2</f>
        <v>0.45562618937327681</v>
      </c>
      <c r="U2" s="30">
        <f>PERMIT_NZ!U2</f>
        <v>0.42687874059570036</v>
      </c>
      <c r="V2" s="30">
        <f>PERMIT_NZ!V2</f>
        <v>0.3981312918181239</v>
      </c>
      <c r="W2" s="30">
        <f>PERMIT_NZ!W2</f>
        <v>0.36938384304054761</v>
      </c>
      <c r="X2" s="30">
        <f>PERMIT_NZ!X2</f>
        <v>0.34244545873649285</v>
      </c>
      <c r="Y2" s="30">
        <f>PERMIT_NZ!Y2</f>
        <v>0.31550707443243808</v>
      </c>
      <c r="Z2" s="30">
        <f>PERMIT_NZ!Z2</f>
        <v>0.28856869012838332</v>
      </c>
      <c r="AA2" s="30">
        <f>PERMIT_NZ!AA2</f>
        <v>0.26163030582432856</v>
      </c>
      <c r="AB2" s="30">
        <f>PERMIT_NZ!AB2</f>
        <v>0.23469192152027379</v>
      </c>
      <c r="AC2" s="30">
        <f>PERMIT_NZ!AC2</f>
        <v>0.20775353721621903</v>
      </c>
      <c r="AD2" s="30">
        <f>PERMIT_NZ!AD2</f>
        <v>0.18081515291216427</v>
      </c>
      <c r="AE2" s="30">
        <f>PERMIT_NZ!AE2</f>
        <v>0.1538767686081095</v>
      </c>
      <c r="AF2" s="30">
        <f>PERMIT_NZ!AF2</f>
        <v>0.12693838430405474</v>
      </c>
      <c r="AG2" s="30">
        <f>PERMIT_NZ!AG2</f>
        <v>0.1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0.99732060293140912</v>
      </c>
      <c r="D3" s="30">
        <f>PERMIT_NZ!D3</f>
        <v>0.99464120586281823</v>
      </c>
      <c r="E3" s="30">
        <f>PERMIT_NZ!E3</f>
        <v>0.99196180879422735</v>
      </c>
      <c r="F3" s="30">
        <f>PERMIT_NZ!F3</f>
        <v>0.98928241172563647</v>
      </c>
      <c r="G3" s="30">
        <f>PERMIT_NZ!G3</f>
        <v>0.98660301465704558</v>
      </c>
      <c r="H3" s="30">
        <f>PERMIT_NZ!H3</f>
        <v>0.9839236175884547</v>
      </c>
      <c r="I3" s="30">
        <f>PERMIT_NZ!I3</f>
        <v>0.98124422051986382</v>
      </c>
      <c r="J3" s="30">
        <f>PERMIT_NZ!J3</f>
        <v>0.97856482345127294</v>
      </c>
      <c r="K3" s="30">
        <f>PERMIT_NZ!K3</f>
        <v>0.97588542638268205</v>
      </c>
      <c r="L3" s="30">
        <f>PERMIT_NZ!L3</f>
        <v>0.97320602931409117</v>
      </c>
      <c r="M3" s="30">
        <f>PERMIT_NZ!M3</f>
        <v>0.97052663224549995</v>
      </c>
      <c r="N3" s="30">
        <f>PERMIT_NZ!N3</f>
        <v>0.94123083520852557</v>
      </c>
      <c r="O3" s="30">
        <f>PERMIT_NZ!O3</f>
        <v>0.91193503817155119</v>
      </c>
      <c r="P3" s="30">
        <f>PERMIT_NZ!P3</f>
        <v>0.88263924113457681</v>
      </c>
      <c r="Q3" s="30">
        <f>PERMIT_NZ!Q3</f>
        <v>0.85334344409760243</v>
      </c>
      <c r="R3" s="30">
        <f>PERMIT_NZ!R3</f>
        <v>0.82404764706062805</v>
      </c>
      <c r="S3" s="30">
        <f>PERMIT_NZ!S3</f>
        <v>0.79475185002365367</v>
      </c>
      <c r="T3" s="30">
        <f>PERMIT_NZ!T3</f>
        <v>0.76545605298667929</v>
      </c>
      <c r="U3" s="30">
        <f>PERMIT_NZ!U3</f>
        <v>0.73616025594970491</v>
      </c>
      <c r="V3" s="30">
        <f>PERMIT_NZ!V3</f>
        <v>0.70686445891273053</v>
      </c>
      <c r="W3" s="30">
        <f>PERMIT_NZ!W3</f>
        <v>0.67756866187575593</v>
      </c>
      <c r="X3" s="30">
        <f>PERMIT_NZ!X3</f>
        <v>0.64481179568818037</v>
      </c>
      <c r="Y3" s="30">
        <f>PERMIT_NZ!Y3</f>
        <v>0.61205492950060481</v>
      </c>
      <c r="Z3" s="30">
        <f>PERMIT_NZ!Z3</f>
        <v>0.57929806331302924</v>
      </c>
      <c r="AA3" s="30">
        <f>PERMIT_NZ!AA3</f>
        <v>0.54654119712545368</v>
      </c>
      <c r="AB3" s="30">
        <f>PERMIT_NZ!AB3</f>
        <v>0.51378433093787812</v>
      </c>
      <c r="AC3" s="30">
        <f>PERMIT_NZ!AC3</f>
        <v>0.4810274647503025</v>
      </c>
      <c r="AD3" s="30">
        <f>PERMIT_NZ!AD3</f>
        <v>0.44827059856272689</v>
      </c>
      <c r="AE3" s="30">
        <f>PERMIT_NZ!AE3</f>
        <v>0.41551373237515127</v>
      </c>
      <c r="AF3" s="30">
        <f>PERMIT_NZ!AF3</f>
        <v>0.38275686618757565</v>
      </c>
      <c r="AG3" s="30">
        <f>PERMIT_NZ!AG3</f>
        <v>0.35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0.97030956186559991</v>
      </c>
      <c r="D4" s="30">
        <f>PERMIT_NZ!D4</f>
        <v>0.94061912373119982</v>
      </c>
      <c r="E4" s="30">
        <f>PERMIT_NZ!E4</f>
        <v>0.91092868559679974</v>
      </c>
      <c r="F4" s="30">
        <f>PERMIT_NZ!F4</f>
        <v>0.88123824746239965</v>
      </c>
      <c r="G4" s="30">
        <f>PERMIT_NZ!G4</f>
        <v>0.85154780932799956</v>
      </c>
      <c r="H4" s="30">
        <f>PERMIT_NZ!H4</f>
        <v>0.82185737119359947</v>
      </c>
      <c r="I4" s="30">
        <f>PERMIT_NZ!I4</f>
        <v>0.79216693305919939</v>
      </c>
      <c r="J4" s="30">
        <f>PERMIT_NZ!J4</f>
        <v>0.7624764949247993</v>
      </c>
      <c r="K4" s="30">
        <f>PERMIT_NZ!K4</f>
        <v>0.73278605679039921</v>
      </c>
      <c r="L4" s="30">
        <f>PERMIT_NZ!L4</f>
        <v>0.70309561865599912</v>
      </c>
      <c r="M4" s="30">
        <f>PERMIT_NZ!M4</f>
        <v>0.67340518052159881</v>
      </c>
      <c r="N4" s="30">
        <f>PERMIT_NZ!N4</f>
        <v>0.64379368066983944</v>
      </c>
      <c r="O4" s="30">
        <f>PERMIT_NZ!O4</f>
        <v>0.61418218081808007</v>
      </c>
      <c r="P4" s="30">
        <f>PERMIT_NZ!P4</f>
        <v>0.5845706809663207</v>
      </c>
      <c r="Q4" s="30">
        <f>PERMIT_NZ!Q4</f>
        <v>0.55495918111456133</v>
      </c>
      <c r="R4" s="30">
        <f>PERMIT_NZ!R4</f>
        <v>0.52534768126280196</v>
      </c>
      <c r="S4" s="30">
        <f>PERMIT_NZ!S4</f>
        <v>0.49573618141104253</v>
      </c>
      <c r="T4" s="30">
        <f>PERMIT_NZ!T4</f>
        <v>0.4661246815592831</v>
      </c>
      <c r="U4" s="30">
        <f>PERMIT_NZ!U4</f>
        <v>0.43651318170752368</v>
      </c>
      <c r="V4" s="30">
        <f>PERMIT_NZ!V4</f>
        <v>0.40690168185576425</v>
      </c>
      <c r="W4" s="30">
        <f>PERMIT_NZ!W4</f>
        <v>0.37729018200400471</v>
      </c>
      <c r="X4" s="30">
        <f>PERMIT_NZ!X4</f>
        <v>0.34956116380360425</v>
      </c>
      <c r="Y4" s="30">
        <f>PERMIT_NZ!Y4</f>
        <v>0.32183214560320378</v>
      </c>
      <c r="Z4" s="30">
        <f>PERMIT_NZ!Z4</f>
        <v>0.29410312740280331</v>
      </c>
      <c r="AA4" s="30">
        <f>PERMIT_NZ!AA4</f>
        <v>0.26637410920240284</v>
      </c>
      <c r="AB4" s="30">
        <f>PERMIT_NZ!AB4</f>
        <v>0.23864509100200237</v>
      </c>
      <c r="AC4" s="30">
        <f>PERMIT_NZ!AC4</f>
        <v>0.21091607280160191</v>
      </c>
      <c r="AD4" s="30">
        <f>PERMIT_NZ!AD4</f>
        <v>0.18318705460120144</v>
      </c>
      <c r="AE4" s="30">
        <f>PERMIT_NZ!AE4</f>
        <v>0.15545803640080097</v>
      </c>
      <c r="AF4" s="30">
        <f>PERMIT_NZ!AF4</f>
        <v>0.1277290182004005</v>
      </c>
      <c r="AG4" s="30">
        <f>PERMIT_NZ!AG4</f>
        <v>0.1</v>
      </c>
    </row>
    <row r="5" spans="1:33" x14ac:dyDescent="0.3">
      <c r="A5" s="1" t="s">
        <v>3</v>
      </c>
      <c r="B5" s="30">
        <f>PERMIT_NZ!B5</f>
        <v>1</v>
      </c>
      <c r="C5" s="30">
        <f>PERMIT_NZ!C5</f>
        <v>1.0122286096130622</v>
      </c>
      <c r="D5" s="30">
        <f>PERMIT_NZ!D5</f>
        <v>1.0244572192261243</v>
      </c>
      <c r="E5" s="30">
        <f>PERMIT_NZ!E5</f>
        <v>1.0366858288391865</v>
      </c>
      <c r="F5" s="30">
        <f>PERMIT_NZ!F5</f>
        <v>1.0489144384522486</v>
      </c>
      <c r="G5" s="30">
        <f>PERMIT_NZ!G5</f>
        <v>1.0611430480653108</v>
      </c>
      <c r="H5" s="30">
        <f>PERMIT_NZ!H5</f>
        <v>1.0733716576783729</v>
      </c>
      <c r="I5" s="30">
        <f>PERMIT_NZ!I5</f>
        <v>1.0856002672914351</v>
      </c>
      <c r="J5" s="30">
        <f>PERMIT_NZ!J5</f>
        <v>1.0978288769044973</v>
      </c>
      <c r="K5" s="30">
        <f>PERMIT_NZ!K5</f>
        <v>1.1100574865175594</v>
      </c>
      <c r="L5" s="30">
        <f>PERMIT_NZ!L5</f>
        <v>1.1222860961306216</v>
      </c>
      <c r="M5" s="30">
        <f>PERMIT_NZ!M5</f>
        <v>1.1345147057436835</v>
      </c>
      <c r="N5" s="30">
        <f>PERMIT_NZ!N5</f>
        <v>1.1080095424954721</v>
      </c>
      <c r="O5" s="30">
        <f>PERMIT_NZ!O5</f>
        <v>1.0815043792472607</v>
      </c>
      <c r="P5" s="30">
        <f>PERMIT_NZ!P5</f>
        <v>1.0549992159990493</v>
      </c>
      <c r="Q5" s="30">
        <f>PERMIT_NZ!Q5</f>
        <v>1.0284940527508379</v>
      </c>
      <c r="R5" s="30">
        <f>PERMIT_NZ!R5</f>
        <v>1.0019888895026265</v>
      </c>
      <c r="S5" s="30">
        <f>PERMIT_NZ!S5</f>
        <v>0.97548372625441504</v>
      </c>
      <c r="T5" s="30">
        <f>PERMIT_NZ!T5</f>
        <v>0.94897856300620353</v>
      </c>
      <c r="U5" s="30">
        <f>PERMIT_NZ!U5</f>
        <v>0.92247339975799203</v>
      </c>
      <c r="V5" s="30">
        <f>PERMIT_NZ!V5</f>
        <v>0.89596823650978052</v>
      </c>
      <c r="W5" s="30">
        <f>PERMIT_NZ!W5</f>
        <v>0.86946307326156869</v>
      </c>
      <c r="X5" s="30">
        <f>PERMIT_NZ!X5</f>
        <v>0.8375167659354118</v>
      </c>
      <c r="Y5" s="30">
        <f>PERMIT_NZ!Y5</f>
        <v>0.80557045860925491</v>
      </c>
      <c r="Z5" s="30">
        <f>PERMIT_NZ!Z5</f>
        <v>0.77362415128309803</v>
      </c>
      <c r="AA5" s="30">
        <f>PERMIT_NZ!AA5</f>
        <v>0.74167784395694114</v>
      </c>
      <c r="AB5" s="30">
        <f>PERMIT_NZ!AB5</f>
        <v>0.70973153663078425</v>
      </c>
      <c r="AC5" s="30">
        <f>PERMIT_NZ!AC5</f>
        <v>0.67778522930462737</v>
      </c>
      <c r="AD5" s="30">
        <f>PERMIT_NZ!AD5</f>
        <v>0.64583892197847048</v>
      </c>
      <c r="AE5" s="30">
        <f>PERMIT_NZ!AE5</f>
        <v>0.6138926146523136</v>
      </c>
      <c r="AF5" s="30">
        <f>PERMIT_NZ!AF5</f>
        <v>0.58194630732615671</v>
      </c>
      <c r="AG5" s="30">
        <f>PERMIT_NZ!AG5</f>
        <v>0.55000000000000004</v>
      </c>
    </row>
    <row r="6" spans="1:33" x14ac:dyDescent="0.3">
      <c r="A6" s="23" t="s">
        <v>4</v>
      </c>
      <c r="B6" s="30">
        <f>PERMIT_NZ!B6</f>
        <v>1</v>
      </c>
      <c r="C6" s="30">
        <f>PERMIT_NZ!C6</f>
        <v>1.0122286096130622</v>
      </c>
      <c r="D6" s="30">
        <f>PERMIT_NZ!D6</f>
        <v>1.0244572192261243</v>
      </c>
      <c r="E6" s="30">
        <f>PERMIT_NZ!E6</f>
        <v>1.0366858288391865</v>
      </c>
      <c r="F6" s="30">
        <f>PERMIT_NZ!F6</f>
        <v>1.0489144384522486</v>
      </c>
      <c r="G6" s="30">
        <f>PERMIT_NZ!G6</f>
        <v>1.0611430480653108</v>
      </c>
      <c r="H6" s="30">
        <f>PERMIT_NZ!H6</f>
        <v>1.0733716576783729</v>
      </c>
      <c r="I6" s="30">
        <f>PERMIT_NZ!I6</f>
        <v>1.0856002672914351</v>
      </c>
      <c r="J6" s="30">
        <f>PERMIT_NZ!J6</f>
        <v>1.0978288769044973</v>
      </c>
      <c r="K6" s="30">
        <f>PERMIT_NZ!K6</f>
        <v>1.1100574865175594</v>
      </c>
      <c r="L6" s="30">
        <f>PERMIT_NZ!L6</f>
        <v>1.1222860961306216</v>
      </c>
      <c r="M6" s="30">
        <f>PERMIT_NZ!M6</f>
        <v>1.1345147057436833</v>
      </c>
      <c r="N6" s="30">
        <f>PERMIT_NZ!N6</f>
        <v>1.1080095424954719</v>
      </c>
      <c r="O6" s="30">
        <f>PERMIT_NZ!O6</f>
        <v>1.0815043792472605</v>
      </c>
      <c r="P6" s="30">
        <f>PERMIT_NZ!P6</f>
        <v>1.0549992159990491</v>
      </c>
      <c r="Q6" s="30">
        <f>PERMIT_NZ!Q6</f>
        <v>1.0284940527508377</v>
      </c>
      <c r="R6" s="30">
        <f>PERMIT_NZ!R6</f>
        <v>1.0019888895026263</v>
      </c>
      <c r="S6" s="30">
        <f>PERMIT_NZ!S6</f>
        <v>0.97548372625441493</v>
      </c>
      <c r="T6" s="30">
        <f>PERMIT_NZ!T6</f>
        <v>0.94897856300620353</v>
      </c>
      <c r="U6" s="30">
        <f>PERMIT_NZ!U6</f>
        <v>0.92247339975799214</v>
      </c>
      <c r="V6" s="30">
        <f>PERMIT_NZ!V6</f>
        <v>0.89596823650978075</v>
      </c>
      <c r="W6" s="30">
        <f>PERMIT_NZ!W6</f>
        <v>0.8694630732615688</v>
      </c>
      <c r="X6" s="30">
        <f>PERMIT_NZ!X6</f>
        <v>0.83751676593541191</v>
      </c>
      <c r="Y6" s="30">
        <f>PERMIT_NZ!Y6</f>
        <v>0.80557045860925502</v>
      </c>
      <c r="Z6" s="30">
        <f>PERMIT_NZ!Z6</f>
        <v>0.77362415128309814</v>
      </c>
      <c r="AA6" s="30">
        <f>PERMIT_NZ!AA6</f>
        <v>0.74167784395694125</v>
      </c>
      <c r="AB6" s="30">
        <f>PERMIT_NZ!AB6</f>
        <v>0.70973153663078437</v>
      </c>
      <c r="AC6" s="30">
        <f>PERMIT_NZ!AC6</f>
        <v>0.67778522930462748</v>
      </c>
      <c r="AD6" s="30">
        <f>PERMIT_NZ!AD6</f>
        <v>0.64583892197847059</v>
      </c>
      <c r="AE6" s="30">
        <f>PERMIT_NZ!AE6</f>
        <v>0.61389261465231371</v>
      </c>
      <c r="AF6" s="30">
        <f>PERMIT_NZ!AF6</f>
        <v>0.58194630732615682</v>
      </c>
      <c r="AG6" s="30">
        <f>PERMIT_NZ!AG6</f>
        <v>0.55000000000000004</v>
      </c>
    </row>
    <row r="7" spans="1:33" x14ac:dyDescent="0.3">
      <c r="A7" s="23" t="s">
        <v>5</v>
      </c>
      <c r="B7" s="30">
        <f>PERMIT_NZ!B7</f>
        <v>1</v>
      </c>
      <c r="C7" s="30">
        <f>PERMIT_NZ!C7</f>
        <v>1.0122286096130622</v>
      </c>
      <c r="D7" s="30">
        <f>PERMIT_NZ!D7</f>
        <v>1.0244572192261243</v>
      </c>
      <c r="E7" s="30">
        <f>PERMIT_NZ!E7</f>
        <v>1.0366858288391865</v>
      </c>
      <c r="F7" s="30">
        <f>PERMIT_NZ!F7</f>
        <v>1.0489144384522486</v>
      </c>
      <c r="G7" s="30">
        <f>PERMIT_NZ!G7</f>
        <v>1.0611430480653108</v>
      </c>
      <c r="H7" s="30">
        <f>PERMIT_NZ!H7</f>
        <v>1.0733716576783729</v>
      </c>
      <c r="I7" s="30">
        <f>PERMIT_NZ!I7</f>
        <v>1.0856002672914351</v>
      </c>
      <c r="J7" s="30">
        <f>PERMIT_NZ!J7</f>
        <v>1.0978288769044973</v>
      </c>
      <c r="K7" s="30">
        <f>PERMIT_NZ!K7</f>
        <v>1.1100574865175594</v>
      </c>
      <c r="L7" s="30">
        <f>PERMIT_NZ!L7</f>
        <v>1.1222860961306216</v>
      </c>
      <c r="M7" s="30">
        <f>PERMIT_NZ!M7</f>
        <v>1.1345147057436835</v>
      </c>
      <c r="N7" s="30">
        <f>PERMIT_NZ!N7</f>
        <v>1.1080095424954721</v>
      </c>
      <c r="O7" s="30">
        <f>PERMIT_NZ!O7</f>
        <v>1.0815043792472607</v>
      </c>
      <c r="P7" s="30">
        <f>PERMIT_NZ!P7</f>
        <v>1.0549992159990493</v>
      </c>
      <c r="Q7" s="30">
        <f>PERMIT_NZ!Q7</f>
        <v>1.0284940527508379</v>
      </c>
      <c r="R7" s="30">
        <f>PERMIT_NZ!R7</f>
        <v>1.0019888895026265</v>
      </c>
      <c r="S7" s="30">
        <f>PERMIT_NZ!S7</f>
        <v>0.97548372625441504</v>
      </c>
      <c r="T7" s="30">
        <f>PERMIT_NZ!T7</f>
        <v>0.94897856300620353</v>
      </c>
      <c r="U7" s="30">
        <f>PERMIT_NZ!U7</f>
        <v>0.92247339975799203</v>
      </c>
      <c r="V7" s="30">
        <f>PERMIT_NZ!V7</f>
        <v>0.89596823650978052</v>
      </c>
      <c r="W7" s="30">
        <f>PERMIT_NZ!W7</f>
        <v>0.86946307326156858</v>
      </c>
      <c r="X7" s="30">
        <f>PERMIT_NZ!X7</f>
        <v>0.83751676593541169</v>
      </c>
      <c r="Y7" s="30">
        <f>PERMIT_NZ!Y7</f>
        <v>0.8055704586092548</v>
      </c>
      <c r="Z7" s="30">
        <f>PERMIT_NZ!Z7</f>
        <v>0.77362415128309792</v>
      </c>
      <c r="AA7" s="30">
        <f>PERMIT_NZ!AA7</f>
        <v>0.74167784395694103</v>
      </c>
      <c r="AB7" s="30">
        <f>PERMIT_NZ!AB7</f>
        <v>0.70973153663078414</v>
      </c>
      <c r="AC7" s="30">
        <f>PERMIT_NZ!AC7</f>
        <v>0.67778522930462726</v>
      </c>
      <c r="AD7" s="30">
        <f>PERMIT_NZ!AD7</f>
        <v>0.64583892197847037</v>
      </c>
      <c r="AE7" s="30">
        <f>PERMIT_NZ!AE7</f>
        <v>0.61389261465231348</v>
      </c>
      <c r="AF7" s="30">
        <f>PERMIT_NZ!AF7</f>
        <v>0.5819463073261566</v>
      </c>
      <c r="AG7" s="30">
        <f>PERMIT_NZ!AG7</f>
        <v>0.55000000000000004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>PERMIT_NZ!N8</f>
        <v>0.48</v>
      </c>
      <c r="O8" s="30">
        <f>PERMIT_NZ!O8</f>
        <v>0.45999999999999996</v>
      </c>
      <c r="P8" s="30">
        <f>PERMIT_NZ!P8</f>
        <v>0.43999999999999995</v>
      </c>
      <c r="Q8" s="30">
        <f>PERMIT_NZ!Q8</f>
        <v>0.41999999999999993</v>
      </c>
      <c r="R8" s="30">
        <f>PERMIT_NZ!R8</f>
        <v>0.39999999999999991</v>
      </c>
      <c r="S8" s="30">
        <f>PERMIT_NZ!S8</f>
        <v>0.37999999999999989</v>
      </c>
      <c r="T8" s="30">
        <f>PERMIT_NZ!T8</f>
        <v>0.35999999999999988</v>
      </c>
      <c r="U8" s="30">
        <f>PERMIT_NZ!U8</f>
        <v>0.33999999999999986</v>
      </c>
      <c r="V8" s="30">
        <f>PERMIT_NZ!V8</f>
        <v>0.31999999999999984</v>
      </c>
      <c r="W8" s="30">
        <f>PERMIT_NZ!W8</f>
        <v>0.29999999999999977</v>
      </c>
      <c r="X8" s="30">
        <f>PERMIT_NZ!X8</f>
        <v>0.2749999999999998</v>
      </c>
      <c r="Y8" s="30">
        <f>PERMIT_NZ!Y8</f>
        <v>0.24999999999999983</v>
      </c>
      <c r="Z8" s="30">
        <f>PERMIT_NZ!Z8</f>
        <v>0.22499999999999987</v>
      </c>
      <c r="AA8" s="30">
        <f>PERMIT_NZ!AA8</f>
        <v>0.1999999999999999</v>
      </c>
      <c r="AB8" s="30">
        <f>PERMIT_NZ!AB8</f>
        <v>0.17499999999999993</v>
      </c>
      <c r="AC8" s="30">
        <f>PERMIT_NZ!AC8</f>
        <v>0.14999999999999997</v>
      </c>
      <c r="AD8" s="30">
        <f>PERMIT_NZ!AD8</f>
        <v>0.12499999999999999</v>
      </c>
      <c r="AE8" s="30">
        <f>PERMIT_NZ!AE8</f>
        <v>0.1</v>
      </c>
      <c r="AF8" s="30">
        <f>PERMIT_NZ!AF8</f>
        <v>7.5000000000000025E-2</v>
      </c>
      <c r="AG8" s="30">
        <f>PERMIT_NZ!AG8</f>
        <v>0.05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0.99732060293140912</v>
      </c>
      <c r="D9" s="30">
        <f>PERMIT_NZ!D9</f>
        <v>0.99464120586281823</v>
      </c>
      <c r="E9" s="30">
        <f>PERMIT_NZ!E9</f>
        <v>0.99196180879422735</v>
      </c>
      <c r="F9" s="30">
        <f>PERMIT_NZ!F9</f>
        <v>0.98928241172563647</v>
      </c>
      <c r="G9" s="30">
        <f>PERMIT_NZ!G9</f>
        <v>0.98660301465704558</v>
      </c>
      <c r="H9" s="30">
        <f>PERMIT_NZ!H9</f>
        <v>0.9839236175884547</v>
      </c>
      <c r="I9" s="30">
        <f>PERMIT_NZ!I9</f>
        <v>0.98124422051986382</v>
      </c>
      <c r="J9" s="30">
        <f>PERMIT_NZ!J9</f>
        <v>0.97856482345127294</v>
      </c>
      <c r="K9" s="30">
        <f>PERMIT_NZ!K9</f>
        <v>0.97588542638268205</v>
      </c>
      <c r="L9" s="30">
        <f>PERMIT_NZ!L9</f>
        <v>0.97320602931409117</v>
      </c>
      <c r="M9" s="30">
        <f>PERMIT_NZ!M9</f>
        <v>0.97052663224550006</v>
      </c>
      <c r="N9" s="30">
        <f>PERMIT_NZ!N9</f>
        <v>0.94123083520852568</v>
      </c>
      <c r="O9" s="30">
        <f>PERMIT_NZ!O9</f>
        <v>0.9119350381715513</v>
      </c>
      <c r="P9" s="30">
        <f>PERMIT_NZ!P9</f>
        <v>0.88263924113457692</v>
      </c>
      <c r="Q9" s="30">
        <f>PERMIT_NZ!Q9</f>
        <v>0.85334344409760254</v>
      </c>
      <c r="R9" s="30">
        <f>PERMIT_NZ!R9</f>
        <v>0.82404764706062816</v>
      </c>
      <c r="S9" s="30">
        <f>PERMIT_NZ!S9</f>
        <v>0.79475185002365378</v>
      </c>
      <c r="T9" s="30">
        <f>PERMIT_NZ!T9</f>
        <v>0.7654560529866794</v>
      </c>
      <c r="U9" s="30">
        <f>PERMIT_NZ!U9</f>
        <v>0.73616025594970502</v>
      </c>
      <c r="V9" s="30">
        <f>PERMIT_NZ!V9</f>
        <v>0.70686445891273064</v>
      </c>
      <c r="W9" s="30">
        <f>PERMIT_NZ!W9</f>
        <v>0.67756866187575593</v>
      </c>
      <c r="X9" s="30">
        <f>PERMIT_NZ!X9</f>
        <v>0.64481179568818037</v>
      </c>
      <c r="Y9" s="30">
        <f>PERMIT_NZ!Y9</f>
        <v>0.61205492950060481</v>
      </c>
      <c r="Z9" s="30">
        <f>PERMIT_NZ!Z9</f>
        <v>0.57929806331302924</v>
      </c>
      <c r="AA9" s="30">
        <f>PERMIT_NZ!AA9</f>
        <v>0.54654119712545368</v>
      </c>
      <c r="AB9" s="30">
        <f>PERMIT_NZ!AB9</f>
        <v>0.51378433093787812</v>
      </c>
      <c r="AC9" s="30">
        <f>PERMIT_NZ!AC9</f>
        <v>0.4810274647503025</v>
      </c>
      <c r="AD9" s="30">
        <f>PERMIT_NZ!AD9</f>
        <v>0.44827059856272689</v>
      </c>
      <c r="AE9" s="30">
        <f>PERMIT_NZ!AE9</f>
        <v>0.41551373237515127</v>
      </c>
      <c r="AF9" s="30">
        <f>PERMIT_NZ!AF9</f>
        <v>0.38275686618757565</v>
      </c>
      <c r="AG9" s="30">
        <f>PERMIT_NZ!AG9</f>
        <v>0.35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0.49999999999999989</v>
      </c>
      <c r="N10" s="30">
        <f>PERMIT_NZ!N10</f>
        <v>0.47999999999999987</v>
      </c>
      <c r="O10" s="30">
        <f>PERMIT_NZ!O10</f>
        <v>0.45999999999999985</v>
      </c>
      <c r="P10" s="30">
        <f>PERMIT_NZ!P10</f>
        <v>0.43999999999999984</v>
      </c>
      <c r="Q10" s="30">
        <f>PERMIT_NZ!Q10</f>
        <v>0.41999999999999982</v>
      </c>
      <c r="R10" s="30">
        <f>PERMIT_NZ!R10</f>
        <v>0.3999999999999998</v>
      </c>
      <c r="S10" s="30">
        <f>PERMIT_NZ!S10</f>
        <v>0.37999999999999978</v>
      </c>
      <c r="T10" s="30">
        <f>PERMIT_NZ!T10</f>
        <v>0.35999999999999976</v>
      </c>
      <c r="U10" s="30">
        <f>PERMIT_NZ!U10</f>
        <v>0.33999999999999975</v>
      </c>
      <c r="V10" s="30">
        <f>PERMIT_NZ!V10</f>
        <v>0.31999999999999973</v>
      </c>
      <c r="W10" s="30">
        <f>PERMIT_NZ!W10</f>
        <v>0.29999999999999977</v>
      </c>
      <c r="X10" s="30">
        <f>PERMIT_NZ!X10</f>
        <v>0.2749999999999998</v>
      </c>
      <c r="Y10" s="30">
        <f>PERMIT_NZ!Y10</f>
        <v>0.24999999999999983</v>
      </c>
      <c r="Z10" s="30">
        <f>PERMIT_NZ!Z10</f>
        <v>0.22499999999999987</v>
      </c>
      <c r="AA10" s="30">
        <f>PERMIT_NZ!AA10</f>
        <v>0.1999999999999999</v>
      </c>
      <c r="AB10" s="30">
        <f>PERMIT_NZ!AB10</f>
        <v>0.17499999999999993</v>
      </c>
      <c r="AC10" s="30">
        <f>PERMIT_NZ!AC10</f>
        <v>0.14999999999999997</v>
      </c>
      <c r="AD10" s="30">
        <f>PERMIT_NZ!AD10</f>
        <v>0.12499999999999999</v>
      </c>
      <c r="AE10" s="30">
        <f>PERMIT_NZ!AE10</f>
        <v>0.1</v>
      </c>
      <c r="AF10" s="30">
        <f>PERMIT_NZ!AF10</f>
        <v>7.5000000000000025E-2</v>
      </c>
      <c r="AG10" s="30">
        <f>PERMIT_NZ!AG10</f>
        <v>0.05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PERMIT_NZ!M11</f>
        <v>0.50000000000000011</v>
      </c>
      <c r="N11" s="30">
        <f>PERMIT_NZ!N11</f>
        <v>0.48000000000000009</v>
      </c>
      <c r="O11" s="30">
        <f>PERMIT_NZ!O11</f>
        <v>0.46000000000000008</v>
      </c>
      <c r="P11" s="30">
        <f>PERMIT_NZ!P11</f>
        <v>0.44000000000000006</v>
      </c>
      <c r="Q11" s="30">
        <f>PERMIT_NZ!Q11</f>
        <v>0.42000000000000004</v>
      </c>
      <c r="R11" s="30">
        <f>PERMIT_NZ!R11</f>
        <v>0.4</v>
      </c>
      <c r="S11" s="30">
        <f>PERMIT_NZ!S11</f>
        <v>0.38</v>
      </c>
      <c r="T11" s="30">
        <f>PERMIT_NZ!T11</f>
        <v>0.36</v>
      </c>
      <c r="U11" s="30">
        <f>PERMIT_NZ!U11</f>
        <v>0.33999999999999997</v>
      </c>
      <c r="V11" s="30">
        <f>PERMIT_NZ!V11</f>
        <v>0.31999999999999995</v>
      </c>
      <c r="W11" s="30">
        <f>PERMIT_NZ!W11</f>
        <v>0.29999999999999977</v>
      </c>
      <c r="X11" s="30">
        <f>PERMIT_NZ!X11</f>
        <v>0.2749999999999998</v>
      </c>
      <c r="Y11" s="30">
        <f>PERMIT_NZ!Y11</f>
        <v>0.24999999999999983</v>
      </c>
      <c r="Z11" s="30">
        <f>PERMIT_NZ!Z11</f>
        <v>0.22499999999999987</v>
      </c>
      <c r="AA11" s="30">
        <f>PERMIT_NZ!AA11</f>
        <v>0.1999999999999999</v>
      </c>
      <c r="AB11" s="30">
        <f>PERMIT_NZ!AB11</f>
        <v>0.17499999999999993</v>
      </c>
      <c r="AC11" s="30">
        <f>PERMIT_NZ!AC11</f>
        <v>0.14999999999999997</v>
      </c>
      <c r="AD11" s="30">
        <f>PERMIT_NZ!AD11</f>
        <v>0.12499999999999999</v>
      </c>
      <c r="AE11" s="30">
        <f>PERMIT_NZ!AE11</f>
        <v>0.1</v>
      </c>
      <c r="AF11" s="30">
        <f>PERMIT_NZ!AF11</f>
        <v>7.5000000000000025E-2</v>
      </c>
      <c r="AG11" s="30">
        <f>PERMIT_NZ!AG11</f>
        <v>0.05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0.99732060293140912</v>
      </c>
      <c r="D12" s="30">
        <f>PERMIT_NZ!D12</f>
        <v>0.99464120586281823</v>
      </c>
      <c r="E12" s="30">
        <f>PERMIT_NZ!E12</f>
        <v>0.99196180879422735</v>
      </c>
      <c r="F12" s="30">
        <f>PERMIT_NZ!F12</f>
        <v>0.98928241172563647</v>
      </c>
      <c r="G12" s="30">
        <f>PERMIT_NZ!G12</f>
        <v>0.98660301465704558</v>
      </c>
      <c r="H12" s="30">
        <f>PERMIT_NZ!H12</f>
        <v>0.9839236175884547</v>
      </c>
      <c r="I12" s="30">
        <f>PERMIT_NZ!I12</f>
        <v>0.98124422051986382</v>
      </c>
      <c r="J12" s="30">
        <f>PERMIT_NZ!J12</f>
        <v>0.97856482345127294</v>
      </c>
      <c r="K12" s="30">
        <f>PERMIT_NZ!K12</f>
        <v>0.97588542638268205</v>
      </c>
      <c r="L12" s="30">
        <f>PERMIT_NZ!L12</f>
        <v>0.97320602931409117</v>
      </c>
      <c r="M12" s="30">
        <f>PERMIT_NZ!M12</f>
        <v>0.97052663224550006</v>
      </c>
      <c r="N12" s="30">
        <f>PERMIT_NZ!N12</f>
        <v>0.94123083520852568</v>
      </c>
      <c r="O12" s="30">
        <f>PERMIT_NZ!O12</f>
        <v>0.9119350381715513</v>
      </c>
      <c r="P12" s="30">
        <f>PERMIT_NZ!P12</f>
        <v>0.88263924113457692</v>
      </c>
      <c r="Q12" s="30">
        <f>PERMIT_NZ!Q12</f>
        <v>0.85334344409760254</v>
      </c>
      <c r="R12" s="30">
        <f>PERMIT_NZ!R12</f>
        <v>0.82404764706062816</v>
      </c>
      <c r="S12" s="30">
        <f>PERMIT_NZ!S12</f>
        <v>0.79475185002365378</v>
      </c>
      <c r="T12" s="30">
        <f>PERMIT_NZ!T12</f>
        <v>0.7654560529866794</v>
      </c>
      <c r="U12" s="30">
        <f>PERMIT_NZ!U12</f>
        <v>0.73616025594970502</v>
      </c>
      <c r="V12" s="30">
        <f>PERMIT_NZ!V12</f>
        <v>0.70686445891273064</v>
      </c>
      <c r="W12" s="30">
        <f>PERMIT_NZ!W12</f>
        <v>0.67756866187575593</v>
      </c>
      <c r="X12" s="30">
        <f>PERMIT_NZ!X12</f>
        <v>0.64481179568818037</v>
      </c>
      <c r="Y12" s="30">
        <f>PERMIT_NZ!Y12</f>
        <v>0.61205492950060481</v>
      </c>
      <c r="Z12" s="30">
        <f>PERMIT_NZ!Z12</f>
        <v>0.57929806331302924</v>
      </c>
      <c r="AA12" s="30">
        <f>PERMIT_NZ!AA12</f>
        <v>0.54654119712545368</v>
      </c>
      <c r="AB12" s="30">
        <f>PERMIT_NZ!AB12</f>
        <v>0.51378433093787812</v>
      </c>
      <c r="AC12" s="30">
        <f>PERMIT_NZ!AC12</f>
        <v>0.4810274647503025</v>
      </c>
      <c r="AD12" s="30">
        <f>PERMIT_NZ!AD12</f>
        <v>0.44827059856272689</v>
      </c>
      <c r="AE12" s="30">
        <f>PERMIT_NZ!AE12</f>
        <v>0.41551373237515127</v>
      </c>
      <c r="AF12" s="30">
        <f>PERMIT_NZ!AF12</f>
        <v>0.38275686618757565</v>
      </c>
      <c r="AG12" s="30">
        <f>PERMIT_NZ!AG12</f>
        <v>0.35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0.99732060293140912</v>
      </c>
      <c r="D13" s="30">
        <f>PERMIT_NZ!D13</f>
        <v>0.99464120586281823</v>
      </c>
      <c r="E13" s="30">
        <f>PERMIT_NZ!E13</f>
        <v>0.99196180879422735</v>
      </c>
      <c r="F13" s="30">
        <f>PERMIT_NZ!F13</f>
        <v>0.98928241172563647</v>
      </c>
      <c r="G13" s="30">
        <f>PERMIT_NZ!G13</f>
        <v>0.98660301465704558</v>
      </c>
      <c r="H13" s="30">
        <f>PERMIT_NZ!H13</f>
        <v>0.9839236175884547</v>
      </c>
      <c r="I13" s="30">
        <f>PERMIT_NZ!I13</f>
        <v>0.98124422051986382</v>
      </c>
      <c r="J13" s="30">
        <f>PERMIT_NZ!J13</f>
        <v>0.97856482345127294</v>
      </c>
      <c r="K13" s="30">
        <f>PERMIT_NZ!K13</f>
        <v>0.97588542638268205</v>
      </c>
      <c r="L13" s="30">
        <f>PERMIT_NZ!L13</f>
        <v>0.97320602931409117</v>
      </c>
      <c r="M13" s="30">
        <f>PERMIT_NZ!M13</f>
        <v>0.97052663224549995</v>
      </c>
      <c r="N13" s="30">
        <f>PERMIT_NZ!N13</f>
        <v>0.94123083520852557</v>
      </c>
      <c r="O13" s="30">
        <f>PERMIT_NZ!O13</f>
        <v>0.91193503817155119</v>
      </c>
      <c r="P13" s="30">
        <f>PERMIT_NZ!P13</f>
        <v>0.88263924113457681</v>
      </c>
      <c r="Q13" s="30">
        <f>PERMIT_NZ!Q13</f>
        <v>0.85334344409760243</v>
      </c>
      <c r="R13" s="30">
        <f>PERMIT_NZ!R13</f>
        <v>0.82404764706062805</v>
      </c>
      <c r="S13" s="30">
        <f>PERMIT_NZ!S13</f>
        <v>0.79475185002365367</v>
      </c>
      <c r="T13" s="30">
        <f>PERMIT_NZ!T13</f>
        <v>0.76545605298667929</v>
      </c>
      <c r="U13" s="30">
        <f>PERMIT_NZ!U13</f>
        <v>0.73616025594970491</v>
      </c>
      <c r="V13" s="30">
        <f>PERMIT_NZ!V13</f>
        <v>0.70686445891273053</v>
      </c>
      <c r="W13" s="30">
        <f>PERMIT_NZ!W13</f>
        <v>0.67756866187575593</v>
      </c>
      <c r="X13" s="30">
        <f>PERMIT_NZ!X13</f>
        <v>0.64481179568818037</v>
      </c>
      <c r="Y13" s="30">
        <f>PERMIT_NZ!Y13</f>
        <v>0.61205492950060481</v>
      </c>
      <c r="Z13" s="30">
        <f>PERMIT_NZ!Z13</f>
        <v>0.57929806331302924</v>
      </c>
      <c r="AA13" s="30">
        <f>PERMIT_NZ!AA13</f>
        <v>0.54654119712545368</v>
      </c>
      <c r="AB13" s="30">
        <f>PERMIT_NZ!AB13</f>
        <v>0.51378433093787812</v>
      </c>
      <c r="AC13" s="30">
        <f>PERMIT_NZ!AC13</f>
        <v>0.4810274647503025</v>
      </c>
      <c r="AD13" s="30">
        <f>PERMIT_NZ!AD13</f>
        <v>0.44827059856272689</v>
      </c>
      <c r="AE13" s="30">
        <f>PERMIT_NZ!AE13</f>
        <v>0.41551373237515127</v>
      </c>
      <c r="AF13" s="30">
        <f>PERMIT_NZ!AF13</f>
        <v>0.38275686618757565</v>
      </c>
      <c r="AG13" s="30">
        <f>PERMIT_NZ!AG13</f>
        <v>0.35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0.99732060293140912</v>
      </c>
      <c r="D14" s="30">
        <f>PERMIT_NZ!D14</f>
        <v>0.99464120586281823</v>
      </c>
      <c r="E14" s="30">
        <f>PERMIT_NZ!E14</f>
        <v>0.99196180879422735</v>
      </c>
      <c r="F14" s="30">
        <f>PERMIT_NZ!F14</f>
        <v>0.98928241172563647</v>
      </c>
      <c r="G14" s="30">
        <f>PERMIT_NZ!G14</f>
        <v>0.98660301465704558</v>
      </c>
      <c r="H14" s="30">
        <f>PERMIT_NZ!H14</f>
        <v>0.9839236175884547</v>
      </c>
      <c r="I14" s="30">
        <f>PERMIT_NZ!I14</f>
        <v>0.98124422051986382</v>
      </c>
      <c r="J14" s="30">
        <f>PERMIT_NZ!J14</f>
        <v>0.97856482345127294</v>
      </c>
      <c r="K14" s="30">
        <f>PERMIT_NZ!K14</f>
        <v>0.97588542638268205</v>
      </c>
      <c r="L14" s="30">
        <f>PERMIT_NZ!L14</f>
        <v>0.97320602931409117</v>
      </c>
      <c r="M14" s="30">
        <f>PERMIT_NZ!M14</f>
        <v>0.97052663224549995</v>
      </c>
      <c r="N14" s="30">
        <f>PERMIT_NZ!N14</f>
        <v>0.94123083520852557</v>
      </c>
      <c r="O14" s="30">
        <f>PERMIT_NZ!O14</f>
        <v>0.91193503817155119</v>
      </c>
      <c r="P14" s="30">
        <f>PERMIT_NZ!P14</f>
        <v>0.88263924113457681</v>
      </c>
      <c r="Q14" s="30">
        <f>PERMIT_NZ!Q14</f>
        <v>0.85334344409760243</v>
      </c>
      <c r="R14" s="30">
        <f>PERMIT_NZ!R14</f>
        <v>0.82404764706062805</v>
      </c>
      <c r="S14" s="30">
        <f>PERMIT_NZ!S14</f>
        <v>0.79475185002365367</v>
      </c>
      <c r="T14" s="30">
        <f>PERMIT_NZ!T14</f>
        <v>0.76545605298667929</v>
      </c>
      <c r="U14" s="30">
        <f>PERMIT_NZ!U14</f>
        <v>0.73616025594970491</v>
      </c>
      <c r="V14" s="30">
        <f>PERMIT_NZ!V14</f>
        <v>0.70686445891273053</v>
      </c>
      <c r="W14" s="30">
        <f>PERMIT_NZ!W14</f>
        <v>0.67756866187575593</v>
      </c>
      <c r="X14" s="30">
        <f>PERMIT_NZ!X14</f>
        <v>0.64481179568818037</v>
      </c>
      <c r="Y14" s="30">
        <f>PERMIT_NZ!Y14</f>
        <v>0.61205492950060481</v>
      </c>
      <c r="Z14" s="30">
        <f>PERMIT_NZ!Z14</f>
        <v>0.57929806331302924</v>
      </c>
      <c r="AA14" s="30">
        <f>PERMIT_NZ!AA14</f>
        <v>0.54654119712545368</v>
      </c>
      <c r="AB14" s="30">
        <f>PERMIT_NZ!AB14</f>
        <v>0.51378433093787812</v>
      </c>
      <c r="AC14" s="30">
        <f>PERMIT_NZ!AC14</f>
        <v>0.4810274647503025</v>
      </c>
      <c r="AD14" s="30">
        <f>PERMIT_NZ!AD14</f>
        <v>0.44827059856272689</v>
      </c>
      <c r="AE14" s="30">
        <f>PERMIT_NZ!AE14</f>
        <v>0.41551373237515127</v>
      </c>
      <c r="AF14" s="30">
        <f>PERMIT_NZ!AF14</f>
        <v>0.38275686618757565</v>
      </c>
      <c r="AG14" s="30">
        <f>PERMIT_NZ!AG14</f>
        <v>0.35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0.99732060293140912</v>
      </c>
      <c r="D15" s="30">
        <f>PERMIT_NZ!D15</f>
        <v>0.99464120586281823</v>
      </c>
      <c r="E15" s="30">
        <f>PERMIT_NZ!E15</f>
        <v>0.99196180879422735</v>
      </c>
      <c r="F15" s="30">
        <f>PERMIT_NZ!F15</f>
        <v>0.98928241172563647</v>
      </c>
      <c r="G15" s="30">
        <f>PERMIT_NZ!G15</f>
        <v>0.98660301465704558</v>
      </c>
      <c r="H15" s="30">
        <f>PERMIT_NZ!H15</f>
        <v>0.9839236175884547</v>
      </c>
      <c r="I15" s="30">
        <f>PERMIT_NZ!I15</f>
        <v>0.98124422051986382</v>
      </c>
      <c r="J15" s="30">
        <f>PERMIT_NZ!J15</f>
        <v>0.97856482345127294</v>
      </c>
      <c r="K15" s="30">
        <f>PERMIT_NZ!K15</f>
        <v>0.97588542638268205</v>
      </c>
      <c r="L15" s="30">
        <f>PERMIT_NZ!L15</f>
        <v>0.97320602931409117</v>
      </c>
      <c r="M15" s="30">
        <f>PERMIT_NZ!M15</f>
        <v>0.97052663224550006</v>
      </c>
      <c r="N15" s="30">
        <f>PERMIT_NZ!N15</f>
        <v>0.94123083520852568</v>
      </c>
      <c r="O15" s="30">
        <f>PERMIT_NZ!O15</f>
        <v>0.9119350381715513</v>
      </c>
      <c r="P15" s="30">
        <f>PERMIT_NZ!P15</f>
        <v>0.88263924113457692</v>
      </c>
      <c r="Q15" s="30">
        <f>PERMIT_NZ!Q15</f>
        <v>0.85334344409760254</v>
      </c>
      <c r="R15" s="30">
        <f>PERMIT_NZ!R15</f>
        <v>0.82404764706062816</v>
      </c>
      <c r="S15" s="30">
        <f>PERMIT_NZ!S15</f>
        <v>0.79475185002365378</v>
      </c>
      <c r="T15" s="30">
        <f>PERMIT_NZ!T15</f>
        <v>0.7654560529866794</v>
      </c>
      <c r="U15" s="30">
        <f>PERMIT_NZ!U15</f>
        <v>0.73616025594970502</v>
      </c>
      <c r="V15" s="30">
        <f>PERMIT_NZ!V15</f>
        <v>0.70686445891273064</v>
      </c>
      <c r="W15" s="30">
        <f>PERMIT_NZ!W15</f>
        <v>0.67756866187575593</v>
      </c>
      <c r="X15" s="30">
        <f>PERMIT_NZ!X15</f>
        <v>0.64481179568818037</v>
      </c>
      <c r="Y15" s="30">
        <f>PERMIT_NZ!Y15</f>
        <v>0.61205492950060481</v>
      </c>
      <c r="Z15" s="30">
        <f>PERMIT_NZ!Z15</f>
        <v>0.57929806331302924</v>
      </c>
      <c r="AA15" s="30">
        <f>PERMIT_NZ!AA15</f>
        <v>0.54654119712545368</v>
      </c>
      <c r="AB15" s="30">
        <f>PERMIT_NZ!AB15</f>
        <v>0.51378433093787812</v>
      </c>
      <c r="AC15" s="30">
        <f>PERMIT_NZ!AC15</f>
        <v>0.4810274647503025</v>
      </c>
      <c r="AD15" s="30">
        <f>PERMIT_NZ!AD15</f>
        <v>0.44827059856272689</v>
      </c>
      <c r="AE15" s="30">
        <f>PERMIT_NZ!AE15</f>
        <v>0.41551373237515127</v>
      </c>
      <c r="AF15" s="30">
        <f>PERMIT_NZ!AF15</f>
        <v>0.38275686618757565</v>
      </c>
      <c r="AG15" s="30">
        <f>PERMIT_NZ!AG15</f>
        <v>0.35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0.99732060293140912</v>
      </c>
      <c r="D16" s="30">
        <f>PERMIT_NZ!D16</f>
        <v>0.99464120586281823</v>
      </c>
      <c r="E16" s="30">
        <f>PERMIT_NZ!E16</f>
        <v>0.99196180879422735</v>
      </c>
      <c r="F16" s="30">
        <f>PERMIT_NZ!F16</f>
        <v>0.98928241172563647</v>
      </c>
      <c r="G16" s="30">
        <f>PERMIT_NZ!G16</f>
        <v>0.98660301465704558</v>
      </c>
      <c r="H16" s="30">
        <f>PERMIT_NZ!H16</f>
        <v>0.9839236175884547</v>
      </c>
      <c r="I16" s="30">
        <f>PERMIT_NZ!I16</f>
        <v>0.98124422051986382</v>
      </c>
      <c r="J16" s="30">
        <f>PERMIT_NZ!J16</f>
        <v>0.97856482345127294</v>
      </c>
      <c r="K16" s="30">
        <f>PERMIT_NZ!K16</f>
        <v>0.97588542638268205</v>
      </c>
      <c r="L16" s="30">
        <f>PERMIT_NZ!L16</f>
        <v>0.97320602931409117</v>
      </c>
      <c r="M16" s="30">
        <f>PERMIT_NZ!M16</f>
        <v>0.97052663224550018</v>
      </c>
      <c r="N16" s="30">
        <f>PERMIT_NZ!N16</f>
        <v>0.9412308352085258</v>
      </c>
      <c r="O16" s="30">
        <f>PERMIT_NZ!O16</f>
        <v>0.91193503817155142</v>
      </c>
      <c r="P16" s="30">
        <f>PERMIT_NZ!P16</f>
        <v>0.88263924113457704</v>
      </c>
      <c r="Q16" s="30">
        <f>PERMIT_NZ!Q16</f>
        <v>0.85334344409760265</v>
      </c>
      <c r="R16" s="30">
        <f>PERMIT_NZ!R16</f>
        <v>0.82404764706062827</v>
      </c>
      <c r="S16" s="30">
        <f>PERMIT_NZ!S16</f>
        <v>0.79475185002365389</v>
      </c>
      <c r="T16" s="30">
        <f>PERMIT_NZ!T16</f>
        <v>0.76545605298667951</v>
      </c>
      <c r="U16" s="30">
        <f>PERMIT_NZ!U16</f>
        <v>0.73616025594970513</v>
      </c>
      <c r="V16" s="30">
        <f>PERMIT_NZ!V16</f>
        <v>0.70686445891273075</v>
      </c>
      <c r="W16" s="30">
        <f>PERMIT_NZ!W16</f>
        <v>0.67756866187575593</v>
      </c>
      <c r="X16" s="30">
        <f>PERMIT_NZ!X16</f>
        <v>0.64481179568818037</v>
      </c>
      <c r="Y16" s="30">
        <f>PERMIT_NZ!Y16</f>
        <v>0.61205492950060481</v>
      </c>
      <c r="Z16" s="30">
        <f>PERMIT_NZ!Z16</f>
        <v>0.57929806331302924</v>
      </c>
      <c r="AA16" s="30">
        <f>PERMIT_NZ!AA16</f>
        <v>0.54654119712545368</v>
      </c>
      <c r="AB16" s="30">
        <f>PERMIT_NZ!AB16</f>
        <v>0.51378433093787812</v>
      </c>
      <c r="AC16" s="30">
        <f>PERMIT_NZ!AC16</f>
        <v>0.4810274647503025</v>
      </c>
      <c r="AD16" s="30">
        <f>PERMIT_NZ!AD16</f>
        <v>0.44827059856272689</v>
      </c>
      <c r="AE16" s="30">
        <f>PERMIT_NZ!AE16</f>
        <v>0.41551373237515127</v>
      </c>
      <c r="AF16" s="30">
        <f>PERMIT_NZ!AF16</f>
        <v>0.38275686618757565</v>
      </c>
      <c r="AG16" s="30">
        <f>PERMIT_NZ!AG16</f>
        <v>0.35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0.99732060293140912</v>
      </c>
      <c r="D17" s="30">
        <f>PERMIT_NZ!D17</f>
        <v>0.99464120586281823</v>
      </c>
      <c r="E17" s="30">
        <f>PERMIT_NZ!E17</f>
        <v>0.99196180879422735</v>
      </c>
      <c r="F17" s="30">
        <f>PERMIT_NZ!F17</f>
        <v>0.98928241172563647</v>
      </c>
      <c r="G17" s="30">
        <f>PERMIT_NZ!G17</f>
        <v>0.98660301465704558</v>
      </c>
      <c r="H17" s="30">
        <f>PERMIT_NZ!H17</f>
        <v>0.9839236175884547</v>
      </c>
      <c r="I17" s="30">
        <f>PERMIT_NZ!I17</f>
        <v>0.98124422051986382</v>
      </c>
      <c r="J17" s="30">
        <f>PERMIT_NZ!J17</f>
        <v>0.97856482345127294</v>
      </c>
      <c r="K17" s="30">
        <f>PERMIT_NZ!K17</f>
        <v>0.97588542638268205</v>
      </c>
      <c r="L17" s="30">
        <f>PERMIT_NZ!L17</f>
        <v>0.97320602931409117</v>
      </c>
      <c r="M17" s="30">
        <f>PERMIT_NZ!M17</f>
        <v>0.97052663224550018</v>
      </c>
      <c r="N17" s="30">
        <f>PERMIT_NZ!N17</f>
        <v>0.9412308352085258</v>
      </c>
      <c r="O17" s="30">
        <f>PERMIT_NZ!O17</f>
        <v>0.91193503817155142</v>
      </c>
      <c r="P17" s="30">
        <f>PERMIT_NZ!P17</f>
        <v>0.88263924113457704</v>
      </c>
      <c r="Q17" s="30">
        <f>PERMIT_NZ!Q17</f>
        <v>0.85334344409760265</v>
      </c>
      <c r="R17" s="30">
        <f>PERMIT_NZ!R17</f>
        <v>0.82404764706062827</v>
      </c>
      <c r="S17" s="30">
        <f>PERMIT_NZ!S17</f>
        <v>0.79475185002365389</v>
      </c>
      <c r="T17" s="30">
        <f>PERMIT_NZ!T17</f>
        <v>0.76545605298667951</v>
      </c>
      <c r="U17" s="30">
        <f>PERMIT_NZ!U17</f>
        <v>0.73616025594970513</v>
      </c>
      <c r="V17" s="30">
        <f>PERMIT_NZ!V17</f>
        <v>0.70686445891273075</v>
      </c>
      <c r="W17" s="30">
        <f>PERMIT_NZ!W17</f>
        <v>0.67756866187575593</v>
      </c>
      <c r="X17" s="30">
        <f>PERMIT_NZ!X17</f>
        <v>0.64481179568818037</v>
      </c>
      <c r="Y17" s="30">
        <f>PERMIT_NZ!Y17</f>
        <v>0.61205492950060481</v>
      </c>
      <c r="Z17" s="30">
        <f>PERMIT_NZ!Z17</f>
        <v>0.57929806331302924</v>
      </c>
      <c r="AA17" s="30">
        <f>PERMIT_NZ!AA17</f>
        <v>0.54654119712545368</v>
      </c>
      <c r="AB17" s="30">
        <f>PERMIT_NZ!AB17</f>
        <v>0.51378433093787812</v>
      </c>
      <c r="AC17" s="30">
        <f>PERMIT_NZ!AC17</f>
        <v>0.4810274647503025</v>
      </c>
      <c r="AD17" s="30">
        <f>PERMIT_NZ!AD17</f>
        <v>0.44827059856272689</v>
      </c>
      <c r="AE17" s="30">
        <f>PERMIT_NZ!AE17</f>
        <v>0.41551373237515127</v>
      </c>
      <c r="AF17" s="30">
        <f>PERMIT_NZ!AF17</f>
        <v>0.38275686618757565</v>
      </c>
      <c r="AG17" s="30">
        <f>PERMIT_NZ!AG17</f>
        <v>0.35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0.96880530280148291</v>
      </c>
      <c r="D18" s="30">
        <f>PERMIT_NZ!D18</f>
        <v>0.93761060560296583</v>
      </c>
      <c r="E18" s="30">
        <f>PERMIT_NZ!E18</f>
        <v>0.90641590840444874</v>
      </c>
      <c r="F18" s="30">
        <f>PERMIT_NZ!F18</f>
        <v>0.87522121120593166</v>
      </c>
      <c r="G18" s="30">
        <f>PERMIT_NZ!G18</f>
        <v>0.84402651400741457</v>
      </c>
      <c r="H18" s="30">
        <f>PERMIT_NZ!H18</f>
        <v>0.81283181680889749</v>
      </c>
      <c r="I18" s="30">
        <f>PERMIT_NZ!I18</f>
        <v>0.7816371196103804</v>
      </c>
      <c r="J18" s="30">
        <f>PERMIT_NZ!J18</f>
        <v>0.75044242241186332</v>
      </c>
      <c r="K18" s="30">
        <f>PERMIT_NZ!K18</f>
        <v>0.71924772521334623</v>
      </c>
      <c r="L18" s="30">
        <f>PERMIT_NZ!L18</f>
        <v>0.68805302801482915</v>
      </c>
      <c r="M18" s="30">
        <f>PERMIT_NZ!M18</f>
        <v>0.65685833081631206</v>
      </c>
      <c r="N18" s="30">
        <f>PERMIT_NZ!N18</f>
        <v>0.62811088203873566</v>
      </c>
      <c r="O18" s="30">
        <f>PERMIT_NZ!O18</f>
        <v>0.59936343326115926</v>
      </c>
      <c r="P18" s="30">
        <f>PERMIT_NZ!P18</f>
        <v>0.57061598448358286</v>
      </c>
      <c r="Q18" s="30">
        <f>PERMIT_NZ!Q18</f>
        <v>0.54186853570600646</v>
      </c>
      <c r="R18" s="30">
        <f>PERMIT_NZ!R18</f>
        <v>0.51312108692843006</v>
      </c>
      <c r="S18" s="30">
        <f>PERMIT_NZ!S18</f>
        <v>0.4843736381508536</v>
      </c>
      <c r="T18" s="30">
        <f>PERMIT_NZ!T18</f>
        <v>0.45562618937327715</v>
      </c>
      <c r="U18" s="30">
        <f>PERMIT_NZ!U18</f>
        <v>0.42687874059570069</v>
      </c>
      <c r="V18" s="30">
        <f>PERMIT_NZ!V18</f>
        <v>0.39813129181812423</v>
      </c>
      <c r="W18" s="30">
        <f>PERMIT_NZ!W18</f>
        <v>0.36938384304054761</v>
      </c>
      <c r="X18" s="30">
        <f>PERMIT_NZ!X18</f>
        <v>0.34244545873649285</v>
      </c>
      <c r="Y18" s="30">
        <f>PERMIT_NZ!Y18</f>
        <v>0.31550707443243808</v>
      </c>
      <c r="Z18" s="30">
        <f>PERMIT_NZ!Z18</f>
        <v>0.28856869012838332</v>
      </c>
      <c r="AA18" s="30">
        <f>PERMIT_NZ!AA18</f>
        <v>0.26163030582432856</v>
      </c>
      <c r="AB18" s="30">
        <f>PERMIT_NZ!AB18</f>
        <v>0.23469192152027379</v>
      </c>
      <c r="AC18" s="30">
        <f>PERMIT_NZ!AC18</f>
        <v>0.20775353721621903</v>
      </c>
      <c r="AD18" s="30">
        <f>PERMIT_NZ!AD18</f>
        <v>0.18081515291216427</v>
      </c>
      <c r="AE18" s="30">
        <f>PERMIT_NZ!AE18</f>
        <v>0.1538767686081095</v>
      </c>
      <c r="AF18" s="30">
        <f>PERMIT_NZ!AF18</f>
        <v>0.12693838430405474</v>
      </c>
      <c r="AG18" s="30">
        <f>PERMIT_NZ!AG18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  <vt:lpstr>PERMIT_NEA_NZ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2026-04-02T16:06:02Z</dcterms:modified>
</cp:coreProperties>
</file>