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c0\Desktop\GTAPv7\"/>
    </mc:Choice>
  </mc:AlternateContent>
  <xr:revisionPtr revIDLastSave="0" documentId="13_ncr:1_{057BE191-0F78-48A7-9555-2E94AF39AB92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GDP" sheetId="1" r:id="rId1"/>
    <sheet name="POP" sheetId="2" r:id="rId2"/>
  </sheets>
  <calcPr calcId="191029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2" i="1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2" i="2"/>
  <c r="H3" i="1" l="1"/>
  <c r="M3" i="1" s="1"/>
  <c r="N3" i="1" s="1"/>
  <c r="H4" i="1"/>
  <c r="M4" i="1" s="1"/>
  <c r="N4" i="1" s="1"/>
  <c r="H12" i="1"/>
  <c r="M12" i="1" s="1"/>
  <c r="N12" i="1" s="1"/>
  <c r="H13" i="1"/>
  <c r="M13" i="1" s="1"/>
  <c r="N13" i="1" s="1"/>
  <c r="H14" i="1"/>
  <c r="M14" i="1" s="1"/>
  <c r="N14" i="1" s="1"/>
  <c r="H15" i="1"/>
  <c r="M15" i="1" s="1"/>
  <c r="N15" i="1" s="1"/>
  <c r="H16" i="1"/>
  <c r="M16" i="1" s="1"/>
  <c r="N16" i="1" s="1"/>
  <c r="G3" i="1"/>
  <c r="G4" i="1"/>
  <c r="G5" i="1"/>
  <c r="H5" i="1" s="1"/>
  <c r="M5" i="1" s="1"/>
  <c r="N5" i="1" s="1"/>
  <c r="G6" i="1"/>
  <c r="H6" i="1" s="1"/>
  <c r="M6" i="1" s="1"/>
  <c r="N6" i="1" s="1"/>
  <c r="G7" i="1"/>
  <c r="H7" i="1" s="1"/>
  <c r="M7" i="1" s="1"/>
  <c r="N7" i="1" s="1"/>
  <c r="G8" i="1"/>
  <c r="H8" i="1" s="1"/>
  <c r="M8" i="1" s="1"/>
  <c r="N8" i="1" s="1"/>
  <c r="G9" i="1"/>
  <c r="H9" i="1" s="1"/>
  <c r="M9" i="1" s="1"/>
  <c r="N9" i="1" s="1"/>
  <c r="G10" i="1"/>
  <c r="H10" i="1" s="1"/>
  <c r="M10" i="1" s="1"/>
  <c r="N10" i="1" s="1"/>
  <c r="G11" i="1"/>
  <c r="H11" i="1" s="1"/>
  <c r="M11" i="1" s="1"/>
  <c r="N11" i="1" s="1"/>
  <c r="G12" i="1"/>
  <c r="G13" i="1"/>
  <c r="G14" i="1"/>
  <c r="G15" i="1"/>
  <c r="G16" i="1"/>
  <c r="G17" i="1"/>
  <c r="H17" i="1" s="1"/>
  <c r="M17" i="1" s="1"/>
  <c r="N17" i="1" s="1"/>
  <c r="G18" i="1"/>
  <c r="H18" i="1" s="1"/>
  <c r="M18" i="1" s="1"/>
  <c r="N18" i="1" s="1"/>
  <c r="G2" i="1"/>
  <c r="H2" i="1" s="1"/>
  <c r="M2" i="1" s="1"/>
  <c r="N2" i="1" s="1"/>
</calcChain>
</file>

<file path=xl/sharedStrings.xml><?xml version="1.0" encoding="utf-8"?>
<sst xmlns="http://schemas.openxmlformats.org/spreadsheetml/2006/main" count="160" uniqueCount="51">
  <si>
    <t>2017</t>
  </si>
  <si>
    <t>2019</t>
  </si>
  <si>
    <t>R17</t>
  </si>
  <si>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</si>
  <si>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</si>
  <si>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</si>
  <si>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</si>
  <si>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</si>
  <si>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</si>
  <si>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</si>
  <si>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</si>
  <si>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</si>
  <si>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</si>
  <si>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</si>
  <si>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</si>
  <si>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</si>
  <si>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</si>
  <si>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</si>
  <si>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</si>
  <si>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</si>
  <si>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GDPE</t>
  </si>
  <si>
    <t>1 r_01KOR</t>
  </si>
  <si>
    <t>2 r_02CHN</t>
  </si>
  <si>
    <t>3 r_03JPN</t>
  </si>
  <si>
    <t>4 r_04RUS</t>
  </si>
  <si>
    <t>5 r_05MNG</t>
  </si>
  <si>
    <t>6 r_06PRK</t>
  </si>
  <si>
    <t>7 r_07NAM</t>
  </si>
  <si>
    <t>8 r_08LAM</t>
  </si>
  <si>
    <t>9 r_09WEU</t>
  </si>
  <si>
    <t>10 r_10EEU</t>
  </si>
  <si>
    <t>11 r_11FSU</t>
  </si>
  <si>
    <t>12 r_12MEA</t>
  </si>
  <si>
    <t>13 r_13AFR</t>
  </si>
  <si>
    <t>14 r_14CPA</t>
  </si>
  <si>
    <t>15 r_15SAS</t>
  </si>
  <si>
    <t>16 r_16PAS</t>
  </si>
  <si>
    <t>17 r_17PAO</t>
  </si>
  <si>
    <t>GTAP GDPEXP(2017)</t>
  </si>
  <si>
    <t>WB, UN GDPEXP(2019)</t>
  </si>
  <si>
    <t>% Change</t>
  </si>
  <si>
    <t xml:space="preserve">POP </t>
  </si>
  <si>
    <t>GTAP POP 2017</t>
  </si>
  <si>
    <t>WB POP 2019</t>
  </si>
  <si>
    <t>Target</t>
  </si>
  <si>
    <t>sim1</t>
  </si>
  <si>
    <t>오차율</t>
  </si>
  <si>
    <t>sim37</t>
  </si>
  <si>
    <t>sim83</t>
  </si>
  <si>
    <t>vgdp</t>
  </si>
  <si>
    <t>sim138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</si>
</sst>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1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3" fontId="3" fillId="0" borderId="1" xfId="0" applyNumberFormat="1" applyFont="1" applyBorder="1"/>
    <xf numFmtId="0" fontId="1" fillId="2" borderId="1" xfId="0" applyFont="1" applyFill="1" applyBorder="1" applyAlignment="1">
      <alignment horizontal="center"/>
    </xf>
    <xf numFmtId="164" fontId="0" fillId="2" borderId="1" xfId="0" applyNumberFormat="1" applyFill="1" applyBorder="1"/>
    <xf numFmtId="43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GDP!$K$1</c:f>
              <c:strCache>
                <c:ptCount val="1"/>
                <c:pt idx="0">
                  <c:v>sim1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GDP!$J$2:$J$18</c:f>
              <c:strCache>
                <c:ptCount val="17"/>
                <c:pt idx="0">
                  <c:v>1 r_01KOR</c:v>
                </c:pt>
                <c:pt idx="1">
                  <c:v>2 r_02CHN</c:v>
                </c:pt>
                <c:pt idx="2">
                  <c:v>3 r_03JPN</c:v>
                </c:pt>
                <c:pt idx="3">
                  <c:v>4 r_04RUS</c:v>
                </c:pt>
                <c:pt idx="4">
                  <c:v>5 r_05MNG</c:v>
                </c:pt>
                <c:pt idx="5">
                  <c:v>6 r_06PRK</c:v>
                </c:pt>
                <c:pt idx="6">
                  <c:v>7 r_07NAM</c:v>
                </c:pt>
                <c:pt idx="7">
                  <c:v>8 r_08LAM</c:v>
                </c:pt>
                <c:pt idx="8">
                  <c:v>9 r_09WEU</c:v>
                </c:pt>
                <c:pt idx="9">
                  <c:v>10 r_10EEU</c:v>
                </c:pt>
                <c:pt idx="10">
                  <c:v>11 r_11FSU</c:v>
                </c:pt>
                <c:pt idx="11">
                  <c:v>12 r_12MEA</c:v>
                </c:pt>
                <c:pt idx="12">
                  <c:v>13 r_13AFR</c:v>
                </c:pt>
                <c:pt idx="13">
                  <c:v>14 r_14CPA</c:v>
                </c:pt>
                <c:pt idx="14">
                  <c:v>15 r_15SAS</c:v>
                </c:pt>
                <c:pt idx="15">
                  <c:v>16 r_16PAS</c:v>
                </c:pt>
                <c:pt idx="16">
                  <c:v>17 r_17PAO</c:v>
                </c:pt>
              </c:strCache>
            </c:strRef>
          </c:cat>
          <c:val>
            <c:numRef>
              <c:f>GDP!$K$2:$K$18</c:f>
              <c:numCache>
                <c:formatCode>0.00</c:formatCode>
                <c:ptCount val="17"/>
                <c:pt idx="0">
                  <c:v>2.4015219999999999</c:v>
                </c:pt>
                <c:pt idx="1">
                  <c:v>11.95712</c:v>
                </c:pt>
                <c:pt idx="2">
                  <c:v>4.0395279999999998</c:v>
                </c:pt>
                <c:pt idx="3">
                  <c:v>10.861677</c:v>
                </c:pt>
                <c:pt idx="4">
                  <c:v>30.261493999999999</c:v>
                </c:pt>
                <c:pt idx="5">
                  <c:v>-60.755347999999998</c:v>
                </c:pt>
                <c:pt idx="6">
                  <c:v>9.0123899999999999</c:v>
                </c:pt>
                <c:pt idx="7">
                  <c:v>-1.2397819999999999</c:v>
                </c:pt>
                <c:pt idx="8">
                  <c:v>4.6869750000000003</c:v>
                </c:pt>
                <c:pt idx="9">
                  <c:v>9.9109770000000008</c:v>
                </c:pt>
                <c:pt idx="10">
                  <c:v>14.136365</c:v>
                </c:pt>
                <c:pt idx="11">
                  <c:v>7.9472180000000003</c:v>
                </c:pt>
                <c:pt idx="12">
                  <c:v>13.095393</c:v>
                </c:pt>
                <c:pt idx="13">
                  <c:v>27.596888</c:v>
                </c:pt>
                <c:pt idx="14">
                  <c:v>4.981878</c:v>
                </c:pt>
                <c:pt idx="15">
                  <c:v>7.4339380000000004</c:v>
                </c:pt>
                <c:pt idx="16">
                  <c:v>9.059132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3-4F6C-ACC1-38B4B95C5DEB}"/>
            </c:ext>
          </c:extLst>
        </c:ser>
        <c:ser>
          <c:idx val="1"/>
          <c:order val="1"/>
          <c:tx>
            <c:strRef>
              <c:f>GDP!$L$1</c:f>
              <c:strCache>
                <c:ptCount val="1"/>
                <c:pt idx="0">
                  <c:v>sim138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GDP!$J$2:$J$18</c:f>
              <c:strCache>
                <c:ptCount val="17"/>
                <c:pt idx="0">
                  <c:v>1 r_01KOR</c:v>
                </c:pt>
                <c:pt idx="1">
                  <c:v>2 r_02CHN</c:v>
                </c:pt>
                <c:pt idx="2">
                  <c:v>3 r_03JPN</c:v>
                </c:pt>
                <c:pt idx="3">
                  <c:v>4 r_04RUS</c:v>
                </c:pt>
                <c:pt idx="4">
                  <c:v>5 r_05MNG</c:v>
                </c:pt>
                <c:pt idx="5">
                  <c:v>6 r_06PRK</c:v>
                </c:pt>
                <c:pt idx="6">
                  <c:v>7 r_07NAM</c:v>
                </c:pt>
                <c:pt idx="7">
                  <c:v>8 r_08LAM</c:v>
                </c:pt>
                <c:pt idx="8">
                  <c:v>9 r_09WEU</c:v>
                </c:pt>
                <c:pt idx="9">
                  <c:v>10 r_10EEU</c:v>
                </c:pt>
                <c:pt idx="10">
                  <c:v>11 r_11FSU</c:v>
                </c:pt>
                <c:pt idx="11">
                  <c:v>12 r_12MEA</c:v>
                </c:pt>
                <c:pt idx="12">
                  <c:v>13 r_13AFR</c:v>
                </c:pt>
                <c:pt idx="13">
                  <c:v>14 r_14CPA</c:v>
                </c:pt>
                <c:pt idx="14">
                  <c:v>15 r_15SAS</c:v>
                </c:pt>
                <c:pt idx="15">
                  <c:v>16 r_16PAS</c:v>
                </c:pt>
                <c:pt idx="16">
                  <c:v>17 r_17PAO</c:v>
                </c:pt>
              </c:strCache>
            </c:strRef>
          </c:cat>
          <c:val>
            <c:numRef>
              <c:f>GDP!$L$2:$L$18</c:f>
              <c:numCache>
                <c:formatCode>0.00</c:formatCode>
                <c:ptCount val="17"/>
                <c:pt idx="0">
                  <c:v>1.7285079999999999</c:v>
                </c:pt>
                <c:pt idx="1">
                  <c:v>15.784112</c:v>
                </c:pt>
                <c:pt idx="2">
                  <c:v>3.2085499999999998</c:v>
                </c:pt>
                <c:pt idx="3">
                  <c:v>8.8882879999999993</c:v>
                </c:pt>
                <c:pt idx="4">
                  <c:v>33.095993</c:v>
                </c:pt>
                <c:pt idx="5">
                  <c:v>-62.109229999999997</c:v>
                </c:pt>
                <c:pt idx="6">
                  <c:v>9.2467620000000004</c:v>
                </c:pt>
                <c:pt idx="7">
                  <c:v>-5.9088279999999997</c:v>
                </c:pt>
                <c:pt idx="8">
                  <c:v>4.1074809999999999</c:v>
                </c:pt>
                <c:pt idx="9">
                  <c:v>12.128403</c:v>
                </c:pt>
                <c:pt idx="10">
                  <c:v>17.167363999999999</c:v>
                </c:pt>
                <c:pt idx="11">
                  <c:v>4.9263269999999997</c:v>
                </c:pt>
                <c:pt idx="12">
                  <c:v>14.036019</c:v>
                </c:pt>
                <c:pt idx="13">
                  <c:v>31.096526999999998</c:v>
                </c:pt>
                <c:pt idx="14">
                  <c:v>6.7089270000000001</c:v>
                </c:pt>
                <c:pt idx="15">
                  <c:v>7.5170349999999999</c:v>
                </c:pt>
                <c:pt idx="16">
                  <c:v>4.8259210000000001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0-499A-A5CD-2BE181DBFC9D}"/>
            </c:ext>
          </c:extLst>
        </c:ser>
        <c:ser>
          <c:idx val="2"/>
          <c:order val="2"/>
          <c:tx>
            <c:strRef>
              <c:f>GDP!$M$1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GDP!$J$2:$J$18</c:f>
              <c:strCache>
                <c:ptCount val="17"/>
                <c:pt idx="0">
                  <c:v>1 r_01KOR</c:v>
                </c:pt>
                <c:pt idx="1">
                  <c:v>2 r_02CHN</c:v>
                </c:pt>
                <c:pt idx="2">
                  <c:v>3 r_03JPN</c:v>
                </c:pt>
                <c:pt idx="3">
                  <c:v>4 r_04RUS</c:v>
                </c:pt>
                <c:pt idx="4">
                  <c:v>5 r_05MNG</c:v>
                </c:pt>
                <c:pt idx="5">
                  <c:v>6 r_06PRK</c:v>
                </c:pt>
                <c:pt idx="6">
                  <c:v>7 r_07NAM</c:v>
                </c:pt>
                <c:pt idx="7">
                  <c:v>8 r_08LAM</c:v>
                </c:pt>
                <c:pt idx="8">
                  <c:v>9 r_09WEU</c:v>
                </c:pt>
                <c:pt idx="9">
                  <c:v>10 r_10EEU</c:v>
                </c:pt>
                <c:pt idx="10">
                  <c:v>11 r_11FSU</c:v>
                </c:pt>
                <c:pt idx="11">
                  <c:v>12 r_12MEA</c:v>
                </c:pt>
                <c:pt idx="12">
                  <c:v>13 r_13AFR</c:v>
                </c:pt>
                <c:pt idx="13">
                  <c:v>14 r_14CPA</c:v>
                </c:pt>
                <c:pt idx="14">
                  <c:v>15 r_15SAS</c:v>
                </c:pt>
                <c:pt idx="15">
                  <c:v>16 r_16PAS</c:v>
                </c:pt>
                <c:pt idx="16">
                  <c:v>17 r_17PAO</c:v>
                </c:pt>
              </c:strCache>
            </c:strRef>
          </c:cat>
          <c:val>
            <c:numRef>
              <c:f>GDP!$M$2:$M$18</c:f>
              <c:numCache>
                <c:formatCode>0.00</c:formatCode>
                <c:ptCount val="17"/>
                <c:pt idx="0">
                  <c:v>1.6949288378013687</c:v>
                </c:pt>
                <c:pt idx="1">
                  <c:v>15.739708786336893</c:v>
                </c:pt>
                <c:pt idx="2">
                  <c:v>3.7956195887292954</c:v>
                </c:pt>
                <c:pt idx="3">
                  <c:v>7.5539275294778649</c:v>
                </c:pt>
                <c:pt idx="4">
                  <c:v>23.738963353203886</c:v>
                </c:pt>
                <c:pt idx="5">
                  <c:v>-75.914301601932593</c:v>
                </c:pt>
                <c:pt idx="6">
                  <c:v>9.4573893083456682</c:v>
                </c:pt>
                <c:pt idx="7">
                  <c:v>-5.9406442426498085</c:v>
                </c:pt>
                <c:pt idx="8">
                  <c:v>4.1394072684319587</c:v>
                </c:pt>
                <c:pt idx="9">
                  <c:v>12.016466113186762</c:v>
                </c:pt>
                <c:pt idx="10">
                  <c:v>16.287930838654987</c:v>
                </c:pt>
                <c:pt idx="11">
                  <c:v>3.2236121485390465</c:v>
                </c:pt>
                <c:pt idx="12">
                  <c:v>13.534293456665894</c:v>
                </c:pt>
                <c:pt idx="13">
                  <c:v>44.546960135267646</c:v>
                </c:pt>
                <c:pt idx="14">
                  <c:v>6.7488696189417485</c:v>
                </c:pt>
                <c:pt idx="15">
                  <c:v>7.535896216854117</c:v>
                </c:pt>
                <c:pt idx="16">
                  <c:v>4.831385263392411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30-499A-A5CD-2BE181DBF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208431"/>
        <c:axId val="1057448623"/>
      </c:barChart>
      <c:catAx>
        <c:axId val="116620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448623"/>
        <c:crosses val="autoZero"/>
        <c:auto val="1"/>
        <c:lblAlgn val="ctr"/>
        <c:lblOffset val="100"/>
        <c:noMultiLvlLbl val="0"/>
      </c:catAx>
      <c:valAx>
        <c:axId val="105744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20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1007183</xdr:colOff>
      <xdr:row>19</xdr:row>
      <xdr:rowOff>103095</xdr:rowOff>
    </xdr:from>
    <xdr:to>
      <xdr:col>16</xdr:col>
      <xdr:colOff>44822</xdr:colOff>
      <xdr:row>42</xdr:row>
      <xdr:rowOff>125506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09449A-669E-4A86-B541-5DF5DC326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"/>
  <sheetViews>
    <sheetView tabSelected="1" topLeftCell="C1" zoomScale="85" zoomScaleNormal="85" workbookViewId="0">
      <selection activeCell="N2" sqref="N2"/>
    </sheetView>
  </sheetViews>
  <sheetFormatPr defaultRowHeight="14.4" x14ac:dyDescent="0.3"/>
  <cols>
    <col min="2" max="3" width="19.21875" bestFit="1" customWidth="1"/>
    <col min="5" max="5" width="10.88671875" bestFit="1" customWidth="1"/>
    <col min="6" max="6" width="19.21875" bestFit="1" customWidth="1"/>
    <col min="7" max="7" width="21.33203125" bestFit="1" customWidth="1"/>
    <col min="8" max="8" width="9.5546875" bestFit="1" customWidth="1"/>
    <col min="10" max="10" width="11.21875" bestFit="1" customWidth="1"/>
    <col min="11" max="11" width="11.21875" customWidth="1"/>
    <col min="12" max="12" width="11" bestFit="1" customWidth="1"/>
    <col min="16" max="16" width="11.21875" bestFit="1" customWidth="1"/>
    <col min="17" max="17" width="11" bestFit="1" customWidth="1"/>
  </cols>
  <sheetData>
    <row r="1" spans="1:23" x14ac:dyDescent="0.3">
      <c r="A1" s="1" t="s">
        <v>2</v>
      </c>
      <c r="B1" s="1" t="s">
        <v>0</v>
      </c>
      <c r="C1" s="1" t="s">
        <v>1</v>
      </c>
      <c r="E1" s="4" t="s">
        <v>20</v>
      </c>
      <c r="F1" s="4" t="s">
        <v>38</v>
      </c>
      <c r="G1" s="7" t="s">
        <v>39</v>
      </c>
      <c r="H1" s="5" t="s">
        <v>40</v>
      </c>
      <c r="J1" s="13"/>
      <c r="K1" s="1" t="s">
        <v>45</v>
      </c>
      <c r="L1" s="15" t="s">
        <v>50</v>
      </c>
      <c r="M1" s="4" t="s">
        <v>44</v>
      </c>
      <c r="N1" s="4" t="s">
        <v>46</v>
      </c>
      <c r="Q1" t="s">
        <v>47</v>
      </c>
      <c r="R1" t="s">
        <v>48</v>
      </c>
      <c r="T1" t="s">
        <v>49</v>
      </c>
      <c r="U1" t="s">
        <v>50</v>
      </c>
      <c r="V1" t="s">
        <v>49</v>
      </c>
      <c r="W1" t="s">
        <v>45</v>
      </c>
    </row>
    <row r="2" spans="1:23" x14ac:dyDescent="0.3">
      <c r="A2" s="1" t="s">
        <v>3</v>
      </c>
      <c r="B2" s="3">
        <v>1623074183501.9041</v>
      </c>
      <c r="C2" s="3">
        <v>1651422932447.7681</v>
      </c>
      <c r="E2" s="2" t="s">
        <v>21</v>
      </c>
      <c r="F2" s="3">
        <v>1623899</v>
      </c>
      <c r="G2" s="8">
        <f>C2/10^6</f>
        <v>1651422.932447768</v>
      </c>
      <c r="H2" s="11">
        <f>(G2-F2)/F2*100</f>
        <v>1.6949288378013687</v>
      </c>
      <c r="I2" s="12"/>
      <c r="J2" s="13" t="s">
        <v>21</v>
      </c>
      <c r="K2" s="14">
        <v>2.4015219999999999</v>
      </c>
      <c r="L2" s="14">
        <f>U2</f>
        <v>1.7285079999999999</v>
      </c>
      <c r="M2" s="14">
        <f>H2</f>
        <v>1.6949288378013687</v>
      </c>
      <c r="N2" s="14">
        <f>1-L2/M2</f>
        <v>-1.9811546921456369E-2</v>
      </c>
      <c r="P2" t="s">
        <v>21</v>
      </c>
      <c r="Q2" s="12">
        <v>1.6970670000000001</v>
      </c>
      <c r="R2" s="12">
        <v>1.676099</v>
      </c>
      <c r="T2" t="s">
        <v>21</v>
      </c>
      <c r="U2">
        <v>1.7285079999999999</v>
      </c>
      <c r="V2" t="s">
        <v>21</v>
      </c>
      <c r="W2">
        <v>2.4015219999999999</v>
      </c>
    </row>
    <row r="3" spans="1:23" x14ac:dyDescent="0.3">
      <c r="A3" s="1" t="s">
        <v>4</v>
      </c>
      <c r="B3" s="3">
        <v>12651764623515.359</v>
      </c>
      <c r="C3" s="3">
        <v>14643043051315.16</v>
      </c>
      <c r="E3" s="2" t="s">
        <v>22</v>
      </c>
      <c r="F3" s="3">
        <v>12651702</v>
      </c>
      <c r="G3" s="8">
        <f t="shared" ref="G3:G18" si="0">C3/10^6</f>
        <v>14643043.05131516</v>
      </c>
      <c r="H3" s="11">
        <f t="shared" ref="H3:H18" si="1">(G3-F3)/F3*100</f>
        <v>15.739708786336893</v>
      </c>
      <c r="J3" s="13" t="s">
        <v>22</v>
      </c>
      <c r="K3" s="14">
        <v>11.95712</v>
      </c>
      <c r="L3" s="14">
        <f t="shared" ref="L3:L18" si="2">U3</f>
        <v>15.784112</v>
      </c>
      <c r="M3" s="14">
        <f t="shared" ref="M3:M18" si="3">H3</f>
        <v>15.739708786336893</v>
      </c>
      <c r="N3" s="14">
        <f t="shared" ref="N3:N18" si="4">1-L3/M3</f>
        <v>-2.8210949939335705E-3</v>
      </c>
      <c r="P3" t="s">
        <v>22</v>
      </c>
      <c r="Q3" s="12">
        <v>15.743575999999999</v>
      </c>
      <c r="R3" s="12">
        <v>15.726361000000001</v>
      </c>
      <c r="T3" t="s">
        <v>22</v>
      </c>
      <c r="U3">
        <v>15.784112</v>
      </c>
      <c r="V3" t="s">
        <v>22</v>
      </c>
      <c r="W3">
        <v>11.95712</v>
      </c>
    </row>
    <row r="4" spans="1:23" x14ac:dyDescent="0.3">
      <c r="A4" s="1" t="s">
        <v>5</v>
      </c>
      <c r="B4" s="3">
        <v>4930837369151.4219</v>
      </c>
      <c r="C4" s="3">
        <v>5117993853016.5078</v>
      </c>
      <c r="E4" s="2" t="s">
        <v>23</v>
      </c>
      <c r="F4" s="3">
        <v>4930838</v>
      </c>
      <c r="G4" s="8">
        <f t="shared" si="0"/>
        <v>5117993.8530165078</v>
      </c>
      <c r="H4" s="11">
        <f t="shared" si="1"/>
        <v>3.7956195887292954</v>
      </c>
      <c r="J4" s="13" t="s">
        <v>23</v>
      </c>
      <c r="K4" s="14">
        <v>4.0395279999999998</v>
      </c>
      <c r="L4" s="14">
        <f t="shared" si="2"/>
        <v>3.2085499999999998</v>
      </c>
      <c r="M4" s="14">
        <f t="shared" si="3"/>
        <v>3.7956195887292954</v>
      </c>
      <c r="N4" s="14">
        <f t="shared" si="4"/>
        <v>0.15467029163632173</v>
      </c>
      <c r="P4" t="s">
        <v>23</v>
      </c>
      <c r="Q4" s="12">
        <v>3.8800479999999999</v>
      </c>
      <c r="R4" s="12">
        <v>3.8008790000000001</v>
      </c>
      <c r="T4" t="s">
        <v>23</v>
      </c>
      <c r="U4">
        <v>3.2085499999999998</v>
      </c>
      <c r="V4" t="s">
        <v>23</v>
      </c>
      <c r="W4">
        <v>4.0395279999999998</v>
      </c>
    </row>
    <row r="5" spans="1:23" x14ac:dyDescent="0.3">
      <c r="A5" s="1" t="s">
        <v>6</v>
      </c>
      <c r="B5" s="3">
        <v>1574199360089.002</v>
      </c>
      <c r="C5" s="3">
        <v>1693115002708.3159</v>
      </c>
      <c r="E5" s="2" t="s">
        <v>24</v>
      </c>
      <c r="F5" s="3">
        <v>1574201</v>
      </c>
      <c r="G5" s="8">
        <f t="shared" si="0"/>
        <v>1693115.0027083158</v>
      </c>
      <c r="H5" s="11">
        <f t="shared" si="1"/>
        <v>7.5539275294778649</v>
      </c>
      <c r="J5" s="13" t="s">
        <v>24</v>
      </c>
      <c r="K5" s="14">
        <v>10.861677</v>
      </c>
      <c r="L5" s="14">
        <f t="shared" si="2"/>
        <v>8.8882879999999993</v>
      </c>
      <c r="M5" s="14">
        <f t="shared" si="3"/>
        <v>7.5539275294778649</v>
      </c>
      <c r="N5" s="14">
        <f t="shared" si="4"/>
        <v>-0.1766445951877389</v>
      </c>
      <c r="P5" t="s">
        <v>24</v>
      </c>
      <c r="Q5" s="12">
        <v>7.5633609999999996</v>
      </c>
      <c r="R5" s="12">
        <v>7.559958</v>
      </c>
      <c r="T5" t="s">
        <v>24</v>
      </c>
      <c r="U5">
        <v>8.8882879999999993</v>
      </c>
      <c r="V5" t="s">
        <v>24</v>
      </c>
      <c r="W5">
        <v>10.861677</v>
      </c>
    </row>
    <row r="6" spans="1:23" x14ac:dyDescent="0.3">
      <c r="A6" s="1" t="s">
        <v>7</v>
      </c>
      <c r="B6" s="3">
        <v>11480847740.735979</v>
      </c>
      <c r="C6" s="3">
        <v>14206359017.51432</v>
      </c>
      <c r="E6" s="2" t="s">
        <v>25</v>
      </c>
      <c r="F6" s="3">
        <v>11480.91</v>
      </c>
      <c r="G6" s="8">
        <f t="shared" si="0"/>
        <v>14206.35901751432</v>
      </c>
      <c r="H6" s="11">
        <f t="shared" si="1"/>
        <v>23.738963353203886</v>
      </c>
      <c r="J6" s="13" t="s">
        <v>25</v>
      </c>
      <c r="K6" s="14">
        <v>30.261493999999999</v>
      </c>
      <c r="L6" s="14">
        <f t="shared" si="2"/>
        <v>33.095993</v>
      </c>
      <c r="M6" s="14">
        <f t="shared" si="3"/>
        <v>23.738963353203886</v>
      </c>
      <c r="N6" s="14">
        <f t="shared" si="4"/>
        <v>-0.39416336373143523</v>
      </c>
      <c r="P6" t="s">
        <v>25</v>
      </c>
      <c r="Q6" s="12">
        <v>28.527172</v>
      </c>
      <c r="R6" s="12">
        <v>28.467026000000001</v>
      </c>
      <c r="T6" t="s">
        <v>25</v>
      </c>
      <c r="U6">
        <v>33.095993</v>
      </c>
      <c r="V6" t="s">
        <v>25</v>
      </c>
      <c r="W6">
        <v>30.261493999999999</v>
      </c>
    </row>
    <row r="7" spans="1:23" x14ac:dyDescent="0.3">
      <c r="A7" s="1" t="s">
        <v>8</v>
      </c>
      <c r="B7" s="3">
        <v>17364724931</v>
      </c>
      <c r="C7" s="6">
        <v>16331452313</v>
      </c>
      <c r="E7" s="2" t="s">
        <v>26</v>
      </c>
      <c r="F7" s="3">
        <v>67805.600000000006</v>
      </c>
      <c r="G7" s="8">
        <f t="shared" si="0"/>
        <v>16331.452313</v>
      </c>
      <c r="H7" s="11">
        <f t="shared" si="1"/>
        <v>-75.914301601932593</v>
      </c>
      <c r="J7" s="13" t="s">
        <v>26</v>
      </c>
      <c r="K7" s="14">
        <v>-60.755347999999998</v>
      </c>
      <c r="L7" s="14">
        <f t="shared" si="2"/>
        <v>-62.109229999999997</v>
      </c>
      <c r="M7" s="14">
        <f t="shared" si="3"/>
        <v>-75.914301601932593</v>
      </c>
      <c r="N7" s="14">
        <f t="shared" si="4"/>
        <v>0.18185073577204791</v>
      </c>
      <c r="P7" t="s">
        <v>26</v>
      </c>
      <c r="Q7" s="12">
        <v>-75.861176</v>
      </c>
      <c r="R7" s="12">
        <v>-75.865973999999994</v>
      </c>
      <c r="T7" t="s">
        <v>26</v>
      </c>
      <c r="U7">
        <v>-62.109229999999997</v>
      </c>
      <c r="V7" t="s">
        <v>26</v>
      </c>
      <c r="W7">
        <v>-60.755347999999998</v>
      </c>
    </row>
    <row r="8" spans="1:23" x14ac:dyDescent="0.3">
      <c r="A8" s="1" t="s">
        <v>9</v>
      </c>
      <c r="B8" s="3">
        <v>21239854693244.09</v>
      </c>
      <c r="C8" s="3">
        <v>23240314702672.52</v>
      </c>
      <c r="E8" s="2" t="s">
        <v>27</v>
      </c>
      <c r="F8" s="3">
        <v>21232294</v>
      </c>
      <c r="G8" s="8">
        <f t="shared" si="0"/>
        <v>23240314.702672519</v>
      </c>
      <c r="H8" s="11">
        <f t="shared" si="1"/>
        <v>9.4573893083456682</v>
      </c>
      <c r="J8" s="13" t="s">
        <v>27</v>
      </c>
      <c r="K8" s="14">
        <v>9.0123899999999999</v>
      </c>
      <c r="L8" s="14">
        <f t="shared" si="2"/>
        <v>9.2467620000000004</v>
      </c>
      <c r="M8" s="14">
        <f t="shared" si="3"/>
        <v>9.4573893083456682</v>
      </c>
      <c r="N8" s="14">
        <f t="shared" si="4"/>
        <v>2.2271189382021106E-2</v>
      </c>
      <c r="P8" t="s">
        <v>27</v>
      </c>
      <c r="Q8" s="12">
        <v>9.4681809999999995</v>
      </c>
      <c r="R8" s="12">
        <v>9.4495920000000009</v>
      </c>
      <c r="T8" t="s">
        <v>27</v>
      </c>
      <c r="U8">
        <v>9.2467620000000004</v>
      </c>
      <c r="V8" t="s">
        <v>27</v>
      </c>
      <c r="W8">
        <v>9.0123899999999999</v>
      </c>
    </row>
    <row r="9" spans="1:23" x14ac:dyDescent="0.3">
      <c r="A9" s="1" t="s">
        <v>10</v>
      </c>
      <c r="B9" s="3">
        <v>5559285812766.4063</v>
      </c>
      <c r="C9" s="3">
        <v>5365456048273.2539</v>
      </c>
      <c r="E9" s="2" t="s">
        <v>28</v>
      </c>
      <c r="F9" s="3">
        <v>5704330</v>
      </c>
      <c r="G9" s="8">
        <f t="shared" si="0"/>
        <v>5365456.0482732542</v>
      </c>
      <c r="H9" s="11">
        <f t="shared" si="1"/>
        <v>-5.9406442426498085</v>
      </c>
      <c r="J9" s="13" t="s">
        <v>28</v>
      </c>
      <c r="K9" s="14">
        <v>-1.2397819999999999</v>
      </c>
      <c r="L9" s="14">
        <f t="shared" si="2"/>
        <v>-5.9088279999999997</v>
      </c>
      <c r="M9" s="14">
        <f t="shared" si="3"/>
        <v>-5.9406442426498085</v>
      </c>
      <c r="N9" s="14">
        <f t="shared" si="4"/>
        <v>5.3556889371341176E-3</v>
      </c>
      <c r="P9" t="s">
        <v>28</v>
      </c>
      <c r="Q9" s="12">
        <v>-5.9402809999999997</v>
      </c>
      <c r="R9" s="12">
        <v>-5.9436669999999996</v>
      </c>
      <c r="T9" t="s">
        <v>28</v>
      </c>
      <c r="U9">
        <v>-5.9088279999999997</v>
      </c>
      <c r="V9" t="s">
        <v>28</v>
      </c>
      <c r="W9">
        <v>-1.2397819999999999</v>
      </c>
    </row>
    <row r="10" spans="1:23" x14ac:dyDescent="0.3">
      <c r="A10" s="1" t="s">
        <v>11</v>
      </c>
      <c r="B10" s="3">
        <v>18004823532814.859</v>
      </c>
      <c r="C10" s="3">
        <v>18828980725054.691</v>
      </c>
      <c r="E10" s="2" t="s">
        <v>29</v>
      </c>
      <c r="F10" s="3">
        <v>18080553</v>
      </c>
      <c r="G10" s="8">
        <f t="shared" si="0"/>
        <v>18828980.725054692</v>
      </c>
      <c r="H10" s="11">
        <f t="shared" si="1"/>
        <v>4.1394072684319587</v>
      </c>
      <c r="J10" s="13" t="s">
        <v>29</v>
      </c>
      <c r="K10" s="14">
        <v>4.6869750000000003</v>
      </c>
      <c r="L10" s="14">
        <f t="shared" si="2"/>
        <v>4.1074809999999999</v>
      </c>
      <c r="M10" s="14">
        <f t="shared" si="3"/>
        <v>4.1394072684319587</v>
      </c>
      <c r="N10" s="14">
        <f t="shared" si="4"/>
        <v>7.7127632923282841E-3</v>
      </c>
      <c r="P10" t="s">
        <v>29</v>
      </c>
      <c r="Q10" s="12">
        <v>4.4677980000000002</v>
      </c>
      <c r="R10" s="12">
        <v>4.4192790000000004</v>
      </c>
      <c r="T10" t="s">
        <v>29</v>
      </c>
      <c r="U10">
        <v>4.1074809999999999</v>
      </c>
      <c r="V10" t="s">
        <v>29</v>
      </c>
      <c r="W10">
        <v>4.6869750000000003</v>
      </c>
    </row>
    <row r="11" spans="1:23" x14ac:dyDescent="0.3">
      <c r="A11" s="1" t="s">
        <v>12</v>
      </c>
      <c r="B11" s="3">
        <v>1560176531606.3301</v>
      </c>
      <c r="C11" s="3">
        <v>1787657340724.4141</v>
      </c>
      <c r="E11" s="2" t="s">
        <v>30</v>
      </c>
      <c r="F11" s="3">
        <v>1595888</v>
      </c>
      <c r="G11" s="8">
        <f t="shared" si="0"/>
        <v>1787657.340724414</v>
      </c>
      <c r="H11" s="11">
        <f t="shared" si="1"/>
        <v>12.016466113186762</v>
      </c>
      <c r="J11" s="13" t="s">
        <v>30</v>
      </c>
      <c r="K11" s="14">
        <v>9.9109770000000008</v>
      </c>
      <c r="L11" s="14">
        <f t="shared" si="2"/>
        <v>12.128403</v>
      </c>
      <c r="M11" s="14">
        <f t="shared" si="3"/>
        <v>12.016466113186762</v>
      </c>
      <c r="N11" s="14">
        <f t="shared" si="4"/>
        <v>-9.3152916805048225E-3</v>
      </c>
      <c r="P11" t="s">
        <v>30</v>
      </c>
      <c r="Q11" s="12">
        <v>9.6444899999999993</v>
      </c>
      <c r="R11" s="12">
        <v>11.111704</v>
      </c>
      <c r="T11" t="s">
        <v>30</v>
      </c>
      <c r="U11">
        <v>12.128403</v>
      </c>
      <c r="V11" t="s">
        <v>30</v>
      </c>
      <c r="W11">
        <v>9.9109770000000008</v>
      </c>
    </row>
    <row r="12" spans="1:23" x14ac:dyDescent="0.3">
      <c r="A12" s="1" t="s">
        <v>13</v>
      </c>
      <c r="B12" s="3">
        <v>527024330430.90692</v>
      </c>
      <c r="C12" s="3">
        <v>614148541939.9176</v>
      </c>
      <c r="E12" s="2" t="s">
        <v>31</v>
      </c>
      <c r="F12" s="3">
        <v>528127.5</v>
      </c>
      <c r="G12" s="8">
        <f t="shared" si="0"/>
        <v>614148.5419399176</v>
      </c>
      <c r="H12" s="11">
        <f t="shared" si="1"/>
        <v>16.287930838654987</v>
      </c>
      <c r="J12" s="13" t="s">
        <v>31</v>
      </c>
      <c r="K12" s="14">
        <v>14.136365</v>
      </c>
      <c r="L12" s="14">
        <f t="shared" si="2"/>
        <v>17.167363999999999</v>
      </c>
      <c r="M12" s="14">
        <f t="shared" si="3"/>
        <v>16.287930838654987</v>
      </c>
      <c r="N12" s="14">
        <f t="shared" si="4"/>
        <v>-5.3992933175889712E-2</v>
      </c>
      <c r="P12" t="s">
        <v>31</v>
      </c>
      <c r="Q12" s="12">
        <v>16.31625</v>
      </c>
      <c r="R12" s="12">
        <v>16.299616</v>
      </c>
      <c r="T12" t="s">
        <v>31</v>
      </c>
      <c r="U12">
        <v>17.167363999999999</v>
      </c>
      <c r="V12" t="s">
        <v>31</v>
      </c>
      <c r="W12">
        <v>14.136365</v>
      </c>
    </row>
    <row r="13" spans="1:23" x14ac:dyDescent="0.3">
      <c r="A13" s="1" t="s">
        <v>14</v>
      </c>
      <c r="B13" s="3">
        <v>3465737836266.3628</v>
      </c>
      <c r="C13" s="3">
        <v>3514288132805.75</v>
      </c>
      <c r="E13" s="2" t="s">
        <v>32</v>
      </c>
      <c r="F13" s="3">
        <v>3404539</v>
      </c>
      <c r="G13" s="8">
        <f t="shared" si="0"/>
        <v>3514288.1328057498</v>
      </c>
      <c r="H13" s="11">
        <f t="shared" si="1"/>
        <v>3.2236121485390465</v>
      </c>
      <c r="J13" s="13" t="s">
        <v>32</v>
      </c>
      <c r="K13" s="14">
        <v>7.9472180000000003</v>
      </c>
      <c r="L13" s="14">
        <f t="shared" si="2"/>
        <v>4.9263269999999997</v>
      </c>
      <c r="M13" s="14">
        <f t="shared" si="3"/>
        <v>3.2236121485390465</v>
      </c>
      <c r="N13" s="14">
        <f t="shared" si="4"/>
        <v>-0.52820090414184295</v>
      </c>
      <c r="P13" t="s">
        <v>32</v>
      </c>
      <c r="Q13" s="12">
        <v>3.2408510000000001</v>
      </c>
      <c r="R13" s="12">
        <v>3.2294040000000002</v>
      </c>
      <c r="T13" t="s">
        <v>32</v>
      </c>
      <c r="U13">
        <v>4.9263269999999997</v>
      </c>
      <c r="V13" t="s">
        <v>32</v>
      </c>
      <c r="W13">
        <v>7.9472180000000003</v>
      </c>
    </row>
    <row r="14" spans="1:23" x14ac:dyDescent="0.3">
      <c r="A14" s="1" t="s">
        <v>15</v>
      </c>
      <c r="B14" s="3">
        <v>1580801853583.697</v>
      </c>
      <c r="C14" s="3">
        <v>1793076615477.4231</v>
      </c>
      <c r="E14" s="2" t="s">
        <v>33</v>
      </c>
      <c r="F14" s="3">
        <v>1579326</v>
      </c>
      <c r="G14" s="8">
        <f t="shared" si="0"/>
        <v>1793076.6154774232</v>
      </c>
      <c r="H14" s="11">
        <f t="shared" si="1"/>
        <v>13.534293456665894</v>
      </c>
      <c r="J14" s="13" t="s">
        <v>33</v>
      </c>
      <c r="K14" s="14">
        <v>13.095393</v>
      </c>
      <c r="L14" s="14">
        <f t="shared" si="2"/>
        <v>14.036019</v>
      </c>
      <c r="M14" s="14">
        <f t="shared" si="3"/>
        <v>13.534293456665894</v>
      </c>
      <c r="N14" s="14">
        <f t="shared" si="4"/>
        <v>-3.7070686027351973E-2</v>
      </c>
      <c r="P14" t="s">
        <v>33</v>
      </c>
      <c r="Q14" s="12">
        <v>14.478888</v>
      </c>
      <c r="R14" s="12">
        <v>14.426004000000001</v>
      </c>
      <c r="T14" t="s">
        <v>33</v>
      </c>
      <c r="U14">
        <v>14.036019</v>
      </c>
      <c r="V14" t="s">
        <v>33</v>
      </c>
      <c r="W14">
        <v>13.095393</v>
      </c>
    </row>
    <row r="15" spans="1:23" x14ac:dyDescent="0.3">
      <c r="A15" s="1" t="s">
        <v>16</v>
      </c>
      <c r="B15" s="3">
        <v>320601968659.4928</v>
      </c>
      <c r="C15" s="3">
        <v>380195220083.6283</v>
      </c>
      <c r="E15" s="2" t="s">
        <v>34</v>
      </c>
      <c r="F15" s="3">
        <v>263025.40000000002</v>
      </c>
      <c r="G15" s="8">
        <f t="shared" si="0"/>
        <v>380195.22008362832</v>
      </c>
      <c r="H15" s="11">
        <f t="shared" si="1"/>
        <v>44.546960135267646</v>
      </c>
      <c r="J15" s="13" t="s">
        <v>34</v>
      </c>
      <c r="K15" s="14">
        <v>27.596888</v>
      </c>
      <c r="L15" s="14">
        <f t="shared" si="2"/>
        <v>31.096526999999998</v>
      </c>
      <c r="M15" s="14">
        <f t="shared" si="3"/>
        <v>44.546960135267646</v>
      </c>
      <c r="N15" s="14">
        <f t="shared" si="4"/>
        <v>0.30193829375618819</v>
      </c>
      <c r="P15" t="s">
        <v>34</v>
      </c>
      <c r="Q15" s="12">
        <v>44.557029999999997</v>
      </c>
      <c r="R15" s="12">
        <v>44.534027000000002</v>
      </c>
      <c r="T15" t="s">
        <v>34</v>
      </c>
      <c r="U15">
        <v>31.096526999999998</v>
      </c>
      <c r="V15" t="s">
        <v>34</v>
      </c>
      <c r="W15">
        <v>27.596888</v>
      </c>
    </row>
    <row r="16" spans="1:23" x14ac:dyDescent="0.3">
      <c r="A16" s="1" t="s">
        <v>17</v>
      </c>
      <c r="B16" s="3">
        <v>3433943646490.542</v>
      </c>
      <c r="C16" s="3">
        <v>3658216510053.2739</v>
      </c>
      <c r="E16" s="2" t="s">
        <v>35</v>
      </c>
      <c r="F16" s="3">
        <v>3426937</v>
      </c>
      <c r="G16" s="8">
        <f t="shared" si="0"/>
        <v>3658216.5100532738</v>
      </c>
      <c r="H16" s="11">
        <f t="shared" si="1"/>
        <v>6.7488696189417485</v>
      </c>
      <c r="J16" s="13" t="s">
        <v>35</v>
      </c>
      <c r="K16" s="14">
        <v>4.981878</v>
      </c>
      <c r="L16" s="14">
        <f t="shared" si="2"/>
        <v>6.7089270000000001</v>
      </c>
      <c r="M16" s="14">
        <f t="shared" si="3"/>
        <v>6.7488696189417485</v>
      </c>
      <c r="N16" s="14">
        <f t="shared" si="4"/>
        <v>5.9184161492235043E-3</v>
      </c>
      <c r="P16" t="s">
        <v>35</v>
      </c>
      <c r="Q16" s="12">
        <v>6.7440420000000003</v>
      </c>
      <c r="R16" s="12">
        <v>6.7374580000000002</v>
      </c>
      <c r="T16" t="s">
        <v>35</v>
      </c>
      <c r="U16">
        <v>6.7089270000000001</v>
      </c>
      <c r="V16" t="s">
        <v>35</v>
      </c>
      <c r="W16">
        <v>4.981878</v>
      </c>
    </row>
    <row r="17" spans="1:23" x14ac:dyDescent="0.3">
      <c r="A17" s="1" t="s">
        <v>18</v>
      </c>
      <c r="B17" s="3">
        <v>3052636265762.9248</v>
      </c>
      <c r="C17" s="3">
        <v>3425523713219.0229</v>
      </c>
      <c r="E17" s="2" t="s">
        <v>36</v>
      </c>
      <c r="F17" s="3">
        <v>3185470</v>
      </c>
      <c r="G17" s="8">
        <f t="shared" si="0"/>
        <v>3425523.7132190228</v>
      </c>
      <c r="H17" s="11">
        <f t="shared" si="1"/>
        <v>7.535896216854117</v>
      </c>
      <c r="J17" s="13" t="s">
        <v>36</v>
      </c>
      <c r="K17" s="14">
        <v>7.4339380000000004</v>
      </c>
      <c r="L17" s="14">
        <f t="shared" si="2"/>
        <v>7.5170349999999999</v>
      </c>
      <c r="M17" s="14">
        <f t="shared" si="3"/>
        <v>7.535896216854117</v>
      </c>
      <c r="N17" s="14">
        <f t="shared" si="4"/>
        <v>2.5028498683320466E-3</v>
      </c>
      <c r="P17" t="s">
        <v>36</v>
      </c>
      <c r="Q17" s="12">
        <v>7.5303469999999999</v>
      </c>
      <c r="R17" s="12">
        <v>7.5291110000000003</v>
      </c>
      <c r="T17" t="s">
        <v>36</v>
      </c>
      <c r="U17">
        <v>7.5170349999999999</v>
      </c>
      <c r="V17" t="s">
        <v>36</v>
      </c>
      <c r="W17">
        <v>7.4339380000000004</v>
      </c>
    </row>
    <row r="18" spans="1:23" x14ac:dyDescent="0.3">
      <c r="A18" s="1" t="s">
        <v>19</v>
      </c>
      <c r="B18" s="3">
        <v>1533438363661.5701</v>
      </c>
      <c r="C18" s="3">
        <v>1607763313113.6599</v>
      </c>
      <c r="E18" s="2" t="s">
        <v>37</v>
      </c>
      <c r="F18" s="3">
        <v>1533666</v>
      </c>
      <c r="G18" s="8">
        <f t="shared" si="0"/>
        <v>1607763.3131136599</v>
      </c>
      <c r="H18" s="11">
        <f t="shared" si="1"/>
        <v>4.831385263392411</v>
      </c>
      <c r="J18" s="13" t="s">
        <v>37</v>
      </c>
      <c r="K18" s="14">
        <v>9.059132</v>
      </c>
      <c r="L18" s="14">
        <f t="shared" si="2"/>
        <v>4.8259210000000001</v>
      </c>
      <c r="M18" s="14">
        <f t="shared" si="3"/>
        <v>4.831385263392411</v>
      </c>
      <c r="N18" s="14">
        <f t="shared" si="4"/>
        <v>1.130993099187072E-3</v>
      </c>
      <c r="P18" t="s">
        <v>37</v>
      </c>
      <c r="Q18" s="12">
        <v>4.8327970000000002</v>
      </c>
      <c r="R18" s="12">
        <v>4.8215120000000002</v>
      </c>
      <c r="T18" t="s">
        <v>37</v>
      </c>
      <c r="U18">
        <v>4.8259210000000001</v>
      </c>
      <c r="V18" t="s">
        <v>37</v>
      </c>
      <c r="W18">
        <v>9.059132</v>
      </c>
    </row>
    <row r="19" spans="1:23" x14ac:dyDescent="0.3">
      <c r="N19" s="1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activeCell="K6" sqref="K6"/>
    </sheetView>
  </sheetViews>
  <sheetFormatPr defaultRowHeight="14.4" x14ac:dyDescent="0.3"/>
  <cols>
    <col min="2" max="3" width="16.109375" bestFit="1" customWidth="1"/>
    <col min="4" max="4" width="12.6640625" bestFit="1" customWidth="1"/>
    <col min="5" max="5" width="10.88671875" bestFit="1" customWidth="1"/>
    <col min="6" max="6" width="13.6640625" bestFit="1" customWidth="1"/>
    <col min="7" max="7" width="12.109375" bestFit="1" customWidth="1"/>
    <col min="8" max="8" width="10.21875" bestFit="1" customWidth="1"/>
  </cols>
  <sheetData>
    <row r="1" spans="1:8" x14ac:dyDescent="0.3">
      <c r="A1" s="1" t="s">
        <v>2</v>
      </c>
      <c r="B1" s="1" t="s">
        <v>0</v>
      </c>
      <c r="C1" s="1" t="s">
        <v>1</v>
      </c>
      <c r="E1" s="4" t="s">
        <v>41</v>
      </c>
      <c r="F1" s="4" t="s">
        <v>42</v>
      </c>
      <c r="G1" s="4" t="s">
        <v>43</v>
      </c>
      <c r="H1" s="5" t="s">
        <v>40</v>
      </c>
    </row>
    <row r="2" spans="1:8" x14ac:dyDescent="0.3">
      <c r="A2" s="1" t="s">
        <v>3</v>
      </c>
      <c r="B2" s="3">
        <v>51361911</v>
      </c>
      <c r="C2" s="3">
        <v>51764822</v>
      </c>
      <c r="E2" s="2" t="s">
        <v>21</v>
      </c>
      <c r="F2" s="2">
        <v>51.466200000000001</v>
      </c>
      <c r="G2" s="9">
        <f>C2/10^6</f>
        <v>51.764822000000002</v>
      </c>
      <c r="H2" s="10">
        <f>(G2-F2)/F2*100</f>
        <v>0.58022935441124801</v>
      </c>
    </row>
    <row r="3" spans="1:8" x14ac:dyDescent="0.3">
      <c r="A3" s="1" t="s">
        <v>4</v>
      </c>
      <c r="B3" s="3">
        <v>1403608200</v>
      </c>
      <c r="C3" s="3">
        <v>1415252900</v>
      </c>
      <c r="E3" s="2" t="s">
        <v>22</v>
      </c>
      <c r="F3" s="2">
        <v>1393.787</v>
      </c>
      <c r="G3" s="9">
        <f t="shared" ref="G3:G18" si="0">C3/10^6</f>
        <v>1415.2529</v>
      </c>
      <c r="H3" s="10">
        <f t="shared" ref="H3:H18" si="1">(G3-F3)/F3*100</f>
        <v>1.5401133745687052</v>
      </c>
    </row>
    <row r="4" spans="1:8" x14ac:dyDescent="0.3">
      <c r="A4" s="1" t="s">
        <v>5</v>
      </c>
      <c r="B4" s="3">
        <v>126972000</v>
      </c>
      <c r="C4" s="3">
        <v>126633000</v>
      </c>
      <c r="E4" s="2" t="s">
        <v>23</v>
      </c>
      <c r="F4" s="2">
        <v>126.78579999999999</v>
      </c>
      <c r="G4" s="9">
        <f t="shared" si="0"/>
        <v>126.633</v>
      </c>
      <c r="H4" s="10">
        <f t="shared" si="1"/>
        <v>-0.12051822838204214</v>
      </c>
    </row>
    <row r="5" spans="1:8" x14ac:dyDescent="0.3">
      <c r="A5" s="1" t="s">
        <v>6</v>
      </c>
      <c r="B5" s="3">
        <v>144496739</v>
      </c>
      <c r="C5" s="3">
        <v>144406261</v>
      </c>
      <c r="E5" s="2" t="s">
        <v>24</v>
      </c>
      <c r="F5" s="2">
        <v>144.4967</v>
      </c>
      <c r="G5" s="9">
        <f t="shared" si="0"/>
        <v>144.406261</v>
      </c>
      <c r="H5" s="10">
        <f t="shared" si="1"/>
        <v>-6.2588972620138378E-2</v>
      </c>
    </row>
    <row r="6" spans="1:8" x14ac:dyDescent="0.3">
      <c r="A6" s="1" t="s">
        <v>7</v>
      </c>
      <c r="B6" s="3">
        <v>3096030</v>
      </c>
      <c r="C6" s="3">
        <v>3232430</v>
      </c>
      <c r="E6" s="2" t="s">
        <v>25</v>
      </c>
      <c r="F6" s="2">
        <v>3.1137790000000001</v>
      </c>
      <c r="G6" s="9">
        <f t="shared" si="0"/>
        <v>3.2324299999999999</v>
      </c>
      <c r="H6" s="10">
        <f t="shared" si="1"/>
        <v>3.8105144905916521</v>
      </c>
    </row>
    <row r="7" spans="1:8" x14ac:dyDescent="0.3">
      <c r="A7" s="1" t="s">
        <v>8</v>
      </c>
      <c r="B7" s="3">
        <v>25516321</v>
      </c>
      <c r="C7" s="3">
        <v>25755441</v>
      </c>
      <c r="E7" s="2" t="s">
        <v>26</v>
      </c>
      <c r="F7" s="2">
        <v>26.052389999999999</v>
      </c>
      <c r="G7" s="9">
        <f t="shared" si="0"/>
        <v>25.755441000000001</v>
      </c>
      <c r="H7" s="10">
        <f t="shared" si="1"/>
        <v>-1.139814811616124</v>
      </c>
    </row>
    <row r="8" spans="1:8" x14ac:dyDescent="0.3">
      <c r="A8" s="1" t="s">
        <v>9</v>
      </c>
      <c r="B8" s="3">
        <v>365268537</v>
      </c>
      <c r="C8" s="3">
        <v>369400170</v>
      </c>
      <c r="E8" s="2" t="s">
        <v>27</v>
      </c>
      <c r="F8" s="2">
        <v>365.01240000000001</v>
      </c>
      <c r="G8" s="9">
        <f t="shared" si="0"/>
        <v>369.40017</v>
      </c>
      <c r="H8" s="10">
        <f t="shared" si="1"/>
        <v>1.2020879290676123</v>
      </c>
    </row>
    <row r="9" spans="1:8" x14ac:dyDescent="0.3">
      <c r="A9" s="1" t="s">
        <v>10</v>
      </c>
      <c r="B9" s="3">
        <v>637697634</v>
      </c>
      <c r="C9" s="3">
        <v>649450333</v>
      </c>
      <c r="E9" s="2" t="s">
        <v>28</v>
      </c>
      <c r="F9" s="2">
        <v>632.37990000000002</v>
      </c>
      <c r="G9" s="9">
        <f t="shared" si="0"/>
        <v>649.450333</v>
      </c>
      <c r="H9" s="10">
        <f t="shared" si="1"/>
        <v>2.6993952527586629</v>
      </c>
    </row>
    <row r="10" spans="1:8" x14ac:dyDescent="0.3">
      <c r="A10" s="1" t="s">
        <v>11</v>
      </c>
      <c r="B10" s="3">
        <v>504489494</v>
      </c>
      <c r="C10" s="3">
        <v>509248131</v>
      </c>
      <c r="E10" s="2" t="s">
        <v>29</v>
      </c>
      <c r="F10" s="2">
        <v>506.47430000000003</v>
      </c>
      <c r="G10" s="9">
        <f t="shared" si="0"/>
        <v>509.248131</v>
      </c>
      <c r="H10" s="10">
        <f t="shared" si="1"/>
        <v>0.5476745809214747</v>
      </c>
    </row>
    <row r="11" spans="1:8" x14ac:dyDescent="0.3">
      <c r="A11" s="1" t="s">
        <v>12</v>
      </c>
      <c r="B11" s="3">
        <v>120562298</v>
      </c>
      <c r="C11" s="3">
        <v>120046274</v>
      </c>
      <c r="E11" s="2" t="s">
        <v>30</v>
      </c>
      <c r="F11" s="2">
        <v>121.0044</v>
      </c>
      <c r="G11" s="9">
        <f t="shared" si="0"/>
        <v>120.046274</v>
      </c>
      <c r="H11" s="10">
        <f t="shared" si="1"/>
        <v>-0.79181087629871894</v>
      </c>
    </row>
    <row r="12" spans="1:8" x14ac:dyDescent="0.3">
      <c r="A12" s="1" t="s">
        <v>13</v>
      </c>
      <c r="B12" s="3">
        <v>144997757</v>
      </c>
      <c r="C12" s="3">
        <v>147080877</v>
      </c>
      <c r="E12" s="2" t="s">
        <v>31</v>
      </c>
      <c r="F12" s="2">
        <v>145.66800000000001</v>
      </c>
      <c r="G12" s="9">
        <f t="shared" si="0"/>
        <v>147.08087699999999</v>
      </c>
      <c r="H12" s="10">
        <f t="shared" si="1"/>
        <v>0.9699295658620839</v>
      </c>
    </row>
    <row r="13" spans="1:8" x14ac:dyDescent="0.3">
      <c r="A13" s="1" t="s">
        <v>14</v>
      </c>
      <c r="B13" s="3">
        <v>506715308</v>
      </c>
      <c r="C13" s="3">
        <v>525303478</v>
      </c>
      <c r="E13" s="2" t="s">
        <v>32</v>
      </c>
      <c r="F13" s="2">
        <v>481.20909999999998</v>
      </c>
      <c r="G13" s="9">
        <f t="shared" si="0"/>
        <v>525.30347800000004</v>
      </c>
      <c r="H13" s="10">
        <f t="shared" si="1"/>
        <v>9.1632469128285532</v>
      </c>
    </row>
    <row r="14" spans="1:8" x14ac:dyDescent="0.3">
      <c r="A14" s="1" t="s">
        <v>15</v>
      </c>
      <c r="B14" s="3">
        <v>1013587453</v>
      </c>
      <c r="C14" s="3">
        <v>1068943284</v>
      </c>
      <c r="E14" s="2" t="s">
        <v>33</v>
      </c>
      <c r="F14" s="2">
        <v>1010.562</v>
      </c>
      <c r="G14" s="9">
        <f t="shared" si="0"/>
        <v>1068.9432839999999</v>
      </c>
      <c r="H14" s="10">
        <f t="shared" si="1"/>
        <v>5.7771105582834039</v>
      </c>
    </row>
    <row r="15" spans="1:8" x14ac:dyDescent="0.3">
      <c r="A15" s="1" t="s">
        <v>16</v>
      </c>
      <c r="B15" s="3">
        <v>116861654</v>
      </c>
      <c r="C15" s="3">
        <v>119196515</v>
      </c>
      <c r="E15" s="2" t="s">
        <v>34</v>
      </c>
      <c r="F15" s="2">
        <v>117.5591</v>
      </c>
      <c r="G15" s="9">
        <f t="shared" si="0"/>
        <v>119.19651500000001</v>
      </c>
      <c r="H15" s="10">
        <f t="shared" si="1"/>
        <v>1.3928441098987694</v>
      </c>
    </row>
    <row r="16" spans="1:8" x14ac:dyDescent="0.3">
      <c r="A16" s="1" t="s">
        <v>17</v>
      </c>
      <c r="B16" s="3">
        <v>1818931519</v>
      </c>
      <c r="C16" s="3">
        <v>1861598514</v>
      </c>
      <c r="E16" s="2" t="s">
        <v>35</v>
      </c>
      <c r="F16" s="2">
        <v>1792.836</v>
      </c>
      <c r="G16" s="9">
        <f t="shared" si="0"/>
        <v>1861.598514</v>
      </c>
      <c r="H16" s="10">
        <f t="shared" si="1"/>
        <v>3.8354045768826603</v>
      </c>
    </row>
    <row r="17" spans="1:8" x14ac:dyDescent="0.3">
      <c r="A17" s="1" t="s">
        <v>18</v>
      </c>
      <c r="B17" s="3">
        <v>580014162</v>
      </c>
      <c r="C17" s="3">
        <v>592489624</v>
      </c>
      <c r="E17" s="2" t="s">
        <v>36</v>
      </c>
      <c r="F17" s="2">
        <v>566.07759999999996</v>
      </c>
      <c r="G17" s="9">
        <f t="shared" si="0"/>
        <v>592.48962400000005</v>
      </c>
      <c r="H17" s="10">
        <f t="shared" si="1"/>
        <v>4.6657956435654917</v>
      </c>
    </row>
    <row r="18" spans="1:8" x14ac:dyDescent="0.3">
      <c r="A18" s="1" t="s">
        <v>19</v>
      </c>
      <c r="B18" s="3">
        <v>29406188</v>
      </c>
      <c r="C18" s="3">
        <v>30314026</v>
      </c>
      <c r="E18" s="2" t="s">
        <v>37</v>
      </c>
      <c r="F18" s="2">
        <v>29.399889999999999</v>
      </c>
      <c r="G18" s="9">
        <f t="shared" si="0"/>
        <v>30.314025999999998</v>
      </c>
      <c r="H18" s="10">
        <f t="shared" si="1"/>
        <v>3.109317755950785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GDP</vt:lpstr>
      <vt:lpstr>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김진태</cp:lastModifiedBy>
  <dcterms:created xsi:type="dcterms:W3CDTF">2024-01-19T05:10:26Z</dcterms:created>
  <dcterms:modified xsi:type="dcterms:W3CDTF">2025-04-03T09:38:59Z</dcterms:modified>
</cp:coreProperties>
</file>