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2.RD_CGE\Input_WEB\"/>
    </mc:Choice>
  </mc:AlternateContent>
  <xr:revisionPtr revIDLastSave="0" documentId="13_ncr:1_{21BC7B02-C0D2-484D-9FB2-52DA7B7FD86C}" xr6:coauthVersionLast="36" xr6:coauthVersionMax="36" xr10:uidLastSave="{00000000-0000-0000-0000-000000000000}"/>
  <bookViews>
    <workbookView xWindow="0" yWindow="0" windowWidth="23040" windowHeight="9444" xr2:uid="{7F2F6BDC-BDE9-46D5-AB3B-F726E8C45C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1" l="1"/>
  <c r="T3" i="1"/>
  <c r="U3" i="1"/>
  <c r="S4" i="1"/>
  <c r="T4" i="1"/>
  <c r="U4" i="1"/>
  <c r="S5" i="1"/>
  <c r="T5" i="1"/>
  <c r="U5" i="1"/>
  <c r="S6" i="1"/>
  <c r="T6" i="1"/>
  <c r="U6" i="1"/>
  <c r="S7" i="1"/>
  <c r="T7" i="1"/>
  <c r="U7" i="1"/>
  <c r="S8" i="1"/>
  <c r="T8" i="1"/>
  <c r="U8" i="1"/>
  <c r="S9" i="1"/>
  <c r="T9" i="1"/>
  <c r="U9" i="1"/>
  <c r="S10" i="1"/>
  <c r="T10" i="1"/>
  <c r="U10" i="1"/>
  <c r="S11" i="1"/>
  <c r="T11" i="1"/>
  <c r="U11" i="1"/>
  <c r="S12" i="1"/>
  <c r="T12" i="1"/>
  <c r="U12" i="1"/>
  <c r="S13" i="1"/>
  <c r="T13" i="1"/>
  <c r="U13" i="1"/>
  <c r="S14" i="1"/>
  <c r="T14" i="1"/>
  <c r="U14" i="1"/>
  <c r="R4" i="1"/>
  <c r="R5" i="1"/>
  <c r="R6" i="1"/>
  <c r="R7" i="1"/>
  <c r="R8" i="1"/>
  <c r="R9" i="1"/>
  <c r="R10" i="1"/>
  <c r="R11" i="1"/>
  <c r="R12" i="1"/>
  <c r="R13" i="1"/>
  <c r="R14" i="1"/>
  <c r="R3" i="1"/>
  <c r="N14" i="1"/>
  <c r="N13" i="1"/>
  <c r="N12" i="1"/>
  <c r="N11" i="1"/>
  <c r="N10" i="1"/>
  <c r="N9" i="1"/>
  <c r="N8" i="1"/>
  <c r="N7" i="1"/>
  <c r="N6" i="1"/>
  <c r="N5" i="1"/>
  <c r="N4" i="1"/>
  <c r="N3" i="1"/>
  <c r="L14" i="1"/>
  <c r="K14" i="1"/>
  <c r="J14" i="1"/>
  <c r="L13" i="1"/>
  <c r="K13" i="1"/>
  <c r="J13" i="1"/>
  <c r="L12" i="1"/>
  <c r="K12" i="1"/>
  <c r="J12" i="1"/>
  <c r="L11" i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L5" i="1"/>
  <c r="K5" i="1"/>
  <c r="J5" i="1"/>
  <c r="L4" i="1"/>
  <c r="K4" i="1"/>
  <c r="J4" i="1"/>
  <c r="J3" i="1"/>
  <c r="L3" i="1"/>
  <c r="K3" i="1"/>
</calcChain>
</file>

<file path=xl/sharedStrings.xml><?xml version="1.0" encoding="utf-8"?>
<sst xmlns="http://schemas.openxmlformats.org/spreadsheetml/2006/main" count="101" uniqueCount="20">
  <si>
    <t>01_KOR</t>
  </si>
  <si>
    <t>02_CHN</t>
  </si>
  <si>
    <t>03_JPN</t>
  </si>
  <si>
    <t>04_RUS</t>
  </si>
  <si>
    <t>1.B.2</t>
  </si>
  <si>
    <t>CO2</t>
  </si>
  <si>
    <t>CH4</t>
  </si>
  <si>
    <t>N2O</t>
  </si>
  <si>
    <t>F-gas</t>
  </si>
  <si>
    <t>05_MNG</t>
  </si>
  <si>
    <t>06_PRK</t>
  </si>
  <si>
    <t>CO2 Gg</t>
  </si>
  <si>
    <t>1.B.1</t>
  </si>
  <si>
    <t>CO2bio</t>
  </si>
  <si>
    <t>BAU</t>
  </si>
  <si>
    <t>02_COAL</t>
  </si>
  <si>
    <t>03_OIL</t>
  </si>
  <si>
    <t>04_GAS</t>
  </si>
  <si>
    <t>Activity</t>
  </si>
  <si>
    <t>01_AGRICULT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</si>
</sst>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11" fontId="0" fillId="0" borderId="0" xfId="0" applyNumberFormat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1" xfId="0" applyBorder="1"/>
    <xf numFmtId="11" fontId="0" fillId="0" borderId="1" xfId="0" applyNumberFormat="1" applyBorder="1"/>
    <xf numFmtId="165" fontId="0" fillId="0" borderId="0" xfId="0" applyNumberForma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0342-99A5-48F8-9688-680F84AF9B2D}">
  <dimension ref="A1:U26"/>
  <sheetViews>
    <sheetView tabSelected="1" zoomScaleNormal="100" workbookViewId="0">
      <selection activeCell="T4" sqref="T4"/>
    </sheetView>
  </sheetViews>
  <sheetFormatPr defaultRowHeight="14.4" x14ac:dyDescent="0.3"/>
  <cols>
    <col min="1" max="1" width="8.88671875" style="2"/>
    <col min="2" max="2" width="5.33203125" style="2" bestFit="1" customWidth="1"/>
    <col min="3" max="3" width="9.109375" style="2" bestFit="1" customWidth="1"/>
    <col min="4" max="4" width="9" style="2" bestFit="1" customWidth="1"/>
    <col min="5" max="6" width="9.109375" style="2" bestFit="1" customWidth="1"/>
    <col min="7" max="7" width="9" bestFit="1" customWidth="1"/>
    <col min="9" max="9" width="5.33203125" bestFit="1" customWidth="1"/>
    <col min="18" max="18" width="14.6640625" bestFit="1" customWidth="1"/>
    <col min="19" max="19" width="16.6640625" bestFit="1" customWidth="1"/>
    <col min="20" max="20" width="12.5546875" bestFit="1" customWidth="1"/>
    <col min="21" max="21" width="10.5546875" bestFit="1" customWidth="1"/>
  </cols>
  <sheetData>
    <row r="1" spans="1:21" x14ac:dyDescent="0.3">
      <c r="A1" s="2" t="s">
        <v>11</v>
      </c>
      <c r="H1" s="2"/>
      <c r="I1" s="2"/>
      <c r="J1" s="2"/>
      <c r="K1" s="2"/>
      <c r="L1" s="2"/>
      <c r="M1" s="2"/>
    </row>
    <row r="2" spans="1:21" x14ac:dyDescent="0.3">
      <c r="C2" s="4" t="s">
        <v>6</v>
      </c>
      <c r="D2" s="4" t="s">
        <v>5</v>
      </c>
      <c r="E2" s="4" t="s">
        <v>13</v>
      </c>
      <c r="F2" s="4" t="s">
        <v>7</v>
      </c>
      <c r="H2" s="2"/>
      <c r="I2" s="2"/>
      <c r="J2" s="4" t="s">
        <v>5</v>
      </c>
      <c r="K2" s="4" t="s">
        <v>6</v>
      </c>
      <c r="L2" s="4" t="s">
        <v>7</v>
      </c>
      <c r="M2" s="4" t="s">
        <v>8</v>
      </c>
      <c r="N2" s="4" t="s">
        <v>18</v>
      </c>
      <c r="P2" s="2"/>
      <c r="Q2" s="2"/>
      <c r="R2" s="4" t="s">
        <v>5</v>
      </c>
      <c r="S2" s="4" t="s">
        <v>6</v>
      </c>
      <c r="T2" s="4" t="s">
        <v>7</v>
      </c>
      <c r="U2" s="4" t="s">
        <v>8</v>
      </c>
    </row>
    <row r="3" spans="1:21" x14ac:dyDescent="0.3">
      <c r="A3" s="2" t="s">
        <v>0</v>
      </c>
      <c r="B3" s="5" t="s">
        <v>12</v>
      </c>
      <c r="C3" s="2">
        <v>1073.785467577256</v>
      </c>
      <c r="D3" s="2">
        <v>12016.537182978</v>
      </c>
      <c r="F3" s="3"/>
      <c r="G3" s="1"/>
      <c r="H3" s="2" t="s">
        <v>0</v>
      </c>
      <c r="I3" s="5" t="s">
        <v>12</v>
      </c>
      <c r="J3" s="7">
        <f t="shared" ref="J3:J14" si="0">D3+E3</f>
        <v>12016.537182978</v>
      </c>
      <c r="K3" s="7">
        <f t="shared" ref="K3:K14" si="1">C3</f>
        <v>1073.785467577256</v>
      </c>
      <c r="L3" s="8">
        <f t="shared" ref="L3:L14" si="2">F3</f>
        <v>0</v>
      </c>
      <c r="M3" s="9">
        <v>0</v>
      </c>
      <c r="N3" s="10">
        <f>L21</f>
        <v>1.4646699999999999</v>
      </c>
      <c r="P3" s="2" t="s">
        <v>0</v>
      </c>
      <c r="Q3" s="5" t="s">
        <v>12</v>
      </c>
      <c r="R3" s="12">
        <f>J3/$N3</f>
        <v>8204.262518504509</v>
      </c>
      <c r="S3" s="12">
        <f t="shared" ref="S3:U14" si="3">K3/$N3</f>
        <v>733.12450420726589</v>
      </c>
      <c r="T3" s="12">
        <f t="shared" si="3"/>
        <v>0</v>
      </c>
      <c r="U3" s="12">
        <f t="shared" si="3"/>
        <v>0</v>
      </c>
    </row>
    <row r="4" spans="1:21" x14ac:dyDescent="0.3">
      <c r="A4" s="2" t="s">
        <v>0</v>
      </c>
      <c r="B4" s="5" t="s">
        <v>4</v>
      </c>
      <c r="C4" s="3">
        <v>2392.2164653843765</v>
      </c>
      <c r="D4" s="3">
        <v>0.16967372336705999</v>
      </c>
      <c r="E4" s="3">
        <v>1901.0625539063001</v>
      </c>
      <c r="F4" s="3">
        <v>4.4045271212450301E-4</v>
      </c>
      <c r="G4" s="1"/>
      <c r="H4" s="2" t="s">
        <v>0</v>
      </c>
      <c r="I4" s="5" t="s">
        <v>4</v>
      </c>
      <c r="J4" s="7">
        <f t="shared" si="0"/>
        <v>1901.2322276296672</v>
      </c>
      <c r="K4" s="7">
        <f t="shared" si="1"/>
        <v>2392.2164653843765</v>
      </c>
      <c r="L4" s="8">
        <f t="shared" si="2"/>
        <v>4.4045271212450301E-4</v>
      </c>
      <c r="M4" s="9">
        <v>0</v>
      </c>
      <c r="N4" s="10">
        <f>M21+N21</f>
        <v>7.9390799999999997</v>
      </c>
      <c r="P4" s="2" t="s">
        <v>0</v>
      </c>
      <c r="Q4" s="5" t="s">
        <v>4</v>
      </c>
      <c r="R4" s="12">
        <f t="shared" ref="R4:R14" si="4">J4/$N4</f>
        <v>239.47765076427839</v>
      </c>
      <c r="S4" s="12">
        <f t="shared" si="3"/>
        <v>301.3216223270677</v>
      </c>
      <c r="T4" s="12">
        <f t="shared" si="3"/>
        <v>5.5479062073250682E-5</v>
      </c>
      <c r="U4" s="12">
        <f t="shared" si="3"/>
        <v>0</v>
      </c>
    </row>
    <row r="5" spans="1:21" x14ac:dyDescent="0.3">
      <c r="A5" s="2" t="s">
        <v>1</v>
      </c>
      <c r="B5" s="5" t="s">
        <v>12</v>
      </c>
      <c r="C5" s="2">
        <v>633115.45109618397</v>
      </c>
      <c r="D5" s="3">
        <v>319452.63500020001</v>
      </c>
      <c r="E5" s="3"/>
      <c r="F5" s="3"/>
      <c r="H5" s="2" t="s">
        <v>1</v>
      </c>
      <c r="I5" s="5" t="s">
        <v>12</v>
      </c>
      <c r="J5" s="7">
        <f t="shared" si="0"/>
        <v>319452.63500020001</v>
      </c>
      <c r="K5" s="7">
        <f t="shared" si="1"/>
        <v>633115.45109618397</v>
      </c>
      <c r="L5" s="8">
        <f t="shared" si="2"/>
        <v>0</v>
      </c>
      <c r="M5" s="9">
        <v>0</v>
      </c>
      <c r="N5" s="10">
        <f>L22</f>
        <v>23.75</v>
      </c>
      <c r="P5" s="2" t="s">
        <v>1</v>
      </c>
      <c r="Q5" s="5" t="s">
        <v>12</v>
      </c>
      <c r="R5" s="12">
        <f t="shared" si="4"/>
        <v>13450.637263166316</v>
      </c>
      <c r="S5" s="12">
        <f t="shared" si="3"/>
        <v>26657.492677734062</v>
      </c>
      <c r="T5" s="12">
        <f t="shared" si="3"/>
        <v>0</v>
      </c>
      <c r="U5" s="12">
        <f t="shared" si="3"/>
        <v>0</v>
      </c>
    </row>
    <row r="6" spans="1:21" x14ac:dyDescent="0.3">
      <c r="A6" s="2" t="s">
        <v>1</v>
      </c>
      <c r="B6" s="5" t="s">
        <v>4</v>
      </c>
      <c r="C6" s="3">
        <v>94607.844549948801</v>
      </c>
      <c r="D6" s="3">
        <v>4495.8087325650004</v>
      </c>
      <c r="E6" s="3">
        <v>8755.4112000000005</v>
      </c>
      <c r="F6" s="3">
        <v>18.577031840983619</v>
      </c>
      <c r="H6" s="2" t="s">
        <v>1</v>
      </c>
      <c r="I6" s="5" t="s">
        <v>4</v>
      </c>
      <c r="J6" s="7">
        <f t="shared" si="0"/>
        <v>13251.219932565</v>
      </c>
      <c r="K6" s="7">
        <f t="shared" si="1"/>
        <v>94607.844549948801</v>
      </c>
      <c r="L6" s="8">
        <f t="shared" si="2"/>
        <v>18.577031840983619</v>
      </c>
      <c r="M6" s="9">
        <v>0</v>
      </c>
      <c r="N6" s="10">
        <f>M22+N22</f>
        <v>27.312190000000001</v>
      </c>
      <c r="P6" s="2" t="s">
        <v>1</v>
      </c>
      <c r="Q6" s="5" t="s">
        <v>4</v>
      </c>
      <c r="R6" s="12">
        <f t="shared" si="4"/>
        <v>485.17603065023343</v>
      </c>
      <c r="S6" s="12">
        <f t="shared" si="3"/>
        <v>3463.942091423236</v>
      </c>
      <c r="T6" s="12">
        <f t="shared" si="3"/>
        <v>0.68017364557670468</v>
      </c>
      <c r="U6" s="12">
        <f t="shared" si="3"/>
        <v>0</v>
      </c>
    </row>
    <row r="7" spans="1:21" x14ac:dyDescent="0.3">
      <c r="A7" s="2" t="s">
        <v>2</v>
      </c>
      <c r="B7" s="5" t="s">
        <v>12</v>
      </c>
      <c r="C7" s="2">
        <v>1609.4820811908035</v>
      </c>
      <c r="D7" s="3">
        <v>11395.104390733</v>
      </c>
      <c r="E7" s="3"/>
      <c r="F7" s="3">
        <v>0.29768662669372603</v>
      </c>
      <c r="H7" s="2" t="s">
        <v>2</v>
      </c>
      <c r="I7" s="5" t="s">
        <v>12</v>
      </c>
      <c r="J7" s="7">
        <f t="shared" si="0"/>
        <v>11395.104390733</v>
      </c>
      <c r="K7" s="7">
        <f t="shared" si="1"/>
        <v>1609.4820811908035</v>
      </c>
      <c r="L7" s="8">
        <f t="shared" si="2"/>
        <v>0.29768662669372603</v>
      </c>
      <c r="M7" s="9">
        <v>0</v>
      </c>
      <c r="N7" s="10">
        <f>L23</f>
        <v>2.2961399999999998</v>
      </c>
      <c r="P7" s="2" t="s">
        <v>2</v>
      </c>
      <c r="Q7" s="5" t="s">
        <v>12</v>
      </c>
      <c r="R7" s="12">
        <f t="shared" si="4"/>
        <v>4962.7219554264993</v>
      </c>
      <c r="S7" s="12">
        <f t="shared" si="3"/>
        <v>700.95119687423391</v>
      </c>
      <c r="T7" s="12">
        <f t="shared" si="3"/>
        <v>0.12964654885752874</v>
      </c>
      <c r="U7" s="12">
        <f t="shared" si="3"/>
        <v>0</v>
      </c>
    </row>
    <row r="8" spans="1:21" x14ac:dyDescent="0.3">
      <c r="A8" s="2" t="s">
        <v>2</v>
      </c>
      <c r="B8" s="5" t="s">
        <v>4</v>
      </c>
      <c r="C8" s="2">
        <v>1719.0895723938577</v>
      </c>
      <c r="D8" s="3">
        <v>0.80008602098241999</v>
      </c>
      <c r="E8" s="3">
        <v>33.229880029678</v>
      </c>
      <c r="F8" s="3">
        <v>8.8594833188470144E-3</v>
      </c>
      <c r="H8" s="2" t="s">
        <v>2</v>
      </c>
      <c r="I8" s="5" t="s">
        <v>4</v>
      </c>
      <c r="J8" s="7">
        <f t="shared" si="0"/>
        <v>34.02996605066042</v>
      </c>
      <c r="K8" s="7">
        <f t="shared" si="1"/>
        <v>1719.0895723938577</v>
      </c>
      <c r="L8" s="8">
        <f t="shared" si="2"/>
        <v>8.8594833188470144E-3</v>
      </c>
      <c r="M8" s="9">
        <v>0</v>
      </c>
      <c r="N8" s="10">
        <f>M23+N23</f>
        <v>10.89692</v>
      </c>
      <c r="P8" s="2" t="s">
        <v>2</v>
      </c>
      <c r="Q8" s="5" t="s">
        <v>4</v>
      </c>
      <c r="R8" s="12">
        <f t="shared" si="4"/>
        <v>3.1228976674748847</v>
      </c>
      <c r="S8" s="12">
        <f t="shared" si="3"/>
        <v>157.75921750309791</v>
      </c>
      <c r="T8" s="12">
        <f t="shared" si="3"/>
        <v>8.1302637064849649E-4</v>
      </c>
      <c r="U8" s="12">
        <f t="shared" si="3"/>
        <v>0</v>
      </c>
    </row>
    <row r="9" spans="1:21" x14ac:dyDescent="0.3">
      <c r="A9" s="2" t="s">
        <v>3</v>
      </c>
      <c r="B9" s="5" t="s">
        <v>12</v>
      </c>
      <c r="C9" s="2">
        <v>102932.52748265947</v>
      </c>
      <c r="D9" s="3">
        <v>46402.256751966001</v>
      </c>
      <c r="F9" s="3">
        <v>2.2814274543456965</v>
      </c>
      <c r="H9" s="2" t="s">
        <v>3</v>
      </c>
      <c r="I9" s="5" t="s">
        <v>12</v>
      </c>
      <c r="J9" s="7">
        <f t="shared" si="0"/>
        <v>46402.256751966001</v>
      </c>
      <c r="K9" s="7">
        <f t="shared" si="1"/>
        <v>102932.52748265947</v>
      </c>
      <c r="L9" s="8">
        <f t="shared" si="2"/>
        <v>2.2814274543456965</v>
      </c>
      <c r="M9" s="9">
        <v>0</v>
      </c>
      <c r="N9" s="10">
        <f>L24</f>
        <v>1.3718600000000001</v>
      </c>
      <c r="P9" s="2" t="s">
        <v>3</v>
      </c>
      <c r="Q9" s="5" t="s">
        <v>12</v>
      </c>
      <c r="R9" s="12">
        <f t="shared" si="4"/>
        <v>33824.338308548977</v>
      </c>
      <c r="S9" s="12">
        <f t="shared" si="3"/>
        <v>75031.364339407417</v>
      </c>
      <c r="T9" s="12">
        <f t="shared" si="3"/>
        <v>1.6630176944773494</v>
      </c>
      <c r="U9" s="12">
        <f t="shared" si="3"/>
        <v>0</v>
      </c>
    </row>
    <row r="10" spans="1:21" x14ac:dyDescent="0.3">
      <c r="A10" s="2" t="s">
        <v>3</v>
      </c>
      <c r="B10" s="5" t="s">
        <v>4</v>
      </c>
      <c r="C10" s="2">
        <v>208308.50948496681</v>
      </c>
      <c r="D10" s="3">
        <v>71805.158345478005</v>
      </c>
      <c r="F10" s="3">
        <v>174.67067638923615</v>
      </c>
      <c r="H10" s="2" t="s">
        <v>3</v>
      </c>
      <c r="I10" s="5" t="s">
        <v>4</v>
      </c>
      <c r="J10" s="7">
        <f t="shared" si="0"/>
        <v>71805.158345478005</v>
      </c>
      <c r="K10" s="7">
        <f t="shared" si="1"/>
        <v>208308.50948496681</v>
      </c>
      <c r="L10" s="8">
        <f t="shared" si="2"/>
        <v>174.67067638923615</v>
      </c>
      <c r="M10" s="9">
        <v>0</v>
      </c>
      <c r="N10" s="10">
        <f>M24+N24</f>
        <v>17.000140000000002</v>
      </c>
      <c r="P10" s="2" t="s">
        <v>3</v>
      </c>
      <c r="Q10" s="5" t="s">
        <v>4</v>
      </c>
      <c r="R10" s="12">
        <f t="shared" si="4"/>
        <v>4223.7980596323323</v>
      </c>
      <c r="S10" s="12">
        <f t="shared" si="3"/>
        <v>12253.340824544197</v>
      </c>
      <c r="T10" s="12">
        <f t="shared" si="3"/>
        <v>10.274661055099319</v>
      </c>
      <c r="U10" s="12">
        <f t="shared" si="3"/>
        <v>0</v>
      </c>
    </row>
    <row r="11" spans="1:21" x14ac:dyDescent="0.3">
      <c r="A11" s="2" t="s">
        <v>9</v>
      </c>
      <c r="B11" s="5" t="s">
        <v>12</v>
      </c>
      <c r="C11" s="2">
        <v>18156.472760044318</v>
      </c>
      <c r="D11" s="3">
        <v>422.05599336258001</v>
      </c>
      <c r="F11" s="3">
        <v>0.80339680902098443</v>
      </c>
      <c r="H11" s="2" t="s">
        <v>9</v>
      </c>
      <c r="I11" s="5" t="s">
        <v>12</v>
      </c>
      <c r="J11" s="7">
        <f t="shared" si="0"/>
        <v>422.05599336258001</v>
      </c>
      <c r="K11" s="7">
        <f t="shared" si="1"/>
        <v>18156.472760044318</v>
      </c>
      <c r="L11" s="8">
        <f t="shared" si="2"/>
        <v>0.80339680902098443</v>
      </c>
      <c r="M11" s="9">
        <v>0</v>
      </c>
      <c r="N11" s="10">
        <f>L25</f>
        <v>4.1146599999999998E-2</v>
      </c>
      <c r="P11" s="2" t="s">
        <v>9</v>
      </c>
      <c r="Q11" s="5" t="s">
        <v>12</v>
      </c>
      <c r="R11" s="12">
        <f t="shared" si="4"/>
        <v>10257.372258280879</v>
      </c>
      <c r="S11" s="12">
        <f t="shared" si="3"/>
        <v>441263.01468515792</v>
      </c>
      <c r="T11" s="12">
        <f t="shared" si="3"/>
        <v>19.525229521296644</v>
      </c>
      <c r="U11" s="12">
        <f t="shared" si="3"/>
        <v>0</v>
      </c>
    </row>
    <row r="12" spans="1:21" x14ac:dyDescent="0.3">
      <c r="A12" s="2" t="s">
        <v>9</v>
      </c>
      <c r="B12" s="5" t="s">
        <v>4</v>
      </c>
      <c r="C12" s="2">
        <v>153.0815099508408</v>
      </c>
      <c r="D12" s="3">
        <v>2.3831644716406002</v>
      </c>
      <c r="F12" s="3">
        <v>1.971105965716843E-2</v>
      </c>
      <c r="H12" s="2" t="s">
        <v>9</v>
      </c>
      <c r="I12" s="5" t="s">
        <v>4</v>
      </c>
      <c r="J12" s="7">
        <f t="shared" si="0"/>
        <v>2.3831644716406002</v>
      </c>
      <c r="K12" s="7">
        <f t="shared" si="1"/>
        <v>153.0815099508408</v>
      </c>
      <c r="L12" s="8">
        <f t="shared" si="2"/>
        <v>1.971105965716843E-2</v>
      </c>
      <c r="M12" s="9">
        <v>0</v>
      </c>
      <c r="N12" s="11">
        <f>M25+N25</f>
        <v>2.0743884000000001E-4</v>
      </c>
      <c r="P12" s="2" t="s">
        <v>9</v>
      </c>
      <c r="Q12" s="5" t="s">
        <v>4</v>
      </c>
      <c r="R12" s="12">
        <f t="shared" si="4"/>
        <v>11488.516189352968</v>
      </c>
      <c r="S12" s="12">
        <f t="shared" si="3"/>
        <v>737959.72803762683</v>
      </c>
      <c r="T12" s="12">
        <f t="shared" si="3"/>
        <v>95.021065761688746</v>
      </c>
      <c r="U12" s="12">
        <f t="shared" si="3"/>
        <v>0</v>
      </c>
    </row>
    <row r="13" spans="1:21" x14ac:dyDescent="0.3">
      <c r="A13" s="2" t="s">
        <v>10</v>
      </c>
      <c r="B13" s="5" t="s">
        <v>12</v>
      </c>
      <c r="C13" s="2">
        <v>9381.2153420240647</v>
      </c>
      <c r="D13" s="3">
        <v>201.08607940657001</v>
      </c>
      <c r="F13" s="3">
        <v>5.7757651362305351</v>
      </c>
      <c r="H13" s="2" t="s">
        <v>10</v>
      </c>
      <c r="I13" s="5" t="s">
        <v>12</v>
      </c>
      <c r="J13" s="7">
        <f t="shared" si="0"/>
        <v>201.08607940657001</v>
      </c>
      <c r="K13" s="7">
        <f t="shared" si="1"/>
        <v>9381.2153420240647</v>
      </c>
      <c r="L13" s="8">
        <f t="shared" si="2"/>
        <v>5.7757651362305351</v>
      </c>
      <c r="M13" s="9">
        <v>0</v>
      </c>
      <c r="N13" s="10">
        <f>L26</f>
        <v>6.1079200000000002E-3</v>
      </c>
      <c r="P13" s="2" t="s">
        <v>10</v>
      </c>
      <c r="Q13" s="5" t="s">
        <v>12</v>
      </c>
      <c r="R13" s="12">
        <f t="shared" si="4"/>
        <v>32922.186179021664</v>
      </c>
      <c r="S13" s="12">
        <f t="shared" si="3"/>
        <v>1535909.9893292747</v>
      </c>
      <c r="T13" s="12">
        <f t="shared" si="3"/>
        <v>945.61898915351458</v>
      </c>
      <c r="U13" s="12">
        <f t="shared" si="3"/>
        <v>0</v>
      </c>
    </row>
    <row r="14" spans="1:21" x14ac:dyDescent="0.3">
      <c r="A14" s="2" t="s">
        <v>10</v>
      </c>
      <c r="B14" s="5" t="s">
        <v>4</v>
      </c>
      <c r="C14" s="2">
        <v>4.0179010515820401</v>
      </c>
      <c r="D14" s="3">
        <v>7.2694543017577998E-4</v>
      </c>
      <c r="F14" s="3">
        <v>0</v>
      </c>
      <c r="H14" s="2" t="s">
        <v>10</v>
      </c>
      <c r="I14" s="5" t="s">
        <v>4</v>
      </c>
      <c r="J14" s="7">
        <f t="shared" si="0"/>
        <v>7.2694543017577998E-4</v>
      </c>
      <c r="K14" s="7">
        <f t="shared" si="1"/>
        <v>4.0179010515820401</v>
      </c>
      <c r="L14" s="8">
        <f t="shared" si="2"/>
        <v>0</v>
      </c>
      <c r="M14" s="9">
        <v>0</v>
      </c>
      <c r="N14" s="10">
        <f>M26+N26</f>
        <v>4.3686310000000004E-3</v>
      </c>
      <c r="P14" s="2" t="s">
        <v>10</v>
      </c>
      <c r="Q14" s="5" t="s">
        <v>4</v>
      </c>
      <c r="R14" s="12">
        <f t="shared" si="4"/>
        <v>0.16640119757786362</v>
      </c>
      <c r="S14" s="12">
        <f t="shared" si="3"/>
        <v>919.7162799014244</v>
      </c>
      <c r="T14" s="12">
        <f t="shared" si="3"/>
        <v>0</v>
      </c>
      <c r="U14" s="12">
        <f t="shared" si="3"/>
        <v>0</v>
      </c>
    </row>
    <row r="19" spans="10:21" x14ac:dyDescent="0.3">
      <c r="L19" t="s">
        <v>14</v>
      </c>
      <c r="M19" t="s">
        <v>14</v>
      </c>
      <c r="N19" t="s">
        <v>14</v>
      </c>
    </row>
    <row r="20" spans="10:21" x14ac:dyDescent="0.3">
      <c r="L20" t="s">
        <v>15</v>
      </c>
      <c r="M20" t="s">
        <v>16</v>
      </c>
      <c r="N20" t="s">
        <v>17</v>
      </c>
      <c r="Q20" t="s">
        <v>19</v>
      </c>
      <c r="R20" t="s">
        <v>0</v>
      </c>
      <c r="S20">
        <v>2019</v>
      </c>
      <c r="T20" t="s">
        <v>14</v>
      </c>
      <c r="U20">
        <v>5.4509800000000004</v>
      </c>
    </row>
    <row r="21" spans="10:21" x14ac:dyDescent="0.3">
      <c r="J21" t="s">
        <v>0</v>
      </c>
      <c r="K21">
        <v>2019</v>
      </c>
      <c r="L21">
        <v>1.4646699999999999</v>
      </c>
      <c r="M21">
        <v>6.1583199999999998</v>
      </c>
      <c r="N21">
        <v>1.7807599999999999</v>
      </c>
    </row>
    <row r="22" spans="10:21" x14ac:dyDescent="0.3">
      <c r="J22" t="s">
        <v>1</v>
      </c>
      <c r="K22">
        <v>2019</v>
      </c>
      <c r="L22">
        <v>23.75</v>
      </c>
      <c r="M22">
        <v>24.474299999999999</v>
      </c>
      <c r="N22">
        <v>2.8378899999999998</v>
      </c>
    </row>
    <row r="23" spans="10:21" x14ac:dyDescent="0.3">
      <c r="J23" t="s">
        <v>2</v>
      </c>
      <c r="K23">
        <v>2019</v>
      </c>
      <c r="L23">
        <v>2.2961399999999998</v>
      </c>
      <c r="M23">
        <v>6.4895899999999997</v>
      </c>
      <c r="N23">
        <v>4.40733</v>
      </c>
    </row>
    <row r="24" spans="10:21" x14ac:dyDescent="0.3">
      <c r="J24" t="s">
        <v>3</v>
      </c>
      <c r="K24">
        <v>2019</v>
      </c>
      <c r="L24">
        <v>1.3718600000000001</v>
      </c>
      <c r="M24">
        <v>9.8989100000000008</v>
      </c>
      <c r="N24">
        <v>7.1012300000000002</v>
      </c>
    </row>
    <row r="25" spans="10:21" x14ac:dyDescent="0.3">
      <c r="J25" t="s">
        <v>9</v>
      </c>
      <c r="K25">
        <v>2019</v>
      </c>
      <c r="L25">
        <v>4.1146599999999998E-2</v>
      </c>
      <c r="M25" s="6">
        <v>3.08584E-6</v>
      </c>
      <c r="N25">
        <v>2.04353E-4</v>
      </c>
    </row>
    <row r="26" spans="10:21" x14ac:dyDescent="0.3">
      <c r="J26" t="s">
        <v>10</v>
      </c>
      <c r="K26">
        <v>2019</v>
      </c>
      <c r="L26">
        <v>6.1079200000000002E-3</v>
      </c>
      <c r="M26">
        <v>3.6241200000000002E-3</v>
      </c>
      <c r="N26">
        <v>7.44511E-4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2024-09-12T04:34:52Z</dcterms:created>
  <dcterms:modified xsi:type="dcterms:W3CDTF">2024-09-12T07:08:02Z</dcterms:modified>
</cp:coreProperties>
</file>