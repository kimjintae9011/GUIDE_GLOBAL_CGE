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2.RD_CGE\Input_WEB\"/>
    </mc:Choice>
  </mc:AlternateContent>
  <xr:revisionPtr revIDLastSave="0" documentId="13_ncr:1_{62ABF656-877B-40E9-8BE1-1DA5232ED76A}" xr6:coauthVersionLast="36" xr6:coauthVersionMax="36" xr10:uidLastSave="{00000000-0000-0000-0000-000000000000}"/>
  <bookViews>
    <workbookView xWindow="0" yWindow="0" windowWidth="23040" windowHeight="8940" tabRatio="873" xr2:uid="{00000000-000D-0000-FFFF-FFFF00000000}"/>
  </bookViews>
  <sheets>
    <sheet name="01_KOR" sheetId="1" r:id="rId1"/>
    <sheet name="02_CHN" sheetId="2" r:id="rId2"/>
    <sheet name="03_JPN" sheetId="3" r:id="rId3"/>
    <sheet name="04_RUS" sheetId="4" r:id="rId4"/>
    <sheet name="05_MNG" sheetId="5" r:id="rId5"/>
    <sheet name="06_PRK" sheetId="6" r:id="rId6"/>
    <sheet name="07_NAM" sheetId="7" r:id="rId7"/>
    <sheet name="08_LAM" sheetId="8" r:id="rId8"/>
    <sheet name="09_WEU" sheetId="9" r:id="rId9"/>
    <sheet name="10_EEU" sheetId="10" r:id="rId10"/>
    <sheet name="11_FSU" sheetId="11" r:id="rId11"/>
    <sheet name="12_MEA" sheetId="12" r:id="rId12"/>
    <sheet name="13_AFR" sheetId="13" r:id="rId13"/>
    <sheet name="14_CPA" sheetId="14" r:id="rId14"/>
    <sheet name="15_SAS" sheetId="15" r:id="rId15"/>
    <sheet name="16_PAS" sheetId="16" r:id="rId16"/>
    <sheet name="17_PAO" sheetId="17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8" i="17" l="1"/>
  <c r="Q37" i="17"/>
  <c r="Q36" i="17"/>
  <c r="Q35" i="17"/>
  <c r="S35" i="17" s="1"/>
  <c r="Y35" i="17" s="1"/>
  <c r="E35" i="17" s="1"/>
  <c r="Q34" i="17"/>
  <c r="S34" i="17" s="1"/>
  <c r="V34" i="17" s="1"/>
  <c r="B34" i="17" s="1"/>
  <c r="Q38" i="16"/>
  <c r="S38" i="16" s="1"/>
  <c r="Y38" i="16" s="1"/>
  <c r="E38" i="16" s="1"/>
  <c r="Q37" i="16"/>
  <c r="S37" i="16" s="1"/>
  <c r="Y37" i="16" s="1"/>
  <c r="E37" i="16" s="1"/>
  <c r="Q36" i="16"/>
  <c r="S36" i="16" s="1"/>
  <c r="W36" i="16" s="1"/>
  <c r="C36" i="16" s="1"/>
  <c r="Q35" i="16"/>
  <c r="S35" i="16" s="1"/>
  <c r="Y35" i="16" s="1"/>
  <c r="E35" i="16" s="1"/>
  <c r="Q34" i="16"/>
  <c r="S34" i="16" s="1"/>
  <c r="Q38" i="15"/>
  <c r="S38" i="15" s="1"/>
  <c r="Y38" i="15" s="1"/>
  <c r="E38" i="15" s="1"/>
  <c r="Q37" i="15"/>
  <c r="Q36" i="15"/>
  <c r="Q35" i="15"/>
  <c r="Q34" i="15"/>
  <c r="Q38" i="14"/>
  <c r="Q37" i="14"/>
  <c r="Q36" i="14"/>
  <c r="Q35" i="14"/>
  <c r="Q34" i="14"/>
  <c r="S34" i="14" s="1"/>
  <c r="Q38" i="13"/>
  <c r="S38" i="13" s="1"/>
  <c r="Y38" i="13" s="1"/>
  <c r="E38" i="13" s="1"/>
  <c r="Q37" i="13"/>
  <c r="S37" i="13" s="1"/>
  <c r="Y37" i="13" s="1"/>
  <c r="E37" i="13" s="1"/>
  <c r="Q36" i="13"/>
  <c r="S36" i="13" s="1"/>
  <c r="Q35" i="13"/>
  <c r="Q34" i="13"/>
  <c r="Q38" i="12"/>
  <c r="Q37" i="12"/>
  <c r="Q36" i="12"/>
  <c r="Q35" i="12"/>
  <c r="Q34" i="12"/>
  <c r="Q38" i="11"/>
  <c r="Q37" i="11"/>
  <c r="Q36" i="11"/>
  <c r="Q35" i="11"/>
  <c r="S35" i="11" s="1"/>
  <c r="Y35" i="11" s="1"/>
  <c r="E35" i="11" s="1"/>
  <c r="Q34" i="11"/>
  <c r="S34" i="11" s="1"/>
  <c r="Y34" i="11" s="1"/>
  <c r="E34" i="11" s="1"/>
  <c r="Q38" i="10"/>
  <c r="S38" i="10" s="1"/>
  <c r="Y38" i="10" s="1"/>
  <c r="E38" i="10" s="1"/>
  <c r="Q37" i="10"/>
  <c r="Q36" i="10"/>
  <c r="Q35" i="10"/>
  <c r="Q34" i="10"/>
  <c r="Q38" i="9"/>
  <c r="Q37" i="9"/>
  <c r="Q36" i="9"/>
  <c r="S36" i="9" s="1"/>
  <c r="Q35" i="9"/>
  <c r="S35" i="9" s="1"/>
  <c r="Y35" i="9" s="1"/>
  <c r="E35" i="9" s="1"/>
  <c r="Q34" i="9"/>
  <c r="S34" i="9" s="1"/>
  <c r="Y34" i="9" s="1"/>
  <c r="E34" i="9" s="1"/>
  <c r="Q38" i="8"/>
  <c r="S38" i="8" s="1"/>
  <c r="Y38" i="8" s="1"/>
  <c r="E38" i="8" s="1"/>
  <c r="Q37" i="8"/>
  <c r="S37" i="8" s="1"/>
  <c r="Y37" i="8" s="1"/>
  <c r="E37" i="8" s="1"/>
  <c r="Q36" i="8"/>
  <c r="S36" i="8" s="1"/>
  <c r="W36" i="8" s="1"/>
  <c r="C36" i="8" s="1"/>
  <c r="Q35" i="8"/>
  <c r="Q34" i="8"/>
  <c r="Q38" i="7"/>
  <c r="Q37" i="7"/>
  <c r="Q36" i="7"/>
  <c r="Q35" i="7"/>
  <c r="Q34" i="7"/>
  <c r="S34" i="7" s="1"/>
  <c r="Y34" i="7" s="1"/>
  <c r="E34" i="7" s="1"/>
  <c r="Q38" i="6"/>
  <c r="S38" i="6" s="1"/>
  <c r="Y38" i="6" s="1"/>
  <c r="E38" i="6" s="1"/>
  <c r="Q37" i="6"/>
  <c r="Q36" i="6"/>
  <c r="S36" i="6" s="1"/>
  <c r="W36" i="6" s="1"/>
  <c r="C36" i="6" s="1"/>
  <c r="Q35" i="6"/>
  <c r="S35" i="6" s="1"/>
  <c r="Y35" i="6" s="1"/>
  <c r="E35" i="6" s="1"/>
  <c r="Q34" i="6"/>
  <c r="Q38" i="5"/>
  <c r="Q37" i="5"/>
  <c r="Q36" i="5"/>
  <c r="Q35" i="5"/>
  <c r="Q34" i="5"/>
  <c r="Q38" i="4"/>
  <c r="Q37" i="4"/>
  <c r="Q36" i="4"/>
  <c r="Q35" i="4"/>
  <c r="Q34" i="4"/>
  <c r="S34" i="4" s="1"/>
  <c r="Q38" i="3"/>
  <c r="S38" i="3" s="1"/>
  <c r="Y38" i="3" s="1"/>
  <c r="E38" i="3" s="1"/>
  <c r="Q37" i="3"/>
  <c r="Q36" i="3"/>
  <c r="Q35" i="3"/>
  <c r="Q34" i="3"/>
  <c r="Q38" i="2"/>
  <c r="Q37" i="2"/>
  <c r="Q36" i="2"/>
  <c r="Q35" i="2"/>
  <c r="Q34" i="2"/>
  <c r="Q25" i="17"/>
  <c r="S25" i="17" s="1"/>
  <c r="Y25" i="17" s="1"/>
  <c r="E25" i="17" s="1"/>
  <c r="Q25" i="16"/>
  <c r="S25" i="16" s="1"/>
  <c r="Y25" i="16" s="1"/>
  <c r="E25" i="16" s="1"/>
  <c r="Q25" i="15"/>
  <c r="Q26" i="15" s="1"/>
  <c r="Q25" i="14"/>
  <c r="Q26" i="14" s="1"/>
  <c r="Q25" i="13"/>
  <c r="Q26" i="13" s="1"/>
  <c r="Q25" i="12"/>
  <c r="Q26" i="12" s="1"/>
  <c r="Q25" i="11"/>
  <c r="Q26" i="11" s="1"/>
  <c r="Q25" i="10"/>
  <c r="Q26" i="10" s="1"/>
  <c r="Q25" i="9"/>
  <c r="S25" i="9" s="1"/>
  <c r="V25" i="9" s="1"/>
  <c r="B25" i="9" s="1"/>
  <c r="Q26" i="8"/>
  <c r="Q27" i="8" s="1"/>
  <c r="Q25" i="8"/>
  <c r="Q25" i="7"/>
  <c r="Q26" i="7" s="1"/>
  <c r="Q25" i="6"/>
  <c r="Q26" i="6" s="1"/>
  <c r="Q25" i="5"/>
  <c r="Q26" i="5" s="1"/>
  <c r="Q25" i="4"/>
  <c r="Q26" i="4" s="1"/>
  <c r="Q25" i="3"/>
  <c r="Q26" i="3" s="1"/>
  <c r="Q25" i="2"/>
  <c r="Q26" i="2" s="1"/>
  <c r="Q27" i="2" s="1"/>
  <c r="Q28" i="2" s="1"/>
  <c r="Q29" i="2" s="1"/>
  <c r="Q30" i="2" s="1"/>
  <c r="Q31" i="2" s="1"/>
  <c r="Q32" i="2" s="1"/>
  <c r="Q22" i="17"/>
  <c r="Q23" i="17" s="1"/>
  <c r="S23" i="17" s="1"/>
  <c r="Y23" i="17" s="1"/>
  <c r="E23" i="17" s="1"/>
  <c r="Q22" i="16"/>
  <c r="Q23" i="16" s="1"/>
  <c r="S23" i="16" s="1"/>
  <c r="Q22" i="15"/>
  <c r="Q23" i="15" s="1"/>
  <c r="S23" i="15" s="1"/>
  <c r="Q22" i="14"/>
  <c r="Q23" i="14" s="1"/>
  <c r="S23" i="14" s="1"/>
  <c r="Q22" i="13"/>
  <c r="Q23" i="13" s="1"/>
  <c r="S23" i="13" s="1"/>
  <c r="Q22" i="12"/>
  <c r="Q23" i="12" s="1"/>
  <c r="S23" i="12" s="1"/>
  <c r="Y23" i="12" s="1"/>
  <c r="E23" i="12" s="1"/>
  <c r="Q22" i="11"/>
  <c r="Q23" i="11" s="1"/>
  <c r="S23" i="11" s="1"/>
  <c r="Y23" i="11" s="1"/>
  <c r="E23" i="11" s="1"/>
  <c r="Q22" i="10"/>
  <c r="Q23" i="10" s="1"/>
  <c r="S23" i="10" s="1"/>
  <c r="Y23" i="10" s="1"/>
  <c r="E23" i="10" s="1"/>
  <c r="Q22" i="9"/>
  <c r="Q23" i="9" s="1"/>
  <c r="S23" i="9" s="1"/>
  <c r="Y23" i="9" s="1"/>
  <c r="E23" i="9" s="1"/>
  <c r="Q22" i="8"/>
  <c r="Q23" i="8" s="1"/>
  <c r="S23" i="8" s="1"/>
  <c r="Y23" i="8" s="1"/>
  <c r="E23" i="8" s="1"/>
  <c r="Q22" i="7"/>
  <c r="Q23" i="7" s="1"/>
  <c r="S23" i="7" s="1"/>
  <c r="Y23" i="7" s="1"/>
  <c r="E23" i="7" s="1"/>
  <c r="Q22" i="6"/>
  <c r="Q23" i="6" s="1"/>
  <c r="S23" i="6" s="1"/>
  <c r="Y23" i="6" s="1"/>
  <c r="E23" i="6" s="1"/>
  <c r="Q22" i="5"/>
  <c r="Q23" i="5" s="1"/>
  <c r="S23" i="5" s="1"/>
  <c r="Y23" i="5" s="1"/>
  <c r="E23" i="5" s="1"/>
  <c r="Q22" i="4"/>
  <c r="Q23" i="4" s="1"/>
  <c r="S23" i="4" s="1"/>
  <c r="Y23" i="4" s="1"/>
  <c r="E23" i="4" s="1"/>
  <c r="Q22" i="3"/>
  <c r="Q23" i="3" s="1"/>
  <c r="S23" i="3" s="1"/>
  <c r="Y23" i="3" s="1"/>
  <c r="E23" i="3" s="1"/>
  <c r="Q22" i="2"/>
  <c r="Q23" i="2" s="1"/>
  <c r="S23" i="2" s="1"/>
  <c r="V23" i="2" s="1"/>
  <c r="B23" i="2" s="1"/>
  <c r="Q18" i="5"/>
  <c r="Q18" i="17"/>
  <c r="Q20" i="17" s="1"/>
  <c r="S20" i="17" s="1"/>
  <c r="Y20" i="17" s="1"/>
  <c r="E20" i="17" s="1"/>
  <c r="Q18" i="16"/>
  <c r="Q20" i="16" s="1"/>
  <c r="S20" i="16" s="1"/>
  <c r="Y20" i="16" s="1"/>
  <c r="E20" i="16" s="1"/>
  <c r="Q18" i="15"/>
  <c r="Q20" i="15" s="1"/>
  <c r="S20" i="15" s="1"/>
  <c r="Y20" i="15" s="1"/>
  <c r="E20" i="15" s="1"/>
  <c r="Q18" i="14"/>
  <c r="Q20" i="14" s="1"/>
  <c r="S20" i="14" s="1"/>
  <c r="Y20" i="14" s="1"/>
  <c r="E20" i="14" s="1"/>
  <c r="Q18" i="13"/>
  <c r="Q20" i="13" s="1"/>
  <c r="S20" i="13" s="1"/>
  <c r="W20" i="13" s="1"/>
  <c r="C20" i="13" s="1"/>
  <c r="Q18" i="12"/>
  <c r="Q20" i="12" s="1"/>
  <c r="S20" i="12" s="1"/>
  <c r="Y20" i="12" s="1"/>
  <c r="E20" i="12" s="1"/>
  <c r="Q18" i="11"/>
  <c r="Q20" i="11" s="1"/>
  <c r="S20" i="11" s="1"/>
  <c r="V20" i="11" s="1"/>
  <c r="B20" i="11" s="1"/>
  <c r="Q18" i="10"/>
  <c r="Q20" i="10" s="1"/>
  <c r="S20" i="10" s="1"/>
  <c r="X20" i="10" s="1"/>
  <c r="D20" i="10" s="1"/>
  <c r="Q18" i="9"/>
  <c r="Q20" i="9" s="1"/>
  <c r="S20" i="9" s="1"/>
  <c r="W20" i="9" s="1"/>
  <c r="C20" i="9" s="1"/>
  <c r="Q18" i="8"/>
  <c r="Q20" i="8" s="1"/>
  <c r="S20" i="8" s="1"/>
  <c r="W20" i="8" s="1"/>
  <c r="C20" i="8" s="1"/>
  <c r="Q18" i="7"/>
  <c r="Q20" i="7" s="1"/>
  <c r="S20" i="7" s="1"/>
  <c r="Y20" i="7" s="1"/>
  <c r="E20" i="7" s="1"/>
  <c r="Q18" i="6"/>
  <c r="Q20" i="6" s="1"/>
  <c r="S20" i="6" s="1"/>
  <c r="Y20" i="6" s="1"/>
  <c r="E20" i="6" s="1"/>
  <c r="Q20" i="5"/>
  <c r="S20" i="5" s="1"/>
  <c r="V20" i="5" s="1"/>
  <c r="B20" i="5" s="1"/>
  <c r="Q18" i="4"/>
  <c r="Q20" i="4" s="1"/>
  <c r="S20" i="4" s="1"/>
  <c r="Y20" i="4" s="1"/>
  <c r="E20" i="4" s="1"/>
  <c r="Q18" i="3"/>
  <c r="Q20" i="3" s="1"/>
  <c r="S20" i="3" s="1"/>
  <c r="V20" i="3" s="1"/>
  <c r="B20" i="3" s="1"/>
  <c r="Q18" i="2"/>
  <c r="Q20" i="2" s="1"/>
  <c r="S20" i="2" s="1"/>
  <c r="Q15" i="17"/>
  <c r="Q16" i="17" s="1"/>
  <c r="S16" i="17" s="1"/>
  <c r="Y16" i="17" s="1"/>
  <c r="E16" i="17" s="1"/>
  <c r="Q15" i="16"/>
  <c r="Q16" i="16" s="1"/>
  <c r="S16" i="16" s="1"/>
  <c r="Y16" i="16" s="1"/>
  <c r="E16" i="16" s="1"/>
  <c r="Q15" i="15"/>
  <c r="Q16" i="15" s="1"/>
  <c r="S16" i="15" s="1"/>
  <c r="Y16" i="15" s="1"/>
  <c r="E16" i="15" s="1"/>
  <c r="Q15" i="14"/>
  <c r="Q16" i="14" s="1"/>
  <c r="S16" i="14" s="1"/>
  <c r="Y16" i="14" s="1"/>
  <c r="E16" i="14" s="1"/>
  <c r="Q15" i="13"/>
  <c r="Q16" i="13" s="1"/>
  <c r="S16" i="13" s="1"/>
  <c r="Q15" i="12"/>
  <c r="Q16" i="12" s="1"/>
  <c r="S16" i="12" s="1"/>
  <c r="Q15" i="11"/>
  <c r="Q16" i="11" s="1"/>
  <c r="S16" i="11" s="1"/>
  <c r="Y16" i="11" s="1"/>
  <c r="E16" i="11" s="1"/>
  <c r="Q15" i="10"/>
  <c r="Q16" i="10" s="1"/>
  <c r="S16" i="10" s="1"/>
  <c r="Y16" i="10" s="1"/>
  <c r="E16" i="10" s="1"/>
  <c r="Q15" i="9"/>
  <c r="Q16" i="9" s="1"/>
  <c r="S16" i="9" s="1"/>
  <c r="Y16" i="9" s="1"/>
  <c r="E16" i="9" s="1"/>
  <c r="Q15" i="8"/>
  <c r="Q16" i="8" s="1"/>
  <c r="S16" i="8" s="1"/>
  <c r="Q15" i="7"/>
  <c r="Q16" i="7" s="1"/>
  <c r="S16" i="7" s="1"/>
  <c r="Y16" i="7" s="1"/>
  <c r="E16" i="7" s="1"/>
  <c r="Q15" i="6"/>
  <c r="Q16" i="6" s="1"/>
  <c r="S16" i="6" s="1"/>
  <c r="Q15" i="5"/>
  <c r="Q16" i="5" s="1"/>
  <c r="S16" i="5" s="1"/>
  <c r="Q15" i="4"/>
  <c r="Q16" i="4" s="1"/>
  <c r="S16" i="4" s="1"/>
  <c r="Y16" i="4" s="1"/>
  <c r="E16" i="4" s="1"/>
  <c r="Q15" i="3"/>
  <c r="Q16" i="3" s="1"/>
  <c r="S16" i="3" s="1"/>
  <c r="V16" i="3" s="1"/>
  <c r="B16" i="3" s="1"/>
  <c r="Q15" i="2"/>
  <c r="Q16" i="2" s="1"/>
  <c r="S16" i="2" s="1"/>
  <c r="W16" i="2" s="1"/>
  <c r="C16" i="2" s="1"/>
  <c r="S13" i="2"/>
  <c r="C12" i="17"/>
  <c r="E33" i="16"/>
  <c r="C12" i="15"/>
  <c r="E37" i="14"/>
  <c r="E33" i="14"/>
  <c r="C24" i="13"/>
  <c r="C12" i="13"/>
  <c r="C12" i="12"/>
  <c r="E35" i="10"/>
  <c r="B13" i="10"/>
  <c r="C12" i="9"/>
  <c r="C12" i="8"/>
  <c r="C12" i="7"/>
  <c r="D19" i="6"/>
  <c r="C12" i="5"/>
  <c r="E13" i="4"/>
  <c r="C12" i="4"/>
  <c r="S38" i="17"/>
  <c r="Y38" i="17" s="1"/>
  <c r="E38" i="17" s="1"/>
  <c r="S37" i="17"/>
  <c r="Y37" i="17" s="1"/>
  <c r="E37" i="17" s="1"/>
  <c r="X36" i="17"/>
  <c r="D36" i="17" s="1"/>
  <c r="S36" i="17"/>
  <c r="W36" i="17" s="1"/>
  <c r="C36" i="17" s="1"/>
  <c r="S33" i="17"/>
  <c r="Y33" i="17" s="1"/>
  <c r="E33" i="17" s="1"/>
  <c r="S24" i="17"/>
  <c r="W24" i="17" s="1"/>
  <c r="C24" i="17" s="1"/>
  <c r="S22" i="17"/>
  <c r="Y22" i="17" s="1"/>
  <c r="E22" i="17" s="1"/>
  <c r="S21" i="17"/>
  <c r="Y21" i="17" s="1"/>
  <c r="E21" i="17" s="1"/>
  <c r="S19" i="17"/>
  <c r="X19" i="17" s="1"/>
  <c r="D19" i="17" s="1"/>
  <c r="S18" i="17"/>
  <c r="Y18" i="17" s="1"/>
  <c r="E18" i="17" s="1"/>
  <c r="S17" i="17"/>
  <c r="V17" i="17" s="1"/>
  <c r="B17" i="17" s="1"/>
  <c r="S15" i="17"/>
  <c r="Y15" i="17" s="1"/>
  <c r="E15" i="17" s="1"/>
  <c r="S14" i="17"/>
  <c r="Y14" i="17" s="1"/>
  <c r="E14" i="17" s="1"/>
  <c r="S13" i="17"/>
  <c r="Y13" i="17" s="1"/>
  <c r="E13" i="17" s="1"/>
  <c r="S12" i="17"/>
  <c r="W12" i="17" s="1"/>
  <c r="S33" i="16"/>
  <c r="Y33" i="16" s="1"/>
  <c r="S24" i="16"/>
  <c r="W24" i="16" s="1"/>
  <c r="C24" i="16" s="1"/>
  <c r="S22" i="16"/>
  <c r="Y22" i="16" s="1"/>
  <c r="E22" i="16" s="1"/>
  <c r="S21" i="16"/>
  <c r="Y21" i="16" s="1"/>
  <c r="E21" i="16" s="1"/>
  <c r="S19" i="16"/>
  <c r="X19" i="16" s="1"/>
  <c r="D19" i="16" s="1"/>
  <c r="S18" i="16"/>
  <c r="Y18" i="16" s="1"/>
  <c r="E18" i="16" s="1"/>
  <c r="W17" i="16"/>
  <c r="C17" i="16" s="1"/>
  <c r="S17" i="16"/>
  <c r="V17" i="16" s="1"/>
  <c r="B17" i="16" s="1"/>
  <c r="S15" i="16"/>
  <c r="Y15" i="16" s="1"/>
  <c r="E15" i="16" s="1"/>
  <c r="S14" i="16"/>
  <c r="Y14" i="16" s="1"/>
  <c r="E14" i="16" s="1"/>
  <c r="S13" i="16"/>
  <c r="Y13" i="16" s="1"/>
  <c r="E13" i="16" s="1"/>
  <c r="S12" i="16"/>
  <c r="V12" i="16" s="1"/>
  <c r="B12" i="16" s="1"/>
  <c r="S37" i="15"/>
  <c r="Y37" i="15" s="1"/>
  <c r="E37" i="15" s="1"/>
  <c r="Y36" i="15"/>
  <c r="E36" i="15" s="1"/>
  <c r="X36" i="15"/>
  <c r="D36" i="15" s="1"/>
  <c r="S36" i="15"/>
  <c r="W36" i="15" s="1"/>
  <c r="C36" i="15" s="1"/>
  <c r="S35" i="15"/>
  <c r="Y35" i="15" s="1"/>
  <c r="E35" i="15" s="1"/>
  <c r="S34" i="15"/>
  <c r="Y34" i="15" s="1"/>
  <c r="E34" i="15" s="1"/>
  <c r="S33" i="15"/>
  <c r="Y33" i="15" s="1"/>
  <c r="E33" i="15" s="1"/>
  <c r="S25" i="15"/>
  <c r="Y25" i="15" s="1"/>
  <c r="E25" i="15" s="1"/>
  <c r="S24" i="15"/>
  <c r="W24" i="15" s="1"/>
  <c r="C24" i="15" s="1"/>
  <c r="S22" i="15"/>
  <c r="Y22" i="15" s="1"/>
  <c r="E22" i="15" s="1"/>
  <c r="S21" i="15"/>
  <c r="Y21" i="15" s="1"/>
  <c r="E21" i="15" s="1"/>
  <c r="Y19" i="15"/>
  <c r="E19" i="15" s="1"/>
  <c r="S19" i="15"/>
  <c r="X19" i="15" s="1"/>
  <c r="D19" i="15" s="1"/>
  <c r="S18" i="15"/>
  <c r="Y18" i="15" s="1"/>
  <c r="E18" i="15" s="1"/>
  <c r="S17" i="15"/>
  <c r="V17" i="15" s="1"/>
  <c r="B17" i="15" s="1"/>
  <c r="W15" i="15"/>
  <c r="C15" i="15" s="1"/>
  <c r="S15" i="15"/>
  <c r="Y15" i="15" s="1"/>
  <c r="E15" i="15" s="1"/>
  <c r="S14" i="15"/>
  <c r="Y14" i="15" s="1"/>
  <c r="E14" i="15" s="1"/>
  <c r="S13" i="15"/>
  <c r="X13" i="15" s="1"/>
  <c r="D13" i="15" s="1"/>
  <c r="S12" i="15"/>
  <c r="W12" i="15" s="1"/>
  <c r="S38" i="14"/>
  <c r="Y38" i="14" s="1"/>
  <c r="E38" i="14" s="1"/>
  <c r="S37" i="14"/>
  <c r="Y37" i="14" s="1"/>
  <c r="S36" i="14"/>
  <c r="W36" i="14" s="1"/>
  <c r="C36" i="14" s="1"/>
  <c r="S35" i="14"/>
  <c r="Y35" i="14" s="1"/>
  <c r="E35" i="14" s="1"/>
  <c r="S33" i="14"/>
  <c r="Y33" i="14" s="1"/>
  <c r="S25" i="14"/>
  <c r="Y25" i="14" s="1"/>
  <c r="E25" i="14" s="1"/>
  <c r="S24" i="14"/>
  <c r="W24" i="14" s="1"/>
  <c r="C24" i="14" s="1"/>
  <c r="S22" i="14"/>
  <c r="W22" i="14" s="1"/>
  <c r="C22" i="14" s="1"/>
  <c r="S21" i="14"/>
  <c r="Y21" i="14" s="1"/>
  <c r="E21" i="14" s="1"/>
  <c r="S19" i="14"/>
  <c r="X19" i="14" s="1"/>
  <c r="D19" i="14" s="1"/>
  <c r="S18" i="14"/>
  <c r="Y18" i="14" s="1"/>
  <c r="E18" i="14" s="1"/>
  <c r="S17" i="14"/>
  <c r="V17" i="14" s="1"/>
  <c r="B17" i="14" s="1"/>
  <c r="S15" i="14"/>
  <c r="Y15" i="14" s="1"/>
  <c r="E15" i="14" s="1"/>
  <c r="S14" i="14"/>
  <c r="Y14" i="14" s="1"/>
  <c r="E14" i="14" s="1"/>
  <c r="S13" i="14"/>
  <c r="Y13" i="14" s="1"/>
  <c r="E13" i="14" s="1"/>
  <c r="S12" i="14"/>
  <c r="W12" i="14" s="1"/>
  <c r="C12" i="14" s="1"/>
  <c r="S35" i="13"/>
  <c r="Y35" i="13" s="1"/>
  <c r="E35" i="13" s="1"/>
  <c r="V34" i="13"/>
  <c r="B34" i="13" s="1"/>
  <c r="S34" i="13"/>
  <c r="Y34" i="13" s="1"/>
  <c r="E34" i="13" s="1"/>
  <c r="S33" i="13"/>
  <c r="Y33" i="13" s="1"/>
  <c r="E33" i="13" s="1"/>
  <c r="S25" i="13"/>
  <c r="Y25" i="13" s="1"/>
  <c r="E25" i="13" s="1"/>
  <c r="S24" i="13"/>
  <c r="W24" i="13" s="1"/>
  <c r="S22" i="13"/>
  <c r="Y22" i="13" s="1"/>
  <c r="E22" i="13" s="1"/>
  <c r="S21" i="13"/>
  <c r="Y21" i="13" s="1"/>
  <c r="E21" i="13" s="1"/>
  <c r="V19" i="13"/>
  <c r="B19" i="13" s="1"/>
  <c r="S19" i="13"/>
  <c r="X19" i="13" s="1"/>
  <c r="D19" i="13" s="1"/>
  <c r="S18" i="13"/>
  <c r="Y18" i="13" s="1"/>
  <c r="E18" i="13" s="1"/>
  <c r="S17" i="13"/>
  <c r="X17" i="13" s="1"/>
  <c r="D17" i="13" s="1"/>
  <c r="S15" i="13"/>
  <c r="Y15" i="13" s="1"/>
  <c r="E15" i="13" s="1"/>
  <c r="S14" i="13"/>
  <c r="Y14" i="13" s="1"/>
  <c r="E14" i="13" s="1"/>
  <c r="S13" i="13"/>
  <c r="Y13" i="13" s="1"/>
  <c r="E13" i="13" s="1"/>
  <c r="S12" i="13"/>
  <c r="W12" i="13" s="1"/>
  <c r="S38" i="12"/>
  <c r="Y38" i="12" s="1"/>
  <c r="E38" i="12" s="1"/>
  <c r="S37" i="12"/>
  <c r="Y37" i="12" s="1"/>
  <c r="E37" i="12" s="1"/>
  <c r="S36" i="12"/>
  <c r="W36" i="12" s="1"/>
  <c r="C36" i="12" s="1"/>
  <c r="S35" i="12"/>
  <c r="Y35" i="12" s="1"/>
  <c r="E35" i="12" s="1"/>
  <c r="S34" i="12"/>
  <c r="Y34" i="12" s="1"/>
  <c r="E34" i="12" s="1"/>
  <c r="S33" i="12"/>
  <c r="Y33" i="12" s="1"/>
  <c r="E33" i="12" s="1"/>
  <c r="S25" i="12"/>
  <c r="Y25" i="12" s="1"/>
  <c r="E25" i="12" s="1"/>
  <c r="S24" i="12"/>
  <c r="W24" i="12" s="1"/>
  <c r="C24" i="12" s="1"/>
  <c r="S22" i="12"/>
  <c r="Y22" i="12" s="1"/>
  <c r="E22" i="12" s="1"/>
  <c r="S21" i="12"/>
  <c r="Y21" i="12" s="1"/>
  <c r="E21" i="12" s="1"/>
  <c r="S19" i="12"/>
  <c r="X19" i="12" s="1"/>
  <c r="D19" i="12" s="1"/>
  <c r="S18" i="12"/>
  <c r="Y18" i="12" s="1"/>
  <c r="E18" i="12" s="1"/>
  <c r="S17" i="12"/>
  <c r="V17" i="12" s="1"/>
  <c r="B17" i="12" s="1"/>
  <c r="S15" i="12"/>
  <c r="Y15" i="12" s="1"/>
  <c r="E15" i="12" s="1"/>
  <c r="S14" i="12"/>
  <c r="Y14" i="12" s="1"/>
  <c r="E14" i="12" s="1"/>
  <c r="S13" i="12"/>
  <c r="Y13" i="12" s="1"/>
  <c r="E13" i="12" s="1"/>
  <c r="S12" i="12"/>
  <c r="W12" i="12" s="1"/>
  <c r="S38" i="11"/>
  <c r="Y38" i="11" s="1"/>
  <c r="E38" i="11" s="1"/>
  <c r="S37" i="11"/>
  <c r="Y37" i="11" s="1"/>
  <c r="E37" i="11" s="1"/>
  <c r="S36" i="11"/>
  <c r="W36" i="11" s="1"/>
  <c r="C36" i="11" s="1"/>
  <c r="S33" i="11"/>
  <c r="Y33" i="11" s="1"/>
  <c r="E33" i="11" s="1"/>
  <c r="S24" i="11"/>
  <c r="W24" i="11" s="1"/>
  <c r="C24" i="11" s="1"/>
  <c r="S22" i="11"/>
  <c r="Y22" i="11" s="1"/>
  <c r="E22" i="11" s="1"/>
  <c r="S21" i="11"/>
  <c r="Y21" i="11" s="1"/>
  <c r="E21" i="11" s="1"/>
  <c r="S19" i="11"/>
  <c r="X19" i="11" s="1"/>
  <c r="D19" i="11" s="1"/>
  <c r="S18" i="11"/>
  <c r="Y18" i="11" s="1"/>
  <c r="E18" i="11" s="1"/>
  <c r="S17" i="11"/>
  <c r="Y17" i="11" s="1"/>
  <c r="E17" i="11" s="1"/>
  <c r="S15" i="11"/>
  <c r="Y15" i="11" s="1"/>
  <c r="E15" i="11" s="1"/>
  <c r="S14" i="11"/>
  <c r="Y14" i="11" s="1"/>
  <c r="E14" i="11" s="1"/>
  <c r="S13" i="11"/>
  <c r="Y13" i="11" s="1"/>
  <c r="E13" i="11" s="1"/>
  <c r="S12" i="11"/>
  <c r="W12" i="11" s="1"/>
  <c r="C12" i="11" s="1"/>
  <c r="S37" i="10"/>
  <c r="Y37" i="10" s="1"/>
  <c r="E37" i="10" s="1"/>
  <c r="S36" i="10"/>
  <c r="W36" i="10" s="1"/>
  <c r="C36" i="10" s="1"/>
  <c r="S35" i="10"/>
  <c r="Y35" i="10" s="1"/>
  <c r="S34" i="10"/>
  <c r="Y34" i="10" s="1"/>
  <c r="E34" i="10" s="1"/>
  <c r="S33" i="10"/>
  <c r="Y33" i="10" s="1"/>
  <c r="E33" i="10" s="1"/>
  <c r="S25" i="10"/>
  <c r="Y25" i="10" s="1"/>
  <c r="E25" i="10" s="1"/>
  <c r="S24" i="10"/>
  <c r="W24" i="10" s="1"/>
  <c r="C24" i="10" s="1"/>
  <c r="S22" i="10"/>
  <c r="Y22" i="10" s="1"/>
  <c r="E22" i="10" s="1"/>
  <c r="S21" i="10"/>
  <c r="Y21" i="10" s="1"/>
  <c r="E21" i="10" s="1"/>
  <c r="S19" i="10"/>
  <c r="X19" i="10" s="1"/>
  <c r="D19" i="10" s="1"/>
  <c r="S17" i="10"/>
  <c r="W17" i="10" s="1"/>
  <c r="C17" i="10" s="1"/>
  <c r="S15" i="10"/>
  <c r="X15" i="10" s="1"/>
  <c r="D15" i="10" s="1"/>
  <c r="S14" i="10"/>
  <c r="Y14" i="10" s="1"/>
  <c r="E14" i="10" s="1"/>
  <c r="V13" i="10"/>
  <c r="S13" i="10"/>
  <c r="Y13" i="10" s="1"/>
  <c r="E13" i="10" s="1"/>
  <c r="S12" i="10"/>
  <c r="W12" i="10" s="1"/>
  <c r="C12" i="10" s="1"/>
  <c r="S38" i="9"/>
  <c r="Y38" i="9" s="1"/>
  <c r="E38" i="9" s="1"/>
  <c r="S37" i="9"/>
  <c r="W37" i="9" s="1"/>
  <c r="C37" i="9" s="1"/>
  <c r="S33" i="9"/>
  <c r="Y33" i="9" s="1"/>
  <c r="E33" i="9" s="1"/>
  <c r="S24" i="9"/>
  <c r="W24" i="9" s="1"/>
  <c r="C24" i="9" s="1"/>
  <c r="S21" i="9"/>
  <c r="Y21" i="9" s="1"/>
  <c r="E21" i="9" s="1"/>
  <c r="S19" i="9"/>
  <c r="X19" i="9" s="1"/>
  <c r="D19" i="9" s="1"/>
  <c r="S17" i="9"/>
  <c r="V17" i="9" s="1"/>
  <c r="B17" i="9" s="1"/>
  <c r="S15" i="9"/>
  <c r="X15" i="9" s="1"/>
  <c r="D15" i="9" s="1"/>
  <c r="S14" i="9"/>
  <c r="Y14" i="9" s="1"/>
  <c r="E14" i="9" s="1"/>
  <c r="S13" i="9"/>
  <c r="W13" i="9" s="1"/>
  <c r="C13" i="9" s="1"/>
  <c r="S12" i="9"/>
  <c r="W12" i="9" s="1"/>
  <c r="S35" i="8"/>
  <c r="Y35" i="8" s="1"/>
  <c r="E35" i="8" s="1"/>
  <c r="S34" i="8"/>
  <c r="Y34" i="8" s="1"/>
  <c r="E34" i="8" s="1"/>
  <c r="S33" i="8"/>
  <c r="Y33" i="8" s="1"/>
  <c r="E33" i="8" s="1"/>
  <c r="S25" i="8"/>
  <c r="Y25" i="8" s="1"/>
  <c r="E25" i="8" s="1"/>
  <c r="S24" i="8"/>
  <c r="W24" i="8" s="1"/>
  <c r="C24" i="8" s="1"/>
  <c r="S21" i="8"/>
  <c r="Y21" i="8" s="1"/>
  <c r="E21" i="8" s="1"/>
  <c r="V19" i="8"/>
  <c r="B19" i="8" s="1"/>
  <c r="S19" i="8"/>
  <c r="X19" i="8" s="1"/>
  <c r="D19" i="8" s="1"/>
  <c r="S18" i="8"/>
  <c r="Y18" i="8" s="1"/>
  <c r="E18" i="8" s="1"/>
  <c r="Y17" i="8"/>
  <c r="E17" i="8" s="1"/>
  <c r="X17" i="8"/>
  <c r="D17" i="8" s="1"/>
  <c r="S17" i="8"/>
  <c r="V17" i="8" s="1"/>
  <c r="B17" i="8" s="1"/>
  <c r="S15" i="8"/>
  <c r="X15" i="8" s="1"/>
  <c r="D15" i="8" s="1"/>
  <c r="S14" i="8"/>
  <c r="Y14" i="8" s="1"/>
  <c r="E14" i="8" s="1"/>
  <c r="S13" i="8"/>
  <c r="Y13" i="8" s="1"/>
  <c r="E13" i="8" s="1"/>
  <c r="S12" i="8"/>
  <c r="W12" i="8" s="1"/>
  <c r="S38" i="7"/>
  <c r="Y38" i="7" s="1"/>
  <c r="E38" i="7" s="1"/>
  <c r="S37" i="7"/>
  <c r="Y37" i="7" s="1"/>
  <c r="E37" i="7" s="1"/>
  <c r="S36" i="7"/>
  <c r="W36" i="7" s="1"/>
  <c r="C36" i="7" s="1"/>
  <c r="S35" i="7"/>
  <c r="Y35" i="7" s="1"/>
  <c r="E35" i="7" s="1"/>
  <c r="S33" i="7"/>
  <c r="Y33" i="7" s="1"/>
  <c r="E33" i="7" s="1"/>
  <c r="S25" i="7"/>
  <c r="Y25" i="7" s="1"/>
  <c r="E25" i="7" s="1"/>
  <c r="S24" i="7"/>
  <c r="W24" i="7" s="1"/>
  <c r="C24" i="7" s="1"/>
  <c r="S22" i="7"/>
  <c r="Y22" i="7" s="1"/>
  <c r="E22" i="7" s="1"/>
  <c r="S21" i="7"/>
  <c r="Y21" i="7" s="1"/>
  <c r="E21" i="7" s="1"/>
  <c r="Y19" i="7"/>
  <c r="E19" i="7" s="1"/>
  <c r="S19" i="7"/>
  <c r="X19" i="7" s="1"/>
  <c r="D19" i="7" s="1"/>
  <c r="S18" i="7"/>
  <c r="Y18" i="7" s="1"/>
  <c r="E18" i="7" s="1"/>
  <c r="S17" i="7"/>
  <c r="V17" i="7" s="1"/>
  <c r="B17" i="7" s="1"/>
  <c r="S14" i="7"/>
  <c r="Y14" i="7" s="1"/>
  <c r="E14" i="7" s="1"/>
  <c r="S13" i="7"/>
  <c r="Y13" i="7" s="1"/>
  <c r="E13" i="7" s="1"/>
  <c r="S12" i="7"/>
  <c r="W12" i="7" s="1"/>
  <c r="S37" i="6"/>
  <c r="Y37" i="6" s="1"/>
  <c r="E37" i="6" s="1"/>
  <c r="S34" i="6"/>
  <c r="V34" i="6" s="1"/>
  <c r="B34" i="6" s="1"/>
  <c r="S33" i="6"/>
  <c r="Y33" i="6" s="1"/>
  <c r="E33" i="6" s="1"/>
  <c r="S25" i="6"/>
  <c r="Y25" i="6" s="1"/>
  <c r="E25" i="6" s="1"/>
  <c r="S24" i="6"/>
  <c r="V24" i="6" s="1"/>
  <c r="B24" i="6" s="1"/>
  <c r="S21" i="6"/>
  <c r="Y21" i="6" s="1"/>
  <c r="E21" i="6" s="1"/>
  <c r="S19" i="6"/>
  <c r="X19" i="6" s="1"/>
  <c r="S18" i="6"/>
  <c r="Y18" i="6" s="1"/>
  <c r="E18" i="6" s="1"/>
  <c r="Y17" i="6"/>
  <c r="E17" i="6" s="1"/>
  <c r="W17" i="6"/>
  <c r="C17" i="6" s="1"/>
  <c r="V17" i="6"/>
  <c r="B17" i="6" s="1"/>
  <c r="S17" i="6"/>
  <c r="X17" i="6" s="1"/>
  <c r="D17" i="6" s="1"/>
  <c r="S15" i="6"/>
  <c r="X15" i="6" s="1"/>
  <c r="D15" i="6" s="1"/>
  <c r="S14" i="6"/>
  <c r="Y14" i="6" s="1"/>
  <c r="E14" i="6" s="1"/>
  <c r="S13" i="6"/>
  <c r="Y13" i="6" s="1"/>
  <c r="E13" i="6" s="1"/>
  <c r="V12" i="6"/>
  <c r="B12" i="6" s="1"/>
  <c r="S12" i="6"/>
  <c r="Y12" i="6" s="1"/>
  <c r="E12" i="6" s="1"/>
  <c r="S38" i="5"/>
  <c r="Y38" i="5" s="1"/>
  <c r="E38" i="5" s="1"/>
  <c r="S37" i="5"/>
  <c r="Y37" i="5" s="1"/>
  <c r="E37" i="5" s="1"/>
  <c r="S36" i="5"/>
  <c r="W36" i="5" s="1"/>
  <c r="C36" i="5" s="1"/>
  <c r="S35" i="5"/>
  <c r="Y35" i="5" s="1"/>
  <c r="E35" i="5" s="1"/>
  <c r="S34" i="5"/>
  <c r="Y34" i="5" s="1"/>
  <c r="E34" i="5" s="1"/>
  <c r="S33" i="5"/>
  <c r="Y33" i="5" s="1"/>
  <c r="E33" i="5" s="1"/>
  <c r="S25" i="5"/>
  <c r="Y25" i="5" s="1"/>
  <c r="E25" i="5" s="1"/>
  <c r="S24" i="5"/>
  <c r="W24" i="5" s="1"/>
  <c r="C24" i="5" s="1"/>
  <c r="S22" i="5"/>
  <c r="X22" i="5" s="1"/>
  <c r="D22" i="5" s="1"/>
  <c r="S21" i="5"/>
  <c r="Y21" i="5" s="1"/>
  <c r="E21" i="5" s="1"/>
  <c r="S19" i="5"/>
  <c r="X19" i="5" s="1"/>
  <c r="D19" i="5" s="1"/>
  <c r="S18" i="5"/>
  <c r="X18" i="5" s="1"/>
  <c r="D18" i="5" s="1"/>
  <c r="S17" i="5"/>
  <c r="V17" i="5" s="1"/>
  <c r="B17" i="5" s="1"/>
  <c r="S15" i="5"/>
  <c r="X15" i="5" s="1"/>
  <c r="D15" i="5" s="1"/>
  <c r="S14" i="5"/>
  <c r="Y14" i="5" s="1"/>
  <c r="E14" i="5" s="1"/>
  <c r="S13" i="5"/>
  <c r="Y13" i="5" s="1"/>
  <c r="E13" i="5" s="1"/>
  <c r="S12" i="5"/>
  <c r="W12" i="5" s="1"/>
  <c r="S38" i="4"/>
  <c r="Y38" i="4" s="1"/>
  <c r="E38" i="4" s="1"/>
  <c r="S37" i="4"/>
  <c r="Y37" i="4" s="1"/>
  <c r="E37" i="4" s="1"/>
  <c r="S36" i="4"/>
  <c r="W36" i="4" s="1"/>
  <c r="C36" i="4" s="1"/>
  <c r="S35" i="4"/>
  <c r="Y35" i="4" s="1"/>
  <c r="E35" i="4" s="1"/>
  <c r="S33" i="4"/>
  <c r="Y33" i="4" s="1"/>
  <c r="E33" i="4" s="1"/>
  <c r="S25" i="4"/>
  <c r="V25" i="4" s="1"/>
  <c r="B25" i="4" s="1"/>
  <c r="S24" i="4"/>
  <c r="W24" i="4" s="1"/>
  <c r="C24" i="4" s="1"/>
  <c r="S22" i="4"/>
  <c r="Y22" i="4" s="1"/>
  <c r="E22" i="4" s="1"/>
  <c r="S21" i="4"/>
  <c r="Y21" i="4" s="1"/>
  <c r="E21" i="4" s="1"/>
  <c r="S19" i="4"/>
  <c r="X19" i="4" s="1"/>
  <c r="D19" i="4" s="1"/>
  <c r="S18" i="4"/>
  <c r="Y18" i="4" s="1"/>
  <c r="E18" i="4" s="1"/>
  <c r="S17" i="4"/>
  <c r="V17" i="4" s="1"/>
  <c r="B17" i="4" s="1"/>
  <c r="S15" i="4"/>
  <c r="W15" i="4" s="1"/>
  <c r="C15" i="4" s="1"/>
  <c r="S14" i="4"/>
  <c r="Y14" i="4" s="1"/>
  <c r="E14" i="4" s="1"/>
  <c r="S13" i="4"/>
  <c r="Y13" i="4" s="1"/>
  <c r="Y12" i="4"/>
  <c r="E12" i="4" s="1"/>
  <c r="X12" i="4"/>
  <c r="D12" i="4" s="1"/>
  <c r="S12" i="4"/>
  <c r="W12" i="4" s="1"/>
  <c r="S37" i="3"/>
  <c r="Y37" i="3" s="1"/>
  <c r="E37" i="3" s="1"/>
  <c r="S36" i="3"/>
  <c r="W36" i="3" s="1"/>
  <c r="C36" i="3" s="1"/>
  <c r="S35" i="3"/>
  <c r="Y35" i="3" s="1"/>
  <c r="E35" i="3" s="1"/>
  <c r="S34" i="3"/>
  <c r="Y34" i="3" s="1"/>
  <c r="E34" i="3" s="1"/>
  <c r="S33" i="3"/>
  <c r="Y33" i="3" s="1"/>
  <c r="E33" i="3" s="1"/>
  <c r="S25" i="3"/>
  <c r="Y25" i="3" s="1"/>
  <c r="E25" i="3" s="1"/>
  <c r="S24" i="3"/>
  <c r="V24" i="3" s="1"/>
  <c r="B24" i="3" s="1"/>
  <c r="S22" i="3"/>
  <c r="Y22" i="3" s="1"/>
  <c r="E22" i="3" s="1"/>
  <c r="S21" i="3"/>
  <c r="Y21" i="3" s="1"/>
  <c r="E21" i="3" s="1"/>
  <c r="S19" i="3"/>
  <c r="X19" i="3" s="1"/>
  <c r="D19" i="3" s="1"/>
  <c r="S18" i="3"/>
  <c r="Y18" i="3" s="1"/>
  <c r="E18" i="3" s="1"/>
  <c r="S17" i="3"/>
  <c r="W17" i="3" s="1"/>
  <c r="C17" i="3" s="1"/>
  <c r="S15" i="3"/>
  <c r="Y15" i="3" s="1"/>
  <c r="E15" i="3" s="1"/>
  <c r="S14" i="3"/>
  <c r="Y14" i="3" s="1"/>
  <c r="E14" i="3" s="1"/>
  <c r="S13" i="3"/>
  <c r="Y13" i="3" s="1"/>
  <c r="E13" i="3" s="1"/>
  <c r="Y12" i="3"/>
  <c r="E12" i="3" s="1"/>
  <c r="X12" i="3"/>
  <c r="D12" i="3" s="1"/>
  <c r="W12" i="3"/>
  <c r="C12" i="3" s="1"/>
  <c r="V12" i="3"/>
  <c r="B12" i="3" s="1"/>
  <c r="S12" i="3"/>
  <c r="Y33" i="2"/>
  <c r="E33" i="2" s="1"/>
  <c r="W33" i="2"/>
  <c r="C33" i="2" s="1"/>
  <c r="V33" i="2"/>
  <c r="B33" i="2" s="1"/>
  <c r="Y24" i="2"/>
  <c r="E24" i="2" s="1"/>
  <c r="X24" i="2"/>
  <c r="D24" i="2" s="1"/>
  <c r="W24" i="2"/>
  <c r="C24" i="2" s="1"/>
  <c r="Y21" i="2"/>
  <c r="E21" i="2" s="1"/>
  <c r="Y13" i="2"/>
  <c r="E13" i="2" s="1"/>
  <c r="X13" i="2"/>
  <c r="D13" i="2" s="1"/>
  <c r="W13" i="2"/>
  <c r="C13" i="2" s="1"/>
  <c r="V13" i="2"/>
  <c r="B13" i="2" s="1"/>
  <c r="V13" i="1"/>
  <c r="W13" i="1"/>
  <c r="X13" i="1"/>
  <c r="Y13" i="1"/>
  <c r="V14" i="1"/>
  <c r="W14" i="1"/>
  <c r="X14" i="1"/>
  <c r="Y14" i="1"/>
  <c r="V15" i="1"/>
  <c r="B15" i="1" s="1"/>
  <c r="W15" i="1"/>
  <c r="X15" i="1"/>
  <c r="Y15" i="1"/>
  <c r="V16" i="1"/>
  <c r="W16" i="1"/>
  <c r="X16" i="1"/>
  <c r="Y16" i="1"/>
  <c r="V17" i="1"/>
  <c r="W17" i="1"/>
  <c r="X17" i="1"/>
  <c r="Y17" i="1"/>
  <c r="V18" i="1"/>
  <c r="W18" i="1"/>
  <c r="X18" i="1"/>
  <c r="Y18" i="1"/>
  <c r="V19" i="1"/>
  <c r="W19" i="1"/>
  <c r="X19" i="1"/>
  <c r="Y19" i="1"/>
  <c r="V20" i="1"/>
  <c r="W20" i="1"/>
  <c r="X20" i="1"/>
  <c r="Y20" i="1"/>
  <c r="V21" i="1"/>
  <c r="W21" i="1"/>
  <c r="C21" i="1" s="1"/>
  <c r="X21" i="1"/>
  <c r="Y21" i="1"/>
  <c r="E21" i="1" s="1"/>
  <c r="V22" i="1"/>
  <c r="W22" i="1"/>
  <c r="X22" i="1"/>
  <c r="Y22" i="1"/>
  <c r="V23" i="1"/>
  <c r="W23" i="1"/>
  <c r="X23" i="1"/>
  <c r="Y23" i="1"/>
  <c r="V24" i="1"/>
  <c r="W24" i="1"/>
  <c r="X24" i="1"/>
  <c r="Y24" i="1"/>
  <c r="E24" i="1" s="1"/>
  <c r="V25" i="1"/>
  <c r="W25" i="1"/>
  <c r="X25" i="1"/>
  <c r="Y25" i="1"/>
  <c r="V26" i="1"/>
  <c r="W26" i="1"/>
  <c r="X26" i="1"/>
  <c r="Y26" i="1"/>
  <c r="V27" i="1"/>
  <c r="W27" i="1"/>
  <c r="C27" i="1" s="1"/>
  <c r="X27" i="1"/>
  <c r="Y27" i="1"/>
  <c r="V28" i="1"/>
  <c r="W28" i="1"/>
  <c r="X28" i="1"/>
  <c r="Y28" i="1"/>
  <c r="V29" i="1"/>
  <c r="W29" i="1"/>
  <c r="X29" i="1"/>
  <c r="Y29" i="1"/>
  <c r="V30" i="1"/>
  <c r="W30" i="1"/>
  <c r="X30" i="1"/>
  <c r="Y30" i="1"/>
  <c r="V31" i="1"/>
  <c r="W31" i="1"/>
  <c r="X31" i="1"/>
  <c r="Y31" i="1"/>
  <c r="V32" i="1"/>
  <c r="W32" i="1"/>
  <c r="X32" i="1"/>
  <c r="D32" i="1" s="1"/>
  <c r="Y32" i="1"/>
  <c r="V33" i="1"/>
  <c r="W33" i="1"/>
  <c r="X33" i="1"/>
  <c r="Y33" i="1"/>
  <c r="V34" i="1"/>
  <c r="W34" i="1"/>
  <c r="X34" i="1"/>
  <c r="Y34" i="1"/>
  <c r="V35" i="1"/>
  <c r="W35" i="1"/>
  <c r="X35" i="1"/>
  <c r="Y35" i="1"/>
  <c r="V36" i="1"/>
  <c r="W36" i="1"/>
  <c r="X36" i="1"/>
  <c r="Y36" i="1"/>
  <c r="V37" i="1"/>
  <c r="W37" i="1"/>
  <c r="X37" i="1"/>
  <c r="Y37" i="1"/>
  <c r="V38" i="1"/>
  <c r="W38" i="1"/>
  <c r="X38" i="1"/>
  <c r="Y38" i="1"/>
  <c r="W12" i="1"/>
  <c r="X12" i="1"/>
  <c r="Y12" i="1"/>
  <c r="S33" i="2"/>
  <c r="X33" i="2" s="1"/>
  <c r="D33" i="2" s="1"/>
  <c r="S24" i="2"/>
  <c r="V24" i="2" s="1"/>
  <c r="B24" i="2" s="1"/>
  <c r="S21" i="2"/>
  <c r="X21" i="2" s="1"/>
  <c r="D21" i="2" s="1"/>
  <c r="S19" i="2"/>
  <c r="Y19" i="2" s="1"/>
  <c r="E19" i="2" s="1"/>
  <c r="S18" i="2"/>
  <c r="Y18" i="2" s="1"/>
  <c r="E18" i="2" s="1"/>
  <c r="S17" i="2"/>
  <c r="V17" i="2" s="1"/>
  <c r="B17" i="2" s="1"/>
  <c r="S12" i="2"/>
  <c r="Y12" i="2" s="1"/>
  <c r="E12" i="2" s="1"/>
  <c r="B13" i="1"/>
  <c r="C13" i="1"/>
  <c r="D13" i="1"/>
  <c r="E13" i="1"/>
  <c r="B14" i="1"/>
  <c r="C14" i="1"/>
  <c r="D14" i="1"/>
  <c r="E14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D21" i="1"/>
  <c r="B22" i="1"/>
  <c r="C22" i="1"/>
  <c r="D22" i="1"/>
  <c r="E22" i="1"/>
  <c r="B23" i="1"/>
  <c r="C23" i="1"/>
  <c r="D23" i="1"/>
  <c r="E23" i="1"/>
  <c r="B24" i="1"/>
  <c r="C24" i="1"/>
  <c r="D24" i="1"/>
  <c r="B25" i="1"/>
  <c r="C25" i="1"/>
  <c r="D25" i="1"/>
  <c r="E25" i="1"/>
  <c r="B26" i="1"/>
  <c r="C26" i="1"/>
  <c r="D26" i="1"/>
  <c r="E26" i="1"/>
  <c r="B27" i="1"/>
  <c r="D27" i="1"/>
  <c r="E27" i="1"/>
  <c r="B28" i="1"/>
  <c r="C28" i="1"/>
  <c r="D28" i="1"/>
  <c r="E28" i="1"/>
  <c r="B29" i="1"/>
  <c r="C29" i="1"/>
  <c r="D29" i="1"/>
  <c r="E29" i="1"/>
  <c r="B30" i="1"/>
  <c r="C30" i="1"/>
  <c r="D30" i="1"/>
  <c r="E30" i="1"/>
  <c r="B31" i="1"/>
  <c r="C31" i="1"/>
  <c r="D31" i="1"/>
  <c r="E31" i="1"/>
  <c r="B32" i="1"/>
  <c r="C32" i="1"/>
  <c r="E32" i="1"/>
  <c r="B33" i="1"/>
  <c r="C33" i="1"/>
  <c r="D33" i="1"/>
  <c r="E33" i="1"/>
  <c r="B34" i="1"/>
  <c r="C34" i="1"/>
  <c r="D34" i="1"/>
  <c r="E34" i="1"/>
  <c r="B35" i="1"/>
  <c r="C35" i="1"/>
  <c r="D35" i="1"/>
  <c r="E35" i="1"/>
  <c r="B36" i="1"/>
  <c r="C36" i="1"/>
  <c r="D36" i="1"/>
  <c r="E36" i="1"/>
  <c r="B37" i="1"/>
  <c r="C37" i="1"/>
  <c r="D37" i="1"/>
  <c r="E37" i="1"/>
  <c r="B38" i="1"/>
  <c r="C38" i="1"/>
  <c r="D38" i="1"/>
  <c r="E38" i="1"/>
  <c r="C12" i="1"/>
  <c r="D12" i="1"/>
  <c r="E12" i="1"/>
  <c r="B12" i="1"/>
  <c r="Q34" i="1"/>
  <c r="S34" i="1" s="1"/>
  <c r="Q25" i="1"/>
  <c r="Q26" i="1" s="1"/>
  <c r="S26" i="1" s="1"/>
  <c r="Q22" i="1"/>
  <c r="Q23" i="1" s="1"/>
  <c r="S23" i="1" s="1"/>
  <c r="Q20" i="1"/>
  <c r="S20" i="1" s="1"/>
  <c r="Q18" i="1"/>
  <c r="Q15" i="1"/>
  <c r="Q16" i="1" s="1"/>
  <c r="S16" i="1" s="1"/>
  <c r="S15" i="1"/>
  <c r="S17" i="1"/>
  <c r="S18" i="1"/>
  <c r="S19" i="1"/>
  <c r="S21" i="1"/>
  <c r="S24" i="1"/>
  <c r="S33" i="1"/>
  <c r="S14" i="1"/>
  <c r="S13" i="1"/>
  <c r="S12" i="1"/>
  <c r="V12" i="1" s="1"/>
  <c r="X34" i="15" l="1"/>
  <c r="D34" i="15" s="1"/>
  <c r="V34" i="14"/>
  <c r="B34" i="14" s="1"/>
  <c r="W34" i="14"/>
  <c r="C34" i="14" s="1"/>
  <c r="X34" i="14"/>
  <c r="D34" i="14" s="1"/>
  <c r="Y34" i="14"/>
  <c r="E34" i="14" s="1"/>
  <c r="W36" i="13"/>
  <c r="C36" i="13" s="1"/>
  <c r="Y36" i="13"/>
  <c r="E36" i="13" s="1"/>
  <c r="X36" i="13"/>
  <c r="D36" i="13" s="1"/>
  <c r="V34" i="10"/>
  <c r="B34" i="10" s="1"/>
  <c r="W34" i="10"/>
  <c r="C34" i="10" s="1"/>
  <c r="X34" i="10"/>
  <c r="D34" i="10" s="1"/>
  <c r="W36" i="9"/>
  <c r="C36" i="9" s="1"/>
  <c r="Y36" i="9"/>
  <c r="E36" i="9" s="1"/>
  <c r="X36" i="9"/>
  <c r="D36" i="9" s="1"/>
  <c r="V37" i="5"/>
  <c r="B37" i="5" s="1"/>
  <c r="X34" i="4"/>
  <c r="D34" i="4" s="1"/>
  <c r="Y34" i="4"/>
  <c r="E34" i="4" s="1"/>
  <c r="W34" i="17"/>
  <c r="C34" i="17" s="1"/>
  <c r="X34" i="17"/>
  <c r="D34" i="17" s="1"/>
  <c r="Y34" i="17"/>
  <c r="E34" i="17" s="1"/>
  <c r="W34" i="16"/>
  <c r="C34" i="16" s="1"/>
  <c r="Y34" i="16"/>
  <c r="E34" i="16" s="1"/>
  <c r="X34" i="16"/>
  <c r="D34" i="16" s="1"/>
  <c r="V34" i="16"/>
  <c r="B34" i="16" s="1"/>
  <c r="X36" i="16"/>
  <c r="D36" i="16" s="1"/>
  <c r="Y36" i="16"/>
  <c r="E36" i="16" s="1"/>
  <c r="V33" i="16"/>
  <c r="B33" i="16" s="1"/>
  <c r="V34" i="15"/>
  <c r="B34" i="15" s="1"/>
  <c r="W34" i="15"/>
  <c r="C34" i="15" s="1"/>
  <c r="V35" i="15"/>
  <c r="B35" i="15" s="1"/>
  <c r="X36" i="14"/>
  <c r="D36" i="14" s="1"/>
  <c r="Y36" i="14"/>
  <c r="E36" i="14" s="1"/>
  <c r="V33" i="13"/>
  <c r="B33" i="13" s="1"/>
  <c r="X33" i="13"/>
  <c r="D33" i="13" s="1"/>
  <c r="V37" i="13"/>
  <c r="B37" i="13" s="1"/>
  <c r="W34" i="13"/>
  <c r="C34" i="13" s="1"/>
  <c r="X34" i="13"/>
  <c r="D34" i="13" s="1"/>
  <c r="V35" i="13"/>
  <c r="B35" i="13" s="1"/>
  <c r="X35" i="13"/>
  <c r="D35" i="13" s="1"/>
  <c r="X36" i="12"/>
  <c r="D36" i="12" s="1"/>
  <c r="Y36" i="12"/>
  <c r="E36" i="12" s="1"/>
  <c r="V34" i="12"/>
  <c r="B34" i="12" s="1"/>
  <c r="W34" i="12"/>
  <c r="C34" i="12" s="1"/>
  <c r="X34" i="12"/>
  <c r="D34" i="12" s="1"/>
  <c r="V34" i="11"/>
  <c r="B34" i="11" s="1"/>
  <c r="W34" i="11"/>
  <c r="C34" i="11" s="1"/>
  <c r="X34" i="11"/>
  <c r="D34" i="11" s="1"/>
  <c r="X36" i="11"/>
  <c r="D36" i="11" s="1"/>
  <c r="Y36" i="11"/>
  <c r="E36" i="11" s="1"/>
  <c r="X36" i="10"/>
  <c r="D36" i="10" s="1"/>
  <c r="Y36" i="10"/>
  <c r="E36" i="10" s="1"/>
  <c r="V33" i="9"/>
  <c r="B33" i="9" s="1"/>
  <c r="V34" i="9"/>
  <c r="B34" i="9" s="1"/>
  <c r="W34" i="9"/>
  <c r="C34" i="9" s="1"/>
  <c r="X34" i="9"/>
  <c r="D34" i="9" s="1"/>
  <c r="V34" i="8"/>
  <c r="B34" i="8" s="1"/>
  <c r="W34" i="8"/>
  <c r="C34" i="8" s="1"/>
  <c r="X34" i="8"/>
  <c r="D34" i="8" s="1"/>
  <c r="X36" i="8"/>
  <c r="D36" i="8" s="1"/>
  <c r="Y36" i="8"/>
  <c r="E36" i="8" s="1"/>
  <c r="X36" i="7"/>
  <c r="D36" i="7" s="1"/>
  <c r="Y36" i="7"/>
  <c r="E36" i="7" s="1"/>
  <c r="V33" i="7"/>
  <c r="B33" i="7" s="1"/>
  <c r="V34" i="7"/>
  <c r="B34" i="7" s="1"/>
  <c r="W34" i="7"/>
  <c r="C34" i="7" s="1"/>
  <c r="X34" i="7"/>
  <c r="D34" i="7" s="1"/>
  <c r="V33" i="6"/>
  <c r="B33" i="6" s="1"/>
  <c r="X34" i="6"/>
  <c r="D34" i="6" s="1"/>
  <c r="Y34" i="6"/>
  <c r="E34" i="6" s="1"/>
  <c r="W34" i="6"/>
  <c r="C34" i="6" s="1"/>
  <c r="X36" i="6"/>
  <c r="D36" i="6" s="1"/>
  <c r="Y36" i="6"/>
  <c r="E36" i="6" s="1"/>
  <c r="V34" i="5"/>
  <c r="B34" i="5" s="1"/>
  <c r="W34" i="5"/>
  <c r="C34" i="5" s="1"/>
  <c r="X34" i="5"/>
  <c r="D34" i="5" s="1"/>
  <c r="X36" i="5"/>
  <c r="D36" i="5" s="1"/>
  <c r="Y36" i="5"/>
  <c r="E36" i="5" s="1"/>
  <c r="V35" i="4"/>
  <c r="B35" i="4" s="1"/>
  <c r="X36" i="4"/>
  <c r="D36" i="4" s="1"/>
  <c r="Y36" i="4"/>
  <c r="E36" i="4" s="1"/>
  <c r="V34" i="4"/>
  <c r="B34" i="4" s="1"/>
  <c r="W34" i="4"/>
  <c r="C34" i="4" s="1"/>
  <c r="V34" i="3"/>
  <c r="B34" i="3" s="1"/>
  <c r="W34" i="3"/>
  <c r="C34" i="3" s="1"/>
  <c r="X34" i="3"/>
  <c r="D34" i="3" s="1"/>
  <c r="X36" i="3"/>
  <c r="D36" i="3" s="1"/>
  <c r="Y36" i="3"/>
  <c r="E36" i="3" s="1"/>
  <c r="X24" i="14"/>
  <c r="D24" i="14" s="1"/>
  <c r="Y24" i="14"/>
  <c r="E24" i="14" s="1"/>
  <c r="Q27" i="13"/>
  <c r="S26" i="13"/>
  <c r="Y26" i="13" s="1"/>
  <c r="E26" i="13" s="1"/>
  <c r="X24" i="11"/>
  <c r="D24" i="11" s="1"/>
  <c r="Y24" i="11"/>
  <c r="E24" i="11" s="1"/>
  <c r="S25" i="11"/>
  <c r="Y25" i="11" s="1"/>
  <c r="E25" i="11" s="1"/>
  <c r="X24" i="10"/>
  <c r="D24" i="10" s="1"/>
  <c r="Y24" i="10"/>
  <c r="E24" i="10" s="1"/>
  <c r="Q26" i="9"/>
  <c r="Y24" i="9"/>
  <c r="E24" i="9" s="1"/>
  <c r="Y24" i="8"/>
  <c r="E24" i="8" s="1"/>
  <c r="S26" i="8"/>
  <c r="Y26" i="8" s="1"/>
  <c r="E26" i="8" s="1"/>
  <c r="X24" i="8"/>
  <c r="D24" i="8" s="1"/>
  <c r="X24" i="7"/>
  <c r="D24" i="7" s="1"/>
  <c r="Y24" i="7"/>
  <c r="E24" i="7" s="1"/>
  <c r="X24" i="3"/>
  <c r="D24" i="3" s="1"/>
  <c r="Y24" i="3"/>
  <c r="E24" i="3" s="1"/>
  <c r="Q26" i="17"/>
  <c r="Q26" i="16"/>
  <c r="X24" i="16"/>
  <c r="D24" i="16" s="1"/>
  <c r="Y24" i="16"/>
  <c r="E24" i="16" s="1"/>
  <c r="Q27" i="15"/>
  <c r="S26" i="15"/>
  <c r="Y26" i="15" s="1"/>
  <c r="E26" i="15" s="1"/>
  <c r="X24" i="15"/>
  <c r="D24" i="15" s="1"/>
  <c r="Y24" i="15"/>
  <c r="E24" i="15" s="1"/>
  <c r="Q27" i="14"/>
  <c r="S26" i="14"/>
  <c r="Y26" i="14" s="1"/>
  <c r="E26" i="14" s="1"/>
  <c r="S27" i="13"/>
  <c r="Q28" i="13"/>
  <c r="X24" i="13"/>
  <c r="D24" i="13" s="1"/>
  <c r="Y24" i="13"/>
  <c r="E24" i="13" s="1"/>
  <c r="V25" i="13"/>
  <c r="B25" i="13" s="1"/>
  <c r="Q27" i="12"/>
  <c r="S26" i="12"/>
  <c r="Y26" i="12" s="1"/>
  <c r="E26" i="12" s="1"/>
  <c r="X24" i="12"/>
  <c r="D24" i="12" s="1"/>
  <c r="Y24" i="12"/>
  <c r="E24" i="12" s="1"/>
  <c r="Q27" i="11"/>
  <c r="S26" i="11"/>
  <c r="Y26" i="11" s="1"/>
  <c r="E26" i="11" s="1"/>
  <c r="Q27" i="10"/>
  <c r="S26" i="10"/>
  <c r="Y26" i="10" s="1"/>
  <c r="E26" i="10" s="1"/>
  <c r="X24" i="9"/>
  <c r="D24" i="9" s="1"/>
  <c r="Q28" i="8"/>
  <c r="S27" i="8"/>
  <c r="Y27" i="8" s="1"/>
  <c r="E27" i="8" s="1"/>
  <c r="S26" i="7"/>
  <c r="Y26" i="7" s="1"/>
  <c r="E26" i="7" s="1"/>
  <c r="Q27" i="7"/>
  <c r="Q27" i="6"/>
  <c r="S26" i="6"/>
  <c r="Y26" i="6" s="1"/>
  <c r="E26" i="6" s="1"/>
  <c r="W24" i="6"/>
  <c r="C24" i="6" s="1"/>
  <c r="X24" i="6"/>
  <c r="D24" i="6" s="1"/>
  <c r="Y24" i="6"/>
  <c r="E24" i="6" s="1"/>
  <c r="S26" i="5"/>
  <c r="Y26" i="5" s="1"/>
  <c r="E26" i="5" s="1"/>
  <c r="Q27" i="5"/>
  <c r="X24" i="5"/>
  <c r="D24" i="5" s="1"/>
  <c r="Y24" i="5"/>
  <c r="E24" i="5" s="1"/>
  <c r="Q27" i="4"/>
  <c r="S26" i="4"/>
  <c r="Y26" i="4" s="1"/>
  <c r="E26" i="4" s="1"/>
  <c r="X24" i="4"/>
  <c r="D24" i="4" s="1"/>
  <c r="Y24" i="4"/>
  <c r="E24" i="4" s="1"/>
  <c r="S26" i="3"/>
  <c r="Y26" i="3" s="1"/>
  <c r="E26" i="3" s="1"/>
  <c r="Q27" i="3"/>
  <c r="W24" i="3"/>
  <c r="C24" i="3" s="1"/>
  <c r="V21" i="17"/>
  <c r="B21" i="17" s="1"/>
  <c r="X22" i="14"/>
  <c r="D22" i="14" s="1"/>
  <c r="Y22" i="14"/>
  <c r="E22" i="14" s="1"/>
  <c r="V21" i="13"/>
  <c r="B21" i="13" s="1"/>
  <c r="X21" i="13"/>
  <c r="D21" i="13" s="1"/>
  <c r="V22" i="11"/>
  <c r="B22" i="11" s="1"/>
  <c r="W22" i="11"/>
  <c r="C22" i="11" s="1"/>
  <c r="X22" i="11"/>
  <c r="D22" i="11" s="1"/>
  <c r="S22" i="9"/>
  <c r="S22" i="8"/>
  <c r="Y22" i="8" s="1"/>
  <c r="E22" i="8" s="1"/>
  <c r="S22" i="6"/>
  <c r="Y22" i="6" s="1"/>
  <c r="E22" i="6" s="1"/>
  <c r="Y22" i="5"/>
  <c r="E22" i="5" s="1"/>
  <c r="V21" i="2"/>
  <c r="B21" i="2" s="1"/>
  <c r="W21" i="2"/>
  <c r="C21" i="2" s="1"/>
  <c r="Y23" i="16"/>
  <c r="E23" i="16" s="1"/>
  <c r="V23" i="16"/>
  <c r="B23" i="16" s="1"/>
  <c r="V21" i="16"/>
  <c r="B21" i="16" s="1"/>
  <c r="V22" i="16"/>
  <c r="B22" i="16" s="1"/>
  <c r="W22" i="16"/>
  <c r="C22" i="16" s="1"/>
  <c r="X22" i="16"/>
  <c r="D22" i="16" s="1"/>
  <c r="Y23" i="15"/>
  <c r="E23" i="15" s="1"/>
  <c r="V23" i="15"/>
  <c r="B23" i="15" s="1"/>
  <c r="V22" i="15"/>
  <c r="B22" i="15" s="1"/>
  <c r="W22" i="15"/>
  <c r="C22" i="15" s="1"/>
  <c r="X22" i="15"/>
  <c r="D22" i="15" s="1"/>
  <c r="Y23" i="14"/>
  <c r="E23" i="14" s="1"/>
  <c r="V23" i="14"/>
  <c r="B23" i="14" s="1"/>
  <c r="V22" i="14"/>
  <c r="B22" i="14" s="1"/>
  <c r="Y23" i="13"/>
  <c r="E23" i="13" s="1"/>
  <c r="X23" i="13"/>
  <c r="D23" i="13" s="1"/>
  <c r="V23" i="13"/>
  <c r="B23" i="13" s="1"/>
  <c r="V22" i="13"/>
  <c r="B22" i="13" s="1"/>
  <c r="W22" i="13"/>
  <c r="C22" i="13" s="1"/>
  <c r="X22" i="13"/>
  <c r="D22" i="13" s="1"/>
  <c r="V22" i="12"/>
  <c r="B22" i="12" s="1"/>
  <c r="W22" i="12"/>
  <c r="C22" i="12" s="1"/>
  <c r="X22" i="12"/>
  <c r="D22" i="12" s="1"/>
  <c r="V22" i="10"/>
  <c r="B22" i="10" s="1"/>
  <c r="W22" i="10"/>
  <c r="C22" i="10" s="1"/>
  <c r="X22" i="10"/>
  <c r="D22" i="10" s="1"/>
  <c r="V21" i="9"/>
  <c r="B21" i="9" s="1"/>
  <c r="V22" i="8"/>
  <c r="B22" i="8" s="1"/>
  <c r="W22" i="8"/>
  <c r="C22" i="8" s="1"/>
  <c r="X22" i="8"/>
  <c r="D22" i="8" s="1"/>
  <c r="V21" i="7"/>
  <c r="B21" i="7" s="1"/>
  <c r="V22" i="7"/>
  <c r="B22" i="7" s="1"/>
  <c r="W22" i="7"/>
  <c r="C22" i="7" s="1"/>
  <c r="X22" i="7"/>
  <c r="D22" i="7" s="1"/>
  <c r="V22" i="6"/>
  <c r="B22" i="6" s="1"/>
  <c r="W22" i="6"/>
  <c r="C22" i="6" s="1"/>
  <c r="X22" i="6"/>
  <c r="D22" i="6" s="1"/>
  <c r="V22" i="5"/>
  <c r="B22" i="5" s="1"/>
  <c r="W22" i="5"/>
  <c r="C22" i="5" s="1"/>
  <c r="V22" i="4"/>
  <c r="B22" i="4" s="1"/>
  <c r="W22" i="4"/>
  <c r="C22" i="4" s="1"/>
  <c r="X22" i="4"/>
  <c r="D22" i="4" s="1"/>
  <c r="V22" i="3"/>
  <c r="B22" i="3" s="1"/>
  <c r="W22" i="3"/>
  <c r="C22" i="3" s="1"/>
  <c r="X22" i="3"/>
  <c r="D22" i="3" s="1"/>
  <c r="W23" i="2"/>
  <c r="C23" i="2" s="1"/>
  <c r="Y23" i="2"/>
  <c r="E23" i="2" s="1"/>
  <c r="X23" i="2"/>
  <c r="D23" i="2" s="1"/>
  <c r="Y19" i="14"/>
  <c r="E19" i="14" s="1"/>
  <c r="V19" i="2"/>
  <c r="B19" i="2" s="1"/>
  <c r="W19" i="2"/>
  <c r="C19" i="2" s="1"/>
  <c r="X19" i="2"/>
  <c r="D19" i="2" s="1"/>
  <c r="X17" i="16"/>
  <c r="D17" i="16" s="1"/>
  <c r="Y17" i="16"/>
  <c r="E17" i="16" s="1"/>
  <c r="Y17" i="13"/>
  <c r="E17" i="13" s="1"/>
  <c r="X17" i="10"/>
  <c r="D17" i="10" s="1"/>
  <c r="Y17" i="10"/>
  <c r="E17" i="10" s="1"/>
  <c r="S18" i="10"/>
  <c r="Y18" i="10" s="1"/>
  <c r="E18" i="10" s="1"/>
  <c r="X17" i="9"/>
  <c r="D17" i="9" s="1"/>
  <c r="Y17" i="9"/>
  <c r="E17" i="9" s="1"/>
  <c r="S18" i="9"/>
  <c r="Y18" i="9" s="1"/>
  <c r="E18" i="9" s="1"/>
  <c r="W17" i="9"/>
  <c r="C17" i="9" s="1"/>
  <c r="W17" i="8"/>
  <c r="C17" i="8" s="1"/>
  <c r="X17" i="3"/>
  <c r="D17" i="3" s="1"/>
  <c r="Y17" i="3"/>
  <c r="E17" i="3" s="1"/>
  <c r="Y17" i="17"/>
  <c r="E17" i="17" s="1"/>
  <c r="Y19" i="16"/>
  <c r="E19" i="16" s="1"/>
  <c r="W17" i="15"/>
  <c r="C17" i="15" s="1"/>
  <c r="X17" i="15"/>
  <c r="D17" i="15" s="1"/>
  <c r="Y17" i="15"/>
  <c r="E17" i="15" s="1"/>
  <c r="W18" i="15"/>
  <c r="C18" i="15" s="1"/>
  <c r="W17" i="14"/>
  <c r="C17" i="14" s="1"/>
  <c r="X17" i="14"/>
  <c r="D17" i="14" s="1"/>
  <c r="Y17" i="14"/>
  <c r="E17" i="14" s="1"/>
  <c r="Y19" i="13"/>
  <c r="E19" i="13" s="1"/>
  <c r="V17" i="13"/>
  <c r="B17" i="13" s="1"/>
  <c r="W17" i="13"/>
  <c r="C17" i="13" s="1"/>
  <c r="W17" i="12"/>
  <c r="C17" i="12" s="1"/>
  <c r="X17" i="12"/>
  <c r="D17" i="12" s="1"/>
  <c r="Y17" i="12"/>
  <c r="E17" i="12" s="1"/>
  <c r="Y19" i="12"/>
  <c r="E19" i="12" s="1"/>
  <c r="V17" i="11"/>
  <c r="B17" i="11" s="1"/>
  <c r="W17" i="11"/>
  <c r="C17" i="11" s="1"/>
  <c r="X17" i="11"/>
  <c r="D17" i="11" s="1"/>
  <c r="Y19" i="11"/>
  <c r="E19" i="11" s="1"/>
  <c r="Y19" i="10"/>
  <c r="E19" i="10" s="1"/>
  <c r="V17" i="10"/>
  <c r="B17" i="10" s="1"/>
  <c r="Y19" i="9"/>
  <c r="E19" i="9" s="1"/>
  <c r="Y19" i="8"/>
  <c r="E19" i="8" s="1"/>
  <c r="W17" i="7"/>
  <c r="C17" i="7" s="1"/>
  <c r="X17" i="7"/>
  <c r="D17" i="7" s="1"/>
  <c r="Y17" i="7"/>
  <c r="E17" i="7" s="1"/>
  <c r="Y19" i="6"/>
  <c r="E19" i="6" s="1"/>
  <c r="V19" i="5"/>
  <c r="B19" i="5" s="1"/>
  <c r="Y19" i="5"/>
  <c r="E19" i="5" s="1"/>
  <c r="W17" i="5"/>
  <c r="C17" i="5" s="1"/>
  <c r="X17" i="5"/>
  <c r="D17" i="5" s="1"/>
  <c r="Y17" i="5"/>
  <c r="E17" i="5" s="1"/>
  <c r="W17" i="4"/>
  <c r="C17" i="4" s="1"/>
  <c r="X17" i="4"/>
  <c r="D17" i="4" s="1"/>
  <c r="Y17" i="4"/>
  <c r="E17" i="4" s="1"/>
  <c r="Y19" i="4"/>
  <c r="E19" i="4" s="1"/>
  <c r="Y19" i="3"/>
  <c r="E19" i="3" s="1"/>
  <c r="V17" i="3"/>
  <c r="B17" i="3" s="1"/>
  <c r="X17" i="2"/>
  <c r="D17" i="2" s="1"/>
  <c r="Y20" i="2"/>
  <c r="E20" i="2" s="1"/>
  <c r="W20" i="2"/>
  <c r="C20" i="2" s="1"/>
  <c r="V20" i="2"/>
  <c r="B20" i="2" s="1"/>
  <c r="W17" i="2"/>
  <c r="C17" i="2" s="1"/>
  <c r="Y17" i="2"/>
  <c r="E17" i="2" s="1"/>
  <c r="X20" i="2"/>
  <c r="D20" i="2" s="1"/>
  <c r="V18" i="2"/>
  <c r="B18" i="2" s="1"/>
  <c r="W18" i="2"/>
  <c r="C18" i="2" s="1"/>
  <c r="X18" i="2"/>
  <c r="D18" i="2" s="1"/>
  <c r="W15" i="17"/>
  <c r="C15" i="17" s="1"/>
  <c r="V15" i="15"/>
  <c r="B15" i="15" s="1"/>
  <c r="V15" i="12"/>
  <c r="B15" i="12" s="1"/>
  <c r="W15" i="12"/>
  <c r="C15" i="12" s="1"/>
  <c r="S15" i="7"/>
  <c r="W15" i="7" s="1"/>
  <c r="C15" i="7" s="1"/>
  <c r="V15" i="17"/>
  <c r="B15" i="17" s="1"/>
  <c r="V15" i="16"/>
  <c r="B15" i="16" s="1"/>
  <c r="V15" i="14"/>
  <c r="B15" i="14" s="1"/>
  <c r="Y16" i="13"/>
  <c r="E16" i="13" s="1"/>
  <c r="W16" i="13"/>
  <c r="C16" i="13" s="1"/>
  <c r="V15" i="13"/>
  <c r="B15" i="13" s="1"/>
  <c r="W15" i="13"/>
  <c r="C15" i="13" s="1"/>
  <c r="X15" i="13"/>
  <c r="D15" i="13" s="1"/>
  <c r="Y16" i="12"/>
  <c r="E16" i="12" s="1"/>
  <c r="V16" i="12"/>
  <c r="B16" i="12" s="1"/>
  <c r="V15" i="11"/>
  <c r="B15" i="11" s="1"/>
  <c r="W15" i="11"/>
  <c r="C15" i="11" s="1"/>
  <c r="V15" i="9"/>
  <c r="B15" i="9" s="1"/>
  <c r="W15" i="9"/>
  <c r="C15" i="9" s="1"/>
  <c r="Y16" i="8"/>
  <c r="E16" i="8" s="1"/>
  <c r="V16" i="8"/>
  <c r="B16" i="8" s="1"/>
  <c r="V15" i="7"/>
  <c r="B15" i="7" s="1"/>
  <c r="Y16" i="6"/>
  <c r="E16" i="6" s="1"/>
  <c r="W16" i="6"/>
  <c r="C16" i="6" s="1"/>
  <c r="V16" i="6"/>
  <c r="B16" i="6" s="1"/>
  <c r="V15" i="6"/>
  <c r="B15" i="6" s="1"/>
  <c r="Y16" i="5"/>
  <c r="E16" i="5" s="1"/>
  <c r="V16" i="5"/>
  <c r="B16" i="5" s="1"/>
  <c r="V15" i="4"/>
  <c r="B15" i="4" s="1"/>
  <c r="V16" i="2"/>
  <c r="B16" i="2" s="1"/>
  <c r="X16" i="2"/>
  <c r="D16" i="2" s="1"/>
  <c r="Y16" i="2"/>
  <c r="E16" i="2" s="1"/>
  <c r="V23" i="17"/>
  <c r="B23" i="17" s="1"/>
  <c r="X23" i="17"/>
  <c r="D23" i="17" s="1"/>
  <c r="Y19" i="17"/>
  <c r="E19" i="17" s="1"/>
  <c r="X24" i="17"/>
  <c r="D24" i="17" s="1"/>
  <c r="V35" i="17"/>
  <c r="B35" i="17" s="1"/>
  <c r="Y24" i="17"/>
  <c r="E24" i="17" s="1"/>
  <c r="Y36" i="17"/>
  <c r="E36" i="17" s="1"/>
  <c r="V22" i="17"/>
  <c r="B22" i="17" s="1"/>
  <c r="W22" i="17"/>
  <c r="C22" i="17" s="1"/>
  <c r="V33" i="17"/>
  <c r="B33" i="17" s="1"/>
  <c r="W17" i="17"/>
  <c r="C17" i="17" s="1"/>
  <c r="X22" i="17"/>
  <c r="D22" i="17" s="1"/>
  <c r="X17" i="17"/>
  <c r="D17" i="17" s="1"/>
  <c r="V13" i="13"/>
  <c r="B13" i="13" s="1"/>
  <c r="X12" i="17"/>
  <c r="D12" i="17" s="1"/>
  <c r="Y12" i="17"/>
  <c r="E12" i="17" s="1"/>
  <c r="W12" i="16"/>
  <c r="C12" i="16" s="1"/>
  <c r="X12" i="16"/>
  <c r="D12" i="16" s="1"/>
  <c r="Y12" i="16"/>
  <c r="E12" i="16" s="1"/>
  <c r="X12" i="15"/>
  <c r="D12" i="15" s="1"/>
  <c r="Y12" i="15"/>
  <c r="E12" i="15" s="1"/>
  <c r="X12" i="14"/>
  <c r="D12" i="14" s="1"/>
  <c r="Y12" i="14"/>
  <c r="E12" i="14" s="1"/>
  <c r="X12" i="13"/>
  <c r="D12" i="13" s="1"/>
  <c r="Y12" i="13"/>
  <c r="E12" i="13" s="1"/>
  <c r="X12" i="12"/>
  <c r="D12" i="12" s="1"/>
  <c r="Y12" i="12"/>
  <c r="E12" i="12" s="1"/>
  <c r="X12" i="11"/>
  <c r="D12" i="11" s="1"/>
  <c r="Y12" i="11"/>
  <c r="E12" i="11" s="1"/>
  <c r="Y12" i="10"/>
  <c r="E12" i="10" s="1"/>
  <c r="X12" i="10"/>
  <c r="D12" i="10" s="1"/>
  <c r="X12" i="9"/>
  <c r="D12" i="9" s="1"/>
  <c r="Y12" i="9"/>
  <c r="E12" i="9" s="1"/>
  <c r="X12" i="8"/>
  <c r="D12" i="8" s="1"/>
  <c r="Y12" i="8"/>
  <c r="E12" i="8" s="1"/>
  <c r="V12" i="7"/>
  <c r="B12" i="7" s="1"/>
  <c r="X12" i="7"/>
  <c r="D12" i="7" s="1"/>
  <c r="Y12" i="7"/>
  <c r="E12" i="7" s="1"/>
  <c r="W12" i="6"/>
  <c r="C12" i="6" s="1"/>
  <c r="X12" i="6"/>
  <c r="D12" i="6" s="1"/>
  <c r="X12" i="5"/>
  <c r="D12" i="5" s="1"/>
  <c r="Y12" i="5"/>
  <c r="E12" i="5" s="1"/>
  <c r="V12" i="4"/>
  <c r="B12" i="4" s="1"/>
  <c r="V12" i="2"/>
  <c r="B12" i="2" s="1"/>
  <c r="W12" i="2"/>
  <c r="C12" i="2" s="1"/>
  <c r="X12" i="2"/>
  <c r="D12" i="2" s="1"/>
  <c r="V20" i="17"/>
  <c r="B20" i="17" s="1"/>
  <c r="V13" i="17"/>
  <c r="B13" i="17" s="1"/>
  <c r="X15" i="17"/>
  <c r="D15" i="17" s="1"/>
  <c r="W20" i="17"/>
  <c r="C20" i="17" s="1"/>
  <c r="V25" i="17"/>
  <c r="B25" i="17" s="1"/>
  <c r="V37" i="17"/>
  <c r="B37" i="17" s="1"/>
  <c r="W13" i="17"/>
  <c r="C13" i="17" s="1"/>
  <c r="V18" i="17"/>
  <c r="B18" i="17" s="1"/>
  <c r="X20" i="17"/>
  <c r="D20" i="17" s="1"/>
  <c r="W25" i="17"/>
  <c r="C25" i="17" s="1"/>
  <c r="W37" i="17"/>
  <c r="C37" i="17" s="1"/>
  <c r="X13" i="17"/>
  <c r="D13" i="17" s="1"/>
  <c r="W18" i="17"/>
  <c r="C18" i="17" s="1"/>
  <c r="X25" i="17"/>
  <c r="D25" i="17" s="1"/>
  <c r="X37" i="17"/>
  <c r="D37" i="17" s="1"/>
  <c r="V16" i="17"/>
  <c r="B16" i="17" s="1"/>
  <c r="X18" i="17"/>
  <c r="D18" i="17" s="1"/>
  <c r="W23" i="17"/>
  <c r="C23" i="17" s="1"/>
  <c r="W35" i="17"/>
  <c r="C35" i="17" s="1"/>
  <c r="W16" i="17"/>
  <c r="C16" i="17" s="1"/>
  <c r="X35" i="17"/>
  <c r="D35" i="17" s="1"/>
  <c r="V14" i="17"/>
  <c r="B14" i="17" s="1"/>
  <c r="X16" i="17"/>
  <c r="D16" i="17" s="1"/>
  <c r="W21" i="17"/>
  <c r="C21" i="17" s="1"/>
  <c r="W33" i="17"/>
  <c r="C33" i="17" s="1"/>
  <c r="V38" i="17"/>
  <c r="B38" i="17" s="1"/>
  <c r="W14" i="17"/>
  <c r="C14" i="17" s="1"/>
  <c r="V19" i="17"/>
  <c r="B19" i="17" s="1"/>
  <c r="X21" i="17"/>
  <c r="D21" i="17" s="1"/>
  <c r="X33" i="17"/>
  <c r="D33" i="17" s="1"/>
  <c r="W38" i="17"/>
  <c r="C38" i="17" s="1"/>
  <c r="V12" i="17"/>
  <c r="B12" i="17" s="1"/>
  <c r="X14" i="17"/>
  <c r="D14" i="17" s="1"/>
  <c r="W19" i="17"/>
  <c r="C19" i="17" s="1"/>
  <c r="V24" i="17"/>
  <c r="B24" i="17" s="1"/>
  <c r="V36" i="17"/>
  <c r="B36" i="17" s="1"/>
  <c r="X38" i="17"/>
  <c r="D38" i="17" s="1"/>
  <c r="W15" i="16"/>
  <c r="C15" i="16" s="1"/>
  <c r="V20" i="16"/>
  <c r="B20" i="16" s="1"/>
  <c r="V13" i="16"/>
  <c r="B13" i="16" s="1"/>
  <c r="X15" i="16"/>
  <c r="D15" i="16" s="1"/>
  <c r="W20" i="16"/>
  <c r="C20" i="16" s="1"/>
  <c r="V25" i="16"/>
  <c r="B25" i="16" s="1"/>
  <c r="V37" i="16"/>
  <c r="B37" i="16" s="1"/>
  <c r="W13" i="16"/>
  <c r="C13" i="16" s="1"/>
  <c r="V18" i="16"/>
  <c r="B18" i="16" s="1"/>
  <c r="X20" i="16"/>
  <c r="D20" i="16" s="1"/>
  <c r="W25" i="16"/>
  <c r="C25" i="16" s="1"/>
  <c r="W37" i="16"/>
  <c r="C37" i="16" s="1"/>
  <c r="X13" i="16"/>
  <c r="D13" i="16" s="1"/>
  <c r="W18" i="16"/>
  <c r="C18" i="16" s="1"/>
  <c r="X25" i="16"/>
  <c r="D25" i="16" s="1"/>
  <c r="V35" i="16"/>
  <c r="B35" i="16" s="1"/>
  <c r="X37" i="16"/>
  <c r="D37" i="16" s="1"/>
  <c r="V16" i="16"/>
  <c r="B16" i="16" s="1"/>
  <c r="X18" i="16"/>
  <c r="D18" i="16" s="1"/>
  <c r="W23" i="16"/>
  <c r="C23" i="16" s="1"/>
  <c r="W35" i="16"/>
  <c r="C35" i="16" s="1"/>
  <c r="W16" i="16"/>
  <c r="C16" i="16" s="1"/>
  <c r="X23" i="16"/>
  <c r="D23" i="16" s="1"/>
  <c r="X35" i="16"/>
  <c r="D35" i="16" s="1"/>
  <c r="V14" i="16"/>
  <c r="B14" i="16" s="1"/>
  <c r="X16" i="16"/>
  <c r="D16" i="16" s="1"/>
  <c r="W21" i="16"/>
  <c r="C21" i="16" s="1"/>
  <c r="W33" i="16"/>
  <c r="C33" i="16" s="1"/>
  <c r="V38" i="16"/>
  <c r="B38" i="16" s="1"/>
  <c r="W14" i="16"/>
  <c r="C14" i="16" s="1"/>
  <c r="V19" i="16"/>
  <c r="B19" i="16" s="1"/>
  <c r="X21" i="16"/>
  <c r="D21" i="16" s="1"/>
  <c r="X33" i="16"/>
  <c r="D33" i="16" s="1"/>
  <c r="W38" i="16"/>
  <c r="C38" i="16" s="1"/>
  <c r="X14" i="16"/>
  <c r="D14" i="16" s="1"/>
  <c r="W19" i="16"/>
  <c r="C19" i="16" s="1"/>
  <c r="V24" i="16"/>
  <c r="B24" i="16" s="1"/>
  <c r="V36" i="16"/>
  <c r="B36" i="16" s="1"/>
  <c r="X38" i="16"/>
  <c r="D38" i="16" s="1"/>
  <c r="V20" i="15"/>
  <c r="B20" i="15" s="1"/>
  <c r="V13" i="15"/>
  <c r="B13" i="15" s="1"/>
  <c r="X15" i="15"/>
  <c r="D15" i="15" s="1"/>
  <c r="W20" i="15"/>
  <c r="C20" i="15" s="1"/>
  <c r="V25" i="15"/>
  <c r="B25" i="15" s="1"/>
  <c r="V37" i="15"/>
  <c r="B37" i="15" s="1"/>
  <c r="W13" i="15"/>
  <c r="C13" i="15" s="1"/>
  <c r="V18" i="15"/>
  <c r="B18" i="15" s="1"/>
  <c r="X20" i="15"/>
  <c r="D20" i="15" s="1"/>
  <c r="W25" i="15"/>
  <c r="C25" i="15" s="1"/>
  <c r="W37" i="15"/>
  <c r="C37" i="15" s="1"/>
  <c r="X25" i="15"/>
  <c r="D25" i="15" s="1"/>
  <c r="X37" i="15"/>
  <c r="D37" i="15" s="1"/>
  <c r="Y13" i="15"/>
  <c r="E13" i="15" s="1"/>
  <c r="V16" i="15"/>
  <c r="B16" i="15" s="1"/>
  <c r="X18" i="15"/>
  <c r="D18" i="15" s="1"/>
  <c r="W23" i="15"/>
  <c r="C23" i="15" s="1"/>
  <c r="W35" i="15"/>
  <c r="C35" i="15" s="1"/>
  <c r="W16" i="15"/>
  <c r="C16" i="15" s="1"/>
  <c r="V21" i="15"/>
  <c r="B21" i="15" s="1"/>
  <c r="X23" i="15"/>
  <c r="D23" i="15" s="1"/>
  <c r="V33" i="15"/>
  <c r="B33" i="15" s="1"/>
  <c r="X35" i="15"/>
  <c r="D35" i="15" s="1"/>
  <c r="V14" i="15"/>
  <c r="B14" i="15" s="1"/>
  <c r="X16" i="15"/>
  <c r="D16" i="15" s="1"/>
  <c r="W21" i="15"/>
  <c r="C21" i="15" s="1"/>
  <c r="V26" i="15"/>
  <c r="B26" i="15" s="1"/>
  <c r="W33" i="15"/>
  <c r="C33" i="15" s="1"/>
  <c r="V38" i="15"/>
  <c r="B38" i="15" s="1"/>
  <c r="W14" i="15"/>
  <c r="C14" i="15" s="1"/>
  <c r="V19" i="15"/>
  <c r="B19" i="15" s="1"/>
  <c r="X21" i="15"/>
  <c r="D21" i="15" s="1"/>
  <c r="X33" i="15"/>
  <c r="D33" i="15" s="1"/>
  <c r="W38" i="15"/>
  <c r="C38" i="15" s="1"/>
  <c r="V12" i="15"/>
  <c r="B12" i="15" s="1"/>
  <c r="X14" i="15"/>
  <c r="D14" i="15" s="1"/>
  <c r="W19" i="15"/>
  <c r="C19" i="15" s="1"/>
  <c r="V24" i="15"/>
  <c r="B24" i="15" s="1"/>
  <c r="X26" i="15"/>
  <c r="D26" i="15" s="1"/>
  <c r="V36" i="15"/>
  <c r="B36" i="15" s="1"/>
  <c r="X38" i="15"/>
  <c r="D38" i="15" s="1"/>
  <c r="W15" i="14"/>
  <c r="C15" i="14" s="1"/>
  <c r="V20" i="14"/>
  <c r="B20" i="14" s="1"/>
  <c r="V13" i="14"/>
  <c r="B13" i="14" s="1"/>
  <c r="X15" i="14"/>
  <c r="D15" i="14" s="1"/>
  <c r="W20" i="14"/>
  <c r="C20" i="14" s="1"/>
  <c r="V25" i="14"/>
  <c r="B25" i="14" s="1"/>
  <c r="V37" i="14"/>
  <c r="B37" i="14" s="1"/>
  <c r="W13" i="14"/>
  <c r="C13" i="14" s="1"/>
  <c r="V18" i="14"/>
  <c r="B18" i="14" s="1"/>
  <c r="X20" i="14"/>
  <c r="D20" i="14" s="1"/>
  <c r="W25" i="14"/>
  <c r="C25" i="14" s="1"/>
  <c r="W37" i="14"/>
  <c r="C37" i="14" s="1"/>
  <c r="X13" i="14"/>
  <c r="D13" i="14" s="1"/>
  <c r="W18" i="14"/>
  <c r="C18" i="14" s="1"/>
  <c r="X25" i="14"/>
  <c r="D25" i="14" s="1"/>
  <c r="V35" i="14"/>
  <c r="B35" i="14" s="1"/>
  <c r="X37" i="14"/>
  <c r="D37" i="14" s="1"/>
  <c r="V16" i="14"/>
  <c r="B16" i="14" s="1"/>
  <c r="X18" i="14"/>
  <c r="D18" i="14" s="1"/>
  <c r="W23" i="14"/>
  <c r="C23" i="14" s="1"/>
  <c r="W35" i="14"/>
  <c r="C35" i="14" s="1"/>
  <c r="W16" i="14"/>
  <c r="C16" i="14" s="1"/>
  <c r="V21" i="14"/>
  <c r="B21" i="14" s="1"/>
  <c r="X23" i="14"/>
  <c r="D23" i="14" s="1"/>
  <c r="V33" i="14"/>
  <c r="B33" i="14" s="1"/>
  <c r="X35" i="14"/>
  <c r="D35" i="14" s="1"/>
  <c r="V14" i="14"/>
  <c r="B14" i="14" s="1"/>
  <c r="X16" i="14"/>
  <c r="D16" i="14" s="1"/>
  <c r="W21" i="14"/>
  <c r="C21" i="14" s="1"/>
  <c r="V26" i="14"/>
  <c r="B26" i="14" s="1"/>
  <c r="W33" i="14"/>
  <c r="C33" i="14" s="1"/>
  <c r="V38" i="14"/>
  <c r="B38" i="14" s="1"/>
  <c r="W14" i="14"/>
  <c r="C14" i="14" s="1"/>
  <c r="V19" i="14"/>
  <c r="B19" i="14" s="1"/>
  <c r="X21" i="14"/>
  <c r="D21" i="14" s="1"/>
  <c r="W26" i="14"/>
  <c r="C26" i="14" s="1"/>
  <c r="X33" i="14"/>
  <c r="D33" i="14" s="1"/>
  <c r="W38" i="14"/>
  <c r="C38" i="14" s="1"/>
  <c r="V12" i="14"/>
  <c r="B12" i="14" s="1"/>
  <c r="X14" i="14"/>
  <c r="D14" i="14" s="1"/>
  <c r="W19" i="14"/>
  <c r="C19" i="14" s="1"/>
  <c r="V24" i="14"/>
  <c r="B24" i="14" s="1"/>
  <c r="X26" i="14"/>
  <c r="D26" i="14" s="1"/>
  <c r="V36" i="14"/>
  <c r="B36" i="14" s="1"/>
  <c r="X38" i="14"/>
  <c r="D38" i="14" s="1"/>
  <c r="V20" i="13"/>
  <c r="B20" i="13" s="1"/>
  <c r="W13" i="13"/>
  <c r="C13" i="13" s="1"/>
  <c r="V18" i="13"/>
  <c r="B18" i="13" s="1"/>
  <c r="X20" i="13"/>
  <c r="D20" i="13" s="1"/>
  <c r="W25" i="13"/>
  <c r="C25" i="13" s="1"/>
  <c r="W37" i="13"/>
  <c r="C37" i="13" s="1"/>
  <c r="X13" i="13"/>
  <c r="D13" i="13" s="1"/>
  <c r="W18" i="13"/>
  <c r="C18" i="13" s="1"/>
  <c r="Y20" i="13"/>
  <c r="E20" i="13" s="1"/>
  <c r="X25" i="13"/>
  <c r="D25" i="13" s="1"/>
  <c r="X37" i="13"/>
  <c r="D37" i="13" s="1"/>
  <c r="V16" i="13"/>
  <c r="B16" i="13" s="1"/>
  <c r="X18" i="13"/>
  <c r="D18" i="13" s="1"/>
  <c r="W23" i="13"/>
  <c r="C23" i="13" s="1"/>
  <c r="W35" i="13"/>
  <c r="C35" i="13" s="1"/>
  <c r="V14" i="13"/>
  <c r="B14" i="13" s="1"/>
  <c r="X16" i="13"/>
  <c r="D16" i="13" s="1"/>
  <c r="W21" i="13"/>
  <c r="C21" i="13" s="1"/>
  <c r="V26" i="13"/>
  <c r="B26" i="13" s="1"/>
  <c r="W33" i="13"/>
  <c r="C33" i="13" s="1"/>
  <c r="V38" i="13"/>
  <c r="B38" i="13" s="1"/>
  <c r="W14" i="13"/>
  <c r="C14" i="13" s="1"/>
  <c r="W26" i="13"/>
  <c r="C26" i="13" s="1"/>
  <c r="W38" i="13"/>
  <c r="C38" i="13" s="1"/>
  <c r="V12" i="13"/>
  <c r="B12" i="13" s="1"/>
  <c r="X14" i="13"/>
  <c r="D14" i="13" s="1"/>
  <c r="W19" i="13"/>
  <c r="C19" i="13" s="1"/>
  <c r="V24" i="13"/>
  <c r="B24" i="13" s="1"/>
  <c r="X26" i="13"/>
  <c r="D26" i="13" s="1"/>
  <c r="V36" i="13"/>
  <c r="B36" i="13" s="1"/>
  <c r="X38" i="13"/>
  <c r="D38" i="13" s="1"/>
  <c r="V20" i="12"/>
  <c r="B20" i="12" s="1"/>
  <c r="V13" i="12"/>
  <c r="B13" i="12" s="1"/>
  <c r="X15" i="12"/>
  <c r="D15" i="12" s="1"/>
  <c r="W20" i="12"/>
  <c r="C20" i="12" s="1"/>
  <c r="V25" i="12"/>
  <c r="B25" i="12" s="1"/>
  <c r="V37" i="12"/>
  <c r="B37" i="12" s="1"/>
  <c r="W13" i="12"/>
  <c r="C13" i="12" s="1"/>
  <c r="V18" i="12"/>
  <c r="B18" i="12" s="1"/>
  <c r="X20" i="12"/>
  <c r="D20" i="12" s="1"/>
  <c r="W25" i="12"/>
  <c r="C25" i="12" s="1"/>
  <c r="W37" i="12"/>
  <c r="C37" i="12" s="1"/>
  <c r="X13" i="12"/>
  <c r="D13" i="12" s="1"/>
  <c r="W18" i="12"/>
  <c r="C18" i="12" s="1"/>
  <c r="V23" i="12"/>
  <c r="B23" i="12" s="1"/>
  <c r="X25" i="12"/>
  <c r="D25" i="12" s="1"/>
  <c r="V35" i="12"/>
  <c r="B35" i="12" s="1"/>
  <c r="X37" i="12"/>
  <c r="D37" i="12" s="1"/>
  <c r="X18" i="12"/>
  <c r="D18" i="12" s="1"/>
  <c r="W23" i="12"/>
  <c r="C23" i="12" s="1"/>
  <c r="W35" i="12"/>
  <c r="C35" i="12" s="1"/>
  <c r="W16" i="12"/>
  <c r="C16" i="12" s="1"/>
  <c r="V21" i="12"/>
  <c r="B21" i="12" s="1"/>
  <c r="X23" i="12"/>
  <c r="D23" i="12" s="1"/>
  <c r="V33" i="12"/>
  <c r="B33" i="12" s="1"/>
  <c r="X35" i="12"/>
  <c r="D35" i="12" s="1"/>
  <c r="V14" i="12"/>
  <c r="B14" i="12" s="1"/>
  <c r="X16" i="12"/>
  <c r="D16" i="12" s="1"/>
  <c r="W21" i="12"/>
  <c r="C21" i="12" s="1"/>
  <c r="V26" i="12"/>
  <c r="B26" i="12" s="1"/>
  <c r="W33" i="12"/>
  <c r="C33" i="12" s="1"/>
  <c r="V38" i="12"/>
  <c r="B38" i="12" s="1"/>
  <c r="W14" i="12"/>
  <c r="C14" i="12" s="1"/>
  <c r="V19" i="12"/>
  <c r="B19" i="12" s="1"/>
  <c r="X21" i="12"/>
  <c r="D21" i="12" s="1"/>
  <c r="X33" i="12"/>
  <c r="D33" i="12" s="1"/>
  <c r="W38" i="12"/>
  <c r="C38" i="12" s="1"/>
  <c r="V12" i="12"/>
  <c r="B12" i="12" s="1"/>
  <c r="X14" i="12"/>
  <c r="D14" i="12" s="1"/>
  <c r="W19" i="12"/>
  <c r="C19" i="12" s="1"/>
  <c r="V24" i="12"/>
  <c r="B24" i="12" s="1"/>
  <c r="X26" i="12"/>
  <c r="D26" i="12" s="1"/>
  <c r="V36" i="12"/>
  <c r="B36" i="12" s="1"/>
  <c r="X38" i="12"/>
  <c r="D38" i="12" s="1"/>
  <c r="V13" i="11"/>
  <c r="B13" i="11" s="1"/>
  <c r="X15" i="11"/>
  <c r="D15" i="11" s="1"/>
  <c r="W20" i="11"/>
  <c r="C20" i="11" s="1"/>
  <c r="V25" i="11"/>
  <c r="B25" i="11" s="1"/>
  <c r="V37" i="11"/>
  <c r="B37" i="11" s="1"/>
  <c r="W13" i="11"/>
  <c r="C13" i="11" s="1"/>
  <c r="V18" i="11"/>
  <c r="B18" i="11" s="1"/>
  <c r="X20" i="11"/>
  <c r="D20" i="11" s="1"/>
  <c r="W25" i="11"/>
  <c r="C25" i="11" s="1"/>
  <c r="W37" i="11"/>
  <c r="C37" i="11" s="1"/>
  <c r="X13" i="11"/>
  <c r="D13" i="11" s="1"/>
  <c r="W18" i="11"/>
  <c r="C18" i="11" s="1"/>
  <c r="Y20" i="11"/>
  <c r="E20" i="11" s="1"/>
  <c r="V23" i="11"/>
  <c r="B23" i="11" s="1"/>
  <c r="X25" i="11"/>
  <c r="D25" i="11" s="1"/>
  <c r="V35" i="11"/>
  <c r="B35" i="11" s="1"/>
  <c r="X37" i="11"/>
  <c r="D37" i="11" s="1"/>
  <c r="V16" i="11"/>
  <c r="B16" i="11" s="1"/>
  <c r="X18" i="11"/>
  <c r="D18" i="11" s="1"/>
  <c r="W23" i="11"/>
  <c r="C23" i="11" s="1"/>
  <c r="W35" i="11"/>
  <c r="C35" i="11" s="1"/>
  <c r="W16" i="11"/>
  <c r="C16" i="11" s="1"/>
  <c r="V21" i="11"/>
  <c r="B21" i="11" s="1"/>
  <c r="X23" i="11"/>
  <c r="D23" i="11" s="1"/>
  <c r="V33" i="11"/>
  <c r="B33" i="11" s="1"/>
  <c r="X35" i="11"/>
  <c r="D35" i="11" s="1"/>
  <c r="V14" i="11"/>
  <c r="B14" i="11" s="1"/>
  <c r="X16" i="11"/>
  <c r="D16" i="11" s="1"/>
  <c r="W21" i="11"/>
  <c r="C21" i="11" s="1"/>
  <c r="W33" i="11"/>
  <c r="C33" i="11" s="1"/>
  <c r="V38" i="11"/>
  <c r="B38" i="11" s="1"/>
  <c r="W14" i="11"/>
  <c r="C14" i="11" s="1"/>
  <c r="V19" i="11"/>
  <c r="B19" i="11" s="1"/>
  <c r="X21" i="11"/>
  <c r="D21" i="11" s="1"/>
  <c r="X33" i="11"/>
  <c r="D33" i="11" s="1"/>
  <c r="W38" i="11"/>
  <c r="C38" i="11" s="1"/>
  <c r="V12" i="11"/>
  <c r="B12" i="11" s="1"/>
  <c r="X14" i="11"/>
  <c r="D14" i="11" s="1"/>
  <c r="W19" i="11"/>
  <c r="C19" i="11" s="1"/>
  <c r="V24" i="11"/>
  <c r="B24" i="11" s="1"/>
  <c r="V36" i="11"/>
  <c r="B36" i="11" s="1"/>
  <c r="X38" i="11"/>
  <c r="D38" i="11" s="1"/>
  <c r="W15" i="10"/>
  <c r="C15" i="10" s="1"/>
  <c r="V20" i="10"/>
  <c r="B20" i="10" s="1"/>
  <c r="W20" i="10"/>
  <c r="C20" i="10" s="1"/>
  <c r="V25" i="10"/>
  <c r="B25" i="10" s="1"/>
  <c r="V37" i="10"/>
  <c r="B37" i="10" s="1"/>
  <c r="Y15" i="10"/>
  <c r="E15" i="10" s="1"/>
  <c r="W37" i="10"/>
  <c r="C37" i="10" s="1"/>
  <c r="W13" i="10"/>
  <c r="C13" i="10" s="1"/>
  <c r="W25" i="10"/>
  <c r="C25" i="10" s="1"/>
  <c r="X13" i="10"/>
  <c r="D13" i="10" s="1"/>
  <c r="W18" i="10"/>
  <c r="C18" i="10" s="1"/>
  <c r="Y20" i="10"/>
  <c r="E20" i="10" s="1"/>
  <c r="V23" i="10"/>
  <c r="B23" i="10" s="1"/>
  <c r="X25" i="10"/>
  <c r="D25" i="10" s="1"/>
  <c r="V35" i="10"/>
  <c r="B35" i="10" s="1"/>
  <c r="X37" i="10"/>
  <c r="D37" i="10" s="1"/>
  <c r="V16" i="10"/>
  <c r="B16" i="10" s="1"/>
  <c r="X18" i="10"/>
  <c r="D18" i="10" s="1"/>
  <c r="W23" i="10"/>
  <c r="C23" i="10" s="1"/>
  <c r="W35" i="10"/>
  <c r="C35" i="10" s="1"/>
  <c r="V15" i="10"/>
  <c r="B15" i="10" s="1"/>
  <c r="V18" i="10"/>
  <c r="B18" i="10" s="1"/>
  <c r="W16" i="10"/>
  <c r="C16" i="10" s="1"/>
  <c r="V21" i="10"/>
  <c r="B21" i="10" s="1"/>
  <c r="X23" i="10"/>
  <c r="D23" i="10" s="1"/>
  <c r="V33" i="10"/>
  <c r="B33" i="10" s="1"/>
  <c r="X35" i="10"/>
  <c r="D35" i="10" s="1"/>
  <c r="V14" i="10"/>
  <c r="B14" i="10" s="1"/>
  <c r="X16" i="10"/>
  <c r="D16" i="10" s="1"/>
  <c r="W21" i="10"/>
  <c r="C21" i="10" s="1"/>
  <c r="V26" i="10"/>
  <c r="B26" i="10" s="1"/>
  <c r="W33" i="10"/>
  <c r="C33" i="10" s="1"/>
  <c r="V38" i="10"/>
  <c r="B38" i="10" s="1"/>
  <c r="W14" i="10"/>
  <c r="C14" i="10" s="1"/>
  <c r="V19" i="10"/>
  <c r="B19" i="10" s="1"/>
  <c r="X21" i="10"/>
  <c r="D21" i="10" s="1"/>
  <c r="W26" i="10"/>
  <c r="C26" i="10" s="1"/>
  <c r="X33" i="10"/>
  <c r="D33" i="10" s="1"/>
  <c r="W38" i="10"/>
  <c r="C38" i="10" s="1"/>
  <c r="V12" i="10"/>
  <c r="B12" i="10" s="1"/>
  <c r="X14" i="10"/>
  <c r="D14" i="10" s="1"/>
  <c r="W19" i="10"/>
  <c r="C19" i="10" s="1"/>
  <c r="V24" i="10"/>
  <c r="B24" i="10" s="1"/>
  <c r="X26" i="10"/>
  <c r="D26" i="10" s="1"/>
  <c r="V36" i="10"/>
  <c r="B36" i="10" s="1"/>
  <c r="X38" i="10"/>
  <c r="D38" i="10" s="1"/>
  <c r="V37" i="9"/>
  <c r="B37" i="9" s="1"/>
  <c r="X20" i="9"/>
  <c r="D20" i="9" s="1"/>
  <c r="X13" i="9"/>
  <c r="D13" i="9" s="1"/>
  <c r="Y20" i="9"/>
  <c r="E20" i="9" s="1"/>
  <c r="V23" i="9"/>
  <c r="B23" i="9" s="1"/>
  <c r="X25" i="9"/>
  <c r="D25" i="9" s="1"/>
  <c r="V35" i="9"/>
  <c r="B35" i="9" s="1"/>
  <c r="X37" i="9"/>
  <c r="D37" i="9" s="1"/>
  <c r="V20" i="9"/>
  <c r="B20" i="9" s="1"/>
  <c r="V18" i="9"/>
  <c r="B18" i="9" s="1"/>
  <c r="W18" i="9"/>
  <c r="C18" i="9" s="1"/>
  <c r="Y13" i="9"/>
  <c r="E13" i="9" s="1"/>
  <c r="V16" i="9"/>
  <c r="B16" i="9" s="1"/>
  <c r="X18" i="9"/>
  <c r="D18" i="9" s="1"/>
  <c r="W23" i="9"/>
  <c r="C23" i="9" s="1"/>
  <c r="Y25" i="9"/>
  <c r="E25" i="9" s="1"/>
  <c r="W35" i="9"/>
  <c r="C35" i="9" s="1"/>
  <c r="Y37" i="9"/>
  <c r="E37" i="9" s="1"/>
  <c r="V13" i="9"/>
  <c r="B13" i="9" s="1"/>
  <c r="W25" i="9"/>
  <c r="C25" i="9" s="1"/>
  <c r="W16" i="9"/>
  <c r="C16" i="9" s="1"/>
  <c r="X23" i="9"/>
  <c r="D23" i="9" s="1"/>
  <c r="X35" i="9"/>
  <c r="D35" i="9" s="1"/>
  <c r="Y15" i="9"/>
  <c r="E15" i="9" s="1"/>
  <c r="V14" i="9"/>
  <c r="B14" i="9" s="1"/>
  <c r="X16" i="9"/>
  <c r="D16" i="9" s="1"/>
  <c r="W21" i="9"/>
  <c r="C21" i="9" s="1"/>
  <c r="W33" i="9"/>
  <c r="C33" i="9" s="1"/>
  <c r="V38" i="9"/>
  <c r="B38" i="9" s="1"/>
  <c r="W14" i="9"/>
  <c r="C14" i="9" s="1"/>
  <c r="V19" i="9"/>
  <c r="B19" i="9" s="1"/>
  <c r="X21" i="9"/>
  <c r="D21" i="9" s="1"/>
  <c r="X33" i="9"/>
  <c r="D33" i="9" s="1"/>
  <c r="W38" i="9"/>
  <c r="C38" i="9" s="1"/>
  <c r="V12" i="9"/>
  <c r="B12" i="9" s="1"/>
  <c r="X14" i="9"/>
  <c r="D14" i="9" s="1"/>
  <c r="W19" i="9"/>
  <c r="C19" i="9" s="1"/>
  <c r="V24" i="9"/>
  <c r="B24" i="9" s="1"/>
  <c r="V36" i="9"/>
  <c r="B36" i="9" s="1"/>
  <c r="X38" i="9"/>
  <c r="D38" i="9" s="1"/>
  <c r="V20" i="8"/>
  <c r="B20" i="8" s="1"/>
  <c r="W15" i="8"/>
  <c r="C15" i="8" s="1"/>
  <c r="W13" i="8"/>
  <c r="C13" i="8" s="1"/>
  <c r="Y15" i="8"/>
  <c r="E15" i="8" s="1"/>
  <c r="V18" i="8"/>
  <c r="B18" i="8" s="1"/>
  <c r="X20" i="8"/>
  <c r="D20" i="8" s="1"/>
  <c r="W25" i="8"/>
  <c r="C25" i="8" s="1"/>
  <c r="W37" i="8"/>
  <c r="C37" i="8" s="1"/>
  <c r="V15" i="8"/>
  <c r="B15" i="8" s="1"/>
  <c r="V25" i="8"/>
  <c r="B25" i="8" s="1"/>
  <c r="X13" i="8"/>
  <c r="D13" i="8" s="1"/>
  <c r="W18" i="8"/>
  <c r="C18" i="8" s="1"/>
  <c r="Y20" i="8"/>
  <c r="E20" i="8" s="1"/>
  <c r="V23" i="8"/>
  <c r="B23" i="8" s="1"/>
  <c r="X25" i="8"/>
  <c r="D25" i="8" s="1"/>
  <c r="V35" i="8"/>
  <c r="B35" i="8" s="1"/>
  <c r="X37" i="8"/>
  <c r="D37" i="8" s="1"/>
  <c r="V37" i="8"/>
  <c r="B37" i="8" s="1"/>
  <c r="X18" i="8"/>
  <c r="D18" i="8" s="1"/>
  <c r="W23" i="8"/>
  <c r="C23" i="8" s="1"/>
  <c r="W35" i="8"/>
  <c r="C35" i="8" s="1"/>
  <c r="W16" i="8"/>
  <c r="C16" i="8" s="1"/>
  <c r="V21" i="8"/>
  <c r="B21" i="8" s="1"/>
  <c r="X23" i="8"/>
  <c r="D23" i="8" s="1"/>
  <c r="V33" i="8"/>
  <c r="B33" i="8" s="1"/>
  <c r="X35" i="8"/>
  <c r="D35" i="8" s="1"/>
  <c r="V14" i="8"/>
  <c r="B14" i="8" s="1"/>
  <c r="X16" i="8"/>
  <c r="D16" i="8" s="1"/>
  <c r="W21" i="8"/>
  <c r="C21" i="8" s="1"/>
  <c r="V26" i="8"/>
  <c r="B26" i="8" s="1"/>
  <c r="W33" i="8"/>
  <c r="C33" i="8" s="1"/>
  <c r="V38" i="8"/>
  <c r="B38" i="8" s="1"/>
  <c r="V13" i="8"/>
  <c r="B13" i="8" s="1"/>
  <c r="W14" i="8"/>
  <c r="C14" i="8" s="1"/>
  <c r="X21" i="8"/>
  <c r="D21" i="8" s="1"/>
  <c r="W26" i="8"/>
  <c r="C26" i="8" s="1"/>
  <c r="X33" i="8"/>
  <c r="D33" i="8" s="1"/>
  <c r="W38" i="8"/>
  <c r="C38" i="8" s="1"/>
  <c r="V12" i="8"/>
  <c r="B12" i="8" s="1"/>
  <c r="X14" i="8"/>
  <c r="D14" i="8" s="1"/>
  <c r="W19" i="8"/>
  <c r="C19" i="8" s="1"/>
  <c r="V24" i="8"/>
  <c r="B24" i="8" s="1"/>
  <c r="X26" i="8"/>
  <c r="D26" i="8" s="1"/>
  <c r="V36" i="8"/>
  <c r="B36" i="8" s="1"/>
  <c r="X38" i="8"/>
  <c r="D38" i="8" s="1"/>
  <c r="V20" i="7"/>
  <c r="B20" i="7" s="1"/>
  <c r="V13" i="7"/>
  <c r="B13" i="7" s="1"/>
  <c r="X15" i="7"/>
  <c r="D15" i="7" s="1"/>
  <c r="W20" i="7"/>
  <c r="C20" i="7" s="1"/>
  <c r="V25" i="7"/>
  <c r="B25" i="7" s="1"/>
  <c r="V37" i="7"/>
  <c r="B37" i="7" s="1"/>
  <c r="W13" i="7"/>
  <c r="C13" i="7" s="1"/>
  <c r="Y15" i="7"/>
  <c r="E15" i="7" s="1"/>
  <c r="V18" i="7"/>
  <c r="B18" i="7" s="1"/>
  <c r="X20" i="7"/>
  <c r="D20" i="7" s="1"/>
  <c r="W25" i="7"/>
  <c r="C25" i="7" s="1"/>
  <c r="W37" i="7"/>
  <c r="C37" i="7" s="1"/>
  <c r="X13" i="7"/>
  <c r="D13" i="7" s="1"/>
  <c r="W18" i="7"/>
  <c r="C18" i="7" s="1"/>
  <c r="V23" i="7"/>
  <c r="B23" i="7" s="1"/>
  <c r="X25" i="7"/>
  <c r="D25" i="7" s="1"/>
  <c r="V35" i="7"/>
  <c r="B35" i="7" s="1"/>
  <c r="X37" i="7"/>
  <c r="D37" i="7" s="1"/>
  <c r="V16" i="7"/>
  <c r="B16" i="7" s="1"/>
  <c r="X18" i="7"/>
  <c r="D18" i="7" s="1"/>
  <c r="W23" i="7"/>
  <c r="C23" i="7" s="1"/>
  <c r="W35" i="7"/>
  <c r="C35" i="7" s="1"/>
  <c r="W16" i="7"/>
  <c r="C16" i="7" s="1"/>
  <c r="X23" i="7"/>
  <c r="D23" i="7" s="1"/>
  <c r="X35" i="7"/>
  <c r="D35" i="7" s="1"/>
  <c r="V14" i="7"/>
  <c r="B14" i="7" s="1"/>
  <c r="X16" i="7"/>
  <c r="D16" i="7" s="1"/>
  <c r="W21" i="7"/>
  <c r="C21" i="7" s="1"/>
  <c r="V26" i="7"/>
  <c r="B26" i="7" s="1"/>
  <c r="W33" i="7"/>
  <c r="C33" i="7" s="1"/>
  <c r="V38" i="7"/>
  <c r="B38" i="7" s="1"/>
  <c r="W14" i="7"/>
  <c r="C14" i="7" s="1"/>
  <c r="V19" i="7"/>
  <c r="B19" i="7" s="1"/>
  <c r="X21" i="7"/>
  <c r="D21" i="7" s="1"/>
  <c r="X33" i="7"/>
  <c r="D33" i="7" s="1"/>
  <c r="W38" i="7"/>
  <c r="C38" i="7" s="1"/>
  <c r="X14" i="7"/>
  <c r="D14" i="7" s="1"/>
  <c r="W19" i="7"/>
  <c r="C19" i="7" s="1"/>
  <c r="V24" i="7"/>
  <c r="B24" i="7" s="1"/>
  <c r="X26" i="7"/>
  <c r="D26" i="7" s="1"/>
  <c r="V36" i="7"/>
  <c r="B36" i="7" s="1"/>
  <c r="X38" i="7"/>
  <c r="D38" i="7" s="1"/>
  <c r="V20" i="6"/>
  <c r="B20" i="6" s="1"/>
  <c r="W20" i="6"/>
  <c r="C20" i="6" s="1"/>
  <c r="V25" i="6"/>
  <c r="B25" i="6" s="1"/>
  <c r="V37" i="6"/>
  <c r="B37" i="6" s="1"/>
  <c r="W15" i="6"/>
  <c r="C15" i="6" s="1"/>
  <c r="V13" i="6"/>
  <c r="B13" i="6" s="1"/>
  <c r="W13" i="6"/>
  <c r="C13" i="6" s="1"/>
  <c r="Y15" i="6"/>
  <c r="E15" i="6" s="1"/>
  <c r="V18" i="6"/>
  <c r="B18" i="6" s="1"/>
  <c r="X20" i="6"/>
  <c r="D20" i="6" s="1"/>
  <c r="W25" i="6"/>
  <c r="C25" i="6" s="1"/>
  <c r="W37" i="6"/>
  <c r="C37" i="6" s="1"/>
  <c r="X13" i="6"/>
  <c r="D13" i="6" s="1"/>
  <c r="W18" i="6"/>
  <c r="C18" i="6" s="1"/>
  <c r="V23" i="6"/>
  <c r="B23" i="6" s="1"/>
  <c r="X25" i="6"/>
  <c r="D25" i="6" s="1"/>
  <c r="V35" i="6"/>
  <c r="B35" i="6" s="1"/>
  <c r="X37" i="6"/>
  <c r="D37" i="6" s="1"/>
  <c r="X18" i="6"/>
  <c r="D18" i="6" s="1"/>
  <c r="W23" i="6"/>
  <c r="C23" i="6" s="1"/>
  <c r="W35" i="6"/>
  <c r="C35" i="6" s="1"/>
  <c r="V21" i="6"/>
  <c r="B21" i="6" s="1"/>
  <c r="X23" i="6"/>
  <c r="D23" i="6" s="1"/>
  <c r="X35" i="6"/>
  <c r="D35" i="6" s="1"/>
  <c r="V14" i="6"/>
  <c r="B14" i="6" s="1"/>
  <c r="X16" i="6"/>
  <c r="D16" i="6" s="1"/>
  <c r="W21" i="6"/>
  <c r="C21" i="6" s="1"/>
  <c r="V26" i="6"/>
  <c r="B26" i="6" s="1"/>
  <c r="W33" i="6"/>
  <c r="C33" i="6" s="1"/>
  <c r="V38" i="6"/>
  <c r="B38" i="6" s="1"/>
  <c r="W14" i="6"/>
  <c r="C14" i="6" s="1"/>
  <c r="V19" i="6"/>
  <c r="B19" i="6" s="1"/>
  <c r="X21" i="6"/>
  <c r="D21" i="6" s="1"/>
  <c r="X33" i="6"/>
  <c r="D33" i="6" s="1"/>
  <c r="W38" i="6"/>
  <c r="C38" i="6" s="1"/>
  <c r="X14" i="6"/>
  <c r="D14" i="6" s="1"/>
  <c r="W19" i="6"/>
  <c r="C19" i="6" s="1"/>
  <c r="X26" i="6"/>
  <c r="D26" i="6" s="1"/>
  <c r="V36" i="6"/>
  <c r="B36" i="6" s="1"/>
  <c r="X38" i="6"/>
  <c r="D38" i="6" s="1"/>
  <c r="W20" i="5"/>
  <c r="C20" i="5" s="1"/>
  <c r="Y15" i="5"/>
  <c r="E15" i="5" s="1"/>
  <c r="W25" i="5"/>
  <c r="C25" i="5" s="1"/>
  <c r="W37" i="5"/>
  <c r="C37" i="5" s="1"/>
  <c r="X13" i="5"/>
  <c r="D13" i="5" s="1"/>
  <c r="W18" i="5"/>
  <c r="C18" i="5" s="1"/>
  <c r="Y20" i="5"/>
  <c r="E20" i="5" s="1"/>
  <c r="V23" i="5"/>
  <c r="B23" i="5" s="1"/>
  <c r="X25" i="5"/>
  <c r="D25" i="5" s="1"/>
  <c r="V35" i="5"/>
  <c r="B35" i="5" s="1"/>
  <c r="X37" i="5"/>
  <c r="D37" i="5" s="1"/>
  <c r="V13" i="5"/>
  <c r="B13" i="5" s="1"/>
  <c r="W15" i="5"/>
  <c r="C15" i="5" s="1"/>
  <c r="V25" i="5"/>
  <c r="B25" i="5" s="1"/>
  <c r="X20" i="5"/>
  <c r="D20" i="5" s="1"/>
  <c r="W23" i="5"/>
  <c r="C23" i="5" s="1"/>
  <c r="W35" i="5"/>
  <c r="C35" i="5" s="1"/>
  <c r="W16" i="5"/>
  <c r="C16" i="5" s="1"/>
  <c r="Y18" i="5"/>
  <c r="E18" i="5" s="1"/>
  <c r="V21" i="5"/>
  <c r="B21" i="5" s="1"/>
  <c r="X23" i="5"/>
  <c r="D23" i="5" s="1"/>
  <c r="V33" i="5"/>
  <c r="B33" i="5" s="1"/>
  <c r="X35" i="5"/>
  <c r="D35" i="5" s="1"/>
  <c r="V15" i="5"/>
  <c r="B15" i="5" s="1"/>
  <c r="W13" i="5"/>
  <c r="C13" i="5" s="1"/>
  <c r="V14" i="5"/>
  <c r="B14" i="5" s="1"/>
  <c r="X16" i="5"/>
  <c r="D16" i="5" s="1"/>
  <c r="W21" i="5"/>
  <c r="C21" i="5" s="1"/>
  <c r="V26" i="5"/>
  <c r="B26" i="5" s="1"/>
  <c r="W33" i="5"/>
  <c r="C33" i="5" s="1"/>
  <c r="V38" i="5"/>
  <c r="B38" i="5" s="1"/>
  <c r="W14" i="5"/>
  <c r="C14" i="5" s="1"/>
  <c r="X21" i="5"/>
  <c r="D21" i="5" s="1"/>
  <c r="W26" i="5"/>
  <c r="C26" i="5" s="1"/>
  <c r="X33" i="5"/>
  <c r="D33" i="5" s="1"/>
  <c r="W38" i="5"/>
  <c r="C38" i="5" s="1"/>
  <c r="V18" i="5"/>
  <c r="B18" i="5" s="1"/>
  <c r="V12" i="5"/>
  <c r="B12" i="5" s="1"/>
  <c r="X14" i="5"/>
  <c r="D14" i="5" s="1"/>
  <c r="W19" i="5"/>
  <c r="C19" i="5" s="1"/>
  <c r="V24" i="5"/>
  <c r="B24" i="5" s="1"/>
  <c r="X26" i="5"/>
  <c r="D26" i="5" s="1"/>
  <c r="V36" i="5"/>
  <c r="B36" i="5" s="1"/>
  <c r="X38" i="5"/>
  <c r="D38" i="5" s="1"/>
  <c r="V13" i="4"/>
  <c r="B13" i="4" s="1"/>
  <c r="V37" i="4"/>
  <c r="B37" i="4" s="1"/>
  <c r="W20" i="4"/>
  <c r="C20" i="4" s="1"/>
  <c r="W13" i="4"/>
  <c r="C13" i="4" s="1"/>
  <c r="Y15" i="4"/>
  <c r="E15" i="4" s="1"/>
  <c r="V18" i="4"/>
  <c r="B18" i="4" s="1"/>
  <c r="X20" i="4"/>
  <c r="D20" i="4" s="1"/>
  <c r="W25" i="4"/>
  <c r="C25" i="4" s="1"/>
  <c r="W37" i="4"/>
  <c r="C37" i="4" s="1"/>
  <c r="X15" i="4"/>
  <c r="D15" i="4" s="1"/>
  <c r="X13" i="4"/>
  <c r="D13" i="4" s="1"/>
  <c r="W18" i="4"/>
  <c r="C18" i="4" s="1"/>
  <c r="V23" i="4"/>
  <c r="B23" i="4" s="1"/>
  <c r="X37" i="4"/>
  <c r="D37" i="4" s="1"/>
  <c r="V20" i="4"/>
  <c r="B20" i="4" s="1"/>
  <c r="V16" i="4"/>
  <c r="B16" i="4" s="1"/>
  <c r="X18" i="4"/>
  <c r="D18" i="4" s="1"/>
  <c r="W23" i="4"/>
  <c r="C23" i="4" s="1"/>
  <c r="Y25" i="4"/>
  <c r="E25" i="4" s="1"/>
  <c r="W35" i="4"/>
  <c r="C35" i="4" s="1"/>
  <c r="X25" i="4"/>
  <c r="D25" i="4" s="1"/>
  <c r="V21" i="4"/>
  <c r="B21" i="4" s="1"/>
  <c r="X23" i="4"/>
  <c r="D23" i="4" s="1"/>
  <c r="V33" i="4"/>
  <c r="B33" i="4" s="1"/>
  <c r="X35" i="4"/>
  <c r="D35" i="4" s="1"/>
  <c r="W16" i="4"/>
  <c r="C16" i="4" s="1"/>
  <c r="V14" i="4"/>
  <c r="B14" i="4" s="1"/>
  <c r="X16" i="4"/>
  <c r="D16" i="4" s="1"/>
  <c r="W21" i="4"/>
  <c r="C21" i="4" s="1"/>
  <c r="W33" i="4"/>
  <c r="C33" i="4" s="1"/>
  <c r="V38" i="4"/>
  <c r="B38" i="4" s="1"/>
  <c r="W14" i="4"/>
  <c r="C14" i="4" s="1"/>
  <c r="V19" i="4"/>
  <c r="B19" i="4" s="1"/>
  <c r="X21" i="4"/>
  <c r="D21" i="4" s="1"/>
  <c r="W26" i="4"/>
  <c r="C26" i="4" s="1"/>
  <c r="X33" i="4"/>
  <c r="D33" i="4" s="1"/>
  <c r="W38" i="4"/>
  <c r="C38" i="4" s="1"/>
  <c r="X14" i="4"/>
  <c r="D14" i="4" s="1"/>
  <c r="W19" i="4"/>
  <c r="C19" i="4" s="1"/>
  <c r="V24" i="4"/>
  <c r="B24" i="4" s="1"/>
  <c r="V36" i="4"/>
  <c r="B36" i="4" s="1"/>
  <c r="X38" i="4"/>
  <c r="D38" i="4" s="1"/>
  <c r="V15" i="3"/>
  <c r="B15" i="3" s="1"/>
  <c r="W15" i="3"/>
  <c r="C15" i="3" s="1"/>
  <c r="X15" i="3"/>
  <c r="D15" i="3" s="1"/>
  <c r="V37" i="3"/>
  <c r="B37" i="3" s="1"/>
  <c r="W13" i="3"/>
  <c r="C13" i="3" s="1"/>
  <c r="V18" i="3"/>
  <c r="B18" i="3" s="1"/>
  <c r="X20" i="3"/>
  <c r="D20" i="3" s="1"/>
  <c r="W25" i="3"/>
  <c r="C25" i="3" s="1"/>
  <c r="W37" i="3"/>
  <c r="C37" i="3" s="1"/>
  <c r="X13" i="3"/>
  <c r="D13" i="3" s="1"/>
  <c r="W18" i="3"/>
  <c r="C18" i="3" s="1"/>
  <c r="Y20" i="3"/>
  <c r="E20" i="3" s="1"/>
  <c r="V23" i="3"/>
  <c r="B23" i="3" s="1"/>
  <c r="X25" i="3"/>
  <c r="D25" i="3" s="1"/>
  <c r="V35" i="3"/>
  <c r="B35" i="3" s="1"/>
  <c r="X37" i="3"/>
  <c r="D37" i="3" s="1"/>
  <c r="X18" i="3"/>
  <c r="D18" i="3" s="1"/>
  <c r="W23" i="3"/>
  <c r="C23" i="3" s="1"/>
  <c r="W35" i="3"/>
  <c r="C35" i="3" s="1"/>
  <c r="V25" i="3"/>
  <c r="B25" i="3" s="1"/>
  <c r="V21" i="3"/>
  <c r="B21" i="3" s="1"/>
  <c r="X23" i="3"/>
  <c r="D23" i="3" s="1"/>
  <c r="V33" i="3"/>
  <c r="B33" i="3" s="1"/>
  <c r="X35" i="3"/>
  <c r="D35" i="3" s="1"/>
  <c r="V13" i="3"/>
  <c r="B13" i="3" s="1"/>
  <c r="W20" i="3"/>
  <c r="C20" i="3" s="1"/>
  <c r="W16" i="3"/>
  <c r="C16" i="3" s="1"/>
  <c r="V14" i="3"/>
  <c r="B14" i="3" s="1"/>
  <c r="X16" i="3"/>
  <c r="D16" i="3" s="1"/>
  <c r="W21" i="3"/>
  <c r="C21" i="3" s="1"/>
  <c r="V26" i="3"/>
  <c r="B26" i="3" s="1"/>
  <c r="W33" i="3"/>
  <c r="C33" i="3" s="1"/>
  <c r="V38" i="3"/>
  <c r="B38" i="3" s="1"/>
  <c r="W14" i="3"/>
  <c r="C14" i="3" s="1"/>
  <c r="Y16" i="3"/>
  <c r="E16" i="3" s="1"/>
  <c r="V19" i="3"/>
  <c r="B19" i="3" s="1"/>
  <c r="X21" i="3"/>
  <c r="D21" i="3" s="1"/>
  <c r="W26" i="3"/>
  <c r="C26" i="3" s="1"/>
  <c r="X33" i="3"/>
  <c r="D33" i="3" s="1"/>
  <c r="W38" i="3"/>
  <c r="C38" i="3" s="1"/>
  <c r="X14" i="3"/>
  <c r="D14" i="3" s="1"/>
  <c r="W19" i="3"/>
  <c r="C19" i="3" s="1"/>
  <c r="X26" i="3"/>
  <c r="D26" i="3" s="1"/>
  <c r="V36" i="3"/>
  <c r="B36" i="3" s="1"/>
  <c r="X38" i="3"/>
  <c r="D38" i="3" s="1"/>
  <c r="S26" i="2"/>
  <c r="S35" i="2"/>
  <c r="S22" i="2"/>
  <c r="S34" i="2"/>
  <c r="S25" i="2"/>
  <c r="S25" i="1"/>
  <c r="S22" i="1"/>
  <c r="Q27" i="1"/>
  <c r="Q35" i="1"/>
  <c r="X35" i="2" l="1"/>
  <c r="D35" i="2" s="1"/>
  <c r="W35" i="2"/>
  <c r="C35" i="2" s="1"/>
  <c r="V35" i="2"/>
  <c r="B35" i="2" s="1"/>
  <c r="Y35" i="2"/>
  <c r="E35" i="2" s="1"/>
  <c r="V34" i="2"/>
  <c r="B34" i="2" s="1"/>
  <c r="Y34" i="2"/>
  <c r="E34" i="2" s="1"/>
  <c r="X34" i="2"/>
  <c r="D34" i="2" s="1"/>
  <c r="W34" i="2"/>
  <c r="C34" i="2" s="1"/>
  <c r="W26" i="15"/>
  <c r="C26" i="15" s="1"/>
  <c r="W26" i="12"/>
  <c r="C26" i="12" s="1"/>
  <c r="W26" i="11"/>
  <c r="C26" i="11" s="1"/>
  <c r="X26" i="11"/>
  <c r="D26" i="11" s="1"/>
  <c r="V26" i="11"/>
  <c r="B26" i="11" s="1"/>
  <c r="Q27" i="9"/>
  <c r="S26" i="9"/>
  <c r="W27" i="8"/>
  <c r="C27" i="8" s="1"/>
  <c r="W26" i="7"/>
  <c r="C26" i="7" s="1"/>
  <c r="W26" i="6"/>
  <c r="C26" i="6" s="1"/>
  <c r="X26" i="4"/>
  <c r="D26" i="4" s="1"/>
  <c r="V26" i="4"/>
  <c r="B26" i="4" s="1"/>
  <c r="S26" i="17"/>
  <c r="Q27" i="17"/>
  <c r="S26" i="16"/>
  <c r="Q27" i="16"/>
  <c r="Q28" i="15"/>
  <c r="S27" i="15"/>
  <c r="Q28" i="14"/>
  <c r="S27" i="14"/>
  <c r="Q29" i="13"/>
  <c r="S28" i="13"/>
  <c r="Y27" i="13"/>
  <c r="E27" i="13" s="1"/>
  <c r="W27" i="13"/>
  <c r="C27" i="13" s="1"/>
  <c r="V27" i="13"/>
  <c r="B27" i="13" s="1"/>
  <c r="X27" i="13"/>
  <c r="D27" i="13" s="1"/>
  <c r="Q28" i="12"/>
  <c r="S27" i="12"/>
  <c r="Q28" i="11"/>
  <c r="S27" i="11"/>
  <c r="Q28" i="10"/>
  <c r="S27" i="10"/>
  <c r="X27" i="8"/>
  <c r="D27" i="8" s="1"/>
  <c r="V27" i="8"/>
  <c r="B27" i="8" s="1"/>
  <c r="Q29" i="8"/>
  <c r="S28" i="8"/>
  <c r="S27" i="7"/>
  <c r="Q28" i="7"/>
  <c r="Q28" i="6"/>
  <c r="S27" i="6"/>
  <c r="Q28" i="5"/>
  <c r="S27" i="5"/>
  <c r="Q28" i="4"/>
  <c r="S27" i="4"/>
  <c r="S27" i="3"/>
  <c r="Q28" i="3"/>
  <c r="X26" i="2"/>
  <c r="D26" i="2" s="1"/>
  <c r="W26" i="2"/>
  <c r="C26" i="2" s="1"/>
  <c r="V26" i="2"/>
  <c r="B26" i="2" s="1"/>
  <c r="Y26" i="2"/>
  <c r="E26" i="2" s="1"/>
  <c r="W25" i="2"/>
  <c r="C25" i="2" s="1"/>
  <c r="Y25" i="2"/>
  <c r="E25" i="2" s="1"/>
  <c r="X25" i="2"/>
  <c r="D25" i="2" s="1"/>
  <c r="V25" i="2"/>
  <c r="B25" i="2" s="1"/>
  <c r="V22" i="9"/>
  <c r="B22" i="9" s="1"/>
  <c r="W22" i="9"/>
  <c r="C22" i="9" s="1"/>
  <c r="X22" i="9"/>
  <c r="D22" i="9" s="1"/>
  <c r="Y22" i="9"/>
  <c r="E22" i="9" s="1"/>
  <c r="Y22" i="2"/>
  <c r="E22" i="2" s="1"/>
  <c r="X22" i="2"/>
  <c r="D22" i="2" s="1"/>
  <c r="W22" i="2"/>
  <c r="C22" i="2" s="1"/>
  <c r="V22" i="2"/>
  <c r="B22" i="2" s="1"/>
  <c r="S36" i="2"/>
  <c r="S27" i="2"/>
  <c r="Q36" i="1"/>
  <c r="S35" i="1"/>
  <c r="Q28" i="1"/>
  <c r="S27" i="1"/>
  <c r="Y36" i="2" l="1"/>
  <c r="E36" i="2" s="1"/>
  <c r="X36" i="2"/>
  <c r="D36" i="2" s="1"/>
  <c r="W36" i="2"/>
  <c r="C36" i="2" s="1"/>
  <c r="V36" i="2"/>
  <c r="B36" i="2" s="1"/>
  <c r="Y26" i="9"/>
  <c r="E26" i="9" s="1"/>
  <c r="V26" i="9"/>
  <c r="B26" i="9" s="1"/>
  <c r="X26" i="9"/>
  <c r="D26" i="9" s="1"/>
  <c r="W26" i="9"/>
  <c r="C26" i="9" s="1"/>
  <c r="S27" i="9"/>
  <c r="Q28" i="9"/>
  <c r="S27" i="17"/>
  <c r="Q28" i="17"/>
  <c r="Y26" i="17"/>
  <c r="E26" i="17" s="1"/>
  <c r="W26" i="17"/>
  <c r="C26" i="17" s="1"/>
  <c r="V26" i="17"/>
  <c r="B26" i="17" s="1"/>
  <c r="X26" i="17"/>
  <c r="D26" i="17" s="1"/>
  <c r="S27" i="16"/>
  <c r="Q28" i="16"/>
  <c r="Y26" i="16"/>
  <c r="E26" i="16" s="1"/>
  <c r="W26" i="16"/>
  <c r="C26" i="16" s="1"/>
  <c r="X26" i="16"/>
  <c r="D26" i="16" s="1"/>
  <c r="V26" i="16"/>
  <c r="B26" i="16" s="1"/>
  <c r="Y27" i="15"/>
  <c r="E27" i="15" s="1"/>
  <c r="W27" i="15"/>
  <c r="C27" i="15" s="1"/>
  <c r="V27" i="15"/>
  <c r="B27" i="15" s="1"/>
  <c r="X27" i="15"/>
  <c r="D27" i="15" s="1"/>
  <c r="S28" i="15"/>
  <c r="Q29" i="15"/>
  <c r="Y27" i="14"/>
  <c r="E27" i="14" s="1"/>
  <c r="V27" i="14"/>
  <c r="B27" i="14" s="1"/>
  <c r="W27" i="14"/>
  <c r="C27" i="14" s="1"/>
  <c r="X27" i="14"/>
  <c r="D27" i="14" s="1"/>
  <c r="Q29" i="14"/>
  <c r="S28" i="14"/>
  <c r="Y28" i="13"/>
  <c r="E28" i="13" s="1"/>
  <c r="W28" i="13"/>
  <c r="C28" i="13" s="1"/>
  <c r="V28" i="13"/>
  <c r="B28" i="13" s="1"/>
  <c r="X28" i="13"/>
  <c r="D28" i="13" s="1"/>
  <c r="Q30" i="13"/>
  <c r="S29" i="13"/>
  <c r="Y27" i="12"/>
  <c r="E27" i="12" s="1"/>
  <c r="W27" i="12"/>
  <c r="C27" i="12" s="1"/>
  <c r="V27" i="12"/>
  <c r="B27" i="12" s="1"/>
  <c r="X27" i="12"/>
  <c r="D27" i="12" s="1"/>
  <c r="Q29" i="12"/>
  <c r="S28" i="12"/>
  <c r="Y27" i="11"/>
  <c r="E27" i="11" s="1"/>
  <c r="W27" i="11"/>
  <c r="C27" i="11" s="1"/>
  <c r="V27" i="11"/>
  <c r="B27" i="11" s="1"/>
  <c r="X27" i="11"/>
  <c r="D27" i="11" s="1"/>
  <c r="Q29" i="11"/>
  <c r="S28" i="11"/>
  <c r="Y27" i="10"/>
  <c r="E27" i="10" s="1"/>
  <c r="X27" i="10"/>
  <c r="D27" i="10" s="1"/>
  <c r="W27" i="10"/>
  <c r="C27" i="10" s="1"/>
  <c r="V27" i="10"/>
  <c r="B27" i="10" s="1"/>
  <c r="Q29" i="10"/>
  <c r="S28" i="10"/>
  <c r="Y28" i="8"/>
  <c r="E28" i="8" s="1"/>
  <c r="V28" i="8"/>
  <c r="B28" i="8" s="1"/>
  <c r="W28" i="8"/>
  <c r="C28" i="8" s="1"/>
  <c r="X28" i="8"/>
  <c r="D28" i="8" s="1"/>
  <c r="Q30" i="8"/>
  <c r="S29" i="8"/>
  <c r="S28" i="7"/>
  <c r="Q29" i="7"/>
  <c r="Y27" i="7"/>
  <c r="E27" i="7" s="1"/>
  <c r="V27" i="7"/>
  <c r="B27" i="7" s="1"/>
  <c r="W27" i="7"/>
  <c r="C27" i="7" s="1"/>
  <c r="X27" i="7"/>
  <c r="D27" i="7" s="1"/>
  <c r="W27" i="6"/>
  <c r="C27" i="6" s="1"/>
  <c r="V27" i="6"/>
  <c r="B27" i="6" s="1"/>
  <c r="Y27" i="6"/>
  <c r="E27" i="6" s="1"/>
  <c r="X27" i="6"/>
  <c r="D27" i="6" s="1"/>
  <c r="S28" i="6"/>
  <c r="Q29" i="6"/>
  <c r="Y27" i="5"/>
  <c r="E27" i="5" s="1"/>
  <c r="V27" i="5"/>
  <c r="B27" i="5" s="1"/>
  <c r="X27" i="5"/>
  <c r="D27" i="5" s="1"/>
  <c r="W27" i="5"/>
  <c r="C27" i="5" s="1"/>
  <c r="Q29" i="5"/>
  <c r="S28" i="5"/>
  <c r="X27" i="4"/>
  <c r="D27" i="4" s="1"/>
  <c r="V27" i="4"/>
  <c r="B27" i="4" s="1"/>
  <c r="Y27" i="4"/>
  <c r="E27" i="4" s="1"/>
  <c r="W27" i="4"/>
  <c r="C27" i="4" s="1"/>
  <c r="Q29" i="4"/>
  <c r="S28" i="4"/>
  <c r="S28" i="3"/>
  <c r="Q29" i="3"/>
  <c r="X27" i="3"/>
  <c r="D27" i="3" s="1"/>
  <c r="Y27" i="3"/>
  <c r="E27" i="3" s="1"/>
  <c r="V27" i="3"/>
  <c r="B27" i="3" s="1"/>
  <c r="W27" i="3"/>
  <c r="C27" i="3" s="1"/>
  <c r="Y27" i="2"/>
  <c r="E27" i="2" s="1"/>
  <c r="X27" i="2"/>
  <c r="D27" i="2" s="1"/>
  <c r="W27" i="2"/>
  <c r="C27" i="2" s="1"/>
  <c r="V27" i="2"/>
  <c r="B27" i="2" s="1"/>
  <c r="S38" i="2"/>
  <c r="S37" i="2"/>
  <c r="S28" i="2"/>
  <c r="Q29" i="1"/>
  <c r="S28" i="1"/>
  <c r="Q37" i="1"/>
  <c r="S36" i="1"/>
  <c r="Y38" i="2" l="1"/>
  <c r="E38" i="2" s="1"/>
  <c r="X38" i="2"/>
  <c r="D38" i="2" s="1"/>
  <c r="W38" i="2"/>
  <c r="C38" i="2" s="1"/>
  <c r="V38" i="2"/>
  <c r="B38" i="2" s="1"/>
  <c r="V37" i="2"/>
  <c r="B37" i="2" s="1"/>
  <c r="X37" i="2"/>
  <c r="D37" i="2" s="1"/>
  <c r="Y37" i="2"/>
  <c r="E37" i="2" s="1"/>
  <c r="W37" i="2"/>
  <c r="C37" i="2" s="1"/>
  <c r="Q29" i="9"/>
  <c r="S28" i="9"/>
  <c r="X27" i="9"/>
  <c r="D27" i="9" s="1"/>
  <c r="W27" i="9"/>
  <c r="C27" i="9" s="1"/>
  <c r="Y27" i="9"/>
  <c r="E27" i="9" s="1"/>
  <c r="V27" i="9"/>
  <c r="B27" i="9" s="1"/>
  <c r="Q29" i="17"/>
  <c r="S28" i="17"/>
  <c r="Y27" i="17"/>
  <c r="E27" i="17" s="1"/>
  <c r="V27" i="17"/>
  <c r="B27" i="17" s="1"/>
  <c r="W27" i="17"/>
  <c r="C27" i="17" s="1"/>
  <c r="X27" i="17"/>
  <c r="D27" i="17" s="1"/>
  <c r="S28" i="16"/>
  <c r="Q29" i="16"/>
  <c r="Y27" i="16"/>
  <c r="E27" i="16" s="1"/>
  <c r="V27" i="16"/>
  <c r="B27" i="16" s="1"/>
  <c r="W27" i="16"/>
  <c r="C27" i="16" s="1"/>
  <c r="X27" i="16"/>
  <c r="D27" i="16" s="1"/>
  <c r="Y28" i="15"/>
  <c r="E28" i="15" s="1"/>
  <c r="V28" i="15"/>
  <c r="B28" i="15" s="1"/>
  <c r="W28" i="15"/>
  <c r="C28" i="15" s="1"/>
  <c r="X28" i="15"/>
  <c r="D28" i="15" s="1"/>
  <c r="S29" i="15"/>
  <c r="Q30" i="15"/>
  <c r="Y28" i="14"/>
  <c r="E28" i="14" s="1"/>
  <c r="V28" i="14"/>
  <c r="B28" i="14" s="1"/>
  <c r="X28" i="14"/>
  <c r="D28" i="14" s="1"/>
  <c r="W28" i="14"/>
  <c r="C28" i="14" s="1"/>
  <c r="Q30" i="14"/>
  <c r="S29" i="14"/>
  <c r="Q31" i="13"/>
  <c r="S30" i="13"/>
  <c r="Y29" i="13"/>
  <c r="E29" i="13" s="1"/>
  <c r="X29" i="13"/>
  <c r="D29" i="13" s="1"/>
  <c r="W29" i="13"/>
  <c r="C29" i="13" s="1"/>
  <c r="V29" i="13"/>
  <c r="B29" i="13" s="1"/>
  <c r="S29" i="12"/>
  <c r="Q30" i="12"/>
  <c r="Y28" i="12"/>
  <c r="E28" i="12" s="1"/>
  <c r="V28" i="12"/>
  <c r="B28" i="12" s="1"/>
  <c r="W28" i="12"/>
  <c r="C28" i="12" s="1"/>
  <c r="X28" i="12"/>
  <c r="D28" i="12" s="1"/>
  <c r="Y28" i="11"/>
  <c r="E28" i="11" s="1"/>
  <c r="V28" i="11"/>
  <c r="B28" i="11" s="1"/>
  <c r="X28" i="11"/>
  <c r="D28" i="11" s="1"/>
  <c r="W28" i="11"/>
  <c r="C28" i="11" s="1"/>
  <c r="Q30" i="11"/>
  <c r="S29" i="11"/>
  <c r="Y28" i="10"/>
  <c r="E28" i="10" s="1"/>
  <c r="W28" i="10"/>
  <c r="C28" i="10" s="1"/>
  <c r="V28" i="10"/>
  <c r="B28" i="10" s="1"/>
  <c r="X28" i="10"/>
  <c r="D28" i="10" s="1"/>
  <c r="Q30" i="10"/>
  <c r="S29" i="10"/>
  <c r="V29" i="8"/>
  <c r="B29" i="8" s="1"/>
  <c r="Y29" i="8"/>
  <c r="E29" i="8" s="1"/>
  <c r="X29" i="8"/>
  <c r="D29" i="8" s="1"/>
  <c r="W29" i="8"/>
  <c r="C29" i="8" s="1"/>
  <c r="S30" i="8"/>
  <c r="Q31" i="8"/>
  <c r="Q30" i="7"/>
  <c r="S29" i="7"/>
  <c r="Y28" i="7"/>
  <c r="E28" i="7" s="1"/>
  <c r="W28" i="7"/>
  <c r="C28" i="7" s="1"/>
  <c r="X28" i="7"/>
  <c r="D28" i="7" s="1"/>
  <c r="V28" i="7"/>
  <c r="B28" i="7" s="1"/>
  <c r="Q30" i="6"/>
  <c r="S29" i="6"/>
  <c r="Y28" i="6"/>
  <c r="E28" i="6" s="1"/>
  <c r="W28" i="6"/>
  <c r="C28" i="6" s="1"/>
  <c r="V28" i="6"/>
  <c r="B28" i="6" s="1"/>
  <c r="X28" i="6"/>
  <c r="D28" i="6" s="1"/>
  <c r="Y28" i="5"/>
  <c r="E28" i="5" s="1"/>
  <c r="V28" i="5"/>
  <c r="B28" i="5" s="1"/>
  <c r="X28" i="5"/>
  <c r="D28" i="5" s="1"/>
  <c r="W28" i="5"/>
  <c r="C28" i="5" s="1"/>
  <c r="Q30" i="5"/>
  <c r="S29" i="5"/>
  <c r="Y28" i="4"/>
  <c r="E28" i="4" s="1"/>
  <c r="X28" i="4"/>
  <c r="D28" i="4" s="1"/>
  <c r="W28" i="4"/>
  <c r="C28" i="4" s="1"/>
  <c r="V28" i="4"/>
  <c r="B28" i="4" s="1"/>
  <c r="Q30" i="4"/>
  <c r="S29" i="4"/>
  <c r="S29" i="3"/>
  <c r="Q30" i="3"/>
  <c r="Y28" i="3"/>
  <c r="E28" i="3" s="1"/>
  <c r="V28" i="3"/>
  <c r="B28" i="3" s="1"/>
  <c r="W28" i="3"/>
  <c r="C28" i="3" s="1"/>
  <c r="X28" i="3"/>
  <c r="D28" i="3" s="1"/>
  <c r="V28" i="2"/>
  <c r="B28" i="2" s="1"/>
  <c r="X28" i="2"/>
  <c r="D28" i="2" s="1"/>
  <c r="W28" i="2"/>
  <c r="C28" i="2" s="1"/>
  <c r="Y28" i="2"/>
  <c r="E28" i="2" s="1"/>
  <c r="S29" i="2"/>
  <c r="Q38" i="1"/>
  <c r="S38" i="1" s="1"/>
  <c r="S37" i="1"/>
  <c r="Q30" i="1"/>
  <c r="S29" i="1"/>
  <c r="Y28" i="9" l="1"/>
  <c r="E28" i="9" s="1"/>
  <c r="V28" i="9"/>
  <c r="B28" i="9" s="1"/>
  <c r="X28" i="9"/>
  <c r="D28" i="9" s="1"/>
  <c r="W28" i="9"/>
  <c r="C28" i="9" s="1"/>
  <c r="S29" i="9"/>
  <c r="Q30" i="9"/>
  <c r="Y28" i="17"/>
  <c r="E28" i="17" s="1"/>
  <c r="X28" i="17"/>
  <c r="D28" i="17" s="1"/>
  <c r="V28" i="17"/>
  <c r="B28" i="17" s="1"/>
  <c r="W28" i="17"/>
  <c r="C28" i="17" s="1"/>
  <c r="S29" i="17"/>
  <c r="Q30" i="17"/>
  <c r="Q30" i="16"/>
  <c r="S29" i="16"/>
  <c r="Y28" i="16"/>
  <c r="E28" i="16" s="1"/>
  <c r="V28" i="16"/>
  <c r="B28" i="16" s="1"/>
  <c r="X28" i="16"/>
  <c r="D28" i="16" s="1"/>
  <c r="W28" i="16"/>
  <c r="C28" i="16" s="1"/>
  <c r="Q31" i="15"/>
  <c r="S30" i="15"/>
  <c r="V29" i="15"/>
  <c r="B29" i="15" s="1"/>
  <c r="Y29" i="15"/>
  <c r="E29" i="15" s="1"/>
  <c r="X29" i="15"/>
  <c r="D29" i="15" s="1"/>
  <c r="W29" i="15"/>
  <c r="C29" i="15" s="1"/>
  <c r="Q31" i="14"/>
  <c r="S30" i="14"/>
  <c r="V29" i="14"/>
  <c r="B29" i="14" s="1"/>
  <c r="Y29" i="14"/>
  <c r="E29" i="14" s="1"/>
  <c r="X29" i="14"/>
  <c r="D29" i="14" s="1"/>
  <c r="W29" i="14"/>
  <c r="C29" i="14" s="1"/>
  <c r="Y30" i="13"/>
  <c r="E30" i="13" s="1"/>
  <c r="V30" i="13"/>
  <c r="B30" i="13" s="1"/>
  <c r="W30" i="13"/>
  <c r="C30" i="13" s="1"/>
  <c r="X30" i="13"/>
  <c r="D30" i="13" s="1"/>
  <c r="Q32" i="13"/>
  <c r="S32" i="13" s="1"/>
  <c r="S31" i="13"/>
  <c r="Q31" i="12"/>
  <c r="S30" i="12"/>
  <c r="V29" i="12"/>
  <c r="B29" i="12" s="1"/>
  <c r="W29" i="12"/>
  <c r="C29" i="12" s="1"/>
  <c r="Y29" i="12"/>
  <c r="E29" i="12" s="1"/>
  <c r="X29" i="12"/>
  <c r="D29" i="12" s="1"/>
  <c r="Q31" i="11"/>
  <c r="S30" i="11"/>
  <c r="X29" i="11"/>
  <c r="D29" i="11" s="1"/>
  <c r="W29" i="11"/>
  <c r="C29" i="11" s="1"/>
  <c r="V29" i="11"/>
  <c r="B29" i="11" s="1"/>
  <c r="Y29" i="11"/>
  <c r="E29" i="11" s="1"/>
  <c r="Y29" i="10"/>
  <c r="E29" i="10" s="1"/>
  <c r="X29" i="10"/>
  <c r="D29" i="10" s="1"/>
  <c r="W29" i="10"/>
  <c r="C29" i="10" s="1"/>
  <c r="V29" i="10"/>
  <c r="B29" i="10" s="1"/>
  <c r="S30" i="10"/>
  <c r="Q31" i="10"/>
  <c r="Y30" i="8"/>
  <c r="E30" i="8" s="1"/>
  <c r="W30" i="8"/>
  <c r="C30" i="8" s="1"/>
  <c r="V30" i="8"/>
  <c r="B30" i="8" s="1"/>
  <c r="X30" i="8"/>
  <c r="D30" i="8" s="1"/>
  <c r="Q32" i="8"/>
  <c r="S32" i="8" s="1"/>
  <c r="S31" i="8"/>
  <c r="V29" i="7"/>
  <c r="B29" i="7" s="1"/>
  <c r="Y29" i="7"/>
  <c r="E29" i="7" s="1"/>
  <c r="X29" i="7"/>
  <c r="D29" i="7" s="1"/>
  <c r="W29" i="7"/>
  <c r="C29" i="7" s="1"/>
  <c r="Q31" i="7"/>
  <c r="S30" i="7"/>
  <c r="Y29" i="6"/>
  <c r="E29" i="6" s="1"/>
  <c r="X29" i="6"/>
  <c r="D29" i="6" s="1"/>
  <c r="W29" i="6"/>
  <c r="C29" i="6" s="1"/>
  <c r="V29" i="6"/>
  <c r="B29" i="6" s="1"/>
  <c r="Q31" i="6"/>
  <c r="S30" i="6"/>
  <c r="V29" i="5"/>
  <c r="B29" i="5" s="1"/>
  <c r="Y29" i="5"/>
  <c r="E29" i="5" s="1"/>
  <c r="X29" i="5"/>
  <c r="D29" i="5" s="1"/>
  <c r="W29" i="5"/>
  <c r="C29" i="5" s="1"/>
  <c r="Q31" i="5"/>
  <c r="S30" i="5"/>
  <c r="V29" i="4"/>
  <c r="B29" i="4" s="1"/>
  <c r="Y29" i="4"/>
  <c r="E29" i="4" s="1"/>
  <c r="X29" i="4"/>
  <c r="D29" i="4" s="1"/>
  <c r="W29" i="4"/>
  <c r="C29" i="4" s="1"/>
  <c r="Q31" i="4"/>
  <c r="S30" i="4"/>
  <c r="Q31" i="3"/>
  <c r="S30" i="3"/>
  <c r="Y29" i="3"/>
  <c r="E29" i="3" s="1"/>
  <c r="W29" i="3"/>
  <c r="C29" i="3" s="1"/>
  <c r="X29" i="3"/>
  <c r="D29" i="3" s="1"/>
  <c r="V29" i="3"/>
  <c r="B29" i="3" s="1"/>
  <c r="Y29" i="2"/>
  <c r="E29" i="2" s="1"/>
  <c r="X29" i="2"/>
  <c r="D29" i="2" s="1"/>
  <c r="W29" i="2"/>
  <c r="C29" i="2" s="1"/>
  <c r="V29" i="2"/>
  <c r="B29" i="2" s="1"/>
  <c r="S30" i="2"/>
  <c r="Q31" i="1"/>
  <c r="S30" i="1"/>
  <c r="S30" i="9" l="1"/>
  <c r="Q31" i="9"/>
  <c r="V29" i="9"/>
  <c r="B29" i="9" s="1"/>
  <c r="Y29" i="9"/>
  <c r="E29" i="9" s="1"/>
  <c r="W29" i="9"/>
  <c r="C29" i="9" s="1"/>
  <c r="X29" i="9"/>
  <c r="D29" i="9" s="1"/>
  <c r="Q31" i="17"/>
  <c r="S30" i="17"/>
  <c r="V29" i="17"/>
  <c r="B29" i="17" s="1"/>
  <c r="W29" i="17"/>
  <c r="C29" i="17" s="1"/>
  <c r="X29" i="17"/>
  <c r="D29" i="17" s="1"/>
  <c r="Y29" i="17"/>
  <c r="E29" i="17" s="1"/>
  <c r="Y29" i="16"/>
  <c r="E29" i="16" s="1"/>
  <c r="X29" i="16"/>
  <c r="D29" i="16" s="1"/>
  <c r="W29" i="16"/>
  <c r="C29" i="16" s="1"/>
  <c r="V29" i="16"/>
  <c r="B29" i="16" s="1"/>
  <c r="Q31" i="16"/>
  <c r="S30" i="16"/>
  <c r="Y30" i="15"/>
  <c r="E30" i="15" s="1"/>
  <c r="V30" i="15"/>
  <c r="B30" i="15" s="1"/>
  <c r="W30" i="15"/>
  <c r="C30" i="15" s="1"/>
  <c r="X30" i="15"/>
  <c r="D30" i="15" s="1"/>
  <c r="Q32" i="15"/>
  <c r="S32" i="15" s="1"/>
  <c r="S31" i="15"/>
  <c r="Y30" i="14"/>
  <c r="E30" i="14" s="1"/>
  <c r="W30" i="14"/>
  <c r="C30" i="14" s="1"/>
  <c r="V30" i="14"/>
  <c r="B30" i="14" s="1"/>
  <c r="X30" i="14"/>
  <c r="D30" i="14" s="1"/>
  <c r="Q32" i="14"/>
  <c r="S32" i="14" s="1"/>
  <c r="S31" i="14"/>
  <c r="W32" i="13"/>
  <c r="C32" i="13" s="1"/>
  <c r="V32" i="13"/>
  <c r="B32" i="13" s="1"/>
  <c r="X32" i="13"/>
  <c r="D32" i="13" s="1"/>
  <c r="Y32" i="13"/>
  <c r="E32" i="13" s="1"/>
  <c r="X31" i="13"/>
  <c r="D31" i="13" s="1"/>
  <c r="Y31" i="13"/>
  <c r="E31" i="13" s="1"/>
  <c r="V31" i="13"/>
  <c r="B31" i="13" s="1"/>
  <c r="W31" i="13"/>
  <c r="C31" i="13" s="1"/>
  <c r="Y30" i="12"/>
  <c r="E30" i="12" s="1"/>
  <c r="W30" i="12"/>
  <c r="C30" i="12" s="1"/>
  <c r="V30" i="12"/>
  <c r="B30" i="12" s="1"/>
  <c r="X30" i="12"/>
  <c r="D30" i="12" s="1"/>
  <c r="Q32" i="12"/>
  <c r="S32" i="12" s="1"/>
  <c r="S31" i="12"/>
  <c r="Y30" i="11"/>
  <c r="E30" i="11" s="1"/>
  <c r="X30" i="11"/>
  <c r="D30" i="11" s="1"/>
  <c r="V30" i="11"/>
  <c r="B30" i="11" s="1"/>
  <c r="W30" i="11"/>
  <c r="C30" i="11" s="1"/>
  <c r="Q32" i="11"/>
  <c r="S32" i="11" s="1"/>
  <c r="S31" i="11"/>
  <c r="Q32" i="10"/>
  <c r="S32" i="10" s="1"/>
  <c r="S31" i="10"/>
  <c r="V30" i="10"/>
  <c r="B30" i="10" s="1"/>
  <c r="W30" i="10"/>
  <c r="C30" i="10" s="1"/>
  <c r="Y30" i="10"/>
  <c r="E30" i="10" s="1"/>
  <c r="X30" i="10"/>
  <c r="D30" i="10" s="1"/>
  <c r="X31" i="8"/>
  <c r="D31" i="8" s="1"/>
  <c r="Y31" i="8"/>
  <c r="E31" i="8" s="1"/>
  <c r="V31" i="8"/>
  <c r="B31" i="8" s="1"/>
  <c r="W31" i="8"/>
  <c r="C31" i="8" s="1"/>
  <c r="W32" i="8"/>
  <c r="C32" i="8" s="1"/>
  <c r="Y32" i="8"/>
  <c r="E32" i="8" s="1"/>
  <c r="X32" i="8"/>
  <c r="D32" i="8" s="1"/>
  <c r="V32" i="8"/>
  <c r="B32" i="8" s="1"/>
  <c r="Q32" i="7"/>
  <c r="S32" i="7" s="1"/>
  <c r="S31" i="7"/>
  <c r="Y30" i="7"/>
  <c r="E30" i="7" s="1"/>
  <c r="V30" i="7"/>
  <c r="B30" i="7" s="1"/>
  <c r="X30" i="7"/>
  <c r="D30" i="7" s="1"/>
  <c r="W30" i="7"/>
  <c r="C30" i="7" s="1"/>
  <c r="Y30" i="6"/>
  <c r="E30" i="6" s="1"/>
  <c r="W30" i="6"/>
  <c r="C30" i="6" s="1"/>
  <c r="V30" i="6"/>
  <c r="B30" i="6" s="1"/>
  <c r="X30" i="6"/>
  <c r="D30" i="6" s="1"/>
  <c r="Q32" i="6"/>
  <c r="S32" i="6" s="1"/>
  <c r="S31" i="6"/>
  <c r="Y30" i="5"/>
  <c r="E30" i="5" s="1"/>
  <c r="V30" i="5"/>
  <c r="B30" i="5" s="1"/>
  <c r="W30" i="5"/>
  <c r="C30" i="5" s="1"/>
  <c r="X30" i="5"/>
  <c r="D30" i="5" s="1"/>
  <c r="Q32" i="5"/>
  <c r="S32" i="5" s="1"/>
  <c r="S31" i="5"/>
  <c r="Y30" i="4"/>
  <c r="E30" i="4" s="1"/>
  <c r="W30" i="4"/>
  <c r="C30" i="4" s="1"/>
  <c r="V30" i="4"/>
  <c r="B30" i="4" s="1"/>
  <c r="X30" i="4"/>
  <c r="D30" i="4" s="1"/>
  <c r="Q32" i="4"/>
  <c r="S32" i="4" s="1"/>
  <c r="S31" i="4"/>
  <c r="X30" i="3"/>
  <c r="D30" i="3" s="1"/>
  <c r="Y30" i="3"/>
  <c r="E30" i="3" s="1"/>
  <c r="W30" i="3"/>
  <c r="C30" i="3" s="1"/>
  <c r="V30" i="3"/>
  <c r="B30" i="3" s="1"/>
  <c r="Q32" i="3"/>
  <c r="S32" i="3" s="1"/>
  <c r="S31" i="3"/>
  <c r="V30" i="2"/>
  <c r="B30" i="2" s="1"/>
  <c r="Y30" i="2"/>
  <c r="E30" i="2" s="1"/>
  <c r="X30" i="2"/>
  <c r="D30" i="2" s="1"/>
  <c r="W30" i="2"/>
  <c r="C30" i="2" s="1"/>
  <c r="S32" i="2"/>
  <c r="S31" i="2"/>
  <c r="Q32" i="1"/>
  <c r="S32" i="1" s="1"/>
  <c r="S31" i="1"/>
  <c r="S15" i="2"/>
  <c r="S14" i="2"/>
  <c r="X14" i="2" s="1"/>
  <c r="D14" i="2" s="1"/>
  <c r="S31" i="9" l="1"/>
  <c r="Q32" i="9"/>
  <c r="S32" i="9" s="1"/>
  <c r="Y30" i="9"/>
  <c r="E30" i="9" s="1"/>
  <c r="X30" i="9"/>
  <c r="D30" i="9" s="1"/>
  <c r="V30" i="9"/>
  <c r="B30" i="9" s="1"/>
  <c r="W30" i="9"/>
  <c r="C30" i="9" s="1"/>
  <c r="Y30" i="17"/>
  <c r="E30" i="17" s="1"/>
  <c r="W30" i="17"/>
  <c r="C30" i="17" s="1"/>
  <c r="V30" i="17"/>
  <c r="B30" i="17" s="1"/>
  <c r="X30" i="17"/>
  <c r="D30" i="17" s="1"/>
  <c r="Q32" i="17"/>
  <c r="S32" i="17" s="1"/>
  <c r="S31" i="17"/>
  <c r="Y30" i="16"/>
  <c r="E30" i="16" s="1"/>
  <c r="V30" i="16"/>
  <c r="B30" i="16" s="1"/>
  <c r="W30" i="16"/>
  <c r="C30" i="16" s="1"/>
  <c r="X30" i="16"/>
  <c r="D30" i="16" s="1"/>
  <c r="Q32" i="16"/>
  <c r="S32" i="16" s="1"/>
  <c r="S31" i="16"/>
  <c r="X31" i="15"/>
  <c r="D31" i="15" s="1"/>
  <c r="Y31" i="15"/>
  <c r="E31" i="15" s="1"/>
  <c r="W31" i="15"/>
  <c r="C31" i="15" s="1"/>
  <c r="V31" i="15"/>
  <c r="B31" i="15" s="1"/>
  <c r="Y32" i="15"/>
  <c r="E32" i="15" s="1"/>
  <c r="V32" i="15"/>
  <c r="B32" i="15" s="1"/>
  <c r="X32" i="15"/>
  <c r="D32" i="15" s="1"/>
  <c r="W32" i="15"/>
  <c r="C32" i="15" s="1"/>
  <c r="X31" i="14"/>
  <c r="D31" i="14" s="1"/>
  <c r="Y31" i="14"/>
  <c r="E31" i="14" s="1"/>
  <c r="V31" i="14"/>
  <c r="B31" i="14" s="1"/>
  <c r="W31" i="14"/>
  <c r="C31" i="14" s="1"/>
  <c r="Y32" i="14"/>
  <c r="E32" i="14" s="1"/>
  <c r="V32" i="14"/>
  <c r="B32" i="14" s="1"/>
  <c r="X32" i="14"/>
  <c r="D32" i="14" s="1"/>
  <c r="W32" i="14"/>
  <c r="C32" i="14" s="1"/>
  <c r="X31" i="12"/>
  <c r="D31" i="12" s="1"/>
  <c r="Y31" i="12"/>
  <c r="E31" i="12" s="1"/>
  <c r="W31" i="12"/>
  <c r="C31" i="12" s="1"/>
  <c r="V31" i="12"/>
  <c r="B31" i="12" s="1"/>
  <c r="V32" i="12"/>
  <c r="B32" i="12" s="1"/>
  <c r="W32" i="12"/>
  <c r="C32" i="12" s="1"/>
  <c r="Y32" i="12"/>
  <c r="E32" i="12" s="1"/>
  <c r="X32" i="12"/>
  <c r="D32" i="12" s="1"/>
  <c r="Y32" i="11"/>
  <c r="E32" i="11" s="1"/>
  <c r="X32" i="11"/>
  <c r="D32" i="11" s="1"/>
  <c r="W32" i="11"/>
  <c r="C32" i="11" s="1"/>
  <c r="V32" i="11"/>
  <c r="B32" i="11" s="1"/>
  <c r="X31" i="11"/>
  <c r="D31" i="11" s="1"/>
  <c r="Y31" i="11"/>
  <c r="E31" i="11" s="1"/>
  <c r="W31" i="11"/>
  <c r="C31" i="11" s="1"/>
  <c r="V31" i="11"/>
  <c r="B31" i="11" s="1"/>
  <c r="X31" i="10"/>
  <c r="D31" i="10" s="1"/>
  <c r="Y31" i="10"/>
  <c r="E31" i="10" s="1"/>
  <c r="W31" i="10"/>
  <c r="C31" i="10" s="1"/>
  <c r="V31" i="10"/>
  <c r="B31" i="10" s="1"/>
  <c r="X32" i="10"/>
  <c r="D32" i="10" s="1"/>
  <c r="W32" i="10"/>
  <c r="C32" i="10" s="1"/>
  <c r="Y32" i="10"/>
  <c r="E32" i="10" s="1"/>
  <c r="V32" i="10"/>
  <c r="B32" i="10" s="1"/>
  <c r="X31" i="7"/>
  <c r="D31" i="7" s="1"/>
  <c r="Y31" i="7"/>
  <c r="E31" i="7" s="1"/>
  <c r="V31" i="7"/>
  <c r="B31" i="7" s="1"/>
  <c r="W31" i="7"/>
  <c r="C31" i="7" s="1"/>
  <c r="Y32" i="7"/>
  <c r="E32" i="7" s="1"/>
  <c r="W32" i="7"/>
  <c r="C32" i="7" s="1"/>
  <c r="V32" i="7"/>
  <c r="B32" i="7" s="1"/>
  <c r="X32" i="7"/>
  <c r="D32" i="7" s="1"/>
  <c r="X31" i="6"/>
  <c r="D31" i="6" s="1"/>
  <c r="Y31" i="6"/>
  <c r="E31" i="6" s="1"/>
  <c r="V31" i="6"/>
  <c r="B31" i="6" s="1"/>
  <c r="W31" i="6"/>
  <c r="C31" i="6" s="1"/>
  <c r="V32" i="6"/>
  <c r="B32" i="6" s="1"/>
  <c r="Y32" i="6"/>
  <c r="E32" i="6" s="1"/>
  <c r="X32" i="6"/>
  <c r="D32" i="6" s="1"/>
  <c r="W32" i="6"/>
  <c r="C32" i="6" s="1"/>
  <c r="X31" i="5"/>
  <c r="D31" i="5" s="1"/>
  <c r="Y31" i="5"/>
  <c r="E31" i="5" s="1"/>
  <c r="V31" i="5"/>
  <c r="B31" i="5" s="1"/>
  <c r="W31" i="5"/>
  <c r="C31" i="5" s="1"/>
  <c r="W32" i="5"/>
  <c r="C32" i="5" s="1"/>
  <c r="V32" i="5"/>
  <c r="B32" i="5" s="1"/>
  <c r="Y32" i="5"/>
  <c r="E32" i="5" s="1"/>
  <c r="X32" i="5"/>
  <c r="D32" i="5" s="1"/>
  <c r="X31" i="4"/>
  <c r="D31" i="4" s="1"/>
  <c r="Y31" i="4"/>
  <c r="E31" i="4" s="1"/>
  <c r="V31" i="4"/>
  <c r="B31" i="4" s="1"/>
  <c r="W31" i="4"/>
  <c r="C31" i="4" s="1"/>
  <c r="Y32" i="4"/>
  <c r="E32" i="4" s="1"/>
  <c r="W32" i="4"/>
  <c r="C32" i="4" s="1"/>
  <c r="V32" i="4"/>
  <c r="B32" i="4" s="1"/>
  <c r="X32" i="4"/>
  <c r="D32" i="4" s="1"/>
  <c r="X31" i="3"/>
  <c r="D31" i="3" s="1"/>
  <c r="Y31" i="3"/>
  <c r="E31" i="3" s="1"/>
  <c r="W31" i="3"/>
  <c r="C31" i="3" s="1"/>
  <c r="V31" i="3"/>
  <c r="B31" i="3" s="1"/>
  <c r="W32" i="3"/>
  <c r="C32" i="3" s="1"/>
  <c r="Y32" i="3"/>
  <c r="E32" i="3" s="1"/>
  <c r="V32" i="3"/>
  <c r="B32" i="3" s="1"/>
  <c r="X32" i="3"/>
  <c r="D32" i="3" s="1"/>
  <c r="Y32" i="2"/>
  <c r="E32" i="2" s="1"/>
  <c r="X32" i="2"/>
  <c r="D32" i="2" s="1"/>
  <c r="W32" i="2"/>
  <c r="C32" i="2" s="1"/>
  <c r="V32" i="2"/>
  <c r="B32" i="2" s="1"/>
  <c r="Y31" i="2"/>
  <c r="E31" i="2" s="1"/>
  <c r="X31" i="2"/>
  <c r="D31" i="2" s="1"/>
  <c r="W31" i="2"/>
  <c r="C31" i="2" s="1"/>
  <c r="V31" i="2"/>
  <c r="B31" i="2" s="1"/>
  <c r="V15" i="2"/>
  <c r="B15" i="2" s="1"/>
  <c r="W15" i="2"/>
  <c r="C15" i="2" s="1"/>
  <c r="Y15" i="2"/>
  <c r="E15" i="2" s="1"/>
  <c r="X15" i="2"/>
  <c r="D15" i="2" s="1"/>
  <c r="W14" i="2"/>
  <c r="C14" i="2" s="1"/>
  <c r="Y14" i="2"/>
  <c r="E14" i="2" s="1"/>
  <c r="V14" i="2"/>
  <c r="B14" i="2" s="1"/>
  <c r="V32" i="9" l="1"/>
  <c r="B32" i="9" s="1"/>
  <c r="Y32" i="9"/>
  <c r="E32" i="9" s="1"/>
  <c r="W32" i="9"/>
  <c r="C32" i="9" s="1"/>
  <c r="X32" i="9"/>
  <c r="D32" i="9" s="1"/>
  <c r="Y31" i="9"/>
  <c r="E31" i="9" s="1"/>
  <c r="V31" i="9"/>
  <c r="B31" i="9" s="1"/>
  <c r="X31" i="9"/>
  <c r="D31" i="9" s="1"/>
  <c r="W31" i="9"/>
  <c r="C31" i="9" s="1"/>
  <c r="X31" i="17"/>
  <c r="D31" i="17" s="1"/>
  <c r="Y31" i="17"/>
  <c r="E31" i="17" s="1"/>
  <c r="W31" i="17"/>
  <c r="C31" i="17" s="1"/>
  <c r="V31" i="17"/>
  <c r="B31" i="17" s="1"/>
  <c r="Y32" i="17"/>
  <c r="E32" i="17" s="1"/>
  <c r="W32" i="17"/>
  <c r="C32" i="17" s="1"/>
  <c r="V32" i="17"/>
  <c r="B32" i="17" s="1"/>
  <c r="X32" i="17"/>
  <c r="D32" i="17" s="1"/>
  <c r="X31" i="16"/>
  <c r="D31" i="16" s="1"/>
  <c r="Y31" i="16"/>
  <c r="E31" i="16" s="1"/>
  <c r="V31" i="16"/>
  <c r="B31" i="16" s="1"/>
  <c r="W31" i="16"/>
  <c r="C31" i="16" s="1"/>
  <c r="Y32" i="16"/>
  <c r="E32" i="16" s="1"/>
  <c r="W32" i="16"/>
  <c r="C32" i="16" s="1"/>
  <c r="V32" i="16"/>
  <c r="B32" i="16" s="1"/>
  <c r="X32" i="16"/>
  <c r="D32" i="16" s="1"/>
</calcChain>
</file>

<file path=xl/sharedStrings.xml><?xml version="1.0" encoding="utf-8"?>
<sst xmlns="http://schemas.openxmlformats.org/spreadsheetml/2006/main" count="3944" uniqueCount="103">
  <si>
    <t>1.A.1.a</t>
  </si>
  <si>
    <t>1.A.1.bc</t>
  </si>
  <si>
    <t>1.A.2</t>
  </si>
  <si>
    <t>1.A.3.a</t>
  </si>
  <si>
    <t>1.A.3.b_noRES</t>
  </si>
  <si>
    <t>1.A.3.c</t>
  </si>
  <si>
    <t>1.A.3.d</t>
  </si>
  <si>
    <t>1.A.3.e</t>
  </si>
  <si>
    <t>1.A.4</t>
  </si>
  <si>
    <t>1.A.5</t>
  </si>
  <si>
    <t>1.B.1</t>
  </si>
  <si>
    <t>1.B.2</t>
  </si>
  <si>
    <t>2.A.1</t>
  </si>
  <si>
    <t>2.A.2</t>
  </si>
  <si>
    <t>2.A.3</t>
  </si>
  <si>
    <t>2.A.4</t>
  </si>
  <si>
    <t>2.B</t>
  </si>
  <si>
    <t>2.C</t>
  </si>
  <si>
    <t>2.D</t>
  </si>
  <si>
    <t>2.E</t>
  </si>
  <si>
    <t>2.F</t>
  </si>
  <si>
    <t>2.G</t>
  </si>
  <si>
    <t>3.A.1</t>
  </si>
  <si>
    <t>3.A.2</t>
  </si>
  <si>
    <t>3.C.1</t>
  </si>
  <si>
    <t>3.C.2</t>
  </si>
  <si>
    <t>3.C.3</t>
  </si>
  <si>
    <t>3.C.4</t>
  </si>
  <si>
    <t>3.C.5</t>
  </si>
  <si>
    <t>3.C.6</t>
  </si>
  <si>
    <t>3.C.7</t>
  </si>
  <si>
    <t>4.A</t>
  </si>
  <si>
    <t>4.B</t>
  </si>
  <si>
    <t>4.C</t>
  </si>
  <si>
    <t>4.D</t>
  </si>
  <si>
    <t>5.A</t>
  </si>
  <si>
    <t>5.B</t>
  </si>
  <si>
    <t>CO2</t>
  </si>
  <si>
    <t>CH4</t>
  </si>
  <si>
    <t>N2O</t>
  </si>
  <si>
    <t>F-gas</t>
  </si>
  <si>
    <t>Power</t>
  </si>
  <si>
    <t>Electricity_heat_production</t>
  </si>
  <si>
    <t>Petroleum_refining_other_energy</t>
  </si>
  <si>
    <t>Industry</t>
  </si>
  <si>
    <t>Manufacturing_construction_industry</t>
  </si>
  <si>
    <t>Transportation</t>
  </si>
  <si>
    <t>Aviation</t>
  </si>
  <si>
    <t>Road_transportation</t>
  </si>
  <si>
    <t>Railroad</t>
  </si>
  <si>
    <t>Marine_transportation</t>
  </si>
  <si>
    <t>Other_transportation</t>
  </si>
  <si>
    <t>Building</t>
  </si>
  <si>
    <t>Residence_others</t>
  </si>
  <si>
    <t>Not_categorized</t>
  </si>
  <si>
    <t>Unidentified</t>
  </si>
  <si>
    <t>Fuel</t>
  </si>
  <si>
    <t>(blank)</t>
  </si>
  <si>
    <t>Oil_Natural_Gas</t>
  </si>
  <si>
    <t>Mining</t>
  </si>
  <si>
    <t>Other_industrial_activities</t>
  </si>
  <si>
    <t>Chemicals</t>
  </si>
  <si>
    <t>Metal_production</t>
  </si>
  <si>
    <t>Non_energy_products</t>
  </si>
  <si>
    <t>Electronics</t>
  </si>
  <si>
    <t>Ozone_alternatives</t>
  </si>
  <si>
    <t>Agriculture</t>
  </si>
  <si>
    <t>Fermentation</t>
  </si>
  <si>
    <t>Livestock_waste</t>
  </si>
  <si>
    <t>Biomass</t>
  </si>
  <si>
    <t>Liming</t>
  </si>
  <si>
    <t>Urea_application</t>
  </si>
  <si>
    <t>Direct_N2O</t>
  </si>
  <si>
    <t>Indirect_N2O_soil</t>
  </si>
  <si>
    <t>Indirect_N2O_manure</t>
  </si>
  <si>
    <t>Rice_cultivation</t>
  </si>
  <si>
    <t>Waste</t>
  </si>
  <si>
    <t>Solid_waste</t>
  </si>
  <si>
    <t>Biological_treatment_of_solid_waste</t>
  </si>
  <si>
    <t>Water_treatment</t>
  </si>
  <si>
    <t>Indirect_N2O</t>
  </si>
  <si>
    <t>Fossil_fuel_burning</t>
  </si>
  <si>
    <t>CO2bio</t>
  </si>
  <si>
    <t>F_gases</t>
  </si>
  <si>
    <t>ipcc_code_2006_for_standard_report</t>
  </si>
  <si>
    <t>Categories</t>
  </si>
  <si>
    <t>Subcategories</t>
  </si>
  <si>
    <t>5.B</t>
    <phoneticPr fontId="2" type="noConversion"/>
  </si>
  <si>
    <t>valQ('02_COAL',Country,year_IPCC,'bau')</t>
    <phoneticPr fontId="2" type="noConversion"/>
  </si>
  <si>
    <t>valXS('12_Nonmet','12_Nonmet',Country,year_IPCC,'bau')</t>
    <phoneticPr fontId="2" type="noConversion"/>
  </si>
  <si>
    <t>valXS('11_CHEMICAL','11_CHEMICAL',Country,year_IPCC,'bau')</t>
    <phoneticPr fontId="2" type="noConversion"/>
  </si>
  <si>
    <t>valXS('11_CHEMICAL','11_CHEMICAL',Country,year_IPCC,'bau')</t>
    <phoneticPr fontId="2" type="noConversion"/>
  </si>
  <si>
    <t>valXS('13_IRONSTL','13_IRONSTL',Country,year_IPCC,'bau')</t>
    <phoneticPr fontId="2" type="noConversion"/>
  </si>
  <si>
    <t>valXS('11_CHEMICAL','11_CHEMICAL',Country,year_IPCC,'bau')</t>
    <phoneticPr fontId="2" type="noConversion"/>
  </si>
  <si>
    <t>valXS('15_MACHINE','15_MACHINE',Country,year_IPCC,'bau')</t>
    <phoneticPr fontId="2" type="noConversion"/>
  </si>
  <si>
    <t>valXS('15_MACHINE','15_MACHINE',Country,year_IPCC,'bau')</t>
    <phoneticPr fontId="2" type="noConversion"/>
  </si>
  <si>
    <t>valXS('01_AGRICULT','01_AGRICULT',Country,year_IPCC,'bau')</t>
    <phoneticPr fontId="2" type="noConversion"/>
  </si>
  <si>
    <t>valGDP_MP_REAL(Country,year_IPCC,'bau')</t>
    <phoneticPr fontId="2" type="noConversion"/>
  </si>
  <si>
    <t>Activity</t>
    <phoneticPr fontId="2" type="noConversion"/>
  </si>
  <si>
    <t>(valQ('03_OIL',Country,year_IPCC,'bau')+valQ('04_GAS',Country,year_IPCC,'bau'))</t>
    <phoneticPr fontId="2" type="noConversion"/>
  </si>
  <si>
    <t>a</t>
  </si>
  <si>
    <t>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</si>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</sst>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1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"/>
  <sheetViews>
    <sheetView tabSelected="1" zoomScale="70" zoomScaleNormal="70" workbookViewId="0">
      <selection activeCell="G57" sqref="G57"/>
    </sheetView>
  </sheetViews>
  <sheetFormatPr defaultRowHeight="14.4"/>
  <cols>
    <col min="1" max="1" width="15.44140625" bestFit="1" customWidth="1"/>
    <col min="2" max="5" width="12.44140625" bestFit="1" customWidth="1"/>
    <col min="7" max="7" width="33.109375" bestFit="1" customWidth="1"/>
    <col min="8" max="8" width="17.109375" bestFit="1" customWidth="1"/>
    <col min="9" max="9" width="33.44140625" bestFit="1" customWidth="1"/>
    <col min="10" max="14" width="13.33203125" bestFit="1" customWidth="1"/>
    <col min="16" max="16" width="80.6640625" bestFit="1" customWidth="1"/>
    <col min="17" max="17" width="8.88671875" bestFit="1" customWidth="1"/>
    <col min="21" max="21" width="15.44140625" bestFit="1" customWidth="1"/>
  </cols>
  <sheetData>
    <row r="1" spans="1:25">
      <c r="A1" s="2"/>
      <c r="B1" s="3" t="s">
        <v>37</v>
      </c>
      <c r="C1" s="3" t="s">
        <v>38</v>
      </c>
      <c r="D1" s="3" t="s">
        <v>39</v>
      </c>
      <c r="E1" s="3" t="s">
        <v>40</v>
      </c>
      <c r="G1" s="8" t="s">
        <v>84</v>
      </c>
      <c r="H1" s="8" t="s">
        <v>85</v>
      </c>
      <c r="I1" s="8" t="s">
        <v>86</v>
      </c>
      <c r="J1" s="8" t="s">
        <v>37</v>
      </c>
      <c r="K1" s="8" t="s">
        <v>38</v>
      </c>
      <c r="L1" s="8" t="s">
        <v>39</v>
      </c>
      <c r="M1" s="8" t="s">
        <v>83</v>
      </c>
      <c r="N1" s="8" t="s">
        <v>82</v>
      </c>
      <c r="P1" s="8" t="s">
        <v>98</v>
      </c>
      <c r="Q1" s="10" t="s">
        <v>100</v>
      </c>
      <c r="R1" s="10" t="s">
        <v>101</v>
      </c>
      <c r="S1" s="10" t="s">
        <v>102</v>
      </c>
      <c r="U1" s="2"/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1" t="s">
        <v>0</v>
      </c>
      <c r="B2" s="6"/>
      <c r="C2" s="6"/>
      <c r="D2" s="6"/>
      <c r="E2" s="6"/>
      <c r="G2" s="2" t="s">
        <v>0</v>
      </c>
      <c r="H2" s="2" t="s">
        <v>41</v>
      </c>
      <c r="I2" s="2" t="s">
        <v>42</v>
      </c>
      <c r="J2" s="2">
        <v>317192.22809718002</v>
      </c>
      <c r="K2" s="2">
        <v>225.0816095003392</v>
      </c>
      <c r="L2" s="2">
        <v>2228.4007836452156</v>
      </c>
      <c r="M2" s="2"/>
      <c r="N2" s="2">
        <v>7961.7575451583998</v>
      </c>
      <c r="P2" s="2"/>
      <c r="Q2" s="2"/>
      <c r="R2" s="2"/>
      <c r="S2" s="2"/>
      <c r="U2" s="1" t="s">
        <v>0</v>
      </c>
      <c r="V2" s="6"/>
      <c r="W2" s="6"/>
      <c r="X2" s="6"/>
      <c r="Y2" s="6"/>
    </row>
    <row r="3" spans="1:25">
      <c r="A3" s="1" t="s">
        <v>1</v>
      </c>
      <c r="B3" s="6"/>
      <c r="C3" s="6"/>
      <c r="D3" s="6"/>
      <c r="E3" s="6"/>
      <c r="G3" s="2" t="s">
        <v>1</v>
      </c>
      <c r="H3" s="2" t="s">
        <v>41</v>
      </c>
      <c r="I3" s="2" t="s">
        <v>43</v>
      </c>
      <c r="J3" s="2">
        <v>43903.575747759001</v>
      </c>
      <c r="K3" s="2">
        <v>12.272021923476281</v>
      </c>
      <c r="L3" s="2">
        <v>14.070709395168359</v>
      </c>
      <c r="M3" s="2"/>
      <c r="N3" s="2"/>
      <c r="P3" s="2"/>
      <c r="Q3" s="2"/>
      <c r="R3" s="2"/>
      <c r="S3" s="2"/>
      <c r="U3" s="1" t="s">
        <v>1</v>
      </c>
      <c r="V3" s="6"/>
      <c r="W3" s="6"/>
      <c r="X3" s="6"/>
      <c r="Y3" s="6"/>
    </row>
    <row r="4" spans="1:25">
      <c r="A4" s="1" t="s">
        <v>2</v>
      </c>
      <c r="B4" s="6"/>
      <c r="C4" s="6"/>
      <c r="D4" s="6"/>
      <c r="E4" s="6"/>
      <c r="G4" s="2" t="s">
        <v>2</v>
      </c>
      <c r="H4" s="2" t="s">
        <v>44</v>
      </c>
      <c r="I4" s="2" t="s">
        <v>45</v>
      </c>
      <c r="J4" s="2">
        <v>65498.954738016</v>
      </c>
      <c r="K4" s="2">
        <v>162.26223012968444</v>
      </c>
      <c r="L4" s="2">
        <v>214.68812165626841</v>
      </c>
      <c r="M4" s="2"/>
      <c r="N4" s="2">
        <v>2615.1337339187999</v>
      </c>
      <c r="P4" s="2"/>
      <c r="Q4" s="2"/>
      <c r="R4" s="2"/>
      <c r="S4" s="2"/>
      <c r="U4" s="1" t="s">
        <v>2</v>
      </c>
      <c r="V4" s="6"/>
      <c r="W4" s="6"/>
      <c r="X4" s="6"/>
      <c r="Y4" s="6"/>
    </row>
    <row r="5" spans="1:25">
      <c r="A5" s="1" t="s">
        <v>3</v>
      </c>
      <c r="B5" s="6"/>
      <c r="C5" s="6"/>
      <c r="D5" s="6"/>
      <c r="E5" s="6"/>
      <c r="G5" s="2" t="s">
        <v>3</v>
      </c>
      <c r="H5" s="2" t="s">
        <v>46</v>
      </c>
      <c r="I5" s="2" t="s">
        <v>47</v>
      </c>
      <c r="J5" s="2">
        <v>3306.462116662</v>
      </c>
      <c r="K5" s="2">
        <v>0.64741685244857605</v>
      </c>
      <c r="L5" s="2">
        <v>24.50935227126779</v>
      </c>
      <c r="M5" s="2"/>
      <c r="N5" s="2"/>
      <c r="P5" s="2"/>
      <c r="Q5" s="2"/>
      <c r="R5" s="2"/>
      <c r="S5" s="2"/>
      <c r="U5" s="1" t="s">
        <v>3</v>
      </c>
      <c r="V5" s="6"/>
      <c r="W5" s="6"/>
      <c r="X5" s="6"/>
      <c r="Y5" s="6"/>
    </row>
    <row r="6" spans="1:25">
      <c r="A6" s="1" t="s">
        <v>4</v>
      </c>
      <c r="B6" s="6"/>
      <c r="C6" s="6"/>
      <c r="D6" s="6"/>
      <c r="E6" s="6"/>
      <c r="G6" s="2" t="s">
        <v>4</v>
      </c>
      <c r="H6" s="2" t="s">
        <v>46</v>
      </c>
      <c r="I6" s="2" t="s">
        <v>48</v>
      </c>
      <c r="J6" s="2">
        <v>101416.33737264</v>
      </c>
      <c r="K6" s="2">
        <v>220.51795176336731</v>
      </c>
      <c r="L6" s="2">
        <v>1552.5172536522018</v>
      </c>
      <c r="M6" s="2"/>
      <c r="N6" s="2">
        <v>1901.0655960938</v>
      </c>
      <c r="P6" s="2"/>
      <c r="Q6" s="2"/>
      <c r="R6" s="2"/>
      <c r="S6" s="2"/>
      <c r="U6" s="1" t="s">
        <v>4</v>
      </c>
      <c r="V6" s="6"/>
      <c r="W6" s="6"/>
      <c r="X6" s="6"/>
      <c r="Y6" s="6"/>
    </row>
    <row r="7" spans="1:25">
      <c r="A7" s="1" t="s">
        <v>5</v>
      </c>
      <c r="B7" s="6"/>
      <c r="C7" s="6"/>
      <c r="D7" s="6"/>
      <c r="E7" s="6"/>
      <c r="G7" s="2" t="s">
        <v>5</v>
      </c>
      <c r="H7" s="2" t="s">
        <v>46</v>
      </c>
      <c r="I7" s="2" t="s">
        <v>49</v>
      </c>
      <c r="J7" s="2">
        <v>281.14577265166997</v>
      </c>
      <c r="K7" s="2">
        <v>0.44088649014057202</v>
      </c>
      <c r="L7" s="2">
        <v>28.748715492994851</v>
      </c>
      <c r="M7" s="2"/>
      <c r="N7" s="2"/>
      <c r="P7" s="2"/>
      <c r="Q7" s="2"/>
      <c r="R7" s="2"/>
      <c r="S7" s="2"/>
      <c r="U7" s="1" t="s">
        <v>5</v>
      </c>
      <c r="V7" s="6"/>
      <c r="W7" s="6"/>
      <c r="X7" s="6"/>
      <c r="Y7" s="6"/>
    </row>
    <row r="8" spans="1:25">
      <c r="A8" s="1" t="s">
        <v>6</v>
      </c>
      <c r="B8" s="6"/>
      <c r="C8" s="6"/>
      <c r="D8" s="6"/>
      <c r="E8" s="6"/>
      <c r="G8" s="2" t="s">
        <v>6</v>
      </c>
      <c r="H8" s="2" t="s">
        <v>46</v>
      </c>
      <c r="I8" s="2" t="s">
        <v>50</v>
      </c>
      <c r="J8" s="2">
        <v>1212.4797282666</v>
      </c>
      <c r="K8" s="2">
        <v>3.1606731546174398</v>
      </c>
      <c r="L8" s="2">
        <v>8.5467182242205144</v>
      </c>
      <c r="M8" s="2"/>
      <c r="N8" s="2"/>
      <c r="P8" s="2"/>
      <c r="Q8" s="2"/>
      <c r="R8" s="2"/>
      <c r="S8" s="2"/>
      <c r="U8" s="1" t="s">
        <v>6</v>
      </c>
      <c r="V8" s="6"/>
      <c r="W8" s="6"/>
      <c r="X8" s="6"/>
      <c r="Y8" s="6"/>
    </row>
    <row r="9" spans="1:25">
      <c r="A9" s="1" t="s">
        <v>7</v>
      </c>
      <c r="B9" s="6"/>
      <c r="C9" s="6"/>
      <c r="D9" s="6"/>
      <c r="E9" s="6"/>
      <c r="G9" s="2" t="s">
        <v>7</v>
      </c>
      <c r="H9" s="2" t="s">
        <v>46</v>
      </c>
      <c r="I9" s="2" t="s">
        <v>51</v>
      </c>
      <c r="J9" s="2">
        <v>4.1979982054710998</v>
      </c>
      <c r="K9" s="2">
        <v>4.7379864521026804E-3</v>
      </c>
      <c r="L9" s="2">
        <v>8.9683314986229307E-3</v>
      </c>
      <c r="M9" s="2"/>
      <c r="N9" s="2"/>
      <c r="P9" s="2"/>
      <c r="Q9" s="2"/>
      <c r="R9" s="2"/>
      <c r="S9" s="2"/>
      <c r="U9" s="1" t="s">
        <v>7</v>
      </c>
      <c r="V9" s="6"/>
      <c r="W9" s="6"/>
      <c r="X9" s="6"/>
      <c r="Y9" s="6"/>
    </row>
    <row r="10" spans="1:25">
      <c r="A10" s="1" t="s">
        <v>8</v>
      </c>
      <c r="B10" s="6"/>
      <c r="C10" s="6"/>
      <c r="D10" s="6"/>
      <c r="E10" s="6"/>
      <c r="G10" s="2" t="s">
        <v>8</v>
      </c>
      <c r="H10" s="2" t="s">
        <v>52</v>
      </c>
      <c r="I10" s="2" t="s">
        <v>53</v>
      </c>
      <c r="J10" s="2">
        <v>51384.170919406002</v>
      </c>
      <c r="K10" s="2">
        <v>427.49306032194437</v>
      </c>
      <c r="L10" s="2">
        <v>149.41226361478957</v>
      </c>
      <c r="M10" s="2"/>
      <c r="N10" s="2">
        <v>1870.1050330967</v>
      </c>
      <c r="P10" s="2"/>
      <c r="Q10" s="2"/>
      <c r="R10" s="2"/>
      <c r="S10" s="2"/>
      <c r="U10" s="1" t="s">
        <v>8</v>
      </c>
      <c r="V10" s="6"/>
      <c r="W10" s="6"/>
      <c r="X10" s="6"/>
      <c r="Y10" s="6"/>
    </row>
    <row r="11" spans="1:25">
      <c r="A11" s="1" t="s">
        <v>9</v>
      </c>
      <c r="B11" s="6"/>
      <c r="C11" s="6"/>
      <c r="D11" s="6"/>
      <c r="E11" s="6"/>
      <c r="G11" s="2" t="s">
        <v>9</v>
      </c>
      <c r="H11" s="2" t="s">
        <v>54</v>
      </c>
      <c r="I11" s="2" t="s">
        <v>55</v>
      </c>
      <c r="J11" s="2">
        <v>3607.1420433106</v>
      </c>
      <c r="K11" s="2">
        <v>13.7424981896972</v>
      </c>
      <c r="L11" s="2">
        <v>7.753587879363935</v>
      </c>
      <c r="M11" s="2"/>
      <c r="N11" s="2"/>
      <c r="P11" s="2"/>
      <c r="Q11" s="2"/>
      <c r="R11" s="2"/>
      <c r="S11" s="2"/>
      <c r="U11" s="1" t="s">
        <v>9</v>
      </c>
      <c r="V11" s="6"/>
      <c r="W11" s="6"/>
      <c r="X11" s="6"/>
      <c r="Y11" s="6"/>
    </row>
    <row r="12" spans="1:25">
      <c r="A12" s="1" t="s">
        <v>10</v>
      </c>
      <c r="B12" s="2">
        <f>V12</f>
        <v>6338.0700674486925</v>
      </c>
      <c r="C12" s="2">
        <f t="shared" ref="C12:E12" si="0">W12</f>
        <v>566.36345623375132</v>
      </c>
      <c r="D12" s="2">
        <f t="shared" si="0"/>
        <v>0</v>
      </c>
      <c r="E12" s="2">
        <f t="shared" si="0"/>
        <v>0</v>
      </c>
      <c r="G12" s="2" t="s">
        <v>10</v>
      </c>
      <c r="H12" s="2" t="s">
        <v>56</v>
      </c>
      <c r="I12" s="2" t="s">
        <v>57</v>
      </c>
      <c r="J12" s="2">
        <v>12016.537182978</v>
      </c>
      <c r="K12" s="2">
        <v>1073.785467577256</v>
      </c>
      <c r="L12" s="2"/>
      <c r="M12" s="2"/>
      <c r="N12" s="2"/>
      <c r="P12" s="2" t="s">
        <v>88</v>
      </c>
      <c r="Q12" s="2">
        <v>1.8959299999999999</v>
      </c>
      <c r="R12" s="2"/>
      <c r="S12" s="2">
        <f>SUM(Q12:R12)</f>
        <v>1.8959299999999999</v>
      </c>
      <c r="U12" s="1" t="s">
        <v>10</v>
      </c>
      <c r="V12" s="2">
        <f>J12/$S12</f>
        <v>6338.0700674486925</v>
      </c>
      <c r="W12" s="2">
        <f t="shared" ref="W12:Y12" si="1">K12/$S12</f>
        <v>566.36345623375132</v>
      </c>
      <c r="X12" s="2">
        <f t="shared" si="1"/>
        <v>0</v>
      </c>
      <c r="Y12" s="2">
        <f t="shared" si="1"/>
        <v>0</v>
      </c>
    </row>
    <row r="13" spans="1:25">
      <c r="A13" s="1" t="s">
        <v>11</v>
      </c>
      <c r="B13" s="2">
        <f t="shared" ref="B13:B38" si="2">V13</f>
        <v>1.9152911012322069E-2</v>
      </c>
      <c r="C13" s="2">
        <f t="shared" ref="C13:C38" si="3">W13</f>
        <v>270.03538423329945</v>
      </c>
      <c r="D13" s="2">
        <f t="shared" ref="D13:D38" si="4">X13</f>
        <v>4.9718668471763201E-5</v>
      </c>
      <c r="E13" s="2">
        <f t="shared" ref="E13:E38" si="5">Y13</f>
        <v>0</v>
      </c>
      <c r="G13" s="2" t="s">
        <v>11</v>
      </c>
      <c r="H13" s="2" t="s">
        <v>56</v>
      </c>
      <c r="I13" s="2" t="s">
        <v>58</v>
      </c>
      <c r="J13" s="2">
        <v>0.16967372336705999</v>
      </c>
      <c r="K13" s="2">
        <v>2392.2164653843765</v>
      </c>
      <c r="L13" s="2">
        <v>4.4045271212450301E-4</v>
      </c>
      <c r="M13" s="2"/>
      <c r="N13" s="2">
        <v>1901.0625539063001</v>
      </c>
      <c r="P13" s="2" t="s">
        <v>99</v>
      </c>
      <c r="Q13" s="2">
        <v>6.9849800000000002</v>
      </c>
      <c r="R13" s="2">
        <v>1.87392</v>
      </c>
      <c r="S13" s="2">
        <f>SUM(Q13:R13)</f>
        <v>8.8589000000000002</v>
      </c>
      <c r="U13" s="1" t="s">
        <v>11</v>
      </c>
      <c r="V13" s="2">
        <f t="shared" ref="V13:V38" si="6">J13/$S13</f>
        <v>1.9152911012322069E-2</v>
      </c>
      <c r="W13" s="2">
        <f t="shared" ref="W13:W38" si="7">K13/$S13</f>
        <v>270.03538423329945</v>
      </c>
      <c r="X13" s="2">
        <f t="shared" ref="X13:X38" si="8">L13/$S13</f>
        <v>4.9718668471763201E-5</v>
      </c>
      <c r="Y13" s="2">
        <f t="shared" ref="Y13:Y38" si="9">M13/$S13</f>
        <v>0</v>
      </c>
    </row>
    <row r="14" spans="1:25">
      <c r="A14" s="1" t="s">
        <v>12</v>
      </c>
      <c r="B14" s="2">
        <f t="shared" si="2"/>
        <v>4075.036239081885</v>
      </c>
      <c r="C14" s="2">
        <f t="shared" si="3"/>
        <v>0</v>
      </c>
      <c r="D14" s="2">
        <f t="shared" si="4"/>
        <v>0</v>
      </c>
      <c r="E14" s="2">
        <f t="shared" si="5"/>
        <v>0</v>
      </c>
      <c r="G14" s="2" t="s">
        <v>12</v>
      </c>
      <c r="H14" s="2" t="s">
        <v>44</v>
      </c>
      <c r="I14" s="2" t="s">
        <v>59</v>
      </c>
      <c r="J14" s="2">
        <v>18666.477749999998</v>
      </c>
      <c r="K14" s="2"/>
      <c r="L14" s="2"/>
      <c r="M14" s="2"/>
      <c r="N14" s="2"/>
      <c r="P14" s="2" t="s">
        <v>89</v>
      </c>
      <c r="Q14" s="2">
        <v>4.5806899999999997</v>
      </c>
      <c r="R14" s="2"/>
      <c r="S14" s="2">
        <f t="shared" ref="S14:S38" si="10">SUM(Q14:R14)</f>
        <v>4.5806899999999997</v>
      </c>
      <c r="U14" s="1" t="s">
        <v>12</v>
      </c>
      <c r="V14" s="2">
        <f t="shared" si="6"/>
        <v>4075.036239081885</v>
      </c>
      <c r="W14" s="2">
        <f t="shared" si="7"/>
        <v>0</v>
      </c>
      <c r="X14" s="2">
        <f t="shared" si="8"/>
        <v>0</v>
      </c>
      <c r="Y14" s="2">
        <f t="shared" si="9"/>
        <v>0</v>
      </c>
    </row>
    <row r="15" spans="1:25">
      <c r="A15" s="1" t="s">
        <v>13</v>
      </c>
      <c r="B15" s="2">
        <f t="shared" si="2"/>
        <v>851.40011657632374</v>
      </c>
      <c r="C15" s="2">
        <f t="shared" si="3"/>
        <v>0</v>
      </c>
      <c r="D15" s="2">
        <f t="shared" si="4"/>
        <v>0</v>
      </c>
      <c r="E15" s="2">
        <f t="shared" si="5"/>
        <v>0</v>
      </c>
      <c r="G15" s="2" t="s">
        <v>13</v>
      </c>
      <c r="H15" s="2" t="s">
        <v>44</v>
      </c>
      <c r="I15" s="2" t="s">
        <v>59</v>
      </c>
      <c r="J15" s="2">
        <v>3900</v>
      </c>
      <c r="K15" s="2"/>
      <c r="L15" s="2"/>
      <c r="M15" s="2"/>
      <c r="N15" s="2"/>
      <c r="P15" s="2" t="s">
        <v>89</v>
      </c>
      <c r="Q15" s="2">
        <f>Q14</f>
        <v>4.5806899999999997</v>
      </c>
      <c r="R15" s="2"/>
      <c r="S15" s="2">
        <f t="shared" si="10"/>
        <v>4.5806899999999997</v>
      </c>
      <c r="U15" s="1" t="s">
        <v>13</v>
      </c>
      <c r="V15" s="2">
        <f t="shared" si="6"/>
        <v>851.40011657632374</v>
      </c>
      <c r="W15" s="2">
        <f t="shared" si="7"/>
        <v>0</v>
      </c>
      <c r="X15" s="2">
        <f t="shared" si="8"/>
        <v>0</v>
      </c>
      <c r="Y15" s="2">
        <f t="shared" si="9"/>
        <v>0</v>
      </c>
    </row>
    <row r="16" spans="1:25">
      <c r="A16" s="1" t="s">
        <v>14</v>
      </c>
      <c r="B16" s="2">
        <f t="shared" si="2"/>
        <v>0.5558562815731255</v>
      </c>
      <c r="C16" s="2">
        <f t="shared" si="3"/>
        <v>0</v>
      </c>
      <c r="D16" s="2">
        <f t="shared" si="4"/>
        <v>0</v>
      </c>
      <c r="E16" s="2">
        <f t="shared" si="5"/>
        <v>0</v>
      </c>
      <c r="G16" s="2" t="s">
        <v>14</v>
      </c>
      <c r="H16" s="2" t="s">
        <v>44</v>
      </c>
      <c r="I16" s="2" t="s">
        <v>59</v>
      </c>
      <c r="J16" s="2">
        <v>2.5462053104392002</v>
      </c>
      <c r="K16" s="2"/>
      <c r="L16" s="2"/>
      <c r="M16" s="2"/>
      <c r="N16" s="2"/>
      <c r="P16" s="2" t="s">
        <v>89</v>
      </c>
      <c r="Q16" s="2">
        <f>Q15</f>
        <v>4.5806899999999997</v>
      </c>
      <c r="R16" s="2"/>
      <c r="S16" s="2">
        <f t="shared" si="10"/>
        <v>4.5806899999999997</v>
      </c>
      <c r="U16" s="1" t="s">
        <v>14</v>
      </c>
      <c r="V16" s="2">
        <f t="shared" si="6"/>
        <v>0.5558562815731255</v>
      </c>
      <c r="W16" s="2">
        <f t="shared" si="7"/>
        <v>0</v>
      </c>
      <c r="X16" s="2">
        <f t="shared" si="8"/>
        <v>0</v>
      </c>
      <c r="Y16" s="2">
        <f t="shared" si="9"/>
        <v>0</v>
      </c>
    </row>
    <row r="17" spans="1:25">
      <c r="A17" s="1" t="s">
        <v>15</v>
      </c>
      <c r="B17" s="2">
        <f t="shared" si="2"/>
        <v>17.241178736905557</v>
      </c>
      <c r="C17" s="2">
        <f t="shared" si="3"/>
        <v>0</v>
      </c>
      <c r="D17" s="2">
        <f t="shared" si="4"/>
        <v>0</v>
      </c>
      <c r="E17" s="2">
        <f t="shared" si="5"/>
        <v>0</v>
      </c>
      <c r="G17" s="2" t="s">
        <v>15</v>
      </c>
      <c r="H17" s="2" t="s">
        <v>44</v>
      </c>
      <c r="I17" s="2" t="s">
        <v>60</v>
      </c>
      <c r="J17" s="2">
        <v>423.31231681999998</v>
      </c>
      <c r="K17" s="2"/>
      <c r="L17" s="2"/>
      <c r="M17" s="2"/>
      <c r="N17" s="2"/>
      <c r="P17" s="2" t="s">
        <v>90</v>
      </c>
      <c r="Q17" s="2">
        <v>24.552399999999999</v>
      </c>
      <c r="R17" s="2"/>
      <c r="S17" s="2">
        <f t="shared" si="10"/>
        <v>24.552399999999999</v>
      </c>
      <c r="U17" s="1" t="s">
        <v>15</v>
      </c>
      <c r="V17" s="2">
        <f t="shared" si="6"/>
        <v>17.241178736905557</v>
      </c>
      <c r="W17" s="2">
        <f t="shared" si="7"/>
        <v>0</v>
      </c>
      <c r="X17" s="2">
        <f t="shared" si="8"/>
        <v>0</v>
      </c>
      <c r="Y17" s="2">
        <f t="shared" si="9"/>
        <v>0</v>
      </c>
    </row>
    <row r="18" spans="1:25">
      <c r="A18" s="1" t="s">
        <v>16</v>
      </c>
      <c r="B18" s="2">
        <f t="shared" si="2"/>
        <v>696.99379629588157</v>
      </c>
      <c r="C18" s="2">
        <f t="shared" si="3"/>
        <v>5.858112185164627</v>
      </c>
      <c r="D18" s="2">
        <f t="shared" si="4"/>
        <v>50.462900495132864</v>
      </c>
      <c r="E18" s="2">
        <f t="shared" si="5"/>
        <v>0</v>
      </c>
      <c r="G18" s="2" t="s">
        <v>16</v>
      </c>
      <c r="H18" s="2" t="s">
        <v>44</v>
      </c>
      <c r="I18" s="2" t="s">
        <v>61</v>
      </c>
      <c r="J18" s="2">
        <v>17112.870484175</v>
      </c>
      <c r="K18" s="2">
        <v>143.83071361503599</v>
      </c>
      <c r="L18" s="2">
        <v>1238.9853181167</v>
      </c>
      <c r="M18" s="2">
        <v>0</v>
      </c>
      <c r="N18" s="2"/>
      <c r="P18" s="2" t="s">
        <v>91</v>
      </c>
      <c r="Q18" s="2">
        <f>Q17</f>
        <v>24.552399999999999</v>
      </c>
      <c r="R18" s="2"/>
      <c r="S18" s="2">
        <f t="shared" si="10"/>
        <v>24.552399999999999</v>
      </c>
      <c r="U18" s="1" t="s">
        <v>16</v>
      </c>
      <c r="V18" s="2">
        <f t="shared" si="6"/>
        <v>696.99379629588157</v>
      </c>
      <c r="W18" s="2">
        <f t="shared" si="7"/>
        <v>5.858112185164627</v>
      </c>
      <c r="X18" s="2">
        <f t="shared" si="8"/>
        <v>50.462900495132864</v>
      </c>
      <c r="Y18" s="2">
        <f t="shared" si="9"/>
        <v>0</v>
      </c>
    </row>
    <row r="19" spans="1:25">
      <c r="A19" s="1" t="s">
        <v>17</v>
      </c>
      <c r="B19" s="2">
        <f t="shared" si="2"/>
        <v>939.17301999736605</v>
      </c>
      <c r="C19" s="2">
        <f t="shared" si="3"/>
        <v>12.44831221859744</v>
      </c>
      <c r="D19" s="2">
        <f t="shared" si="4"/>
        <v>0</v>
      </c>
      <c r="E19" s="2">
        <f t="shared" si="5"/>
        <v>9.6581762269125893</v>
      </c>
      <c r="G19" s="2" t="s">
        <v>17</v>
      </c>
      <c r="H19" s="2" t="s">
        <v>44</v>
      </c>
      <c r="I19" s="2" t="s">
        <v>62</v>
      </c>
      <c r="J19" s="2">
        <v>8699.8977865228007</v>
      </c>
      <c r="K19" s="2">
        <v>115.3131974732668</v>
      </c>
      <c r="L19" s="2"/>
      <c r="M19" s="2">
        <v>89.467163333333005</v>
      </c>
      <c r="N19" s="2"/>
      <c r="P19" s="2" t="s">
        <v>92</v>
      </c>
      <c r="Q19" s="2">
        <v>9.2633600000000005</v>
      </c>
      <c r="R19" s="2"/>
      <c r="S19" s="2">
        <f t="shared" si="10"/>
        <v>9.2633600000000005</v>
      </c>
      <c r="U19" s="1" t="s">
        <v>17</v>
      </c>
      <c r="V19" s="2">
        <f t="shared" si="6"/>
        <v>939.17301999736605</v>
      </c>
      <c r="W19" s="2">
        <f t="shared" si="7"/>
        <v>12.44831221859744</v>
      </c>
      <c r="X19" s="2">
        <f t="shared" si="8"/>
        <v>0</v>
      </c>
      <c r="Y19" s="2">
        <f t="shared" si="9"/>
        <v>9.6581762269125893</v>
      </c>
    </row>
    <row r="20" spans="1:25">
      <c r="A20" s="1" t="s">
        <v>18</v>
      </c>
      <c r="B20" s="2">
        <f t="shared" si="2"/>
        <v>35.587863916745818</v>
      </c>
      <c r="C20" s="2">
        <f t="shared" si="3"/>
        <v>0</v>
      </c>
      <c r="D20" s="2">
        <f t="shared" si="4"/>
        <v>0</v>
      </c>
      <c r="E20" s="2">
        <f t="shared" si="5"/>
        <v>0</v>
      </c>
      <c r="G20" s="2" t="s">
        <v>18</v>
      </c>
      <c r="H20" s="2" t="s">
        <v>56</v>
      </c>
      <c r="I20" s="2" t="s">
        <v>63</v>
      </c>
      <c r="J20" s="2">
        <v>873.76747002951004</v>
      </c>
      <c r="K20" s="2"/>
      <c r="L20" s="2"/>
      <c r="M20" s="2"/>
      <c r="N20" s="2"/>
      <c r="P20" s="2" t="s">
        <v>93</v>
      </c>
      <c r="Q20" s="2">
        <f>Q17</f>
        <v>24.552399999999999</v>
      </c>
      <c r="R20" s="2"/>
      <c r="S20" s="2">
        <f t="shared" si="10"/>
        <v>24.552399999999999</v>
      </c>
      <c r="U20" s="1" t="s">
        <v>18</v>
      </c>
      <c r="V20" s="2">
        <f t="shared" si="6"/>
        <v>35.587863916745818</v>
      </c>
      <c r="W20" s="2">
        <f t="shared" si="7"/>
        <v>0</v>
      </c>
      <c r="X20" s="2">
        <f t="shared" si="8"/>
        <v>0</v>
      </c>
      <c r="Y20" s="2">
        <f t="shared" si="9"/>
        <v>0</v>
      </c>
    </row>
    <row r="21" spans="1:25">
      <c r="A21" s="1" t="s">
        <v>19</v>
      </c>
      <c r="B21" s="2">
        <f t="shared" si="2"/>
        <v>0</v>
      </c>
      <c r="C21" s="2">
        <f t="shared" si="3"/>
        <v>0</v>
      </c>
      <c r="D21" s="2">
        <f t="shared" si="4"/>
        <v>0</v>
      </c>
      <c r="E21" s="2">
        <f t="shared" si="5"/>
        <v>38.772435890278665</v>
      </c>
      <c r="G21" s="2" t="s">
        <v>19</v>
      </c>
      <c r="H21" s="2" t="s">
        <v>44</v>
      </c>
      <c r="I21" s="2" t="s">
        <v>64</v>
      </c>
      <c r="J21" s="2"/>
      <c r="K21" s="2"/>
      <c r="L21" s="2"/>
      <c r="M21" s="2">
        <v>2715.9703616781303</v>
      </c>
      <c r="N21" s="2"/>
      <c r="P21" s="2" t="s">
        <v>94</v>
      </c>
      <c r="Q21" s="2">
        <v>70.049000000000007</v>
      </c>
      <c r="R21" s="2"/>
      <c r="S21" s="2">
        <f t="shared" si="10"/>
        <v>70.049000000000007</v>
      </c>
      <c r="U21" s="1" t="s">
        <v>19</v>
      </c>
      <c r="V21" s="2">
        <f t="shared" si="6"/>
        <v>0</v>
      </c>
      <c r="W21" s="2">
        <f t="shared" si="7"/>
        <v>0</v>
      </c>
      <c r="X21" s="2">
        <f t="shared" si="8"/>
        <v>0</v>
      </c>
      <c r="Y21" s="2">
        <f t="shared" si="9"/>
        <v>38.772435890278665</v>
      </c>
    </row>
    <row r="22" spans="1:25">
      <c r="A22" s="1" t="s">
        <v>20</v>
      </c>
      <c r="B22" s="2">
        <f t="shared" si="2"/>
        <v>0</v>
      </c>
      <c r="C22" s="2">
        <f t="shared" si="3"/>
        <v>0</v>
      </c>
      <c r="D22" s="2">
        <f t="shared" si="4"/>
        <v>0</v>
      </c>
      <c r="E22" s="2">
        <f t="shared" si="5"/>
        <v>131.22789700710501</v>
      </c>
      <c r="G22" s="2" t="s">
        <v>20</v>
      </c>
      <c r="H22" s="2" t="s">
        <v>44</v>
      </c>
      <c r="I22" s="2" t="s">
        <v>65</v>
      </c>
      <c r="J22" s="2"/>
      <c r="K22" s="2"/>
      <c r="L22" s="2"/>
      <c r="M22" s="2">
        <v>9192.3829574506999</v>
      </c>
      <c r="N22" s="2"/>
      <c r="P22" s="2" t="s">
        <v>95</v>
      </c>
      <c r="Q22" s="2">
        <f>Q21</f>
        <v>70.049000000000007</v>
      </c>
      <c r="R22" s="2"/>
      <c r="S22" s="2">
        <f t="shared" si="10"/>
        <v>70.049000000000007</v>
      </c>
      <c r="U22" s="1" t="s">
        <v>20</v>
      </c>
      <c r="V22" s="2">
        <f t="shared" si="6"/>
        <v>0</v>
      </c>
      <c r="W22" s="2">
        <f t="shared" si="7"/>
        <v>0</v>
      </c>
      <c r="X22" s="2">
        <f t="shared" si="8"/>
        <v>0</v>
      </c>
      <c r="Y22" s="2">
        <f t="shared" si="9"/>
        <v>131.22789700710501</v>
      </c>
    </row>
    <row r="23" spans="1:25">
      <c r="A23" s="1" t="s">
        <v>21</v>
      </c>
      <c r="B23" s="2">
        <f t="shared" si="2"/>
        <v>0</v>
      </c>
      <c r="C23" s="2">
        <f t="shared" si="3"/>
        <v>0</v>
      </c>
      <c r="D23" s="2">
        <f t="shared" si="4"/>
        <v>1.5537578633310967E-3</v>
      </c>
      <c r="E23" s="2">
        <f t="shared" si="5"/>
        <v>86.004064842229013</v>
      </c>
      <c r="G23" s="2" t="s">
        <v>21</v>
      </c>
      <c r="H23" s="2" t="s">
        <v>44</v>
      </c>
      <c r="I23" s="2" t="s">
        <v>60</v>
      </c>
      <c r="J23" s="2"/>
      <c r="K23" s="2"/>
      <c r="L23" s="2">
        <v>0.10883918456848</v>
      </c>
      <c r="M23" s="2">
        <v>6024.4987381333003</v>
      </c>
      <c r="N23" s="2"/>
      <c r="P23" s="2" t="s">
        <v>94</v>
      </c>
      <c r="Q23" s="2">
        <f>Q22</f>
        <v>70.049000000000007</v>
      </c>
      <c r="R23" s="2"/>
      <c r="S23" s="2">
        <f t="shared" si="10"/>
        <v>70.049000000000007</v>
      </c>
      <c r="U23" s="1" t="s">
        <v>21</v>
      </c>
      <c r="V23" s="2">
        <f t="shared" si="6"/>
        <v>0</v>
      </c>
      <c r="W23" s="2">
        <f t="shared" si="7"/>
        <v>0</v>
      </c>
      <c r="X23" s="2">
        <f t="shared" si="8"/>
        <v>1.5537578633310967E-3</v>
      </c>
      <c r="Y23" s="2">
        <f t="shared" si="9"/>
        <v>86.004064842229013</v>
      </c>
    </row>
    <row r="24" spans="1:25">
      <c r="A24" s="1" t="s">
        <v>22</v>
      </c>
      <c r="B24" s="2">
        <f t="shared" si="2"/>
        <v>0</v>
      </c>
      <c r="C24" s="2">
        <f t="shared" si="3"/>
        <v>2116.607986638588</v>
      </c>
      <c r="D24" s="2">
        <f t="shared" si="4"/>
        <v>0</v>
      </c>
      <c r="E24" s="2">
        <f t="shared" si="5"/>
        <v>0</v>
      </c>
      <c r="G24" s="2" t="s">
        <v>22</v>
      </c>
      <c r="H24" s="2" t="s">
        <v>66</v>
      </c>
      <c r="I24" s="2" t="s">
        <v>67</v>
      </c>
      <c r="J24" s="2"/>
      <c r="K24" s="2">
        <v>10201.733004399999</v>
      </c>
      <c r="L24" s="2"/>
      <c r="M24" s="2"/>
      <c r="N24" s="2"/>
      <c r="P24" s="2" t="s">
        <v>96</v>
      </c>
      <c r="Q24" s="2">
        <v>4.8198499999999997</v>
      </c>
      <c r="R24" s="2"/>
      <c r="S24" s="2">
        <f t="shared" si="10"/>
        <v>4.8198499999999997</v>
      </c>
      <c r="U24" s="1" t="s">
        <v>22</v>
      </c>
      <c r="V24" s="2">
        <f t="shared" si="6"/>
        <v>0</v>
      </c>
      <c r="W24" s="2">
        <f t="shared" si="7"/>
        <v>2116.607986638588</v>
      </c>
      <c r="X24" s="2">
        <f t="shared" si="8"/>
        <v>0</v>
      </c>
      <c r="Y24" s="2">
        <f t="shared" si="9"/>
        <v>0</v>
      </c>
    </row>
    <row r="25" spans="1:25">
      <c r="A25" s="1" t="s">
        <v>23</v>
      </c>
      <c r="B25" s="2">
        <f t="shared" si="2"/>
        <v>0</v>
      </c>
      <c r="C25" s="2">
        <f t="shared" si="3"/>
        <v>482.76599166855573</v>
      </c>
      <c r="D25" s="2">
        <f t="shared" si="4"/>
        <v>255.13311353465005</v>
      </c>
      <c r="E25" s="2">
        <f t="shared" si="5"/>
        <v>0</v>
      </c>
      <c r="G25" s="2" t="s">
        <v>23</v>
      </c>
      <c r="H25" s="2" t="s">
        <v>66</v>
      </c>
      <c r="I25" s="2" t="s">
        <v>68</v>
      </c>
      <c r="J25" s="2"/>
      <c r="K25" s="2">
        <v>2326.8596649436881</v>
      </c>
      <c r="L25" s="2">
        <v>1229.703337269983</v>
      </c>
      <c r="M25" s="2"/>
      <c r="N25" s="2"/>
      <c r="P25" s="2" t="s">
        <v>96</v>
      </c>
      <c r="Q25" s="2">
        <f>Q24</f>
        <v>4.8198499999999997</v>
      </c>
      <c r="R25" s="2"/>
      <c r="S25" s="2">
        <f t="shared" si="10"/>
        <v>4.8198499999999997</v>
      </c>
      <c r="U25" s="1" t="s">
        <v>23</v>
      </c>
      <c r="V25" s="2">
        <f t="shared" si="6"/>
        <v>0</v>
      </c>
      <c r="W25" s="2">
        <f t="shared" si="7"/>
        <v>482.76599166855573</v>
      </c>
      <c r="X25" s="2">
        <f t="shared" si="8"/>
        <v>255.13311353465005</v>
      </c>
      <c r="Y25" s="2">
        <f t="shared" si="9"/>
        <v>0</v>
      </c>
    </row>
    <row r="26" spans="1:25">
      <c r="A26" s="1" t="s">
        <v>24</v>
      </c>
      <c r="B26" s="2">
        <f t="shared" si="2"/>
        <v>0</v>
      </c>
      <c r="C26" s="2">
        <f t="shared" si="3"/>
        <v>0.61969280302839302</v>
      </c>
      <c r="D26" s="2">
        <f t="shared" si="4"/>
        <v>0.15205425259493222</v>
      </c>
      <c r="E26" s="2">
        <f t="shared" si="5"/>
        <v>0</v>
      </c>
      <c r="G26" s="2" t="s">
        <v>24</v>
      </c>
      <c r="H26" s="2" t="s">
        <v>66</v>
      </c>
      <c r="I26" s="2" t="s">
        <v>69</v>
      </c>
      <c r="J26" s="2"/>
      <c r="K26" s="2">
        <v>2.9868263566764002</v>
      </c>
      <c r="L26" s="2">
        <v>0.73287868936968403</v>
      </c>
      <c r="M26" s="2"/>
      <c r="N26" s="2">
        <v>59.855051988954003</v>
      </c>
      <c r="P26" s="2" t="s">
        <v>96</v>
      </c>
      <c r="Q26" s="2">
        <f>Q25</f>
        <v>4.8198499999999997</v>
      </c>
      <c r="R26" s="2"/>
      <c r="S26" s="2">
        <f t="shared" si="10"/>
        <v>4.8198499999999997</v>
      </c>
      <c r="U26" s="1" t="s">
        <v>24</v>
      </c>
      <c r="V26" s="2">
        <f t="shared" si="6"/>
        <v>0</v>
      </c>
      <c r="W26" s="2">
        <f t="shared" si="7"/>
        <v>0.61969280302839302</v>
      </c>
      <c r="X26" s="2">
        <f t="shared" si="8"/>
        <v>0.15205425259493222</v>
      </c>
      <c r="Y26" s="2">
        <f t="shared" si="9"/>
        <v>0</v>
      </c>
    </row>
    <row r="27" spans="1:25">
      <c r="A27" s="1" t="s">
        <v>25</v>
      </c>
      <c r="B27" s="2">
        <f t="shared" si="2"/>
        <v>3.9123920584250551</v>
      </c>
      <c r="C27" s="2">
        <f t="shared" si="3"/>
        <v>0</v>
      </c>
      <c r="D27" s="2">
        <f t="shared" si="4"/>
        <v>0</v>
      </c>
      <c r="E27" s="2">
        <f t="shared" si="5"/>
        <v>0</v>
      </c>
      <c r="G27" s="2" t="s">
        <v>25</v>
      </c>
      <c r="H27" s="2" t="s">
        <v>66</v>
      </c>
      <c r="I27" s="2" t="s">
        <v>70</v>
      </c>
      <c r="J27" s="2">
        <v>18.8571428628</v>
      </c>
      <c r="K27" s="2"/>
      <c r="L27" s="2"/>
      <c r="M27" s="2"/>
      <c r="N27" s="2"/>
      <c r="P27" s="2" t="s">
        <v>96</v>
      </c>
      <c r="Q27" s="2">
        <f>Q26</f>
        <v>4.8198499999999997</v>
      </c>
      <c r="R27" s="2"/>
      <c r="S27" s="2">
        <f t="shared" si="10"/>
        <v>4.8198499999999997</v>
      </c>
      <c r="U27" s="1" t="s">
        <v>25</v>
      </c>
      <c r="V27" s="2">
        <f t="shared" si="6"/>
        <v>3.9123920584250551</v>
      </c>
      <c r="W27" s="2">
        <f t="shared" si="7"/>
        <v>0</v>
      </c>
      <c r="X27" s="2">
        <f t="shared" si="8"/>
        <v>0</v>
      </c>
      <c r="Y27" s="2">
        <f t="shared" si="9"/>
        <v>0</v>
      </c>
    </row>
    <row r="28" spans="1:25">
      <c r="A28" s="1" t="s">
        <v>26</v>
      </c>
      <c r="B28" s="2">
        <f t="shared" si="2"/>
        <v>68.140815941220168</v>
      </c>
      <c r="C28" s="2">
        <f t="shared" si="3"/>
        <v>0</v>
      </c>
      <c r="D28" s="2">
        <f t="shared" si="4"/>
        <v>0</v>
      </c>
      <c r="E28" s="2">
        <f t="shared" si="5"/>
        <v>0</v>
      </c>
      <c r="G28" s="2" t="s">
        <v>26</v>
      </c>
      <c r="H28" s="2" t="s">
        <v>66</v>
      </c>
      <c r="I28" s="2" t="s">
        <v>71</v>
      </c>
      <c r="J28" s="2">
        <v>328.42851171428998</v>
      </c>
      <c r="K28" s="2"/>
      <c r="L28" s="2"/>
      <c r="M28" s="2"/>
      <c r="N28" s="2"/>
      <c r="P28" s="2" t="s">
        <v>96</v>
      </c>
      <c r="Q28" s="2">
        <f>Q27</f>
        <v>4.8198499999999997</v>
      </c>
      <c r="R28" s="2"/>
      <c r="S28" s="2">
        <f t="shared" si="10"/>
        <v>4.8198499999999997</v>
      </c>
      <c r="U28" s="1" t="s">
        <v>26</v>
      </c>
      <c r="V28" s="2">
        <f t="shared" si="6"/>
        <v>68.140815941220168</v>
      </c>
      <c r="W28" s="2">
        <f t="shared" si="7"/>
        <v>0</v>
      </c>
      <c r="X28" s="2">
        <f t="shared" si="8"/>
        <v>0</v>
      </c>
      <c r="Y28" s="2">
        <f t="shared" si="9"/>
        <v>0</v>
      </c>
    </row>
    <row r="29" spans="1:25">
      <c r="A29" s="1" t="s">
        <v>27</v>
      </c>
      <c r="B29" s="2">
        <f t="shared" si="2"/>
        <v>0</v>
      </c>
      <c r="C29" s="2">
        <f t="shared" si="3"/>
        <v>0</v>
      </c>
      <c r="D29" s="2">
        <f t="shared" si="4"/>
        <v>605.54175854820801</v>
      </c>
      <c r="E29" s="2">
        <f t="shared" si="5"/>
        <v>0</v>
      </c>
      <c r="G29" s="2" t="s">
        <v>27</v>
      </c>
      <c r="H29" s="2" t="s">
        <v>55</v>
      </c>
      <c r="I29" s="2" t="s">
        <v>72</v>
      </c>
      <c r="J29" s="2"/>
      <c r="K29" s="2"/>
      <c r="L29" s="2">
        <v>2918.62044493858</v>
      </c>
      <c r="M29" s="2"/>
      <c r="N29" s="2"/>
      <c r="P29" s="2" t="s">
        <v>96</v>
      </c>
      <c r="Q29" s="2">
        <f>Q28</f>
        <v>4.8198499999999997</v>
      </c>
      <c r="R29" s="2"/>
      <c r="S29" s="2">
        <f t="shared" si="10"/>
        <v>4.8198499999999997</v>
      </c>
      <c r="U29" s="1" t="s">
        <v>27</v>
      </c>
      <c r="V29" s="2">
        <f t="shared" si="6"/>
        <v>0</v>
      </c>
      <c r="W29" s="2">
        <f t="shared" si="7"/>
        <v>0</v>
      </c>
      <c r="X29" s="2">
        <f t="shared" si="8"/>
        <v>605.54175854820801</v>
      </c>
      <c r="Y29" s="2">
        <f t="shared" si="9"/>
        <v>0</v>
      </c>
    </row>
    <row r="30" spans="1:25">
      <c r="A30" s="1" t="s">
        <v>28</v>
      </c>
      <c r="B30" s="2">
        <f t="shared" si="2"/>
        <v>0</v>
      </c>
      <c r="C30" s="2">
        <f t="shared" si="3"/>
        <v>0</v>
      </c>
      <c r="D30" s="2">
        <f t="shared" si="4"/>
        <v>164.18231819679286</v>
      </c>
      <c r="E30" s="2">
        <f t="shared" si="5"/>
        <v>0</v>
      </c>
      <c r="G30" s="2" t="s">
        <v>28</v>
      </c>
      <c r="H30" s="2" t="s">
        <v>66</v>
      </c>
      <c r="I30" s="2" t="s">
        <v>73</v>
      </c>
      <c r="J30" s="2"/>
      <c r="K30" s="2"/>
      <c r="L30" s="2">
        <v>791.33414636081204</v>
      </c>
      <c r="M30" s="2"/>
      <c r="N30" s="2"/>
      <c r="P30" s="2" t="s">
        <v>96</v>
      </c>
      <c r="Q30" s="2">
        <f>Q29</f>
        <v>4.8198499999999997</v>
      </c>
      <c r="R30" s="2"/>
      <c r="S30" s="2">
        <f t="shared" si="10"/>
        <v>4.8198499999999997</v>
      </c>
      <c r="U30" s="1" t="s">
        <v>28</v>
      </c>
      <c r="V30" s="2">
        <f t="shared" si="6"/>
        <v>0</v>
      </c>
      <c r="W30" s="2">
        <f t="shared" si="7"/>
        <v>0</v>
      </c>
      <c r="X30" s="2">
        <f t="shared" si="8"/>
        <v>164.18231819679286</v>
      </c>
      <c r="Y30" s="2">
        <f t="shared" si="9"/>
        <v>0</v>
      </c>
    </row>
    <row r="31" spans="1:25">
      <c r="A31" s="1" t="s">
        <v>29</v>
      </c>
      <c r="B31" s="2">
        <f t="shared" si="2"/>
        <v>0</v>
      </c>
      <c r="C31" s="2">
        <f t="shared" si="3"/>
        <v>0</v>
      </c>
      <c r="D31" s="2">
        <f t="shared" si="4"/>
        <v>12.522744806372149</v>
      </c>
      <c r="E31" s="2">
        <f t="shared" si="5"/>
        <v>0</v>
      </c>
      <c r="G31" s="2" t="s">
        <v>29</v>
      </c>
      <c r="H31" s="2" t="s">
        <v>66</v>
      </c>
      <c r="I31" s="2" t="s">
        <v>74</v>
      </c>
      <c r="J31" s="2"/>
      <c r="K31" s="2"/>
      <c r="L31" s="2">
        <v>60.357751554992802</v>
      </c>
      <c r="M31" s="2"/>
      <c r="N31" s="2"/>
      <c r="P31" s="2" t="s">
        <v>96</v>
      </c>
      <c r="Q31" s="2">
        <f>Q30</f>
        <v>4.8198499999999997</v>
      </c>
      <c r="R31" s="2"/>
      <c r="S31" s="2">
        <f t="shared" si="10"/>
        <v>4.8198499999999997</v>
      </c>
      <c r="U31" s="1" t="s">
        <v>29</v>
      </c>
      <c r="V31" s="2">
        <f t="shared" si="6"/>
        <v>0</v>
      </c>
      <c r="W31" s="2">
        <f t="shared" si="7"/>
        <v>0</v>
      </c>
      <c r="X31" s="2">
        <f t="shared" si="8"/>
        <v>12.522744806372149</v>
      </c>
      <c r="Y31" s="2">
        <f t="shared" si="9"/>
        <v>0</v>
      </c>
    </row>
    <row r="32" spans="1:25">
      <c r="A32" s="1" t="s">
        <v>30</v>
      </c>
      <c r="B32" s="2">
        <f t="shared" si="2"/>
        <v>0</v>
      </c>
      <c r="C32" s="2">
        <f t="shared" si="3"/>
        <v>1375.1256030362938</v>
      </c>
      <c r="D32" s="2">
        <f t="shared" si="4"/>
        <v>0</v>
      </c>
      <c r="E32" s="2">
        <f t="shared" si="5"/>
        <v>0</v>
      </c>
      <c r="G32" s="2" t="s">
        <v>30</v>
      </c>
      <c r="H32" s="2" t="s">
        <v>66</v>
      </c>
      <c r="I32" s="2" t="s">
        <v>75</v>
      </c>
      <c r="J32" s="2"/>
      <c r="K32" s="2">
        <v>6627.8991377944803</v>
      </c>
      <c r="L32" s="2"/>
      <c r="M32" s="2"/>
      <c r="N32" s="2"/>
      <c r="P32" s="2" t="s">
        <v>96</v>
      </c>
      <c r="Q32" s="2">
        <f>Q31</f>
        <v>4.8198499999999997</v>
      </c>
      <c r="R32" s="2"/>
      <c r="S32" s="2">
        <f t="shared" si="10"/>
        <v>4.8198499999999997</v>
      </c>
      <c r="U32" s="1" t="s">
        <v>30</v>
      </c>
      <c r="V32" s="2">
        <f t="shared" si="6"/>
        <v>0</v>
      </c>
      <c r="W32" s="2">
        <f t="shared" si="7"/>
        <v>1375.1256030362938</v>
      </c>
      <c r="X32" s="2">
        <f t="shared" si="8"/>
        <v>0</v>
      </c>
      <c r="Y32" s="2">
        <f t="shared" si="9"/>
        <v>0</v>
      </c>
    </row>
    <row r="33" spans="1:25">
      <c r="A33" s="1" t="s">
        <v>31</v>
      </c>
      <c r="B33" s="2">
        <f t="shared" si="2"/>
        <v>0</v>
      </c>
      <c r="C33" s="2">
        <f t="shared" si="3"/>
        <v>21.815645403584725</v>
      </c>
      <c r="D33" s="2">
        <f t="shared" si="4"/>
        <v>0</v>
      </c>
      <c r="E33" s="2">
        <f t="shared" si="5"/>
        <v>0</v>
      </c>
      <c r="G33" s="2" t="s">
        <v>31</v>
      </c>
      <c r="H33" s="2" t="s">
        <v>76</v>
      </c>
      <c r="I33" s="2" t="s">
        <v>77</v>
      </c>
      <c r="J33" s="2"/>
      <c r="K33" s="2">
        <v>3597.8798712500002</v>
      </c>
      <c r="L33" s="2"/>
      <c r="M33" s="2"/>
      <c r="N33" s="2"/>
      <c r="P33" s="2" t="s">
        <v>97</v>
      </c>
      <c r="Q33" s="2">
        <v>164.922</v>
      </c>
      <c r="R33" s="2"/>
      <c r="S33" s="2">
        <f t="shared" si="10"/>
        <v>164.922</v>
      </c>
      <c r="U33" s="1" t="s">
        <v>31</v>
      </c>
      <c r="V33" s="2">
        <f t="shared" si="6"/>
        <v>0</v>
      </c>
      <c r="W33" s="2">
        <f t="shared" si="7"/>
        <v>21.815645403584725</v>
      </c>
      <c r="X33" s="2">
        <f t="shared" si="8"/>
        <v>0</v>
      </c>
      <c r="Y33" s="2">
        <f t="shared" si="9"/>
        <v>0</v>
      </c>
    </row>
    <row r="34" spans="1:25">
      <c r="A34" s="1" t="s">
        <v>32</v>
      </c>
      <c r="B34" s="2">
        <f t="shared" si="2"/>
        <v>0</v>
      </c>
      <c r="C34" s="2">
        <f t="shared" si="3"/>
        <v>1.6270551950804211</v>
      </c>
      <c r="D34" s="2">
        <f t="shared" si="4"/>
        <v>1.1549186429365446</v>
      </c>
      <c r="E34" s="2">
        <f t="shared" si="5"/>
        <v>0</v>
      </c>
      <c r="G34" s="2" t="s">
        <v>32</v>
      </c>
      <c r="H34" s="2" t="s">
        <v>76</v>
      </c>
      <c r="I34" s="2" t="s">
        <v>78</v>
      </c>
      <c r="J34" s="2"/>
      <c r="K34" s="2">
        <v>268.3371968830532</v>
      </c>
      <c r="L34" s="2">
        <v>190.47149243038081</v>
      </c>
      <c r="M34" s="2"/>
      <c r="N34" s="2"/>
      <c r="P34" s="2" t="s">
        <v>97</v>
      </c>
      <c r="Q34" s="2">
        <f>Q33</f>
        <v>164.922</v>
      </c>
      <c r="R34" s="2"/>
      <c r="S34" s="2">
        <f t="shared" si="10"/>
        <v>164.922</v>
      </c>
      <c r="U34" s="1" t="s">
        <v>32</v>
      </c>
      <c r="V34" s="2">
        <f t="shared" si="6"/>
        <v>0</v>
      </c>
      <c r="W34" s="2">
        <f t="shared" si="7"/>
        <v>1.6270551950804211</v>
      </c>
      <c r="X34" s="2">
        <f t="shared" si="8"/>
        <v>1.1549186429365446</v>
      </c>
      <c r="Y34" s="2">
        <f t="shared" si="9"/>
        <v>0</v>
      </c>
    </row>
    <row r="35" spans="1:25">
      <c r="A35" s="1" t="s">
        <v>33</v>
      </c>
      <c r="B35" s="2">
        <f t="shared" si="2"/>
        <v>9.7303645807793977</v>
      </c>
      <c r="C35" s="2">
        <f t="shared" si="3"/>
        <v>1.6115093540682164</v>
      </c>
      <c r="D35" s="2">
        <f t="shared" si="4"/>
        <v>0.65944587508837516</v>
      </c>
      <c r="E35" s="2">
        <f t="shared" si="5"/>
        <v>0</v>
      </c>
      <c r="G35" s="2" t="s">
        <v>33</v>
      </c>
      <c r="H35" s="2" t="s">
        <v>76</v>
      </c>
      <c r="I35" s="2" t="s">
        <v>57</v>
      </c>
      <c r="J35" s="2">
        <v>1604.7511873912999</v>
      </c>
      <c r="K35" s="2">
        <v>265.77334569163838</v>
      </c>
      <c r="L35" s="2">
        <v>108.75713261132501</v>
      </c>
      <c r="M35" s="2"/>
      <c r="N35" s="2">
        <v>8.9769536999999993</v>
      </c>
      <c r="P35" s="2" t="s">
        <v>97</v>
      </c>
      <c r="Q35" s="2">
        <f>Q34</f>
        <v>164.922</v>
      </c>
      <c r="R35" s="2"/>
      <c r="S35" s="2">
        <f t="shared" si="10"/>
        <v>164.922</v>
      </c>
      <c r="U35" s="1" t="s">
        <v>33</v>
      </c>
      <c r="V35" s="2">
        <f t="shared" si="6"/>
        <v>9.7303645807793977</v>
      </c>
      <c r="W35" s="2">
        <f t="shared" si="7"/>
        <v>1.6115093540682164</v>
      </c>
      <c r="X35" s="2">
        <f t="shared" si="8"/>
        <v>0.65944587508837516</v>
      </c>
      <c r="Y35" s="2">
        <f t="shared" si="9"/>
        <v>0</v>
      </c>
    </row>
    <row r="36" spans="1:25">
      <c r="A36" s="1" t="s">
        <v>34</v>
      </c>
      <c r="B36" s="2">
        <f t="shared" si="2"/>
        <v>0</v>
      </c>
      <c r="C36" s="2">
        <f t="shared" si="3"/>
        <v>113.26194116313337</v>
      </c>
      <c r="D36" s="2">
        <f t="shared" si="4"/>
        <v>5.1024747769244794</v>
      </c>
      <c r="E36" s="2">
        <f t="shared" si="5"/>
        <v>0</v>
      </c>
      <c r="G36" s="2" t="s">
        <v>34</v>
      </c>
      <c r="H36" s="2" t="s">
        <v>76</v>
      </c>
      <c r="I36" s="2" t="s">
        <v>79</v>
      </c>
      <c r="J36" s="2"/>
      <c r="K36" s="2">
        <v>18679.385860506281</v>
      </c>
      <c r="L36" s="2">
        <v>841.51034515993899</v>
      </c>
      <c r="M36" s="2"/>
      <c r="N36" s="2"/>
      <c r="P36" s="2" t="s">
        <v>97</v>
      </c>
      <c r="Q36" s="2">
        <f>Q35</f>
        <v>164.922</v>
      </c>
      <c r="R36" s="2"/>
      <c r="S36" s="2">
        <f t="shared" si="10"/>
        <v>164.922</v>
      </c>
      <c r="U36" s="1" t="s">
        <v>34</v>
      </c>
      <c r="V36" s="2">
        <f t="shared" si="6"/>
        <v>0</v>
      </c>
      <c r="W36" s="2">
        <f t="shared" si="7"/>
        <v>113.26194116313337</v>
      </c>
      <c r="X36" s="2">
        <f t="shared" si="8"/>
        <v>5.1024747769244794</v>
      </c>
      <c r="Y36" s="2">
        <f t="shared" si="9"/>
        <v>0</v>
      </c>
    </row>
    <row r="37" spans="1:25">
      <c r="A37" s="1" t="s">
        <v>35</v>
      </c>
      <c r="B37" s="2">
        <f t="shared" si="2"/>
        <v>0</v>
      </c>
      <c r="C37" s="2">
        <f t="shared" si="3"/>
        <v>0</v>
      </c>
      <c r="D37" s="2">
        <f t="shared" si="4"/>
        <v>9.2836185179871933</v>
      </c>
      <c r="E37" s="2">
        <f t="shared" si="5"/>
        <v>0</v>
      </c>
      <c r="G37" s="2" t="s">
        <v>35</v>
      </c>
      <c r="H37" s="2" t="s">
        <v>55</v>
      </c>
      <c r="I37" s="2" t="s">
        <v>80</v>
      </c>
      <c r="J37" s="2"/>
      <c r="K37" s="2"/>
      <c r="L37" s="2">
        <v>1531.0729332234839</v>
      </c>
      <c r="M37" s="2"/>
      <c r="N37" s="2"/>
      <c r="P37" s="2" t="s">
        <v>97</v>
      </c>
      <c r="Q37" s="2">
        <f>Q36</f>
        <v>164.922</v>
      </c>
      <c r="R37" s="2"/>
      <c r="S37" s="2">
        <f t="shared" si="10"/>
        <v>164.922</v>
      </c>
      <c r="U37" s="1" t="s">
        <v>35</v>
      </c>
      <c r="V37" s="2">
        <f t="shared" si="6"/>
        <v>0</v>
      </c>
      <c r="W37" s="2">
        <f t="shared" si="7"/>
        <v>0</v>
      </c>
      <c r="X37" s="2">
        <f t="shared" si="8"/>
        <v>9.2836185179871933</v>
      </c>
      <c r="Y37" s="2">
        <f t="shared" si="9"/>
        <v>0</v>
      </c>
    </row>
    <row r="38" spans="1:25">
      <c r="A38" s="1" t="s">
        <v>36</v>
      </c>
      <c r="B38" s="2">
        <f t="shared" si="2"/>
        <v>0</v>
      </c>
      <c r="C38" s="2">
        <f t="shared" si="3"/>
        <v>0</v>
      </c>
      <c r="D38" s="2">
        <f t="shared" si="4"/>
        <v>0</v>
      </c>
      <c r="E38" s="2">
        <f t="shared" si="5"/>
        <v>0</v>
      </c>
      <c r="G38" s="2" t="s">
        <v>87</v>
      </c>
      <c r="H38" s="2" t="s">
        <v>55</v>
      </c>
      <c r="I38" s="2" t="s">
        <v>81</v>
      </c>
      <c r="J38" s="2"/>
      <c r="K38" s="2"/>
      <c r="L38" s="2"/>
      <c r="M38" s="2"/>
      <c r="N38" s="2"/>
      <c r="P38" s="2" t="s">
        <v>97</v>
      </c>
      <c r="Q38" s="2">
        <f>Q37</f>
        <v>164.922</v>
      </c>
      <c r="R38" s="2"/>
      <c r="S38" s="2">
        <f t="shared" si="10"/>
        <v>164.922</v>
      </c>
      <c r="U38" s="1" t="s">
        <v>36</v>
      </c>
      <c r="V38" s="2">
        <f t="shared" si="6"/>
        <v>0</v>
      </c>
      <c r="W38" s="2">
        <f t="shared" si="7"/>
        <v>0</v>
      </c>
      <c r="X38" s="2">
        <f t="shared" si="8"/>
        <v>0</v>
      </c>
      <c r="Y38" s="2">
        <f t="shared" si="9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8"/>
  <sheetViews>
    <sheetView topLeftCell="H1" zoomScale="70" zoomScaleNormal="70" workbookViewId="0">
      <selection activeCell="Q33" sqref="Q33"/>
    </sheetView>
  </sheetViews>
  <sheetFormatPr defaultRowHeight="14.4"/>
  <cols>
    <col min="1" max="1" width="12.77734375" bestFit="1" customWidth="1"/>
    <col min="2" max="5" width="13.33203125" bestFit="1" customWidth="1"/>
    <col min="7" max="7" width="37.6640625" bestFit="1" customWidth="1"/>
    <col min="8" max="8" width="16.77734375" bestFit="1" customWidth="1"/>
    <col min="9" max="9" width="36.6640625" bestFit="1" customWidth="1"/>
    <col min="10" max="14" width="14.44140625" bestFit="1" customWidth="1"/>
    <col min="16" max="16" width="80.6640625" bestFit="1" customWidth="1"/>
    <col min="21" max="21" width="15.44140625" bestFit="1" customWidth="1"/>
  </cols>
  <sheetData>
    <row r="1" spans="1:25" s="5" customFormat="1">
      <c r="A1" s="4"/>
      <c r="B1" s="3" t="s">
        <v>37</v>
      </c>
      <c r="C1" s="3" t="s">
        <v>38</v>
      </c>
      <c r="D1" s="3" t="s">
        <v>39</v>
      </c>
      <c r="E1" s="3" t="s">
        <v>40</v>
      </c>
      <c r="G1" s="8" t="s">
        <v>84</v>
      </c>
      <c r="H1" s="8" t="s">
        <v>85</v>
      </c>
      <c r="I1" s="8" t="s">
        <v>86</v>
      </c>
      <c r="J1" s="8" t="s">
        <v>37</v>
      </c>
      <c r="K1" s="8" t="s">
        <v>38</v>
      </c>
      <c r="L1" s="8" t="s">
        <v>39</v>
      </c>
      <c r="M1" s="8" t="s">
        <v>83</v>
      </c>
      <c r="N1" s="8" t="s">
        <v>82</v>
      </c>
      <c r="O1"/>
      <c r="P1" s="8" t="s">
        <v>98</v>
      </c>
      <c r="Q1" s="10" t="s">
        <v>100</v>
      </c>
      <c r="R1" s="10" t="s">
        <v>101</v>
      </c>
      <c r="S1" s="10" t="s">
        <v>102</v>
      </c>
      <c r="T1"/>
      <c r="U1" s="2"/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1" t="s">
        <v>0</v>
      </c>
      <c r="B2" s="6"/>
      <c r="C2" s="6"/>
      <c r="D2" s="6"/>
      <c r="E2" s="6"/>
      <c r="G2" s="2" t="s">
        <v>0</v>
      </c>
      <c r="H2" s="2" t="s">
        <v>41</v>
      </c>
      <c r="I2" s="2" t="s">
        <v>42</v>
      </c>
      <c r="J2" s="2">
        <v>5268367.9000026146</v>
      </c>
      <c r="K2" s="2">
        <v>2651.762648710227</v>
      </c>
      <c r="L2" s="2">
        <v>33369.1704521223</v>
      </c>
      <c r="M2" s="2"/>
      <c r="N2" s="2">
        <v>162051.91539389649</v>
      </c>
      <c r="P2" s="2"/>
      <c r="Q2" s="2"/>
      <c r="R2" s="2"/>
      <c r="S2" s="2"/>
      <c r="U2" s="1" t="s">
        <v>0</v>
      </c>
      <c r="V2" s="6"/>
      <c r="W2" s="6"/>
      <c r="X2" s="6"/>
      <c r="Y2" s="6"/>
    </row>
    <row r="3" spans="1:25">
      <c r="A3" s="1" t="s">
        <v>1</v>
      </c>
      <c r="B3" s="6"/>
      <c r="C3" s="6"/>
      <c r="D3" s="6"/>
      <c r="E3" s="6"/>
      <c r="G3" s="2" t="s">
        <v>1</v>
      </c>
      <c r="H3" s="2" t="s">
        <v>41</v>
      </c>
      <c r="I3" s="2" t="s">
        <v>43</v>
      </c>
      <c r="J3" s="2">
        <v>347376.5639656799</v>
      </c>
      <c r="K3" s="2">
        <v>240.36069878882128</v>
      </c>
      <c r="L3" s="2">
        <v>752.12986855125848</v>
      </c>
      <c r="M3" s="2"/>
      <c r="N3" s="2"/>
      <c r="P3" s="2"/>
      <c r="Q3" s="2"/>
      <c r="R3" s="2"/>
      <c r="S3" s="2"/>
      <c r="U3" s="1" t="s">
        <v>1</v>
      </c>
      <c r="V3" s="6"/>
      <c r="W3" s="6"/>
      <c r="X3" s="6"/>
      <c r="Y3" s="6"/>
    </row>
    <row r="4" spans="1:25">
      <c r="A4" s="1" t="s">
        <v>2</v>
      </c>
      <c r="B4" s="6"/>
      <c r="C4" s="6"/>
      <c r="D4" s="6"/>
      <c r="E4" s="6"/>
      <c r="G4" s="2" t="s">
        <v>2</v>
      </c>
      <c r="H4" s="2" t="s">
        <v>44</v>
      </c>
      <c r="I4" s="2" t="s">
        <v>45</v>
      </c>
      <c r="J4" s="2">
        <v>2788440.9524998059</v>
      </c>
      <c r="K4" s="2">
        <v>4493.9370079324808</v>
      </c>
      <c r="L4" s="2">
        <v>6568.5134381804992</v>
      </c>
      <c r="M4" s="2"/>
      <c r="N4" s="2">
        <v>104044.5952</v>
      </c>
      <c r="P4" s="2"/>
      <c r="Q4" s="2"/>
      <c r="R4" s="2"/>
      <c r="S4" s="2"/>
      <c r="U4" s="1" t="s">
        <v>2</v>
      </c>
      <c r="V4" s="6"/>
      <c r="W4" s="6"/>
      <c r="X4" s="6"/>
      <c r="Y4" s="6"/>
    </row>
    <row r="5" spans="1:25">
      <c r="A5" s="1" t="s">
        <v>3</v>
      </c>
      <c r="B5" s="6"/>
      <c r="C5" s="6"/>
      <c r="D5" s="6"/>
      <c r="E5" s="6"/>
      <c r="G5" s="2" t="s">
        <v>3</v>
      </c>
      <c r="H5" s="2" t="s">
        <v>46</v>
      </c>
      <c r="I5" s="2" t="s">
        <v>47</v>
      </c>
      <c r="J5" s="2">
        <v>81646.501085746771</v>
      </c>
      <c r="K5" s="2">
        <v>15.986727485321046</v>
      </c>
      <c r="L5" s="2">
        <v>605.21182623001096</v>
      </c>
      <c r="M5" s="2"/>
      <c r="N5" s="2"/>
      <c r="P5" s="2"/>
      <c r="Q5" s="2"/>
      <c r="R5" s="2"/>
      <c r="S5" s="2"/>
      <c r="U5" s="1" t="s">
        <v>3</v>
      </c>
      <c r="V5" s="6"/>
      <c r="W5" s="6"/>
      <c r="X5" s="6"/>
      <c r="Y5" s="6"/>
    </row>
    <row r="6" spans="1:25">
      <c r="A6" s="1" t="s">
        <v>4</v>
      </c>
      <c r="B6" s="6"/>
      <c r="C6" s="6"/>
      <c r="D6" s="6"/>
      <c r="E6" s="6"/>
      <c r="G6" s="2" t="s">
        <v>4</v>
      </c>
      <c r="H6" s="2" t="s">
        <v>46</v>
      </c>
      <c r="I6" s="2" t="s">
        <v>48</v>
      </c>
      <c r="J6" s="2">
        <v>774348.47345742688</v>
      </c>
      <c r="K6" s="2">
        <v>5059.2689596232822</v>
      </c>
      <c r="L6" s="2">
        <v>19342.673932497048</v>
      </c>
      <c r="M6" s="2"/>
      <c r="N6" s="2">
        <v>8774.642094433595</v>
      </c>
      <c r="P6" s="2"/>
      <c r="Q6" s="2"/>
      <c r="R6" s="2"/>
      <c r="S6" s="2"/>
      <c r="U6" s="1" t="s">
        <v>4</v>
      </c>
      <c r="V6" s="6"/>
      <c r="W6" s="6"/>
      <c r="X6" s="6"/>
      <c r="Y6" s="6"/>
    </row>
    <row r="7" spans="1:25">
      <c r="A7" s="1" t="s">
        <v>5</v>
      </c>
      <c r="B7" s="6"/>
      <c r="C7" s="6"/>
      <c r="D7" s="6"/>
      <c r="E7" s="6"/>
      <c r="G7" s="2" t="s">
        <v>5</v>
      </c>
      <c r="H7" s="2" t="s">
        <v>46</v>
      </c>
      <c r="I7" s="2" t="s">
        <v>49</v>
      </c>
      <c r="J7" s="2">
        <v>8456.1571148436997</v>
      </c>
      <c r="K7" s="2">
        <v>13.26053247968736</v>
      </c>
      <c r="L7" s="2">
        <v>864.90168385156255</v>
      </c>
      <c r="M7" s="2"/>
      <c r="N7" s="2"/>
      <c r="P7" s="2"/>
      <c r="Q7" s="2"/>
      <c r="R7" s="2"/>
      <c r="S7" s="2"/>
      <c r="U7" s="1" t="s">
        <v>5</v>
      </c>
      <c r="V7" s="6"/>
      <c r="W7" s="6"/>
      <c r="X7" s="6"/>
      <c r="Y7" s="6"/>
    </row>
    <row r="8" spans="1:25">
      <c r="A8" s="1" t="s">
        <v>6</v>
      </c>
      <c r="B8" s="6"/>
      <c r="C8" s="6"/>
      <c r="D8" s="6"/>
      <c r="E8" s="6"/>
      <c r="G8" s="2" t="s">
        <v>6</v>
      </c>
      <c r="H8" s="2" t="s">
        <v>46</v>
      </c>
      <c r="I8" s="2" t="s">
        <v>50</v>
      </c>
      <c r="J8" s="2">
        <v>76740.283462499996</v>
      </c>
      <c r="K8" s="2">
        <v>199.533114375</v>
      </c>
      <c r="L8" s="2">
        <v>539.55382968750007</v>
      </c>
      <c r="M8" s="2"/>
      <c r="N8" s="2"/>
      <c r="P8" s="2"/>
      <c r="Q8" s="2"/>
      <c r="R8" s="2"/>
      <c r="S8" s="2"/>
      <c r="U8" s="1" t="s">
        <v>6</v>
      </c>
      <c r="V8" s="6"/>
      <c r="W8" s="6"/>
      <c r="X8" s="6"/>
      <c r="Y8" s="6"/>
    </row>
    <row r="9" spans="1:25">
      <c r="A9" s="1" t="s">
        <v>7</v>
      </c>
      <c r="B9" s="6"/>
      <c r="C9" s="6"/>
      <c r="D9" s="6"/>
      <c r="E9" s="6"/>
      <c r="G9" s="2" t="s">
        <v>7</v>
      </c>
      <c r="H9" s="2" t="s">
        <v>46</v>
      </c>
      <c r="I9" s="2" t="s">
        <v>51</v>
      </c>
      <c r="J9" s="2">
        <v>6617.4010628279002</v>
      </c>
      <c r="K9" s="2">
        <v>6.8141043156566798</v>
      </c>
      <c r="L9" s="2">
        <v>12.38849583657716</v>
      </c>
      <c r="M9" s="2"/>
      <c r="N9" s="2"/>
      <c r="P9" s="2"/>
      <c r="Q9" s="2"/>
      <c r="R9" s="2"/>
      <c r="S9" s="2"/>
      <c r="U9" s="1" t="s">
        <v>7</v>
      </c>
      <c r="V9" s="6"/>
      <c r="W9" s="6"/>
      <c r="X9" s="6"/>
      <c r="Y9" s="6"/>
    </row>
    <row r="10" spans="1:25">
      <c r="A10" s="1" t="s">
        <v>8</v>
      </c>
      <c r="B10" s="6"/>
      <c r="C10" s="6"/>
      <c r="D10" s="6"/>
      <c r="E10" s="6"/>
      <c r="G10" s="2" t="s">
        <v>8</v>
      </c>
      <c r="H10" s="2" t="s">
        <v>52</v>
      </c>
      <c r="I10" s="2" t="s">
        <v>53</v>
      </c>
      <c r="J10" s="2">
        <v>560242.70281609253</v>
      </c>
      <c r="K10" s="2">
        <v>68584.085082761652</v>
      </c>
      <c r="L10" s="2">
        <v>9218.4655645319399</v>
      </c>
      <c r="M10" s="2"/>
      <c r="N10" s="2">
        <v>323878.73621884763</v>
      </c>
      <c r="P10" s="2"/>
      <c r="Q10" s="2"/>
      <c r="R10" s="2"/>
      <c r="S10" s="2"/>
      <c r="U10" s="1" t="s">
        <v>8</v>
      </c>
      <c r="V10" s="6"/>
      <c r="W10" s="6"/>
      <c r="X10" s="6"/>
      <c r="Y10" s="6"/>
    </row>
    <row r="11" spans="1:25">
      <c r="A11" s="1" t="s">
        <v>9</v>
      </c>
      <c r="B11" s="6"/>
      <c r="C11" s="6"/>
      <c r="D11" s="6"/>
      <c r="E11" s="6"/>
      <c r="G11" s="2" t="s">
        <v>9</v>
      </c>
      <c r="H11" s="2" t="s">
        <v>54</v>
      </c>
      <c r="I11" s="2" t="s">
        <v>55</v>
      </c>
      <c r="J11" s="2">
        <v>62496.338227250999</v>
      </c>
      <c r="K11" s="2">
        <v>5127.6445482765994</v>
      </c>
      <c r="L11" s="2">
        <v>736.19612257939445</v>
      </c>
      <c r="M11" s="2"/>
      <c r="N11" s="2"/>
      <c r="P11" s="2"/>
      <c r="Q11" s="2"/>
      <c r="R11" s="2"/>
      <c r="S11" s="2"/>
      <c r="U11" s="1" t="s">
        <v>9</v>
      </c>
      <c r="V11" s="6"/>
      <c r="W11" s="6"/>
      <c r="X11" s="6"/>
      <c r="Y11" s="6"/>
    </row>
    <row r="12" spans="1:25">
      <c r="A12" s="1" t="s">
        <v>10</v>
      </c>
      <c r="B12" s="2">
        <f>V12</f>
        <v>9917.2242245940161</v>
      </c>
      <c r="C12" s="2">
        <f t="shared" ref="C12:E27" si="0">W12</f>
        <v>19654.706834933175</v>
      </c>
      <c r="D12" s="2">
        <f t="shared" si="0"/>
        <v>0</v>
      </c>
      <c r="E12" s="2">
        <f t="shared" si="0"/>
        <v>0</v>
      </c>
      <c r="G12" s="2" t="s">
        <v>10</v>
      </c>
      <c r="H12" s="2" t="s">
        <v>56</v>
      </c>
      <c r="I12" s="2" t="s">
        <v>57</v>
      </c>
      <c r="J12" s="2">
        <v>319452.63500020001</v>
      </c>
      <c r="K12" s="2">
        <v>633115.45109618397</v>
      </c>
      <c r="L12" s="2"/>
      <c r="M12" s="2"/>
      <c r="N12" s="2"/>
      <c r="P12" s="2" t="s">
        <v>88</v>
      </c>
      <c r="Q12" s="2">
        <v>32.2119</v>
      </c>
      <c r="R12" s="2"/>
      <c r="S12" s="2">
        <f>SUM(Q12:R12)</f>
        <v>32.2119</v>
      </c>
      <c r="U12" s="1" t="s">
        <v>10</v>
      </c>
      <c r="V12" s="2">
        <f>J12/$S12</f>
        <v>9917.2242245940161</v>
      </c>
      <c r="W12" s="2">
        <f t="shared" ref="W12:Y27" si="1">K12/$S12</f>
        <v>19654.706834933175</v>
      </c>
      <c r="X12" s="2">
        <f t="shared" si="1"/>
        <v>0</v>
      </c>
      <c r="Y12" s="2">
        <f t="shared" si="1"/>
        <v>0</v>
      </c>
    </row>
    <row r="13" spans="1:25">
      <c r="A13" s="1" t="s">
        <v>11</v>
      </c>
      <c r="B13" s="2">
        <f t="shared" ref="B13:E38" si="2">V13</f>
        <v>138.61193274337512</v>
      </c>
      <c r="C13" s="2">
        <f t="shared" si="0"/>
        <v>2918.7443205087998</v>
      </c>
      <c r="D13" s="2">
        <f t="shared" si="0"/>
        <v>0.57275530194649582</v>
      </c>
      <c r="E13" s="2">
        <f t="shared" si="0"/>
        <v>0</v>
      </c>
      <c r="G13" s="2" t="s">
        <v>11</v>
      </c>
      <c r="H13" s="2" t="s">
        <v>56</v>
      </c>
      <c r="I13" s="2" t="s">
        <v>58</v>
      </c>
      <c r="J13" s="2">
        <v>4495.8087325650004</v>
      </c>
      <c r="K13" s="2">
        <v>94668.012663542671</v>
      </c>
      <c r="L13" s="2">
        <v>18.577031840983619</v>
      </c>
      <c r="M13" s="2"/>
      <c r="N13" s="2">
        <v>8774.642094433595</v>
      </c>
      <c r="P13" s="2" t="s">
        <v>99</v>
      </c>
      <c r="Q13">
        <v>29.3127</v>
      </c>
      <c r="R13">
        <v>3.1217999999999999</v>
      </c>
      <c r="S13" s="2">
        <f>SUM(Q13:R13)</f>
        <v>32.4345</v>
      </c>
      <c r="U13" s="1" t="s">
        <v>11</v>
      </c>
      <c r="V13" s="2">
        <f t="shared" ref="V13:Y38" si="3">J13/$S13</f>
        <v>138.61193274337512</v>
      </c>
      <c r="W13" s="2">
        <f t="shared" si="1"/>
        <v>2918.7443205087998</v>
      </c>
      <c r="X13" s="2">
        <f t="shared" si="1"/>
        <v>0.57275530194649582</v>
      </c>
      <c r="Y13" s="2">
        <f t="shared" si="1"/>
        <v>0</v>
      </c>
    </row>
    <row r="14" spans="1:25">
      <c r="A14" s="1" t="s">
        <v>12</v>
      </c>
      <c r="B14" s="2">
        <f t="shared" si="2"/>
        <v>7393.9945098869484</v>
      </c>
      <c r="C14" s="2">
        <f t="shared" si="0"/>
        <v>0</v>
      </c>
      <c r="D14" s="2">
        <f t="shared" si="0"/>
        <v>0</v>
      </c>
      <c r="E14" s="2">
        <f t="shared" si="0"/>
        <v>0</v>
      </c>
      <c r="G14" s="2" t="s">
        <v>12</v>
      </c>
      <c r="H14" s="2" t="s">
        <v>44</v>
      </c>
      <c r="I14" s="2" t="s">
        <v>59</v>
      </c>
      <c r="J14" s="2">
        <v>790728.56087633001</v>
      </c>
      <c r="K14" s="2"/>
      <c r="L14" s="2"/>
      <c r="M14" s="2"/>
      <c r="N14" s="2"/>
      <c r="P14" s="2" t="s">
        <v>89</v>
      </c>
      <c r="Q14" s="2">
        <v>106.94199999999999</v>
      </c>
      <c r="R14" s="2"/>
      <c r="S14" s="2">
        <f t="shared" ref="S14:S38" si="4">SUM(Q14:R14)</f>
        <v>106.94199999999999</v>
      </c>
      <c r="U14" s="1" t="s">
        <v>12</v>
      </c>
      <c r="V14" s="2">
        <f t="shared" si="3"/>
        <v>7393.9945098869484</v>
      </c>
      <c r="W14" s="2">
        <f t="shared" si="1"/>
        <v>0</v>
      </c>
      <c r="X14" s="2">
        <f t="shared" si="1"/>
        <v>0</v>
      </c>
      <c r="Y14" s="2">
        <f t="shared" si="1"/>
        <v>0</v>
      </c>
    </row>
    <row r="15" spans="1:25">
      <c r="A15" s="1" t="s">
        <v>13</v>
      </c>
      <c r="B15" s="2">
        <f t="shared" si="2"/>
        <v>2174.0756671840813</v>
      </c>
      <c r="C15" s="2">
        <f t="shared" si="0"/>
        <v>0</v>
      </c>
      <c r="D15" s="2">
        <f t="shared" si="0"/>
        <v>0</v>
      </c>
      <c r="E15" s="2">
        <f t="shared" si="0"/>
        <v>0</v>
      </c>
      <c r="G15" s="2" t="s">
        <v>13</v>
      </c>
      <c r="H15" s="2" t="s">
        <v>44</v>
      </c>
      <c r="I15" s="2" t="s">
        <v>59</v>
      </c>
      <c r="J15" s="2">
        <v>232500</v>
      </c>
      <c r="K15" s="2"/>
      <c r="L15" s="2"/>
      <c r="M15" s="2"/>
      <c r="N15" s="2"/>
      <c r="P15" s="2" t="s">
        <v>89</v>
      </c>
      <c r="Q15" s="2">
        <f>Q14</f>
        <v>106.94199999999999</v>
      </c>
      <c r="R15" s="2"/>
      <c r="S15" s="2">
        <f t="shared" si="4"/>
        <v>106.94199999999999</v>
      </c>
      <c r="U15" s="1" t="s">
        <v>13</v>
      </c>
      <c r="V15" s="2">
        <f t="shared" si="3"/>
        <v>2174.0756671840813</v>
      </c>
      <c r="W15" s="2">
        <f t="shared" si="1"/>
        <v>0</v>
      </c>
      <c r="X15" s="2">
        <f t="shared" si="1"/>
        <v>0</v>
      </c>
      <c r="Y15" s="2">
        <f t="shared" si="1"/>
        <v>0</v>
      </c>
    </row>
    <row r="16" spans="1:25">
      <c r="A16" s="1" t="s">
        <v>14</v>
      </c>
      <c r="B16" s="2">
        <f t="shared" si="2"/>
        <v>13.036408568144477</v>
      </c>
      <c r="C16" s="2">
        <f t="shared" si="0"/>
        <v>0</v>
      </c>
      <c r="D16" s="2">
        <f t="shared" si="0"/>
        <v>0</v>
      </c>
      <c r="E16" s="2">
        <f t="shared" si="0"/>
        <v>0</v>
      </c>
      <c r="G16" s="2" t="s">
        <v>14</v>
      </c>
      <c r="H16" s="2" t="s">
        <v>44</v>
      </c>
      <c r="I16" s="2" t="s">
        <v>59</v>
      </c>
      <c r="J16" s="2">
        <v>1394.1396050945066</v>
      </c>
      <c r="K16" s="2"/>
      <c r="L16" s="2"/>
      <c r="M16" s="2"/>
      <c r="N16" s="2"/>
      <c r="P16" s="2" t="s">
        <v>89</v>
      </c>
      <c r="Q16" s="2">
        <f>Q15</f>
        <v>106.94199999999999</v>
      </c>
      <c r="R16" s="2"/>
      <c r="S16" s="2">
        <f t="shared" si="4"/>
        <v>106.94199999999999</v>
      </c>
      <c r="U16" s="1" t="s">
        <v>14</v>
      </c>
      <c r="V16" s="2">
        <f t="shared" si="3"/>
        <v>13.036408568144477</v>
      </c>
      <c r="W16" s="2">
        <f t="shared" si="1"/>
        <v>0</v>
      </c>
      <c r="X16" s="2">
        <f t="shared" si="1"/>
        <v>0</v>
      </c>
      <c r="Y16" s="2">
        <f t="shared" si="1"/>
        <v>0</v>
      </c>
    </row>
    <row r="17" spans="1:25">
      <c r="A17" s="1" t="s">
        <v>15</v>
      </c>
      <c r="B17" s="2">
        <f t="shared" si="2"/>
        <v>733.07189145047221</v>
      </c>
      <c r="C17" s="2">
        <f t="shared" si="0"/>
        <v>0</v>
      </c>
      <c r="D17" s="2">
        <f t="shared" si="0"/>
        <v>0</v>
      </c>
      <c r="E17" s="2">
        <f t="shared" si="0"/>
        <v>0</v>
      </c>
      <c r="G17" s="2" t="s">
        <v>15</v>
      </c>
      <c r="H17" s="2" t="s">
        <v>44</v>
      </c>
      <c r="I17" s="2" t="s">
        <v>60</v>
      </c>
      <c r="J17" s="2">
        <v>34588.970897442501</v>
      </c>
      <c r="K17" s="2"/>
      <c r="L17" s="2"/>
      <c r="M17" s="2"/>
      <c r="N17" s="2"/>
      <c r="P17" s="2" t="s">
        <v>90</v>
      </c>
      <c r="Q17" s="2">
        <v>47.183599999999998</v>
      </c>
      <c r="R17" s="2"/>
      <c r="S17" s="2">
        <f t="shared" si="4"/>
        <v>47.183599999999998</v>
      </c>
      <c r="U17" s="1" t="s">
        <v>15</v>
      </c>
      <c r="V17" s="2">
        <f t="shared" si="3"/>
        <v>733.07189145047221</v>
      </c>
      <c r="W17" s="2">
        <f t="shared" si="1"/>
        <v>0</v>
      </c>
      <c r="X17" s="2">
        <f t="shared" si="1"/>
        <v>0</v>
      </c>
      <c r="Y17" s="2">
        <f t="shared" si="1"/>
        <v>0</v>
      </c>
    </row>
    <row r="18" spans="1:25">
      <c r="A18" s="1" t="s">
        <v>16</v>
      </c>
      <c r="B18" s="2">
        <f t="shared" si="2"/>
        <v>4244.5396402302922</v>
      </c>
      <c r="C18" s="2">
        <f t="shared" si="0"/>
        <v>84.450341091669145</v>
      </c>
      <c r="D18" s="2">
        <f t="shared" si="0"/>
        <v>213.97596592099799</v>
      </c>
      <c r="E18" s="2">
        <f t="shared" si="0"/>
        <v>2046.1842956733549</v>
      </c>
      <c r="G18" s="2" t="s">
        <v>16</v>
      </c>
      <c r="H18" s="2" t="s">
        <v>44</v>
      </c>
      <c r="I18" s="2" t="s">
        <v>61</v>
      </c>
      <c r="J18" s="2">
        <v>200272.66056876999</v>
      </c>
      <c r="K18" s="2">
        <v>3984.67111393288</v>
      </c>
      <c r="L18" s="2">
        <v>10096.15638563</v>
      </c>
      <c r="M18" s="2">
        <v>96546.341333333301</v>
      </c>
      <c r="N18" s="2"/>
      <c r="P18" s="2" t="s">
        <v>90</v>
      </c>
      <c r="Q18" s="2">
        <f>Q17</f>
        <v>47.183599999999998</v>
      </c>
      <c r="R18" s="2"/>
      <c r="S18" s="2">
        <f t="shared" si="4"/>
        <v>47.183599999999998</v>
      </c>
      <c r="U18" s="1" t="s">
        <v>16</v>
      </c>
      <c r="V18" s="2">
        <f t="shared" si="3"/>
        <v>4244.5396402302922</v>
      </c>
      <c r="W18" s="2">
        <f t="shared" si="1"/>
        <v>84.450341091669145</v>
      </c>
      <c r="X18" s="2">
        <f t="shared" si="1"/>
        <v>213.97596592099799</v>
      </c>
      <c r="Y18" s="2">
        <f t="shared" si="1"/>
        <v>2046.1842956733549</v>
      </c>
    </row>
    <row r="19" spans="1:25">
      <c r="A19" s="1" t="s">
        <v>17</v>
      </c>
      <c r="B19" s="2">
        <f t="shared" si="2"/>
        <v>2388.1424850382518</v>
      </c>
      <c r="C19" s="2">
        <f t="shared" si="0"/>
        <v>30.14103058830095</v>
      </c>
      <c r="D19" s="2">
        <f t="shared" si="0"/>
        <v>0</v>
      </c>
      <c r="E19" s="2">
        <f t="shared" si="0"/>
        <v>194.03404410181633</v>
      </c>
      <c r="G19" s="2" t="s">
        <v>17</v>
      </c>
      <c r="H19" s="2" t="s">
        <v>44</v>
      </c>
      <c r="I19" s="2" t="s">
        <v>62</v>
      </c>
      <c r="J19" s="2">
        <v>231934.01000442999</v>
      </c>
      <c r="K19" s="2">
        <v>2927.2667497051998</v>
      </c>
      <c r="L19" s="2"/>
      <c r="M19" s="2">
        <v>18844.392329124301</v>
      </c>
      <c r="N19" s="2"/>
      <c r="P19" s="2" t="s">
        <v>92</v>
      </c>
      <c r="Q19" s="2">
        <v>97.119</v>
      </c>
      <c r="R19" s="2"/>
      <c r="S19" s="2">
        <f t="shared" si="4"/>
        <v>97.119</v>
      </c>
      <c r="U19" s="1" t="s">
        <v>17</v>
      </c>
      <c r="V19" s="2">
        <f t="shared" si="3"/>
        <v>2388.1424850382518</v>
      </c>
      <c r="W19" s="2">
        <f t="shared" si="1"/>
        <v>30.14103058830095</v>
      </c>
      <c r="X19" s="2">
        <f t="shared" si="1"/>
        <v>0</v>
      </c>
      <c r="Y19" s="2">
        <f t="shared" si="1"/>
        <v>194.03404410181633</v>
      </c>
    </row>
    <row r="20" spans="1:25">
      <c r="A20" s="1" t="s">
        <v>18</v>
      </c>
      <c r="B20" s="2">
        <f t="shared" si="2"/>
        <v>503.4215724420888</v>
      </c>
      <c r="C20" s="2">
        <f t="shared" si="0"/>
        <v>0</v>
      </c>
      <c r="D20" s="2">
        <f t="shared" si="0"/>
        <v>0</v>
      </c>
      <c r="E20" s="2">
        <f t="shared" si="0"/>
        <v>0</v>
      </c>
      <c r="G20" s="2" t="s">
        <v>18</v>
      </c>
      <c r="H20" s="2" t="s">
        <v>56</v>
      </c>
      <c r="I20" s="2" t="s">
        <v>63</v>
      </c>
      <c r="J20" s="2">
        <v>23753.242105478541</v>
      </c>
      <c r="K20" s="2"/>
      <c r="L20" s="2"/>
      <c r="M20" s="2"/>
      <c r="N20" s="2"/>
      <c r="P20" s="2" t="s">
        <v>90</v>
      </c>
      <c r="Q20" s="2">
        <f>Q18</f>
        <v>47.183599999999998</v>
      </c>
      <c r="R20" s="2"/>
      <c r="S20" s="2">
        <f t="shared" si="4"/>
        <v>47.183599999999998</v>
      </c>
      <c r="U20" s="1" t="s">
        <v>18</v>
      </c>
      <c r="V20" s="2">
        <f t="shared" si="3"/>
        <v>503.4215724420888</v>
      </c>
      <c r="W20" s="2">
        <f t="shared" si="1"/>
        <v>0</v>
      </c>
      <c r="X20" s="2">
        <f t="shared" si="1"/>
        <v>0</v>
      </c>
      <c r="Y20" s="2">
        <f t="shared" si="1"/>
        <v>0</v>
      </c>
    </row>
    <row r="21" spans="1:25">
      <c r="A21" s="1" t="s">
        <v>19</v>
      </c>
      <c r="B21" s="2">
        <f t="shared" si="2"/>
        <v>0</v>
      </c>
      <c r="C21" s="2">
        <f t="shared" si="0"/>
        <v>0</v>
      </c>
      <c r="D21" s="2">
        <f t="shared" si="0"/>
        <v>0</v>
      </c>
      <c r="E21" s="2">
        <f t="shared" si="0"/>
        <v>20.411306667804087</v>
      </c>
      <c r="G21" s="2" t="s">
        <v>19</v>
      </c>
      <c r="H21" s="2" t="s">
        <v>44</v>
      </c>
      <c r="I21" s="2" t="s">
        <v>64</v>
      </c>
      <c r="J21" s="2"/>
      <c r="K21" s="2"/>
      <c r="L21" s="2"/>
      <c r="M21" s="2">
        <v>10170.117248993398</v>
      </c>
      <c r="N21" s="2"/>
      <c r="P21" s="2" t="s">
        <v>94</v>
      </c>
      <c r="Q21" s="2">
        <v>498.25900000000001</v>
      </c>
      <c r="R21" s="2"/>
      <c r="S21" s="2">
        <f t="shared" si="4"/>
        <v>498.25900000000001</v>
      </c>
      <c r="U21" s="1" t="s">
        <v>19</v>
      </c>
      <c r="V21" s="2">
        <f t="shared" si="3"/>
        <v>0</v>
      </c>
      <c r="W21" s="2">
        <f t="shared" si="1"/>
        <v>0</v>
      </c>
      <c r="X21" s="2">
        <f t="shared" si="1"/>
        <v>0</v>
      </c>
      <c r="Y21" s="2">
        <f t="shared" si="1"/>
        <v>20.411306667804087</v>
      </c>
    </row>
    <row r="22" spans="1:25">
      <c r="A22" s="1" t="s">
        <v>20</v>
      </c>
      <c r="B22" s="2">
        <f t="shared" si="2"/>
        <v>0</v>
      </c>
      <c r="C22" s="2">
        <f t="shared" si="0"/>
        <v>0</v>
      </c>
      <c r="D22" s="2">
        <f t="shared" si="0"/>
        <v>0</v>
      </c>
      <c r="E22" s="2">
        <f t="shared" si="0"/>
        <v>358.54468276811861</v>
      </c>
      <c r="G22" s="2" t="s">
        <v>20</v>
      </c>
      <c r="H22" s="2" t="s">
        <v>44</v>
      </c>
      <c r="I22" s="2" t="s">
        <v>65</v>
      </c>
      <c r="J22" s="2"/>
      <c r="K22" s="2"/>
      <c r="L22" s="2"/>
      <c r="M22" s="2">
        <v>178648.11509136</v>
      </c>
      <c r="N22" s="2"/>
      <c r="P22" s="2" t="s">
        <v>94</v>
      </c>
      <c r="Q22" s="2">
        <f>Q21</f>
        <v>498.25900000000001</v>
      </c>
      <c r="R22" s="2"/>
      <c r="S22" s="2">
        <f t="shared" si="4"/>
        <v>498.25900000000001</v>
      </c>
      <c r="U22" s="1" t="s">
        <v>20</v>
      </c>
      <c r="V22" s="2">
        <f t="shared" si="3"/>
        <v>0</v>
      </c>
      <c r="W22" s="2">
        <f t="shared" si="1"/>
        <v>0</v>
      </c>
      <c r="X22" s="2">
        <f t="shared" si="1"/>
        <v>0</v>
      </c>
      <c r="Y22" s="2">
        <f t="shared" si="1"/>
        <v>358.54468276811861</v>
      </c>
    </row>
    <row r="23" spans="1:25">
      <c r="A23" s="1" t="s">
        <v>21</v>
      </c>
      <c r="B23" s="2">
        <f t="shared" si="2"/>
        <v>0</v>
      </c>
      <c r="C23" s="2">
        <f t="shared" si="0"/>
        <v>0</v>
      </c>
      <c r="D23" s="2">
        <f t="shared" si="0"/>
        <v>0.22878776160002604</v>
      </c>
      <c r="E23" s="2">
        <f t="shared" si="0"/>
        <v>190.39097470726401</v>
      </c>
      <c r="G23" s="2" t="s">
        <v>21</v>
      </c>
      <c r="H23" s="2" t="s">
        <v>44</v>
      </c>
      <c r="I23" s="2" t="s">
        <v>60</v>
      </c>
      <c r="J23" s="2"/>
      <c r="K23" s="2"/>
      <c r="L23" s="2">
        <v>113.99556130706738</v>
      </c>
      <c r="M23" s="2">
        <v>94864.016666666663</v>
      </c>
      <c r="N23" s="2"/>
      <c r="P23" s="2" t="s">
        <v>94</v>
      </c>
      <c r="Q23" s="2">
        <f>Q22</f>
        <v>498.25900000000001</v>
      </c>
      <c r="R23" s="2"/>
      <c r="S23" s="2">
        <f t="shared" si="4"/>
        <v>498.25900000000001</v>
      </c>
      <c r="U23" s="1" t="s">
        <v>21</v>
      </c>
      <c r="V23" s="2">
        <f t="shared" si="3"/>
        <v>0</v>
      </c>
      <c r="W23" s="2">
        <f t="shared" si="1"/>
        <v>0</v>
      </c>
      <c r="X23" s="2">
        <f t="shared" si="1"/>
        <v>0.22878776160002604</v>
      </c>
      <c r="Y23" s="2">
        <f t="shared" si="1"/>
        <v>190.39097470726401</v>
      </c>
    </row>
    <row r="24" spans="1:25">
      <c r="A24" s="1" t="s">
        <v>22</v>
      </c>
      <c r="B24" s="2">
        <f t="shared" si="2"/>
        <v>0</v>
      </c>
      <c r="C24" s="2">
        <f t="shared" si="0"/>
        <v>1212.5957820773576</v>
      </c>
      <c r="D24" s="2">
        <f t="shared" si="0"/>
        <v>0</v>
      </c>
      <c r="E24" s="2">
        <f t="shared" si="0"/>
        <v>0</v>
      </c>
      <c r="G24" s="2" t="s">
        <v>22</v>
      </c>
      <c r="H24" s="2" t="s">
        <v>66</v>
      </c>
      <c r="I24" s="2" t="s">
        <v>67</v>
      </c>
      <c r="J24" s="2"/>
      <c r="K24" s="2">
        <v>195312.8026192</v>
      </c>
      <c r="L24" s="2"/>
      <c r="M24" s="2"/>
      <c r="N24" s="2"/>
      <c r="P24" s="2" t="s">
        <v>96</v>
      </c>
      <c r="Q24" s="2">
        <v>161.07</v>
      </c>
      <c r="R24" s="2"/>
      <c r="S24" s="2">
        <f t="shared" si="4"/>
        <v>161.07</v>
      </c>
      <c r="U24" s="1" t="s">
        <v>22</v>
      </c>
      <c r="V24" s="2">
        <f t="shared" si="3"/>
        <v>0</v>
      </c>
      <c r="W24" s="2">
        <f t="shared" si="1"/>
        <v>1212.5957820773576</v>
      </c>
      <c r="X24" s="2">
        <f t="shared" si="1"/>
        <v>0</v>
      </c>
      <c r="Y24" s="2">
        <f t="shared" si="1"/>
        <v>0</v>
      </c>
    </row>
    <row r="25" spans="1:25">
      <c r="A25" s="1" t="s">
        <v>23</v>
      </c>
      <c r="B25" s="2">
        <f t="shared" si="2"/>
        <v>0</v>
      </c>
      <c r="C25" s="2">
        <f t="shared" si="0"/>
        <v>192.23177650110387</v>
      </c>
      <c r="D25" s="2">
        <f t="shared" si="0"/>
        <v>123.78163965708953</v>
      </c>
      <c r="E25" s="2">
        <f t="shared" si="0"/>
        <v>0</v>
      </c>
      <c r="G25" s="2" t="s">
        <v>23</v>
      </c>
      <c r="H25" s="2" t="s">
        <v>66</v>
      </c>
      <c r="I25" s="2" t="s">
        <v>68</v>
      </c>
      <c r="J25" s="2"/>
      <c r="K25" s="2">
        <v>30962.772241032799</v>
      </c>
      <c r="L25" s="2">
        <v>19937.50869956741</v>
      </c>
      <c r="M25" s="2"/>
      <c r="N25" s="2"/>
      <c r="P25" s="2" t="s">
        <v>96</v>
      </c>
      <c r="Q25" s="2">
        <f>Q24</f>
        <v>161.07</v>
      </c>
      <c r="R25" s="2"/>
      <c r="S25" s="2">
        <f t="shared" si="4"/>
        <v>161.07</v>
      </c>
      <c r="U25" s="1" t="s">
        <v>23</v>
      </c>
      <c r="V25" s="2">
        <f t="shared" si="3"/>
        <v>0</v>
      </c>
      <c r="W25" s="2">
        <f t="shared" si="1"/>
        <v>192.23177650110387</v>
      </c>
      <c r="X25" s="2">
        <f t="shared" si="1"/>
        <v>123.78163965708953</v>
      </c>
      <c r="Y25" s="2">
        <f t="shared" si="1"/>
        <v>0</v>
      </c>
    </row>
    <row r="26" spans="1:25">
      <c r="A26" s="1" t="s">
        <v>24</v>
      </c>
      <c r="B26" s="2">
        <f t="shared" si="2"/>
        <v>0</v>
      </c>
      <c r="C26" s="2">
        <f t="shared" si="0"/>
        <v>65.96903489100977</v>
      </c>
      <c r="D26" s="2">
        <f t="shared" si="0"/>
        <v>16.186846524182908</v>
      </c>
      <c r="E26" s="2">
        <f t="shared" si="0"/>
        <v>0</v>
      </c>
      <c r="G26" s="2" t="s">
        <v>24</v>
      </c>
      <c r="H26" s="2" t="s">
        <v>66</v>
      </c>
      <c r="I26" s="2" t="s">
        <v>69</v>
      </c>
      <c r="J26" s="2"/>
      <c r="K26" s="2">
        <v>10625.632449894943</v>
      </c>
      <c r="L26" s="2">
        <v>2607.2153696501409</v>
      </c>
      <c r="M26" s="2"/>
      <c r="N26" s="2">
        <v>212934.30107924982</v>
      </c>
      <c r="P26" s="2" t="s">
        <v>96</v>
      </c>
      <c r="Q26" s="2">
        <f>Q25</f>
        <v>161.07</v>
      </c>
      <c r="R26" s="2"/>
      <c r="S26" s="2">
        <f t="shared" si="4"/>
        <v>161.07</v>
      </c>
      <c r="U26" s="1" t="s">
        <v>24</v>
      </c>
      <c r="V26" s="2">
        <f t="shared" si="3"/>
        <v>0</v>
      </c>
      <c r="W26" s="2">
        <f t="shared" si="1"/>
        <v>65.96903489100977</v>
      </c>
      <c r="X26" s="2">
        <f t="shared" si="1"/>
        <v>16.186846524182908</v>
      </c>
      <c r="Y26" s="2">
        <f t="shared" si="1"/>
        <v>0</v>
      </c>
    </row>
    <row r="27" spans="1:25">
      <c r="A27" s="1" t="s">
        <v>25</v>
      </c>
      <c r="B27" s="2">
        <f t="shared" si="2"/>
        <v>23.512403658829701</v>
      </c>
      <c r="C27" s="2">
        <f t="shared" si="0"/>
        <v>0</v>
      </c>
      <c r="D27" s="2">
        <f t="shared" si="0"/>
        <v>0</v>
      </c>
      <c r="E27" s="2">
        <f t="shared" si="0"/>
        <v>0</v>
      </c>
      <c r="G27" s="2" t="s">
        <v>25</v>
      </c>
      <c r="H27" s="2" t="s">
        <v>66</v>
      </c>
      <c r="I27" s="2" t="s">
        <v>70</v>
      </c>
      <c r="J27" s="2">
        <v>3787.1428573276999</v>
      </c>
      <c r="K27" s="2"/>
      <c r="L27" s="2"/>
      <c r="M27" s="2"/>
      <c r="N27" s="2"/>
      <c r="P27" s="2" t="s">
        <v>96</v>
      </c>
      <c r="Q27" s="2">
        <f>Q26</f>
        <v>161.07</v>
      </c>
      <c r="R27" s="2"/>
      <c r="S27" s="2">
        <f t="shared" si="4"/>
        <v>161.07</v>
      </c>
      <c r="U27" s="1" t="s">
        <v>25</v>
      </c>
      <c r="V27" s="2">
        <f t="shared" si="3"/>
        <v>23.512403658829701</v>
      </c>
      <c r="W27" s="2">
        <f t="shared" si="1"/>
        <v>0</v>
      </c>
      <c r="X27" s="2">
        <f t="shared" si="1"/>
        <v>0</v>
      </c>
      <c r="Y27" s="2">
        <f t="shared" si="1"/>
        <v>0</v>
      </c>
    </row>
    <row r="28" spans="1:25">
      <c r="A28" s="1" t="s">
        <v>26</v>
      </c>
      <c r="B28" s="2">
        <f t="shared" si="2"/>
        <v>82.850475849717526</v>
      </c>
      <c r="C28" s="2">
        <f t="shared" si="2"/>
        <v>0</v>
      </c>
      <c r="D28" s="2">
        <f t="shared" si="2"/>
        <v>0</v>
      </c>
      <c r="E28" s="2">
        <f t="shared" si="2"/>
        <v>0</v>
      </c>
      <c r="G28" s="2" t="s">
        <v>26</v>
      </c>
      <c r="H28" s="2" t="s">
        <v>66</v>
      </c>
      <c r="I28" s="2" t="s">
        <v>71</v>
      </c>
      <c r="J28" s="2">
        <v>13344.726145114</v>
      </c>
      <c r="K28" s="2"/>
      <c r="L28" s="2"/>
      <c r="M28" s="2"/>
      <c r="N28" s="2"/>
      <c r="P28" s="2" t="s">
        <v>96</v>
      </c>
      <c r="Q28" s="2">
        <f>Q27</f>
        <v>161.07</v>
      </c>
      <c r="R28" s="2"/>
      <c r="S28" s="2">
        <f t="shared" si="4"/>
        <v>161.07</v>
      </c>
      <c r="U28" s="1" t="s">
        <v>26</v>
      </c>
      <c r="V28" s="2">
        <f t="shared" si="3"/>
        <v>82.850475849717526</v>
      </c>
      <c r="W28" s="2">
        <f t="shared" si="3"/>
        <v>0</v>
      </c>
      <c r="X28" s="2">
        <f t="shared" si="3"/>
        <v>0</v>
      </c>
      <c r="Y28" s="2">
        <f t="shared" si="3"/>
        <v>0</v>
      </c>
    </row>
    <row r="29" spans="1:25">
      <c r="A29" s="1" t="s">
        <v>27</v>
      </c>
      <c r="B29" s="2">
        <f t="shared" si="2"/>
        <v>0</v>
      </c>
      <c r="C29" s="2">
        <f t="shared" si="2"/>
        <v>0</v>
      </c>
      <c r="D29" s="2">
        <f t="shared" si="2"/>
        <v>1153.021954348447</v>
      </c>
      <c r="E29" s="2">
        <f t="shared" si="2"/>
        <v>0</v>
      </c>
      <c r="G29" s="2" t="s">
        <v>27</v>
      </c>
      <c r="H29" s="2" t="s">
        <v>55</v>
      </c>
      <c r="I29" s="2" t="s">
        <v>72</v>
      </c>
      <c r="J29" s="2"/>
      <c r="K29" s="2"/>
      <c r="L29" s="2">
        <v>185717.24618690435</v>
      </c>
      <c r="M29" s="2"/>
      <c r="N29" s="2"/>
      <c r="P29" s="2" t="s">
        <v>96</v>
      </c>
      <c r="Q29" s="2">
        <f>Q28</f>
        <v>161.07</v>
      </c>
      <c r="R29" s="2"/>
      <c r="S29" s="2">
        <f t="shared" si="4"/>
        <v>161.07</v>
      </c>
      <c r="U29" s="1" t="s">
        <v>27</v>
      </c>
      <c r="V29" s="2">
        <f t="shared" si="3"/>
        <v>0</v>
      </c>
      <c r="W29" s="2">
        <f t="shared" si="3"/>
        <v>0</v>
      </c>
      <c r="X29" s="2">
        <f t="shared" si="3"/>
        <v>1153.021954348447</v>
      </c>
      <c r="Y29" s="2">
        <f t="shared" si="3"/>
        <v>0</v>
      </c>
    </row>
    <row r="30" spans="1:25">
      <c r="A30" s="1" t="s">
        <v>28</v>
      </c>
      <c r="B30" s="2">
        <f t="shared" si="2"/>
        <v>0</v>
      </c>
      <c r="C30" s="2">
        <f t="shared" si="2"/>
        <v>0</v>
      </c>
      <c r="D30" s="2">
        <f t="shared" si="2"/>
        <v>265.33506292559542</v>
      </c>
      <c r="E30" s="2">
        <f t="shared" si="2"/>
        <v>0</v>
      </c>
      <c r="G30" s="2" t="s">
        <v>28</v>
      </c>
      <c r="H30" s="2" t="s">
        <v>66</v>
      </c>
      <c r="I30" s="2" t="s">
        <v>73</v>
      </c>
      <c r="J30" s="2"/>
      <c r="K30" s="2"/>
      <c r="L30" s="2">
        <v>42737.518585425649</v>
      </c>
      <c r="M30" s="2"/>
      <c r="N30" s="2"/>
      <c r="P30" s="2" t="s">
        <v>96</v>
      </c>
      <c r="Q30" s="2">
        <f>Q29</f>
        <v>161.07</v>
      </c>
      <c r="R30" s="2"/>
      <c r="S30" s="2">
        <f t="shared" si="4"/>
        <v>161.07</v>
      </c>
      <c r="U30" s="1" t="s">
        <v>28</v>
      </c>
      <c r="V30" s="2">
        <f t="shared" si="3"/>
        <v>0</v>
      </c>
      <c r="W30" s="2">
        <f t="shared" si="3"/>
        <v>0</v>
      </c>
      <c r="X30" s="2">
        <f t="shared" si="3"/>
        <v>265.33506292559542</v>
      </c>
      <c r="Y30" s="2">
        <f t="shared" si="3"/>
        <v>0</v>
      </c>
    </row>
    <row r="31" spans="1:25">
      <c r="A31" s="1" t="s">
        <v>29</v>
      </c>
      <c r="B31" s="2">
        <f t="shared" si="2"/>
        <v>0</v>
      </c>
      <c r="C31" s="2">
        <f t="shared" si="2"/>
        <v>0</v>
      </c>
      <c r="D31" s="2">
        <f t="shared" si="2"/>
        <v>12.790826729141665</v>
      </c>
      <c r="E31" s="2">
        <f t="shared" si="2"/>
        <v>0</v>
      </c>
      <c r="G31" s="2" t="s">
        <v>29</v>
      </c>
      <c r="H31" s="2" t="s">
        <v>66</v>
      </c>
      <c r="I31" s="2" t="s">
        <v>74</v>
      </c>
      <c r="J31" s="2"/>
      <c r="K31" s="2"/>
      <c r="L31" s="2">
        <v>2060.218461262848</v>
      </c>
      <c r="M31" s="2"/>
      <c r="N31" s="2"/>
      <c r="P31" s="2" t="s">
        <v>96</v>
      </c>
      <c r="Q31" s="2">
        <f>Q30</f>
        <v>161.07</v>
      </c>
      <c r="R31" s="2"/>
      <c r="S31" s="2">
        <f t="shared" si="4"/>
        <v>161.07</v>
      </c>
      <c r="U31" s="1" t="s">
        <v>29</v>
      </c>
      <c r="V31" s="2">
        <f t="shared" si="3"/>
        <v>0</v>
      </c>
      <c r="W31" s="2">
        <f t="shared" si="3"/>
        <v>0</v>
      </c>
      <c r="X31" s="2">
        <f t="shared" si="3"/>
        <v>12.790826729141665</v>
      </c>
      <c r="Y31" s="2">
        <f t="shared" si="3"/>
        <v>0</v>
      </c>
    </row>
    <row r="32" spans="1:25">
      <c r="A32" s="1" t="s">
        <v>30</v>
      </c>
      <c r="B32" s="2">
        <f t="shared" si="2"/>
        <v>0</v>
      </c>
      <c r="C32" s="2">
        <f t="shared" si="2"/>
        <v>2418.0897525335081</v>
      </c>
      <c r="D32" s="2">
        <f t="shared" si="2"/>
        <v>0</v>
      </c>
      <c r="E32" s="2">
        <f t="shared" si="2"/>
        <v>0</v>
      </c>
      <c r="G32" s="2" t="s">
        <v>30</v>
      </c>
      <c r="H32" s="2" t="s">
        <v>66</v>
      </c>
      <c r="I32" s="2" t="s">
        <v>75</v>
      </c>
      <c r="J32" s="2"/>
      <c r="K32" s="2">
        <v>389481.71644057211</v>
      </c>
      <c r="L32" s="2"/>
      <c r="M32" s="2"/>
      <c r="N32" s="2"/>
      <c r="P32" s="2" t="s">
        <v>96</v>
      </c>
      <c r="Q32" s="2">
        <f>Q31</f>
        <v>161.07</v>
      </c>
      <c r="R32" s="2"/>
      <c r="S32" s="2">
        <f t="shared" si="4"/>
        <v>161.07</v>
      </c>
      <c r="U32" s="1" t="s">
        <v>30</v>
      </c>
      <c r="V32" s="2">
        <f t="shared" si="3"/>
        <v>0</v>
      </c>
      <c r="W32" s="2">
        <f t="shared" si="3"/>
        <v>2418.0897525335081</v>
      </c>
      <c r="X32" s="2">
        <f t="shared" si="3"/>
        <v>0</v>
      </c>
      <c r="Y32" s="2">
        <f t="shared" si="3"/>
        <v>0</v>
      </c>
    </row>
    <row r="33" spans="1:25">
      <c r="A33" s="1" t="s">
        <v>31</v>
      </c>
      <c r="B33" s="2">
        <f t="shared" si="2"/>
        <v>0</v>
      </c>
      <c r="C33" s="2">
        <f t="shared" si="2"/>
        <v>109.40081438206364</v>
      </c>
      <c r="D33" s="2">
        <f t="shared" si="2"/>
        <v>0</v>
      </c>
      <c r="E33" s="2">
        <f t="shared" si="2"/>
        <v>0</v>
      </c>
      <c r="G33" s="2" t="s">
        <v>31</v>
      </c>
      <c r="H33" s="2" t="s">
        <v>76</v>
      </c>
      <c r="I33" s="2" t="s">
        <v>77</v>
      </c>
      <c r="J33" s="2"/>
      <c r="K33" s="2">
        <v>160151.85217390297</v>
      </c>
      <c r="L33" s="2"/>
      <c r="M33" s="2"/>
      <c r="N33" s="2"/>
      <c r="P33" s="2" t="s">
        <v>97</v>
      </c>
      <c r="Q33" s="2">
        <v>1463.9</v>
      </c>
      <c r="R33" s="2"/>
      <c r="S33" s="2">
        <f t="shared" si="4"/>
        <v>1463.9</v>
      </c>
      <c r="U33" s="1" t="s">
        <v>31</v>
      </c>
      <c r="V33" s="2">
        <f t="shared" si="3"/>
        <v>0</v>
      </c>
      <c r="W33" s="2">
        <f t="shared" si="3"/>
        <v>109.40081438206364</v>
      </c>
      <c r="X33" s="2">
        <f t="shared" si="3"/>
        <v>0</v>
      </c>
      <c r="Y33" s="2">
        <f t="shared" si="3"/>
        <v>0</v>
      </c>
    </row>
    <row r="34" spans="1:25">
      <c r="A34" s="1" t="s">
        <v>32</v>
      </c>
      <c r="B34" s="2">
        <f t="shared" si="2"/>
        <v>0</v>
      </c>
      <c r="C34" s="2">
        <f t="shared" si="2"/>
        <v>0.17679072446498259</v>
      </c>
      <c r="D34" s="2">
        <f t="shared" si="2"/>
        <v>0.12548984459791174</v>
      </c>
      <c r="E34" s="2">
        <f t="shared" si="2"/>
        <v>0</v>
      </c>
      <c r="G34" s="2" t="s">
        <v>32</v>
      </c>
      <c r="H34" s="2" t="s">
        <v>76</v>
      </c>
      <c r="I34" s="2" t="s">
        <v>78</v>
      </c>
      <c r="J34" s="2"/>
      <c r="K34" s="2">
        <v>258.80394154428802</v>
      </c>
      <c r="L34" s="2">
        <v>183.70458350688301</v>
      </c>
      <c r="M34" s="2"/>
      <c r="N34" s="2"/>
      <c r="P34" s="2" t="s">
        <v>97</v>
      </c>
      <c r="Q34" s="2">
        <f>Q33</f>
        <v>1463.9</v>
      </c>
      <c r="R34" s="2"/>
      <c r="S34" s="2">
        <f t="shared" si="4"/>
        <v>1463.9</v>
      </c>
      <c r="U34" s="1" t="s">
        <v>32</v>
      </c>
      <c r="V34" s="2">
        <f t="shared" si="3"/>
        <v>0</v>
      </c>
      <c r="W34" s="2">
        <f t="shared" si="3"/>
        <v>0.17679072446498259</v>
      </c>
      <c r="X34" s="2">
        <f t="shared" si="3"/>
        <v>0.12548984459791174</v>
      </c>
      <c r="Y34" s="2">
        <f t="shared" si="3"/>
        <v>0</v>
      </c>
    </row>
    <row r="35" spans="1:25">
      <c r="A35" s="1" t="s">
        <v>33</v>
      </c>
      <c r="B35" s="2">
        <f t="shared" si="2"/>
        <v>2.2862783128326498</v>
      </c>
      <c r="C35" s="2">
        <f t="shared" si="2"/>
        <v>8.1946555415424562</v>
      </c>
      <c r="D35" s="2">
        <f t="shared" si="2"/>
        <v>0.2765725737762787</v>
      </c>
      <c r="E35" s="2">
        <f t="shared" si="2"/>
        <v>0</v>
      </c>
      <c r="G35" s="2" t="s">
        <v>33</v>
      </c>
      <c r="H35" s="2" t="s">
        <v>76</v>
      </c>
      <c r="I35" s="2" t="s">
        <v>57</v>
      </c>
      <c r="J35" s="2">
        <v>3346.882822155716</v>
      </c>
      <c r="K35" s="2">
        <v>11996.156247264002</v>
      </c>
      <c r="L35" s="2">
        <v>404.87459075109444</v>
      </c>
      <c r="M35" s="2"/>
      <c r="N35" s="2">
        <v>196.78049270000002</v>
      </c>
      <c r="P35" s="2" t="s">
        <v>97</v>
      </c>
      <c r="Q35" s="2">
        <f>Q33</f>
        <v>1463.9</v>
      </c>
      <c r="R35" s="2"/>
      <c r="S35" s="2">
        <f t="shared" si="4"/>
        <v>1463.9</v>
      </c>
      <c r="U35" s="1" t="s">
        <v>33</v>
      </c>
      <c r="V35" s="2">
        <f t="shared" si="3"/>
        <v>2.2862783128326498</v>
      </c>
      <c r="W35" s="2">
        <f t="shared" si="3"/>
        <v>8.1946555415424562</v>
      </c>
      <c r="X35" s="2">
        <f t="shared" si="3"/>
        <v>0.2765725737762787</v>
      </c>
      <c r="Y35" s="2">
        <f t="shared" si="3"/>
        <v>0</v>
      </c>
    </row>
    <row r="36" spans="1:25">
      <c r="A36" s="1" t="s">
        <v>34</v>
      </c>
      <c r="B36" s="2">
        <f t="shared" si="2"/>
        <v>0</v>
      </c>
      <c r="C36" s="2">
        <f t="shared" si="2"/>
        <v>187.53009449950403</v>
      </c>
      <c r="D36" s="2">
        <f t="shared" si="2"/>
        <v>17.034260928153419</v>
      </c>
      <c r="E36" s="2">
        <f t="shared" si="2"/>
        <v>0</v>
      </c>
      <c r="G36" s="2" t="s">
        <v>34</v>
      </c>
      <c r="H36" s="2" t="s">
        <v>76</v>
      </c>
      <c r="I36" s="2" t="s">
        <v>79</v>
      </c>
      <c r="J36" s="2"/>
      <c r="K36" s="2">
        <v>274525.30533782399</v>
      </c>
      <c r="L36" s="2">
        <v>24936.454572723793</v>
      </c>
      <c r="M36" s="2"/>
      <c r="N36" s="2"/>
      <c r="P36" s="2" t="s">
        <v>97</v>
      </c>
      <c r="Q36" s="2">
        <f>Q33</f>
        <v>1463.9</v>
      </c>
      <c r="R36" s="2"/>
      <c r="S36" s="2">
        <f t="shared" si="4"/>
        <v>1463.9</v>
      </c>
      <c r="U36" s="1" t="s">
        <v>34</v>
      </c>
      <c r="V36" s="2">
        <f t="shared" si="3"/>
        <v>0</v>
      </c>
      <c r="W36" s="2">
        <f t="shared" si="3"/>
        <v>187.53009449950403</v>
      </c>
      <c r="X36" s="2">
        <f t="shared" si="3"/>
        <v>17.034260928153419</v>
      </c>
      <c r="Y36" s="2">
        <f t="shared" si="3"/>
        <v>0</v>
      </c>
    </row>
    <row r="37" spans="1:25">
      <c r="A37" s="1" t="s">
        <v>35</v>
      </c>
      <c r="B37" s="2">
        <f t="shared" si="2"/>
        <v>0</v>
      </c>
      <c r="C37" s="2">
        <f t="shared" si="2"/>
        <v>0</v>
      </c>
      <c r="D37" s="2">
        <f t="shared" si="2"/>
        <v>19.974566656671769</v>
      </c>
      <c r="E37" s="2">
        <f t="shared" si="2"/>
        <v>0</v>
      </c>
      <c r="G37" s="2" t="s">
        <v>35</v>
      </c>
      <c r="H37" s="2" t="s">
        <v>55</v>
      </c>
      <c r="I37" s="2" t="s">
        <v>80</v>
      </c>
      <c r="J37" s="2"/>
      <c r="K37" s="2"/>
      <c r="L37" s="2">
        <v>29240.768128701802</v>
      </c>
      <c r="M37" s="2"/>
      <c r="N37" s="2"/>
      <c r="P37" s="2" t="s">
        <v>97</v>
      </c>
      <c r="Q37" s="2">
        <f>Q33</f>
        <v>1463.9</v>
      </c>
      <c r="R37" s="2"/>
      <c r="S37" s="2">
        <f t="shared" si="4"/>
        <v>1463.9</v>
      </c>
      <c r="U37" s="1" t="s">
        <v>35</v>
      </c>
      <c r="V37" s="2">
        <f t="shared" si="3"/>
        <v>0</v>
      </c>
      <c r="W37" s="2">
        <f t="shared" si="3"/>
        <v>0</v>
      </c>
      <c r="X37" s="2">
        <f t="shared" si="3"/>
        <v>19.974566656671769</v>
      </c>
      <c r="Y37" s="2">
        <f t="shared" si="3"/>
        <v>0</v>
      </c>
    </row>
    <row r="38" spans="1:25">
      <c r="A38" s="1" t="s">
        <v>36</v>
      </c>
      <c r="B38" s="2">
        <f t="shared" si="2"/>
        <v>19.386570120909898</v>
      </c>
      <c r="C38" s="2">
        <f t="shared" si="2"/>
        <v>1.7214290593619781</v>
      </c>
      <c r="D38" s="2">
        <f t="shared" si="2"/>
        <v>8.146048227337932E-2</v>
      </c>
      <c r="E38" s="2">
        <f t="shared" si="2"/>
        <v>0</v>
      </c>
      <c r="G38" s="2" t="s">
        <v>36</v>
      </c>
      <c r="H38" s="2" t="s">
        <v>55</v>
      </c>
      <c r="I38" s="2" t="s">
        <v>81</v>
      </c>
      <c r="J38" s="2">
        <v>28380</v>
      </c>
      <c r="K38" s="2">
        <v>2520</v>
      </c>
      <c r="L38" s="2">
        <v>119.25</v>
      </c>
      <c r="M38" s="2"/>
      <c r="N38" s="2"/>
      <c r="P38" s="2" t="s">
        <v>97</v>
      </c>
      <c r="Q38" s="2">
        <f>Q33</f>
        <v>1463.9</v>
      </c>
      <c r="R38" s="2"/>
      <c r="S38" s="2">
        <f t="shared" si="4"/>
        <v>1463.9</v>
      </c>
      <c r="U38" s="1" t="s">
        <v>36</v>
      </c>
      <c r="V38" s="2">
        <f t="shared" si="3"/>
        <v>19.386570120909898</v>
      </c>
      <c r="W38" s="2">
        <f t="shared" si="3"/>
        <v>1.7214290593619781</v>
      </c>
      <c r="X38" s="2">
        <f t="shared" si="3"/>
        <v>8.146048227337932E-2</v>
      </c>
      <c r="Y38" s="2">
        <f t="shared" si="3"/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8"/>
  <sheetViews>
    <sheetView topLeftCell="B1" zoomScale="55" zoomScaleNormal="55" workbookViewId="0">
      <selection activeCell="H47" sqref="H47"/>
    </sheetView>
  </sheetViews>
  <sheetFormatPr defaultRowHeight="14.4"/>
  <cols>
    <col min="1" max="1" width="12.88671875" bestFit="1" customWidth="1"/>
    <col min="2" max="5" width="12" bestFit="1" customWidth="1"/>
    <col min="7" max="7" width="33.44140625" bestFit="1" customWidth="1"/>
    <col min="8" max="8" width="15.21875" bestFit="1" customWidth="1"/>
    <col min="9" max="9" width="34" bestFit="1" customWidth="1"/>
    <col min="10" max="14" width="12" bestFit="1" customWidth="1"/>
    <col min="16" max="16" width="80.6640625" bestFit="1" customWidth="1"/>
    <col min="17" max="19" width="9.77734375" bestFit="1" customWidth="1"/>
  </cols>
  <sheetData>
    <row r="1" spans="1:25" s="5" customFormat="1">
      <c r="A1" s="4"/>
      <c r="B1" s="3" t="s">
        <v>37</v>
      </c>
      <c r="C1" s="3" t="s">
        <v>38</v>
      </c>
      <c r="D1" s="3" t="s">
        <v>39</v>
      </c>
      <c r="E1" s="3" t="s">
        <v>40</v>
      </c>
      <c r="G1" s="8" t="s">
        <v>84</v>
      </c>
      <c r="H1" s="8" t="s">
        <v>85</v>
      </c>
      <c r="I1" s="8" t="s">
        <v>86</v>
      </c>
      <c r="J1" s="8" t="s">
        <v>37</v>
      </c>
      <c r="K1" s="8" t="s">
        <v>38</v>
      </c>
      <c r="L1" s="8" t="s">
        <v>39</v>
      </c>
      <c r="M1" s="8" t="s">
        <v>83</v>
      </c>
      <c r="N1" s="8" t="s">
        <v>82</v>
      </c>
      <c r="O1"/>
      <c r="P1" s="8" t="s">
        <v>98</v>
      </c>
      <c r="Q1" s="10" t="s">
        <v>100</v>
      </c>
      <c r="R1" s="10" t="s">
        <v>101</v>
      </c>
      <c r="S1" s="10" t="s">
        <v>102</v>
      </c>
      <c r="T1"/>
      <c r="U1" s="2"/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1" t="s">
        <v>0</v>
      </c>
      <c r="B2" s="6"/>
      <c r="C2" s="6"/>
      <c r="D2" s="6"/>
      <c r="E2" s="6"/>
      <c r="G2" s="2" t="s">
        <v>0</v>
      </c>
      <c r="H2" s="2" t="s">
        <v>41</v>
      </c>
      <c r="I2" s="2" t="s">
        <v>42</v>
      </c>
      <c r="J2" s="2">
        <v>497622.03353537997</v>
      </c>
      <c r="K2" s="2">
        <v>505.06217229328001</v>
      </c>
      <c r="L2" s="2">
        <v>2590.7903811037554</v>
      </c>
      <c r="M2" s="2"/>
      <c r="N2" s="2">
        <v>22460.017463757002</v>
      </c>
      <c r="P2" s="2"/>
      <c r="Q2" s="2"/>
      <c r="R2" s="2"/>
      <c r="S2" s="2"/>
      <c r="U2" s="1" t="s">
        <v>0</v>
      </c>
      <c r="V2" s="6"/>
      <c r="W2" s="6"/>
      <c r="X2" s="6"/>
      <c r="Y2" s="6"/>
    </row>
    <row r="3" spans="1:25">
      <c r="A3" s="1" t="s">
        <v>1</v>
      </c>
      <c r="B3" s="6"/>
      <c r="C3" s="6"/>
      <c r="D3" s="6"/>
      <c r="E3" s="6"/>
      <c r="G3" s="2" t="s">
        <v>1</v>
      </c>
      <c r="H3" s="2" t="s">
        <v>41</v>
      </c>
      <c r="I3" s="2" t="s">
        <v>43</v>
      </c>
      <c r="J3" s="2">
        <v>38470.957725403001</v>
      </c>
      <c r="K3" s="2">
        <v>16.04711374779632</v>
      </c>
      <c r="L3" s="2">
        <v>27.52012881409285</v>
      </c>
      <c r="M3" s="2"/>
      <c r="N3" s="2"/>
      <c r="P3" s="2"/>
      <c r="Q3" s="2"/>
      <c r="R3" s="2"/>
      <c r="S3" s="2"/>
      <c r="U3" s="1" t="s">
        <v>1</v>
      </c>
      <c r="V3" s="6"/>
      <c r="W3" s="6"/>
      <c r="X3" s="6"/>
      <c r="Y3" s="6"/>
    </row>
    <row r="4" spans="1:25">
      <c r="A4" s="1" t="s">
        <v>2</v>
      </c>
      <c r="B4" s="6"/>
      <c r="C4" s="6"/>
      <c r="D4" s="6"/>
      <c r="E4" s="6"/>
      <c r="G4" s="2" t="s">
        <v>2</v>
      </c>
      <c r="H4" s="2" t="s">
        <v>44</v>
      </c>
      <c r="I4" s="2" t="s">
        <v>45</v>
      </c>
      <c r="J4" s="2">
        <v>186858.48104089999</v>
      </c>
      <c r="K4" s="2">
        <v>350.94072434035161</v>
      </c>
      <c r="L4" s="2">
        <v>493.25710376359586</v>
      </c>
      <c r="M4" s="2"/>
      <c r="N4" s="2">
        <v>20620.336309814</v>
      </c>
      <c r="P4" s="2"/>
      <c r="Q4" s="2"/>
      <c r="R4" s="2"/>
      <c r="S4" s="2"/>
      <c r="U4" s="1" t="s">
        <v>2</v>
      </c>
      <c r="V4" s="6"/>
      <c r="W4" s="6"/>
      <c r="X4" s="6"/>
      <c r="Y4" s="6"/>
    </row>
    <row r="5" spans="1:25">
      <c r="A5" s="1" t="s">
        <v>3</v>
      </c>
      <c r="B5" s="6"/>
      <c r="C5" s="6"/>
      <c r="D5" s="6"/>
      <c r="E5" s="6"/>
      <c r="G5" s="2" t="s">
        <v>3</v>
      </c>
      <c r="H5" s="2" t="s">
        <v>46</v>
      </c>
      <c r="I5" s="2" t="s">
        <v>47</v>
      </c>
      <c r="J5" s="2">
        <v>10553.242912551999</v>
      </c>
      <c r="K5" s="2">
        <v>2.0663966981353639</v>
      </c>
      <c r="L5" s="2">
        <v>78.227875000838239</v>
      </c>
      <c r="M5" s="2"/>
      <c r="N5" s="2"/>
      <c r="P5" s="2"/>
      <c r="Q5" s="2"/>
      <c r="R5" s="2"/>
      <c r="S5" s="2"/>
      <c r="U5" s="1" t="s">
        <v>3</v>
      </c>
      <c r="V5" s="6"/>
      <c r="W5" s="6"/>
      <c r="X5" s="6"/>
      <c r="Y5" s="6"/>
    </row>
    <row r="6" spans="1:25">
      <c r="A6" s="1" t="s">
        <v>4</v>
      </c>
      <c r="B6" s="6"/>
      <c r="C6" s="6"/>
      <c r="D6" s="6"/>
      <c r="E6" s="6"/>
      <c r="G6" s="2" t="s">
        <v>4</v>
      </c>
      <c r="H6" s="2" t="s">
        <v>46</v>
      </c>
      <c r="I6" s="2" t="s">
        <v>48</v>
      </c>
      <c r="J6" s="2">
        <v>179443.79227880001</v>
      </c>
      <c r="K6" s="2">
        <v>508.52008696129764</v>
      </c>
      <c r="L6" s="2">
        <v>1818.7715563088675</v>
      </c>
      <c r="M6" s="2"/>
      <c r="N6" s="2">
        <v>1214.6514936768001</v>
      </c>
      <c r="P6" s="2"/>
      <c r="Q6" s="2"/>
      <c r="R6" s="2"/>
      <c r="S6" s="2"/>
      <c r="U6" s="1" t="s">
        <v>4</v>
      </c>
      <c r="V6" s="6"/>
      <c r="W6" s="6"/>
      <c r="X6" s="6"/>
      <c r="Y6" s="6"/>
    </row>
    <row r="7" spans="1:25">
      <c r="A7" s="1" t="s">
        <v>5</v>
      </c>
      <c r="B7" s="6"/>
      <c r="C7" s="6"/>
      <c r="D7" s="6"/>
      <c r="E7" s="6"/>
      <c r="G7" s="2" t="s">
        <v>5</v>
      </c>
      <c r="H7" s="2" t="s">
        <v>46</v>
      </c>
      <c r="I7" s="2" t="s">
        <v>49</v>
      </c>
      <c r="J7" s="2">
        <v>499.14849630432002</v>
      </c>
      <c r="K7" s="2">
        <v>0.77941674265137195</v>
      </c>
      <c r="L7" s="2">
        <v>50.719336886833887</v>
      </c>
      <c r="M7" s="2"/>
      <c r="N7" s="2"/>
      <c r="P7" s="2"/>
      <c r="Q7" s="2"/>
      <c r="R7" s="2"/>
      <c r="S7" s="2"/>
      <c r="U7" s="1" t="s">
        <v>5</v>
      </c>
      <c r="V7" s="6"/>
      <c r="W7" s="6"/>
      <c r="X7" s="6"/>
      <c r="Y7" s="6"/>
    </row>
    <row r="8" spans="1:25">
      <c r="A8" s="1" t="s">
        <v>6</v>
      </c>
      <c r="B8" s="6"/>
      <c r="C8" s="6"/>
      <c r="D8" s="6"/>
      <c r="E8" s="6"/>
      <c r="G8" s="2" t="s">
        <v>6</v>
      </c>
      <c r="H8" s="2" t="s">
        <v>46</v>
      </c>
      <c r="I8" s="2" t="s">
        <v>50</v>
      </c>
      <c r="J8" s="2">
        <v>10000.126399219</v>
      </c>
      <c r="K8" s="2">
        <v>25.67635525</v>
      </c>
      <c r="L8" s="2">
        <v>69.430960625000012</v>
      </c>
      <c r="M8" s="2"/>
      <c r="N8" s="2"/>
      <c r="P8" s="2"/>
      <c r="Q8" s="2"/>
      <c r="R8" s="2"/>
      <c r="S8" s="2"/>
      <c r="U8" s="1" t="s">
        <v>6</v>
      </c>
      <c r="V8" s="6"/>
      <c r="W8" s="6"/>
      <c r="X8" s="6"/>
      <c r="Y8" s="6"/>
    </row>
    <row r="9" spans="1:25">
      <c r="A9" s="1" t="s">
        <v>7</v>
      </c>
      <c r="B9" s="6"/>
      <c r="C9" s="6"/>
      <c r="D9" s="6"/>
      <c r="E9" s="6"/>
      <c r="G9" s="2" t="s">
        <v>7</v>
      </c>
      <c r="H9" s="2" t="s">
        <v>46</v>
      </c>
      <c r="I9" s="2" t="s">
        <v>51</v>
      </c>
      <c r="J9" s="2"/>
      <c r="K9" s="2">
        <v>0</v>
      </c>
      <c r="L9" s="2">
        <v>0</v>
      </c>
      <c r="M9" s="2"/>
      <c r="N9" s="2"/>
      <c r="P9" s="2"/>
      <c r="Q9" s="2"/>
      <c r="R9" s="2"/>
      <c r="S9" s="2"/>
      <c r="U9" s="1" t="s">
        <v>7</v>
      </c>
      <c r="V9" s="6"/>
      <c r="W9" s="6"/>
      <c r="X9" s="6"/>
      <c r="Y9" s="6"/>
    </row>
    <row r="10" spans="1:25">
      <c r="A10" s="1" t="s">
        <v>8</v>
      </c>
      <c r="B10" s="6"/>
      <c r="C10" s="6"/>
      <c r="D10" s="6"/>
      <c r="E10" s="6"/>
      <c r="G10" s="2" t="s">
        <v>8</v>
      </c>
      <c r="H10" s="2" t="s">
        <v>52</v>
      </c>
      <c r="I10" s="2" t="s">
        <v>53</v>
      </c>
      <c r="J10" s="2">
        <v>121958.90749083</v>
      </c>
      <c r="K10" s="2">
        <v>968.41166556212397</v>
      </c>
      <c r="L10" s="2">
        <v>1029.5812831783569</v>
      </c>
      <c r="M10" s="2"/>
      <c r="N10" s="2">
        <v>5848.0128618962999</v>
      </c>
      <c r="P10" s="2"/>
      <c r="Q10" s="2"/>
      <c r="R10" s="2"/>
      <c r="S10" s="2"/>
      <c r="U10" s="1" t="s">
        <v>8</v>
      </c>
      <c r="V10" s="6"/>
      <c r="W10" s="6"/>
      <c r="X10" s="6"/>
      <c r="Y10" s="6"/>
    </row>
    <row r="11" spans="1:25">
      <c r="A11" s="1" t="s">
        <v>9</v>
      </c>
      <c r="B11" s="6"/>
      <c r="C11" s="6"/>
      <c r="D11" s="6"/>
      <c r="E11" s="6"/>
      <c r="G11" s="2" t="s">
        <v>9</v>
      </c>
      <c r="H11" s="2" t="s">
        <v>54</v>
      </c>
      <c r="I11" s="2" t="s">
        <v>55</v>
      </c>
      <c r="J11" s="2">
        <v>2908.5736367187001</v>
      </c>
      <c r="K11" s="2">
        <v>174.17672318115245</v>
      </c>
      <c r="L11" s="2">
        <v>21.979443639526369</v>
      </c>
      <c r="M11" s="2"/>
      <c r="N11" s="2">
        <v>39.564840698242001</v>
      </c>
      <c r="P11" s="2"/>
      <c r="Q11" s="2"/>
      <c r="R11" s="2"/>
      <c r="S11" s="2"/>
      <c r="U11" s="1" t="s">
        <v>9</v>
      </c>
      <c r="V11" s="6"/>
      <c r="W11" s="6"/>
      <c r="X11" s="6"/>
      <c r="Y11" s="6"/>
    </row>
    <row r="12" spans="1:25">
      <c r="A12" s="1" t="s">
        <v>10</v>
      </c>
      <c r="B12" s="2">
        <f>V12</f>
        <v>3946.8212328838717</v>
      </c>
      <c r="C12" s="2">
        <f t="shared" ref="C12:E27" si="0">W12</f>
        <v>557.46203230538094</v>
      </c>
      <c r="D12" s="2">
        <f t="shared" si="0"/>
        <v>0.10310707639816497</v>
      </c>
      <c r="E12" s="2">
        <f t="shared" si="0"/>
        <v>0</v>
      </c>
      <c r="G12" s="2" t="s">
        <v>10</v>
      </c>
      <c r="H12" s="2" t="s">
        <v>56</v>
      </c>
      <c r="I12" s="2" t="s">
        <v>57</v>
      </c>
      <c r="J12" s="2">
        <v>11395.104390733</v>
      </c>
      <c r="K12" s="2">
        <v>1609.4820811908037</v>
      </c>
      <c r="L12" s="2">
        <v>0.29768662669372598</v>
      </c>
      <c r="M12" s="2"/>
      <c r="N12" s="2"/>
      <c r="P12" s="2" t="s">
        <v>88</v>
      </c>
      <c r="Q12" s="2">
        <v>2.8871600000000002</v>
      </c>
      <c r="R12" s="2"/>
      <c r="S12" s="2">
        <f>SUM(Q12:R12)</f>
        <v>2.8871600000000002</v>
      </c>
      <c r="U12" s="1" t="s">
        <v>10</v>
      </c>
      <c r="V12" s="2">
        <f>J12/$S12</f>
        <v>3946.8212328838717</v>
      </c>
      <c r="W12" s="2">
        <f t="shared" ref="W12:Y27" si="1">K12/$S12</f>
        <v>557.46203230538094</v>
      </c>
      <c r="X12" s="2">
        <f t="shared" si="1"/>
        <v>0.10310707639816497</v>
      </c>
      <c r="Y12" s="2">
        <f t="shared" si="1"/>
        <v>0</v>
      </c>
    </row>
    <row r="13" spans="1:25">
      <c r="A13" s="1" t="s">
        <v>11</v>
      </c>
      <c r="B13" s="2">
        <f t="shared" ref="B13:E38" si="2">V13</f>
        <v>6.7425858153136314E-2</v>
      </c>
      <c r="C13" s="2">
        <f t="shared" si="0"/>
        <v>144.87328439814209</v>
      </c>
      <c r="D13" s="2">
        <f t="shared" si="0"/>
        <v>7.46617550989285E-4</v>
      </c>
      <c r="E13" s="2">
        <f t="shared" si="0"/>
        <v>0</v>
      </c>
      <c r="G13" s="2" t="s">
        <v>11</v>
      </c>
      <c r="H13" s="2" t="s">
        <v>56</v>
      </c>
      <c r="I13" s="2" t="s">
        <v>58</v>
      </c>
      <c r="J13" s="2">
        <v>0.80008602098241999</v>
      </c>
      <c r="K13" s="2">
        <v>1719.0895723938577</v>
      </c>
      <c r="L13" s="2">
        <v>8.8594833188470144E-3</v>
      </c>
      <c r="M13" s="2"/>
      <c r="N13" s="2">
        <v>33.229880029678</v>
      </c>
      <c r="P13" s="2" t="s">
        <v>99</v>
      </c>
      <c r="Q13">
        <v>7.2363200000000001</v>
      </c>
      <c r="R13">
        <v>4.6298399999999997</v>
      </c>
      <c r="S13" s="2">
        <f>SUM(Q13:R13)</f>
        <v>11.866160000000001</v>
      </c>
      <c r="U13" s="1" t="s">
        <v>11</v>
      </c>
      <c r="V13" s="2">
        <f t="shared" ref="V13:Y38" si="3">J13/$S13</f>
        <v>6.7425858153136314E-2</v>
      </c>
      <c r="W13" s="2">
        <f t="shared" si="1"/>
        <v>144.87328439814209</v>
      </c>
      <c r="X13" s="2">
        <f t="shared" si="1"/>
        <v>7.46617550989285E-4</v>
      </c>
      <c r="Y13" s="2">
        <f t="shared" si="1"/>
        <v>0</v>
      </c>
    </row>
    <row r="14" spans="1:25">
      <c r="A14" s="1" t="s">
        <v>12</v>
      </c>
      <c r="B14" s="2">
        <f t="shared" si="2"/>
        <v>3030.15214384509</v>
      </c>
      <c r="C14" s="2">
        <f t="shared" si="0"/>
        <v>0</v>
      </c>
      <c r="D14" s="2">
        <f t="shared" si="0"/>
        <v>0</v>
      </c>
      <c r="E14" s="2">
        <f t="shared" si="0"/>
        <v>0</v>
      </c>
      <c r="G14" s="2" t="s">
        <v>12</v>
      </c>
      <c r="H14" s="2" t="s">
        <v>44</v>
      </c>
      <c r="I14" s="2" t="s">
        <v>59</v>
      </c>
      <c r="J14" s="2">
        <v>25632.36</v>
      </c>
      <c r="K14" s="2"/>
      <c r="L14" s="2"/>
      <c r="M14" s="2"/>
      <c r="N14" s="2"/>
      <c r="P14" s="2" t="s">
        <v>89</v>
      </c>
      <c r="Q14" s="2">
        <v>8.4590999999999994</v>
      </c>
      <c r="R14" s="2"/>
      <c r="S14" s="2">
        <f t="shared" ref="S14:S38" si="4">SUM(Q14:R14)</f>
        <v>8.4590999999999994</v>
      </c>
      <c r="U14" s="1" t="s">
        <v>12</v>
      </c>
      <c r="V14" s="2">
        <f t="shared" si="3"/>
        <v>3030.15214384509</v>
      </c>
      <c r="W14" s="2">
        <f t="shared" si="1"/>
        <v>0</v>
      </c>
      <c r="X14" s="2">
        <f t="shared" si="1"/>
        <v>0</v>
      </c>
      <c r="Y14" s="2">
        <f t="shared" si="1"/>
        <v>0</v>
      </c>
    </row>
    <row r="15" spans="1:25">
      <c r="A15" s="1" t="s">
        <v>13</v>
      </c>
      <c r="B15" s="2">
        <f t="shared" si="2"/>
        <v>649.09387523495411</v>
      </c>
      <c r="C15" s="2">
        <f t="shared" si="0"/>
        <v>0</v>
      </c>
      <c r="D15" s="2">
        <f t="shared" si="0"/>
        <v>0</v>
      </c>
      <c r="E15" s="2">
        <f t="shared" si="0"/>
        <v>0</v>
      </c>
      <c r="G15" s="2" t="s">
        <v>13</v>
      </c>
      <c r="H15" s="2" t="s">
        <v>44</v>
      </c>
      <c r="I15" s="2" t="s">
        <v>59</v>
      </c>
      <c r="J15" s="2">
        <v>5490.75</v>
      </c>
      <c r="K15" s="2"/>
      <c r="L15" s="2"/>
      <c r="M15" s="2"/>
      <c r="N15" s="2"/>
      <c r="P15" s="2" t="s">
        <v>89</v>
      </c>
      <c r="Q15" s="2">
        <f>Q14</f>
        <v>8.4590999999999994</v>
      </c>
      <c r="R15" s="2"/>
      <c r="S15" s="2">
        <f t="shared" si="4"/>
        <v>8.4590999999999994</v>
      </c>
      <c r="U15" s="1" t="s">
        <v>13</v>
      </c>
      <c r="V15" s="2">
        <f t="shared" si="3"/>
        <v>649.09387523495411</v>
      </c>
      <c r="W15" s="2">
        <f t="shared" si="1"/>
        <v>0</v>
      </c>
      <c r="X15" s="2">
        <f t="shared" si="1"/>
        <v>0</v>
      </c>
      <c r="Y15" s="2">
        <f t="shared" si="1"/>
        <v>0</v>
      </c>
    </row>
    <row r="16" spans="1:25">
      <c r="A16" s="1" t="s">
        <v>14</v>
      </c>
      <c r="B16" s="2">
        <f t="shared" si="2"/>
        <v>52.477818639560951</v>
      </c>
      <c r="C16" s="2">
        <f t="shared" si="0"/>
        <v>0</v>
      </c>
      <c r="D16" s="2">
        <f t="shared" si="0"/>
        <v>0</v>
      </c>
      <c r="E16" s="2">
        <f t="shared" si="0"/>
        <v>0</v>
      </c>
      <c r="G16" s="2" t="s">
        <v>14</v>
      </c>
      <c r="H16" s="2" t="s">
        <v>44</v>
      </c>
      <c r="I16" s="2" t="s">
        <v>59</v>
      </c>
      <c r="J16" s="2">
        <v>443.91511565390999</v>
      </c>
      <c r="K16" s="2"/>
      <c r="L16" s="2"/>
      <c r="M16" s="2"/>
      <c r="N16" s="2"/>
      <c r="P16" s="2" t="s">
        <v>89</v>
      </c>
      <c r="Q16" s="2">
        <f>Q15</f>
        <v>8.4590999999999994</v>
      </c>
      <c r="R16" s="2"/>
      <c r="S16" s="2">
        <f t="shared" si="4"/>
        <v>8.4590999999999994</v>
      </c>
      <c r="U16" s="1" t="s">
        <v>14</v>
      </c>
      <c r="V16" s="2">
        <f t="shared" si="3"/>
        <v>52.477818639560951</v>
      </c>
      <c r="W16" s="2">
        <f t="shared" si="1"/>
        <v>0</v>
      </c>
      <c r="X16" s="2">
        <f t="shared" si="1"/>
        <v>0</v>
      </c>
      <c r="Y16" s="2">
        <f t="shared" si="1"/>
        <v>0</v>
      </c>
    </row>
    <row r="17" spans="1:25">
      <c r="A17" s="1" t="s">
        <v>15</v>
      </c>
      <c r="B17" s="2">
        <f t="shared" si="2"/>
        <v>158.6951553683956</v>
      </c>
      <c r="C17" s="2">
        <f t="shared" si="0"/>
        <v>0</v>
      </c>
      <c r="D17" s="2">
        <f t="shared" si="0"/>
        <v>0</v>
      </c>
      <c r="E17" s="2">
        <f t="shared" si="0"/>
        <v>0</v>
      </c>
      <c r="G17" s="2" t="s">
        <v>15</v>
      </c>
      <c r="H17" s="2" t="s">
        <v>44</v>
      </c>
      <c r="I17" s="2" t="s">
        <v>60</v>
      </c>
      <c r="J17" s="2">
        <v>1102.1346801304001</v>
      </c>
      <c r="K17" s="2"/>
      <c r="L17" s="2"/>
      <c r="M17" s="2"/>
      <c r="N17" s="2"/>
      <c r="P17" s="2" t="s">
        <v>90</v>
      </c>
      <c r="Q17" s="2">
        <v>6.9449800000000002</v>
      </c>
      <c r="R17" s="2"/>
      <c r="S17" s="2">
        <f t="shared" si="4"/>
        <v>6.9449800000000002</v>
      </c>
      <c r="U17" s="1" t="s">
        <v>15</v>
      </c>
      <c r="V17" s="2">
        <f t="shared" si="3"/>
        <v>158.6951553683956</v>
      </c>
      <c r="W17" s="2">
        <f t="shared" si="1"/>
        <v>0</v>
      </c>
      <c r="X17" s="2">
        <f t="shared" si="1"/>
        <v>0</v>
      </c>
      <c r="Y17" s="2">
        <f t="shared" si="1"/>
        <v>0</v>
      </c>
    </row>
    <row r="18" spans="1:25">
      <c r="A18" s="1" t="s">
        <v>16</v>
      </c>
      <c r="B18" s="2">
        <f t="shared" si="2"/>
        <v>2039.6895644917624</v>
      </c>
      <c r="C18" s="2">
        <f t="shared" si="0"/>
        <v>18.846944399152136</v>
      </c>
      <c r="D18" s="2">
        <f t="shared" si="0"/>
        <v>128.04916079867414</v>
      </c>
      <c r="E18" s="2">
        <f t="shared" si="0"/>
        <v>10.162088298100498</v>
      </c>
      <c r="G18" s="2" t="s">
        <v>16</v>
      </c>
      <c r="H18" s="2" t="s">
        <v>44</v>
      </c>
      <c r="I18" s="2" t="s">
        <v>61</v>
      </c>
      <c r="J18" s="2">
        <v>14165.603231604</v>
      </c>
      <c r="K18" s="2">
        <v>130.8916519132236</v>
      </c>
      <c r="L18" s="2">
        <v>889.29886076357593</v>
      </c>
      <c r="M18" s="2">
        <v>70.575499988541992</v>
      </c>
      <c r="N18" s="2"/>
      <c r="P18" s="2" t="s">
        <v>90</v>
      </c>
      <c r="Q18" s="2">
        <f>Q17</f>
        <v>6.9449800000000002</v>
      </c>
      <c r="R18" s="2"/>
      <c r="S18" s="2">
        <f t="shared" si="4"/>
        <v>6.9449800000000002</v>
      </c>
      <c r="U18" s="1" t="s">
        <v>16</v>
      </c>
      <c r="V18" s="2">
        <f t="shared" si="3"/>
        <v>2039.6895644917624</v>
      </c>
      <c r="W18" s="2">
        <f t="shared" si="1"/>
        <v>18.846944399152136</v>
      </c>
      <c r="X18" s="2">
        <f t="shared" si="1"/>
        <v>128.04916079867414</v>
      </c>
      <c r="Y18" s="2">
        <f t="shared" si="1"/>
        <v>10.162088298100498</v>
      </c>
    </row>
    <row r="19" spans="1:25">
      <c r="A19" s="1" t="s">
        <v>17</v>
      </c>
      <c r="B19" s="2">
        <f t="shared" si="2"/>
        <v>349.144264240881</v>
      </c>
      <c r="C19" s="2">
        <f t="shared" si="0"/>
        <v>4.6427129278534736</v>
      </c>
      <c r="D19" s="2">
        <f t="shared" si="0"/>
        <v>0</v>
      </c>
      <c r="E19" s="2">
        <f t="shared" si="0"/>
        <v>8.1052888473307352</v>
      </c>
      <c r="G19" s="2" t="s">
        <v>17</v>
      </c>
      <c r="H19" s="2" t="s">
        <v>44</v>
      </c>
      <c r="I19" s="2" t="s">
        <v>62</v>
      </c>
      <c r="J19" s="2">
        <v>13683.941319539999</v>
      </c>
      <c r="K19" s="2">
        <v>181.9609192387756</v>
      </c>
      <c r="L19" s="2"/>
      <c r="M19" s="2">
        <v>317.66896473566402</v>
      </c>
      <c r="N19" s="2"/>
      <c r="P19" s="2" t="s">
        <v>92</v>
      </c>
      <c r="Q19" s="2">
        <v>39.192799999999998</v>
      </c>
      <c r="R19" s="2"/>
      <c r="S19" s="2">
        <f t="shared" si="4"/>
        <v>39.192799999999998</v>
      </c>
      <c r="U19" s="1" t="s">
        <v>17</v>
      </c>
      <c r="V19" s="2">
        <f t="shared" si="3"/>
        <v>349.144264240881</v>
      </c>
      <c r="W19" s="2">
        <f t="shared" si="1"/>
        <v>4.6427129278534736</v>
      </c>
      <c r="X19" s="2">
        <f t="shared" si="1"/>
        <v>0</v>
      </c>
      <c r="Y19" s="2">
        <f t="shared" si="1"/>
        <v>8.1052888473307352</v>
      </c>
    </row>
    <row r="20" spans="1:25">
      <c r="A20" s="1" t="s">
        <v>18</v>
      </c>
      <c r="B20" s="2">
        <f t="shared" si="2"/>
        <v>449.62183994133886</v>
      </c>
      <c r="C20" s="2">
        <f t="shared" si="0"/>
        <v>0</v>
      </c>
      <c r="D20" s="2">
        <f t="shared" si="0"/>
        <v>0</v>
      </c>
      <c r="E20" s="2">
        <f t="shared" si="0"/>
        <v>0</v>
      </c>
      <c r="G20" s="2" t="s">
        <v>18</v>
      </c>
      <c r="H20" s="2" t="s">
        <v>56</v>
      </c>
      <c r="I20" s="2" t="s">
        <v>63</v>
      </c>
      <c r="J20" s="2">
        <v>3122.6146859557998</v>
      </c>
      <c r="K20" s="2"/>
      <c r="L20" s="2"/>
      <c r="M20" s="2"/>
      <c r="N20" s="2"/>
      <c r="P20" s="2" t="s">
        <v>90</v>
      </c>
      <c r="Q20" s="2">
        <f>Q18</f>
        <v>6.9449800000000002</v>
      </c>
      <c r="R20" s="2"/>
      <c r="S20" s="2">
        <f t="shared" si="4"/>
        <v>6.9449800000000002</v>
      </c>
      <c r="U20" s="1" t="s">
        <v>18</v>
      </c>
      <c r="V20" s="2">
        <f t="shared" si="3"/>
        <v>449.62183994133886</v>
      </c>
      <c r="W20" s="2">
        <f t="shared" si="1"/>
        <v>0</v>
      </c>
      <c r="X20" s="2">
        <f t="shared" si="1"/>
        <v>0</v>
      </c>
      <c r="Y20" s="2">
        <f t="shared" si="1"/>
        <v>0</v>
      </c>
    </row>
    <row r="21" spans="1:25">
      <c r="A21" s="1" t="s">
        <v>19</v>
      </c>
      <c r="B21" s="2">
        <f t="shared" si="2"/>
        <v>0</v>
      </c>
      <c r="C21" s="2">
        <f t="shared" si="0"/>
        <v>0</v>
      </c>
      <c r="D21" s="2">
        <f t="shared" si="0"/>
        <v>0</v>
      </c>
      <c r="E21" s="2">
        <f t="shared" si="0"/>
        <v>31.127741575736035</v>
      </c>
      <c r="G21" s="2" t="s">
        <v>19</v>
      </c>
      <c r="H21" s="2" t="s">
        <v>44</v>
      </c>
      <c r="I21" s="2" t="s">
        <v>64</v>
      </c>
      <c r="J21" s="2"/>
      <c r="K21" s="2"/>
      <c r="L21" s="2"/>
      <c r="M21" s="2">
        <v>3018.4353111800206</v>
      </c>
      <c r="N21" s="2"/>
      <c r="P21" s="2" t="s">
        <v>94</v>
      </c>
      <c r="Q21" s="2">
        <v>96.969300000000004</v>
      </c>
      <c r="R21" s="2"/>
      <c r="S21" s="2">
        <f t="shared" si="4"/>
        <v>96.969300000000004</v>
      </c>
      <c r="U21" s="1" t="s">
        <v>19</v>
      </c>
      <c r="V21" s="2">
        <f t="shared" si="3"/>
        <v>0</v>
      </c>
      <c r="W21" s="2">
        <f t="shared" si="1"/>
        <v>0</v>
      </c>
      <c r="X21" s="2">
        <f t="shared" si="1"/>
        <v>0</v>
      </c>
      <c r="Y21" s="2">
        <f t="shared" si="1"/>
        <v>31.127741575736035</v>
      </c>
    </row>
    <row r="22" spans="1:25">
      <c r="A22" s="1" t="s">
        <v>20</v>
      </c>
      <c r="B22" s="2">
        <f t="shared" si="2"/>
        <v>0</v>
      </c>
      <c r="C22" s="2">
        <f t="shared" si="0"/>
        <v>0</v>
      </c>
      <c r="D22" s="2">
        <f t="shared" si="0"/>
        <v>0</v>
      </c>
      <c r="E22" s="2">
        <f t="shared" si="0"/>
        <v>166.75150051425038</v>
      </c>
      <c r="G22" s="2" t="s">
        <v>20</v>
      </c>
      <c r="H22" s="2" t="s">
        <v>44</v>
      </c>
      <c r="I22" s="2" t="s">
        <v>65</v>
      </c>
      <c r="J22" s="2"/>
      <c r="K22" s="2"/>
      <c r="L22" s="2"/>
      <c r="M22" s="2">
        <v>16169.7762788165</v>
      </c>
      <c r="N22" s="2"/>
      <c r="P22" s="2" t="s">
        <v>94</v>
      </c>
      <c r="Q22" s="2">
        <f>Q21</f>
        <v>96.969300000000004</v>
      </c>
      <c r="R22" s="2"/>
      <c r="S22" s="2">
        <f t="shared" si="4"/>
        <v>96.969300000000004</v>
      </c>
      <c r="U22" s="1" t="s">
        <v>20</v>
      </c>
      <c r="V22" s="2">
        <f t="shared" si="3"/>
        <v>0</v>
      </c>
      <c r="W22" s="2">
        <f t="shared" si="1"/>
        <v>0</v>
      </c>
      <c r="X22" s="2">
        <f t="shared" si="1"/>
        <v>0</v>
      </c>
      <c r="Y22" s="2">
        <f t="shared" si="1"/>
        <v>166.75150051425038</v>
      </c>
    </row>
    <row r="23" spans="1:25">
      <c r="A23" s="1" t="s">
        <v>21</v>
      </c>
      <c r="B23" s="2">
        <f t="shared" si="2"/>
        <v>0</v>
      </c>
      <c r="C23" s="2">
        <f t="shared" si="0"/>
        <v>0</v>
      </c>
      <c r="D23" s="2">
        <f t="shared" si="0"/>
        <v>1.6642950997039969</v>
      </c>
      <c r="E23" s="2">
        <f t="shared" si="0"/>
        <v>19.826550641080217</v>
      </c>
      <c r="G23" s="2" t="s">
        <v>21</v>
      </c>
      <c r="H23" s="2" t="s">
        <v>44</v>
      </c>
      <c r="I23" s="2" t="s">
        <v>60</v>
      </c>
      <c r="J23" s="2"/>
      <c r="K23" s="2"/>
      <c r="L23" s="2">
        <v>161.3855308117268</v>
      </c>
      <c r="M23" s="2">
        <v>1922.5667370801</v>
      </c>
      <c r="N23" s="2"/>
      <c r="P23" s="2" t="s">
        <v>94</v>
      </c>
      <c r="Q23" s="2">
        <f>Q22</f>
        <v>96.969300000000004</v>
      </c>
      <c r="R23" s="2"/>
      <c r="S23" s="2">
        <f t="shared" si="4"/>
        <v>96.969300000000004</v>
      </c>
      <c r="U23" s="1" t="s">
        <v>21</v>
      </c>
      <c r="V23" s="2">
        <f t="shared" si="3"/>
        <v>0</v>
      </c>
      <c r="W23" s="2">
        <f t="shared" si="1"/>
        <v>0</v>
      </c>
      <c r="X23" s="2">
        <f t="shared" si="1"/>
        <v>1.6642950997039969</v>
      </c>
      <c r="Y23" s="2">
        <f t="shared" si="1"/>
        <v>19.826550641080217</v>
      </c>
    </row>
    <row r="24" spans="1:25">
      <c r="A24" s="1" t="s">
        <v>22</v>
      </c>
      <c r="B24" s="2">
        <f t="shared" si="2"/>
        <v>0</v>
      </c>
      <c r="C24" s="2">
        <f t="shared" si="0"/>
        <v>1896.4544416637743</v>
      </c>
      <c r="D24" s="2">
        <f t="shared" si="0"/>
        <v>0</v>
      </c>
      <c r="E24" s="2">
        <f t="shared" si="0"/>
        <v>0</v>
      </c>
      <c r="G24" s="2" t="s">
        <v>22</v>
      </c>
      <c r="H24" s="2" t="s">
        <v>66</v>
      </c>
      <c r="I24" s="2" t="s">
        <v>67</v>
      </c>
      <c r="J24" s="2"/>
      <c r="K24" s="2">
        <v>20763.521100000002</v>
      </c>
      <c r="L24" s="2"/>
      <c r="M24" s="2"/>
      <c r="N24" s="2"/>
      <c r="P24" s="2" t="s">
        <v>96</v>
      </c>
      <c r="Q24" s="2">
        <v>10.948600000000001</v>
      </c>
      <c r="R24" s="2"/>
      <c r="S24" s="2">
        <f t="shared" si="4"/>
        <v>10.948600000000001</v>
      </c>
      <c r="U24" s="1" t="s">
        <v>22</v>
      </c>
      <c r="V24" s="2">
        <f t="shared" si="3"/>
        <v>0</v>
      </c>
      <c r="W24" s="2">
        <f t="shared" si="1"/>
        <v>1896.4544416637743</v>
      </c>
      <c r="X24" s="2">
        <f t="shared" si="1"/>
        <v>0</v>
      </c>
      <c r="Y24" s="2">
        <f t="shared" si="1"/>
        <v>0</v>
      </c>
    </row>
    <row r="25" spans="1:25">
      <c r="A25" s="1" t="s">
        <v>23</v>
      </c>
      <c r="B25" s="2">
        <f t="shared" si="2"/>
        <v>0</v>
      </c>
      <c r="C25" s="2">
        <f t="shared" si="0"/>
        <v>451.20643319853502</v>
      </c>
      <c r="D25" s="2">
        <f t="shared" si="0"/>
        <v>110.37871337293141</v>
      </c>
      <c r="E25" s="2">
        <f t="shared" si="0"/>
        <v>0</v>
      </c>
      <c r="G25" s="2" t="s">
        <v>23</v>
      </c>
      <c r="H25" s="2" t="s">
        <v>66</v>
      </c>
      <c r="I25" s="2" t="s">
        <v>68</v>
      </c>
      <c r="J25" s="2"/>
      <c r="K25" s="2">
        <v>4940.0787545174808</v>
      </c>
      <c r="L25" s="2">
        <v>1208.492381234877</v>
      </c>
      <c r="M25" s="2"/>
      <c r="N25" s="2"/>
      <c r="P25" s="2" t="s">
        <v>96</v>
      </c>
      <c r="Q25" s="2">
        <f>Q24</f>
        <v>10.948600000000001</v>
      </c>
      <c r="R25" s="2"/>
      <c r="S25" s="2">
        <f t="shared" si="4"/>
        <v>10.948600000000001</v>
      </c>
      <c r="U25" s="1" t="s">
        <v>23</v>
      </c>
      <c r="V25" s="2">
        <f t="shared" si="3"/>
        <v>0</v>
      </c>
      <c r="W25" s="2">
        <f t="shared" si="1"/>
        <v>451.20643319853502</v>
      </c>
      <c r="X25" s="2">
        <f t="shared" si="1"/>
        <v>110.37871337293141</v>
      </c>
      <c r="Y25" s="2">
        <f t="shared" si="1"/>
        <v>0</v>
      </c>
    </row>
    <row r="26" spans="1:25">
      <c r="A26" s="1" t="s">
        <v>24</v>
      </c>
      <c r="B26" s="2">
        <f t="shared" si="2"/>
        <v>0</v>
      </c>
      <c r="C26" s="2">
        <f t="shared" si="0"/>
        <v>2.753244444727764</v>
      </c>
      <c r="D26" s="2">
        <f t="shared" si="0"/>
        <v>0.67556460912301886</v>
      </c>
      <c r="E26" s="2">
        <f t="shared" si="0"/>
        <v>0</v>
      </c>
      <c r="G26" s="2" t="s">
        <v>24</v>
      </c>
      <c r="H26" s="2" t="s">
        <v>66</v>
      </c>
      <c r="I26" s="2" t="s">
        <v>69</v>
      </c>
      <c r="J26" s="2"/>
      <c r="K26" s="2">
        <v>30.144172127546401</v>
      </c>
      <c r="L26" s="2">
        <v>7.3964866794442852</v>
      </c>
      <c r="M26" s="2"/>
      <c r="N26" s="2">
        <v>604.07963985756999</v>
      </c>
      <c r="P26" s="2" t="s">
        <v>96</v>
      </c>
      <c r="Q26" s="2">
        <f>Q25</f>
        <v>10.948600000000001</v>
      </c>
      <c r="R26" s="2"/>
      <c r="S26" s="2">
        <f t="shared" si="4"/>
        <v>10.948600000000001</v>
      </c>
      <c r="U26" s="1" t="s">
        <v>24</v>
      </c>
      <c r="V26" s="2">
        <f t="shared" si="3"/>
        <v>0</v>
      </c>
      <c r="W26" s="2">
        <f t="shared" si="1"/>
        <v>2.753244444727764</v>
      </c>
      <c r="X26" s="2">
        <f t="shared" si="1"/>
        <v>0.67556460912301886</v>
      </c>
      <c r="Y26" s="2">
        <f t="shared" si="1"/>
        <v>0</v>
      </c>
    </row>
    <row r="27" spans="1:25">
      <c r="A27" s="1" t="s">
        <v>25</v>
      </c>
      <c r="B27" s="2">
        <f t="shared" si="2"/>
        <v>41.422125734827276</v>
      </c>
      <c r="C27" s="2">
        <f t="shared" si="0"/>
        <v>0</v>
      </c>
      <c r="D27" s="2">
        <f t="shared" si="0"/>
        <v>0</v>
      </c>
      <c r="E27" s="2">
        <f t="shared" si="0"/>
        <v>0</v>
      </c>
      <c r="G27" s="2" t="s">
        <v>25</v>
      </c>
      <c r="H27" s="2" t="s">
        <v>66</v>
      </c>
      <c r="I27" s="2" t="s">
        <v>70</v>
      </c>
      <c r="J27" s="2">
        <v>453.51428582032997</v>
      </c>
      <c r="K27" s="2"/>
      <c r="L27" s="2"/>
      <c r="M27" s="2"/>
      <c r="N27" s="2"/>
      <c r="P27" s="2" t="s">
        <v>96</v>
      </c>
      <c r="Q27" s="2">
        <f>Q26</f>
        <v>10.948600000000001</v>
      </c>
      <c r="R27" s="2"/>
      <c r="S27" s="2">
        <f t="shared" si="4"/>
        <v>10.948600000000001</v>
      </c>
      <c r="U27" s="1" t="s">
        <v>25</v>
      </c>
      <c r="V27" s="2">
        <f t="shared" si="3"/>
        <v>41.422125734827276</v>
      </c>
      <c r="W27" s="2">
        <f t="shared" si="1"/>
        <v>0</v>
      </c>
      <c r="X27" s="2">
        <f t="shared" si="1"/>
        <v>0</v>
      </c>
      <c r="Y27" s="2">
        <f t="shared" si="1"/>
        <v>0</v>
      </c>
    </row>
    <row r="28" spans="1:25">
      <c r="A28" s="1" t="s">
        <v>26</v>
      </c>
      <c r="B28" s="2">
        <f t="shared" si="2"/>
        <v>15.027358887372813</v>
      </c>
      <c r="C28" s="2">
        <f t="shared" si="2"/>
        <v>0</v>
      </c>
      <c r="D28" s="2">
        <f t="shared" si="2"/>
        <v>0</v>
      </c>
      <c r="E28" s="2">
        <f t="shared" si="2"/>
        <v>0</v>
      </c>
      <c r="G28" s="2" t="s">
        <v>26</v>
      </c>
      <c r="H28" s="2" t="s">
        <v>66</v>
      </c>
      <c r="I28" s="2" t="s">
        <v>71</v>
      </c>
      <c r="J28" s="2">
        <v>164.52854151429</v>
      </c>
      <c r="K28" s="2"/>
      <c r="L28" s="2"/>
      <c r="M28" s="2"/>
      <c r="N28" s="2"/>
      <c r="P28" s="2" t="s">
        <v>96</v>
      </c>
      <c r="Q28" s="2">
        <f>Q27</f>
        <v>10.948600000000001</v>
      </c>
      <c r="R28" s="2"/>
      <c r="S28" s="2">
        <f t="shared" si="4"/>
        <v>10.948600000000001</v>
      </c>
      <c r="U28" s="1" t="s">
        <v>26</v>
      </c>
      <c r="V28" s="2">
        <f t="shared" si="3"/>
        <v>15.027358887372813</v>
      </c>
      <c r="W28" s="2">
        <f t="shared" si="3"/>
        <v>0</v>
      </c>
      <c r="X28" s="2">
        <f t="shared" si="3"/>
        <v>0</v>
      </c>
      <c r="Y28" s="2">
        <f t="shared" si="3"/>
        <v>0</v>
      </c>
    </row>
    <row r="29" spans="1:25">
      <c r="A29" s="1" t="s">
        <v>27</v>
      </c>
      <c r="B29" s="2">
        <f t="shared" si="2"/>
        <v>0</v>
      </c>
      <c r="C29" s="2">
        <f t="shared" si="2"/>
        <v>0</v>
      </c>
      <c r="D29" s="2">
        <f t="shared" si="2"/>
        <v>265.87979741406798</v>
      </c>
      <c r="E29" s="2">
        <f t="shared" si="2"/>
        <v>0</v>
      </c>
      <c r="G29" s="2" t="s">
        <v>27</v>
      </c>
      <c r="H29" s="2" t="s">
        <v>55</v>
      </c>
      <c r="I29" s="2" t="s">
        <v>72</v>
      </c>
      <c r="J29" s="2"/>
      <c r="K29" s="2"/>
      <c r="L29" s="2">
        <v>2911.0115499676649</v>
      </c>
      <c r="M29" s="2"/>
      <c r="N29" s="2"/>
      <c r="P29" s="2" t="s">
        <v>96</v>
      </c>
      <c r="Q29" s="2">
        <f>Q28</f>
        <v>10.948600000000001</v>
      </c>
      <c r="R29" s="2"/>
      <c r="S29" s="2">
        <f t="shared" si="4"/>
        <v>10.948600000000001</v>
      </c>
      <c r="U29" s="1" t="s">
        <v>27</v>
      </c>
      <c r="V29" s="2">
        <f t="shared" si="3"/>
        <v>0</v>
      </c>
      <c r="W29" s="2">
        <f t="shared" si="3"/>
        <v>0</v>
      </c>
      <c r="X29" s="2">
        <f t="shared" si="3"/>
        <v>265.87979741406798</v>
      </c>
      <c r="Y29" s="2">
        <f t="shared" si="3"/>
        <v>0</v>
      </c>
    </row>
    <row r="30" spans="1:25">
      <c r="A30" s="1" t="s">
        <v>28</v>
      </c>
      <c r="B30" s="2">
        <f t="shared" si="2"/>
        <v>0</v>
      </c>
      <c r="C30" s="2">
        <f t="shared" si="2"/>
        <v>0</v>
      </c>
      <c r="D30" s="2">
        <f t="shared" si="2"/>
        <v>98.764991846718942</v>
      </c>
      <c r="E30" s="2">
        <f t="shared" si="2"/>
        <v>0</v>
      </c>
      <c r="G30" s="2" t="s">
        <v>28</v>
      </c>
      <c r="H30" s="2" t="s">
        <v>66</v>
      </c>
      <c r="I30" s="2" t="s">
        <v>73</v>
      </c>
      <c r="J30" s="2"/>
      <c r="K30" s="2"/>
      <c r="L30" s="2">
        <v>1081.338389732987</v>
      </c>
      <c r="M30" s="2"/>
      <c r="N30" s="2"/>
      <c r="P30" s="2" t="s">
        <v>96</v>
      </c>
      <c r="Q30" s="2">
        <f>Q29</f>
        <v>10.948600000000001</v>
      </c>
      <c r="R30" s="2"/>
      <c r="S30" s="2">
        <f t="shared" si="4"/>
        <v>10.948600000000001</v>
      </c>
      <c r="U30" s="1" t="s">
        <v>28</v>
      </c>
      <c r="V30" s="2">
        <f t="shared" si="3"/>
        <v>0</v>
      </c>
      <c r="W30" s="2">
        <f t="shared" si="3"/>
        <v>0</v>
      </c>
      <c r="X30" s="2">
        <f t="shared" si="3"/>
        <v>98.764991846718942</v>
      </c>
      <c r="Y30" s="2">
        <f t="shared" si="3"/>
        <v>0</v>
      </c>
    </row>
    <row r="31" spans="1:25">
      <c r="A31" s="1" t="s">
        <v>29</v>
      </c>
      <c r="B31" s="2">
        <f t="shared" si="2"/>
        <v>0</v>
      </c>
      <c r="C31" s="2">
        <f t="shared" si="2"/>
        <v>0</v>
      </c>
      <c r="D31" s="2">
        <f t="shared" si="2"/>
        <v>7.146028845218849</v>
      </c>
      <c r="E31" s="2">
        <f t="shared" si="2"/>
        <v>0</v>
      </c>
      <c r="G31" s="2" t="s">
        <v>29</v>
      </c>
      <c r="H31" s="2" t="s">
        <v>66</v>
      </c>
      <c r="I31" s="2" t="s">
        <v>74</v>
      </c>
      <c r="J31" s="2"/>
      <c r="K31" s="2"/>
      <c r="L31" s="2">
        <v>78.239011414763098</v>
      </c>
      <c r="M31" s="2"/>
      <c r="N31" s="2"/>
      <c r="P31" s="2" t="s">
        <v>96</v>
      </c>
      <c r="Q31" s="2">
        <f>Q30</f>
        <v>10.948600000000001</v>
      </c>
      <c r="R31" s="2"/>
      <c r="S31" s="2">
        <f t="shared" si="4"/>
        <v>10.948600000000001</v>
      </c>
      <c r="U31" s="1" t="s">
        <v>29</v>
      </c>
      <c r="V31" s="2">
        <f t="shared" si="3"/>
        <v>0</v>
      </c>
      <c r="W31" s="2">
        <f t="shared" si="3"/>
        <v>0</v>
      </c>
      <c r="X31" s="2">
        <f t="shared" si="3"/>
        <v>7.146028845218849</v>
      </c>
      <c r="Y31" s="2">
        <f t="shared" si="3"/>
        <v>0</v>
      </c>
    </row>
    <row r="32" spans="1:25">
      <c r="A32" s="1" t="s">
        <v>30</v>
      </c>
      <c r="B32" s="2">
        <f t="shared" si="2"/>
        <v>0</v>
      </c>
      <c r="C32" s="2">
        <f t="shared" si="2"/>
        <v>1647.2402224942002</v>
      </c>
      <c r="D32" s="2">
        <f t="shared" si="2"/>
        <v>0</v>
      </c>
      <c r="E32" s="2">
        <f t="shared" si="2"/>
        <v>0</v>
      </c>
      <c r="G32" s="2" t="s">
        <v>30</v>
      </c>
      <c r="H32" s="2" t="s">
        <v>66</v>
      </c>
      <c r="I32" s="2" t="s">
        <v>75</v>
      </c>
      <c r="J32" s="2"/>
      <c r="K32" s="2">
        <v>18034.974300000002</v>
      </c>
      <c r="L32" s="2"/>
      <c r="M32" s="2"/>
      <c r="N32" s="2"/>
      <c r="P32" s="2" t="s">
        <v>96</v>
      </c>
      <c r="Q32" s="2">
        <f>Q31</f>
        <v>10.948600000000001</v>
      </c>
      <c r="R32" s="2"/>
      <c r="S32" s="2">
        <f t="shared" si="4"/>
        <v>10.948600000000001</v>
      </c>
      <c r="U32" s="1" t="s">
        <v>30</v>
      </c>
      <c r="V32" s="2">
        <f t="shared" si="3"/>
        <v>0</v>
      </c>
      <c r="W32" s="2">
        <f t="shared" si="3"/>
        <v>1647.2402224942002</v>
      </c>
      <c r="X32" s="2">
        <f t="shared" si="3"/>
        <v>0</v>
      </c>
      <c r="Y32" s="2">
        <f t="shared" si="3"/>
        <v>0</v>
      </c>
    </row>
    <row r="33" spans="1:25">
      <c r="A33" s="1" t="s">
        <v>31</v>
      </c>
      <c r="B33" s="2">
        <f t="shared" si="2"/>
        <v>0</v>
      </c>
      <c r="C33" s="2">
        <f t="shared" si="2"/>
        <v>5.2027746204541616</v>
      </c>
      <c r="D33" s="2">
        <f t="shared" si="2"/>
        <v>0</v>
      </c>
      <c r="E33" s="2">
        <f t="shared" si="2"/>
        <v>0</v>
      </c>
      <c r="G33" s="2" t="s">
        <v>31</v>
      </c>
      <c r="H33" s="2" t="s">
        <v>76</v>
      </c>
      <c r="I33" s="2" t="s">
        <v>77</v>
      </c>
      <c r="J33" s="2"/>
      <c r="K33" s="2">
        <v>2661.1775961653402</v>
      </c>
      <c r="L33" s="2"/>
      <c r="M33" s="2"/>
      <c r="N33" s="2"/>
      <c r="P33" s="2" t="s">
        <v>97</v>
      </c>
      <c r="Q33" s="2">
        <v>511.49200000000002</v>
      </c>
      <c r="R33" s="2"/>
      <c r="S33" s="2">
        <f t="shared" si="4"/>
        <v>511.49200000000002</v>
      </c>
      <c r="U33" s="1" t="s">
        <v>31</v>
      </c>
      <c r="V33" s="2">
        <f t="shared" si="3"/>
        <v>0</v>
      </c>
      <c r="W33" s="2">
        <f t="shared" si="3"/>
        <v>5.2027746204541616</v>
      </c>
      <c r="X33" s="2">
        <f t="shared" si="3"/>
        <v>0</v>
      </c>
      <c r="Y33" s="2">
        <f t="shared" si="3"/>
        <v>0</v>
      </c>
    </row>
    <row r="34" spans="1:25">
      <c r="A34" s="1" t="s">
        <v>32</v>
      </c>
      <c r="B34" s="2">
        <f t="shared" si="2"/>
        <v>0</v>
      </c>
      <c r="C34" s="2">
        <f t="shared" si="2"/>
        <v>0.13352788876105981</v>
      </c>
      <c r="D34" s="2">
        <f t="shared" si="2"/>
        <v>0.18392516622292057</v>
      </c>
      <c r="E34" s="2">
        <f t="shared" si="2"/>
        <v>0</v>
      </c>
      <c r="G34" s="2" t="s">
        <v>32</v>
      </c>
      <c r="H34" s="2" t="s">
        <v>76</v>
      </c>
      <c r="I34" s="2" t="s">
        <v>78</v>
      </c>
      <c r="J34" s="2"/>
      <c r="K34" s="2">
        <v>68.298446878172001</v>
      </c>
      <c r="L34" s="2">
        <v>94.076251121694099</v>
      </c>
      <c r="M34" s="2"/>
      <c r="N34" s="2"/>
      <c r="P34" s="2" t="s">
        <v>97</v>
      </c>
      <c r="Q34" s="2">
        <f>Q33</f>
        <v>511.49200000000002</v>
      </c>
      <c r="R34" s="2"/>
      <c r="S34" s="2">
        <f t="shared" si="4"/>
        <v>511.49200000000002</v>
      </c>
      <c r="U34" s="1" t="s">
        <v>32</v>
      </c>
      <c r="V34" s="2">
        <f t="shared" si="3"/>
        <v>0</v>
      </c>
      <c r="W34" s="2">
        <f t="shared" si="3"/>
        <v>0.13352788876105981</v>
      </c>
      <c r="X34" s="2">
        <f t="shared" si="3"/>
        <v>0.18392516622292057</v>
      </c>
      <c r="Y34" s="2">
        <f t="shared" si="3"/>
        <v>0</v>
      </c>
    </row>
    <row r="35" spans="1:25">
      <c r="A35" s="1" t="s">
        <v>33</v>
      </c>
      <c r="B35" s="2">
        <f t="shared" si="2"/>
        <v>7.3784795260334475</v>
      </c>
      <c r="C35" s="2">
        <f t="shared" si="2"/>
        <v>1.9099276426541645</v>
      </c>
      <c r="D35" s="2">
        <f t="shared" si="2"/>
        <v>0.44934515284216564</v>
      </c>
      <c r="E35" s="2">
        <f t="shared" si="2"/>
        <v>0</v>
      </c>
      <c r="G35" s="2" t="s">
        <v>33</v>
      </c>
      <c r="H35" s="2" t="s">
        <v>76</v>
      </c>
      <c r="I35" s="2" t="s">
        <v>57</v>
      </c>
      <c r="J35" s="2">
        <v>3774.0332497299</v>
      </c>
      <c r="K35" s="2">
        <v>976.9127097964639</v>
      </c>
      <c r="L35" s="2">
        <v>229.83645091754499</v>
      </c>
      <c r="M35" s="2"/>
      <c r="N35" s="2">
        <v>4939.4837079500003</v>
      </c>
      <c r="P35" s="2" t="s">
        <v>97</v>
      </c>
      <c r="Q35" s="2">
        <f>Q33</f>
        <v>511.49200000000002</v>
      </c>
      <c r="R35" s="2"/>
      <c r="S35" s="2">
        <f t="shared" si="4"/>
        <v>511.49200000000002</v>
      </c>
      <c r="U35" s="1" t="s">
        <v>33</v>
      </c>
      <c r="V35" s="2">
        <f t="shared" si="3"/>
        <v>7.3784795260334475</v>
      </c>
      <c r="W35" s="2">
        <f t="shared" si="3"/>
        <v>1.9099276426541645</v>
      </c>
      <c r="X35" s="2">
        <f t="shared" si="3"/>
        <v>0.44934515284216564</v>
      </c>
      <c r="Y35" s="2">
        <f t="shared" si="3"/>
        <v>0</v>
      </c>
    </row>
    <row r="36" spans="1:25">
      <c r="A36" s="1" t="s">
        <v>34</v>
      </c>
      <c r="B36" s="2">
        <f t="shared" si="2"/>
        <v>0</v>
      </c>
      <c r="C36" s="2">
        <f t="shared" si="2"/>
        <v>10.50929522904968</v>
      </c>
      <c r="D36" s="2">
        <f t="shared" si="2"/>
        <v>3.5756837626459514</v>
      </c>
      <c r="E36" s="2">
        <f t="shared" si="2"/>
        <v>0</v>
      </c>
      <c r="G36" s="2" t="s">
        <v>34</v>
      </c>
      <c r="H36" s="2" t="s">
        <v>76</v>
      </c>
      <c r="I36" s="2" t="s">
        <v>79</v>
      </c>
      <c r="J36" s="2"/>
      <c r="K36" s="2">
        <v>5375.4204352970792</v>
      </c>
      <c r="L36" s="2">
        <v>1828.933639123303</v>
      </c>
      <c r="M36" s="2"/>
      <c r="N36" s="2"/>
      <c r="P36" s="2" t="s">
        <v>97</v>
      </c>
      <c r="Q36" s="2">
        <f>Q33</f>
        <v>511.49200000000002</v>
      </c>
      <c r="R36" s="2"/>
      <c r="S36" s="2">
        <f t="shared" si="4"/>
        <v>511.49200000000002</v>
      </c>
      <c r="U36" s="1" t="s">
        <v>34</v>
      </c>
      <c r="V36" s="2">
        <f t="shared" si="3"/>
        <v>0</v>
      </c>
      <c r="W36" s="2">
        <f t="shared" si="3"/>
        <v>10.50929522904968</v>
      </c>
      <c r="X36" s="2">
        <f t="shared" si="3"/>
        <v>3.5756837626459514</v>
      </c>
      <c r="Y36" s="2">
        <f t="shared" si="3"/>
        <v>0</v>
      </c>
    </row>
    <row r="37" spans="1:25">
      <c r="A37" s="1" t="s">
        <v>35</v>
      </c>
      <c r="B37" s="2">
        <f t="shared" si="2"/>
        <v>0</v>
      </c>
      <c r="C37" s="2">
        <f t="shared" si="2"/>
        <v>0</v>
      </c>
      <c r="D37" s="2">
        <f t="shared" si="2"/>
        <v>5.0169908933846648</v>
      </c>
      <c r="E37" s="2">
        <f t="shared" si="2"/>
        <v>0</v>
      </c>
      <c r="G37" s="2" t="s">
        <v>35</v>
      </c>
      <c r="H37" s="2" t="s">
        <v>55</v>
      </c>
      <c r="I37" s="2" t="s">
        <v>80</v>
      </c>
      <c r="J37" s="2"/>
      <c r="K37" s="2"/>
      <c r="L37" s="2">
        <v>2566.1507060391091</v>
      </c>
      <c r="M37" s="2"/>
      <c r="N37" s="2"/>
      <c r="P37" s="2" t="s">
        <v>97</v>
      </c>
      <c r="Q37" s="2">
        <f>Q33</f>
        <v>511.49200000000002</v>
      </c>
      <c r="R37" s="2"/>
      <c r="S37" s="2">
        <f t="shared" si="4"/>
        <v>511.49200000000002</v>
      </c>
      <c r="U37" s="1" t="s">
        <v>35</v>
      </c>
      <c r="V37" s="2">
        <f t="shared" si="3"/>
        <v>0</v>
      </c>
      <c r="W37" s="2">
        <f t="shared" si="3"/>
        <v>0</v>
      </c>
      <c r="X37" s="2">
        <f t="shared" si="3"/>
        <v>5.0169908933846648</v>
      </c>
      <c r="Y37" s="2">
        <f t="shared" si="3"/>
        <v>0</v>
      </c>
    </row>
    <row r="38" spans="1:25">
      <c r="A38" s="1" t="s">
        <v>36</v>
      </c>
      <c r="B38" s="2">
        <f t="shared" si="2"/>
        <v>0</v>
      </c>
      <c r="C38" s="2">
        <f t="shared" si="2"/>
        <v>0</v>
      </c>
      <c r="D38" s="2">
        <f t="shared" si="2"/>
        <v>0</v>
      </c>
      <c r="E38" s="2">
        <f t="shared" si="2"/>
        <v>0</v>
      </c>
      <c r="G38" s="2" t="s">
        <v>87</v>
      </c>
      <c r="H38" s="2" t="s">
        <v>55</v>
      </c>
      <c r="I38" s="2" t="s">
        <v>81</v>
      </c>
      <c r="J38" s="2"/>
      <c r="K38" s="2"/>
      <c r="L38" s="2"/>
      <c r="M38" s="2"/>
      <c r="N38" s="2"/>
      <c r="P38" s="2" t="s">
        <v>97</v>
      </c>
      <c r="Q38" s="2">
        <f>Q33</f>
        <v>511.49200000000002</v>
      </c>
      <c r="R38" s="2"/>
      <c r="S38" s="2">
        <f t="shared" si="4"/>
        <v>511.49200000000002</v>
      </c>
      <c r="U38" s="1" t="s">
        <v>36</v>
      </c>
      <c r="V38" s="2">
        <f t="shared" si="3"/>
        <v>0</v>
      </c>
      <c r="W38" s="2">
        <f t="shared" si="3"/>
        <v>0</v>
      </c>
      <c r="X38" s="2">
        <f t="shared" si="3"/>
        <v>0</v>
      </c>
      <c r="Y38" s="2">
        <f t="shared" si="3"/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8"/>
  <sheetViews>
    <sheetView zoomScale="55" zoomScaleNormal="55" workbookViewId="0">
      <selection activeCell="Q33" sqref="Q33"/>
    </sheetView>
  </sheetViews>
  <sheetFormatPr defaultRowHeight="14.4"/>
  <cols>
    <col min="1" max="1" width="12.88671875" bestFit="1" customWidth="1"/>
    <col min="2" max="5" width="12" bestFit="1" customWidth="1"/>
    <col min="7" max="7" width="32.44140625" bestFit="1" customWidth="1"/>
    <col min="8" max="8" width="14.6640625" bestFit="1" customWidth="1"/>
    <col min="9" max="9" width="32.109375" bestFit="1" customWidth="1"/>
    <col min="10" max="14" width="12" bestFit="1" customWidth="1"/>
    <col min="16" max="16" width="73.109375" bestFit="1" customWidth="1"/>
  </cols>
  <sheetData>
    <row r="1" spans="1:25">
      <c r="A1" s="2"/>
      <c r="B1" s="3" t="s">
        <v>37</v>
      </c>
      <c r="C1" s="3" t="s">
        <v>38</v>
      </c>
      <c r="D1" s="3" t="s">
        <v>39</v>
      </c>
      <c r="E1" s="3" t="s">
        <v>40</v>
      </c>
      <c r="G1" s="7" t="s">
        <v>84</v>
      </c>
      <c r="H1" s="7" t="s">
        <v>85</v>
      </c>
      <c r="I1" s="7" t="s">
        <v>86</v>
      </c>
      <c r="J1" s="7" t="s">
        <v>37</v>
      </c>
      <c r="K1" s="7" t="s">
        <v>38</v>
      </c>
      <c r="L1" s="7" t="s">
        <v>39</v>
      </c>
      <c r="M1" s="7" t="s">
        <v>83</v>
      </c>
      <c r="N1" s="7" t="s">
        <v>82</v>
      </c>
      <c r="P1" s="8" t="s">
        <v>98</v>
      </c>
      <c r="Q1" s="10" t="s">
        <v>100</v>
      </c>
      <c r="R1" s="10" t="s">
        <v>101</v>
      </c>
      <c r="S1" s="10" t="s">
        <v>102</v>
      </c>
      <c r="U1" s="2"/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1" t="s">
        <v>0</v>
      </c>
      <c r="B2" s="6"/>
      <c r="C2" s="6"/>
      <c r="D2" s="6"/>
      <c r="E2" s="6"/>
      <c r="G2" s="2" t="s">
        <v>0</v>
      </c>
      <c r="H2" s="2" t="s">
        <v>41</v>
      </c>
      <c r="I2" s="2" t="s">
        <v>42</v>
      </c>
      <c r="J2" s="2">
        <v>816007.63567388</v>
      </c>
      <c r="K2" s="2">
        <v>560.98463023067416</v>
      </c>
      <c r="L2" s="2">
        <v>1469.027839688941</v>
      </c>
      <c r="M2" s="2"/>
      <c r="N2" s="2">
        <v>2360.2640869141001</v>
      </c>
      <c r="P2" s="2"/>
      <c r="Q2" s="2"/>
      <c r="R2" s="2"/>
      <c r="S2" s="2"/>
      <c r="U2" s="1" t="s">
        <v>0</v>
      </c>
      <c r="V2" s="6"/>
      <c r="W2" s="6"/>
      <c r="X2" s="6"/>
      <c r="Y2" s="6"/>
    </row>
    <row r="3" spans="1:25">
      <c r="A3" s="1" t="s">
        <v>1</v>
      </c>
      <c r="B3" s="6"/>
      <c r="C3" s="6"/>
      <c r="D3" s="6"/>
      <c r="E3" s="6"/>
      <c r="G3" s="2" t="s">
        <v>1</v>
      </c>
      <c r="H3" s="2" t="s">
        <v>41</v>
      </c>
      <c r="I3" s="2" t="s">
        <v>43</v>
      </c>
      <c r="J3" s="2">
        <v>47803.979192234001</v>
      </c>
      <c r="K3" s="2">
        <v>69.32422395820879</v>
      </c>
      <c r="L3" s="2">
        <v>35.432904582622847</v>
      </c>
      <c r="M3" s="2"/>
      <c r="N3" s="2"/>
      <c r="P3" s="2"/>
      <c r="Q3" s="2"/>
      <c r="R3" s="2"/>
      <c r="S3" s="2"/>
      <c r="U3" s="1" t="s">
        <v>1</v>
      </c>
      <c r="V3" s="6"/>
      <c r="W3" s="6"/>
      <c r="X3" s="6"/>
      <c r="Y3" s="6"/>
    </row>
    <row r="4" spans="1:25">
      <c r="A4" s="1" t="s">
        <v>2</v>
      </c>
      <c r="B4" s="6"/>
      <c r="C4" s="6"/>
      <c r="D4" s="6"/>
      <c r="E4" s="6"/>
      <c r="G4" s="2" t="s">
        <v>2</v>
      </c>
      <c r="H4" s="2" t="s">
        <v>44</v>
      </c>
      <c r="I4" s="2" t="s">
        <v>45</v>
      </c>
      <c r="J4" s="2">
        <v>280456.51464949001</v>
      </c>
      <c r="K4" s="2">
        <v>461.55868234269644</v>
      </c>
      <c r="L4" s="2">
        <v>614.06280139353976</v>
      </c>
      <c r="M4" s="2"/>
      <c r="N4" s="2">
        <v>923.94457879163997</v>
      </c>
      <c r="P4" s="2"/>
      <c r="Q4" s="2"/>
      <c r="R4" s="2"/>
      <c r="S4" s="2"/>
      <c r="U4" s="1" t="s">
        <v>2</v>
      </c>
      <c r="V4" s="6"/>
      <c r="W4" s="6"/>
      <c r="X4" s="6"/>
      <c r="Y4" s="6"/>
    </row>
    <row r="5" spans="1:25">
      <c r="A5" s="1" t="s">
        <v>3</v>
      </c>
      <c r="B5" s="6"/>
      <c r="C5" s="6"/>
      <c r="D5" s="6"/>
      <c r="E5" s="6"/>
      <c r="G5" s="2" t="s">
        <v>3</v>
      </c>
      <c r="H5" s="2" t="s">
        <v>46</v>
      </c>
      <c r="I5" s="2" t="s">
        <v>47</v>
      </c>
      <c r="J5" s="2">
        <v>17527.73</v>
      </c>
      <c r="K5" s="2">
        <v>3.432016</v>
      </c>
      <c r="L5" s="2">
        <v>129.92632</v>
      </c>
      <c r="M5" s="2"/>
      <c r="N5" s="2"/>
      <c r="P5" s="2"/>
      <c r="Q5" s="2"/>
      <c r="R5" s="2"/>
      <c r="S5" s="2"/>
      <c r="U5" s="1" t="s">
        <v>3</v>
      </c>
      <c r="V5" s="6"/>
      <c r="W5" s="6"/>
      <c r="X5" s="6"/>
      <c r="Y5" s="6"/>
    </row>
    <row r="6" spans="1:25">
      <c r="A6" s="1" t="s">
        <v>4</v>
      </c>
      <c r="B6" s="6"/>
      <c r="C6" s="6"/>
      <c r="D6" s="6"/>
      <c r="E6" s="6"/>
      <c r="G6" s="2" t="s">
        <v>4</v>
      </c>
      <c r="H6" s="2" t="s">
        <v>46</v>
      </c>
      <c r="I6" s="2" t="s">
        <v>48</v>
      </c>
      <c r="J6" s="2">
        <v>153152.43840635</v>
      </c>
      <c r="K6" s="2">
        <v>803.54597677536003</v>
      </c>
      <c r="L6" s="2">
        <v>1544.202854113744</v>
      </c>
      <c r="M6" s="2"/>
      <c r="N6" s="2"/>
      <c r="P6" s="2"/>
      <c r="Q6" s="2"/>
      <c r="R6" s="2"/>
      <c r="S6" s="2"/>
      <c r="U6" s="1" t="s">
        <v>4</v>
      </c>
      <c r="V6" s="6"/>
      <c r="W6" s="6"/>
      <c r="X6" s="6"/>
      <c r="Y6" s="6"/>
    </row>
    <row r="7" spans="1:25">
      <c r="A7" s="1" t="s">
        <v>5</v>
      </c>
      <c r="B7" s="6"/>
      <c r="C7" s="6"/>
      <c r="D7" s="6"/>
      <c r="E7" s="6"/>
      <c r="G7" s="2" t="s">
        <v>5</v>
      </c>
      <c r="H7" s="2" t="s">
        <v>46</v>
      </c>
      <c r="I7" s="2" t="s">
        <v>49</v>
      </c>
      <c r="J7" s="2">
        <v>12285.922587509</v>
      </c>
      <c r="K7" s="2">
        <v>19.27590723401336</v>
      </c>
      <c r="L7" s="2">
        <v>1247.856039492834</v>
      </c>
      <c r="M7" s="2"/>
      <c r="N7" s="2"/>
      <c r="P7" s="2"/>
      <c r="Q7" s="2"/>
      <c r="R7" s="2"/>
      <c r="S7" s="2"/>
      <c r="U7" s="1" t="s">
        <v>5</v>
      </c>
      <c r="V7" s="6"/>
      <c r="W7" s="6"/>
      <c r="X7" s="6"/>
      <c r="Y7" s="6"/>
    </row>
    <row r="8" spans="1:25">
      <c r="A8" s="1" t="s">
        <v>6</v>
      </c>
      <c r="B8" s="6"/>
      <c r="C8" s="6"/>
      <c r="D8" s="6"/>
      <c r="E8" s="6"/>
      <c r="G8" s="2" t="s">
        <v>6</v>
      </c>
      <c r="H8" s="2" t="s">
        <v>46</v>
      </c>
      <c r="I8" s="2" t="s">
        <v>50</v>
      </c>
      <c r="J8" s="2">
        <v>1924.3441361221001</v>
      </c>
      <c r="K8" s="2">
        <v>5.0324687455445201</v>
      </c>
      <c r="L8" s="2">
        <v>13.60820630172741</v>
      </c>
      <c r="M8" s="2"/>
      <c r="N8" s="2"/>
      <c r="P8" s="2"/>
      <c r="Q8" s="2"/>
      <c r="R8" s="2"/>
      <c r="S8" s="2"/>
      <c r="U8" s="1" t="s">
        <v>6</v>
      </c>
      <c r="V8" s="6"/>
      <c r="W8" s="6"/>
      <c r="X8" s="6"/>
      <c r="Y8" s="6"/>
    </row>
    <row r="9" spans="1:25">
      <c r="A9" s="1" t="s">
        <v>7</v>
      </c>
      <c r="B9" s="6"/>
      <c r="C9" s="6"/>
      <c r="D9" s="6"/>
      <c r="E9" s="6"/>
      <c r="G9" s="2" t="s">
        <v>7</v>
      </c>
      <c r="H9" s="2" t="s">
        <v>46</v>
      </c>
      <c r="I9" s="2" t="s">
        <v>51</v>
      </c>
      <c r="J9" s="2">
        <v>71211.287926310004</v>
      </c>
      <c r="K9" s="2">
        <v>38.978088999480399</v>
      </c>
      <c r="L9" s="2">
        <v>42.882898589210647</v>
      </c>
      <c r="M9" s="2"/>
      <c r="N9" s="2"/>
      <c r="P9" s="2"/>
      <c r="Q9" s="2"/>
      <c r="R9" s="2"/>
      <c r="S9" s="2"/>
      <c r="U9" s="1" t="s">
        <v>7</v>
      </c>
      <c r="V9" s="6"/>
      <c r="W9" s="6"/>
      <c r="X9" s="6"/>
      <c r="Y9" s="6"/>
    </row>
    <row r="10" spans="1:25">
      <c r="A10" s="1" t="s">
        <v>8</v>
      </c>
      <c r="B10" s="6"/>
      <c r="C10" s="6"/>
      <c r="D10" s="6"/>
      <c r="E10" s="6"/>
      <c r="G10" s="2" t="s">
        <v>8</v>
      </c>
      <c r="H10" s="2" t="s">
        <v>52</v>
      </c>
      <c r="I10" s="2" t="s">
        <v>53</v>
      </c>
      <c r="J10" s="2">
        <v>234351.75553476001</v>
      </c>
      <c r="K10" s="2">
        <v>3092.0118305355718</v>
      </c>
      <c r="L10" s="2">
        <v>1100.3435552950857</v>
      </c>
      <c r="M10" s="2"/>
      <c r="N10" s="2">
        <v>8837.0870703735</v>
      </c>
      <c r="P10" s="2"/>
      <c r="Q10" s="2"/>
      <c r="R10" s="2"/>
      <c r="S10" s="2"/>
      <c r="U10" s="1" t="s">
        <v>8</v>
      </c>
      <c r="V10" s="6"/>
      <c r="W10" s="6"/>
      <c r="X10" s="6"/>
      <c r="Y10" s="6"/>
    </row>
    <row r="11" spans="1:25">
      <c r="A11" s="1" t="s">
        <v>9</v>
      </c>
      <c r="B11" s="6"/>
      <c r="C11" s="6"/>
      <c r="D11" s="6"/>
      <c r="E11" s="6"/>
      <c r="G11" s="2" t="s">
        <v>9</v>
      </c>
      <c r="H11" s="2" t="s">
        <v>54</v>
      </c>
      <c r="I11" s="2" t="s">
        <v>55</v>
      </c>
      <c r="J11" s="2">
        <v>5605.9778126075998</v>
      </c>
      <c r="K11" s="2">
        <v>8.8029655335818013</v>
      </c>
      <c r="L11" s="2">
        <v>572.85228091636156</v>
      </c>
      <c r="M11" s="2"/>
      <c r="N11" s="2"/>
      <c r="P11" s="2"/>
      <c r="Q11" s="2"/>
      <c r="R11" s="2"/>
      <c r="S11" s="2"/>
      <c r="U11" s="1" t="s">
        <v>9</v>
      </c>
      <c r="V11" s="6"/>
      <c r="W11" s="6"/>
      <c r="X11" s="6"/>
      <c r="Y11" s="6"/>
    </row>
    <row r="12" spans="1:25">
      <c r="A12" s="1" t="s">
        <v>10</v>
      </c>
      <c r="B12" s="2">
        <f>V12</f>
        <v>28174.489211617769</v>
      </c>
      <c r="C12" s="2">
        <f t="shared" ref="C12:E27" si="0">W12</f>
        <v>62498.498738681868</v>
      </c>
      <c r="D12" s="2">
        <f t="shared" si="0"/>
        <v>1.3852354971254288</v>
      </c>
      <c r="E12" s="2">
        <f t="shared" si="0"/>
        <v>0</v>
      </c>
      <c r="G12" s="2" t="s">
        <v>10</v>
      </c>
      <c r="H12" s="2" t="s">
        <v>56</v>
      </c>
      <c r="I12" s="2" t="s">
        <v>57</v>
      </c>
      <c r="J12" s="2">
        <v>46402.256751966001</v>
      </c>
      <c r="K12" s="2">
        <v>102932.52748265948</v>
      </c>
      <c r="L12" s="2">
        <v>2.281427454345696</v>
      </c>
      <c r="M12" s="2"/>
      <c r="N12" s="2"/>
      <c r="P12" s="2" t="s">
        <v>88</v>
      </c>
      <c r="Q12" s="2">
        <v>1.64696</v>
      </c>
      <c r="R12" s="2"/>
      <c r="S12" s="2">
        <f>SUM(Q12:R12)</f>
        <v>1.64696</v>
      </c>
      <c r="U12" s="1" t="s">
        <v>10</v>
      </c>
      <c r="V12" s="2">
        <f>J12/$S12</f>
        <v>28174.489211617769</v>
      </c>
      <c r="W12" s="2">
        <f t="shared" ref="W12:Y27" si="1">K12/$S12</f>
        <v>62498.498738681868</v>
      </c>
      <c r="X12" s="2">
        <f t="shared" si="1"/>
        <v>1.3852354971254288</v>
      </c>
      <c r="Y12" s="2">
        <f t="shared" si="1"/>
        <v>0</v>
      </c>
    </row>
    <row r="13" spans="1:25">
      <c r="A13" s="1" t="s">
        <v>11</v>
      </c>
      <c r="B13" s="2">
        <f t="shared" ref="B13:E38" si="2">V13</f>
        <v>4047.0961547727225</v>
      </c>
      <c r="C13" s="2">
        <f t="shared" si="0"/>
        <v>11740.724304051868</v>
      </c>
      <c r="D13" s="2">
        <f t="shared" si="0"/>
        <v>9.8448222809461452</v>
      </c>
      <c r="E13" s="2">
        <f t="shared" si="0"/>
        <v>0</v>
      </c>
      <c r="G13" s="2" t="s">
        <v>11</v>
      </c>
      <c r="H13" s="2" t="s">
        <v>56</v>
      </c>
      <c r="I13" s="2" t="s">
        <v>58</v>
      </c>
      <c r="J13" s="2">
        <v>71805.158345478005</v>
      </c>
      <c r="K13" s="2">
        <v>208308.50948496681</v>
      </c>
      <c r="L13" s="2">
        <v>174.67067638923609</v>
      </c>
      <c r="M13" s="2"/>
      <c r="N13" s="2"/>
      <c r="P13" s="2" t="s">
        <v>99</v>
      </c>
      <c r="Q13">
        <v>10.632</v>
      </c>
      <c r="R13">
        <v>7.1103899999999998</v>
      </c>
      <c r="S13" s="2">
        <f>SUM(Q13:R13)</f>
        <v>17.74239</v>
      </c>
      <c r="U13" s="1" t="s">
        <v>11</v>
      </c>
      <c r="V13" s="2">
        <f t="shared" ref="V13:Y38" si="3">J13/$S13</f>
        <v>4047.0961547727225</v>
      </c>
      <c r="W13" s="2">
        <f t="shared" si="1"/>
        <v>11740.724304051868</v>
      </c>
      <c r="X13" s="2">
        <f t="shared" si="1"/>
        <v>9.8448222809461452</v>
      </c>
      <c r="Y13" s="2">
        <f t="shared" si="1"/>
        <v>0</v>
      </c>
    </row>
    <row r="14" spans="1:25">
      <c r="A14" s="1" t="s">
        <v>12</v>
      </c>
      <c r="B14" s="2">
        <f t="shared" si="2"/>
        <v>7599.6244502643685</v>
      </c>
      <c r="C14" s="2">
        <f t="shared" si="0"/>
        <v>0</v>
      </c>
      <c r="D14" s="2">
        <f t="shared" si="0"/>
        <v>0</v>
      </c>
      <c r="E14" s="2">
        <f t="shared" si="0"/>
        <v>0</v>
      </c>
      <c r="G14" s="2" t="s">
        <v>12</v>
      </c>
      <c r="H14" s="2" t="s">
        <v>44</v>
      </c>
      <c r="I14" s="2" t="s">
        <v>59</v>
      </c>
      <c r="J14" s="2">
        <v>19993.168000000001</v>
      </c>
      <c r="K14" s="2"/>
      <c r="L14" s="2"/>
      <c r="M14" s="2"/>
      <c r="N14" s="2"/>
      <c r="P14" s="2" t="s">
        <v>89</v>
      </c>
      <c r="Q14" s="2">
        <v>2.6308099999999999</v>
      </c>
      <c r="R14" s="2"/>
      <c r="S14" s="2">
        <f t="shared" ref="S14:S38" si="4">SUM(Q14:R14)</f>
        <v>2.6308099999999999</v>
      </c>
      <c r="U14" s="1" t="s">
        <v>12</v>
      </c>
      <c r="V14" s="2">
        <f t="shared" si="3"/>
        <v>7599.6244502643685</v>
      </c>
      <c r="W14" s="2">
        <f t="shared" si="1"/>
        <v>0</v>
      </c>
      <c r="X14" s="2">
        <f t="shared" si="1"/>
        <v>0</v>
      </c>
      <c r="Y14" s="2">
        <f t="shared" si="1"/>
        <v>0</v>
      </c>
    </row>
    <row r="15" spans="1:25">
      <c r="A15" s="1" t="s">
        <v>13</v>
      </c>
      <c r="B15" s="2">
        <f t="shared" si="2"/>
        <v>3300.4093796207253</v>
      </c>
      <c r="C15" s="2">
        <f t="shared" si="0"/>
        <v>0</v>
      </c>
      <c r="D15" s="2">
        <f t="shared" si="0"/>
        <v>0</v>
      </c>
      <c r="E15" s="2">
        <f t="shared" si="0"/>
        <v>0</v>
      </c>
      <c r="G15" s="2" t="s">
        <v>13</v>
      </c>
      <c r="H15" s="2" t="s">
        <v>44</v>
      </c>
      <c r="I15" s="2" t="s">
        <v>59</v>
      </c>
      <c r="J15" s="2">
        <v>8682.75</v>
      </c>
      <c r="K15" s="2"/>
      <c r="L15" s="2"/>
      <c r="M15" s="2"/>
      <c r="N15" s="2"/>
      <c r="P15" s="2" t="s">
        <v>89</v>
      </c>
      <c r="Q15" s="2">
        <f>Q14</f>
        <v>2.6308099999999999</v>
      </c>
      <c r="R15" s="2"/>
      <c r="S15" s="2">
        <f t="shared" si="4"/>
        <v>2.6308099999999999</v>
      </c>
      <c r="U15" s="1" t="s">
        <v>13</v>
      </c>
      <c r="V15" s="2">
        <f t="shared" si="3"/>
        <v>3300.4093796207253</v>
      </c>
      <c r="W15" s="2">
        <f t="shared" si="1"/>
        <v>0</v>
      </c>
      <c r="X15" s="2">
        <f t="shared" si="1"/>
        <v>0</v>
      </c>
      <c r="Y15" s="2">
        <f t="shared" si="1"/>
        <v>0</v>
      </c>
    </row>
    <row r="16" spans="1:25">
      <c r="A16" s="1" t="s">
        <v>14</v>
      </c>
      <c r="B16" s="2">
        <f t="shared" si="2"/>
        <v>677.31053975342195</v>
      </c>
      <c r="C16" s="2">
        <f t="shared" si="0"/>
        <v>0</v>
      </c>
      <c r="D16" s="2">
        <f t="shared" si="0"/>
        <v>0</v>
      </c>
      <c r="E16" s="2">
        <f t="shared" si="0"/>
        <v>0</v>
      </c>
      <c r="G16" s="2" t="s">
        <v>14</v>
      </c>
      <c r="H16" s="2" t="s">
        <v>44</v>
      </c>
      <c r="I16" s="2" t="s">
        <v>59</v>
      </c>
      <c r="J16" s="2">
        <v>1781.8753410887</v>
      </c>
      <c r="K16" s="2"/>
      <c r="L16" s="2"/>
      <c r="M16" s="2"/>
      <c r="N16" s="2"/>
      <c r="P16" s="2" t="s">
        <v>89</v>
      </c>
      <c r="Q16" s="2">
        <f>Q15</f>
        <v>2.6308099999999999</v>
      </c>
      <c r="R16" s="2"/>
      <c r="S16" s="2">
        <f t="shared" si="4"/>
        <v>2.6308099999999999</v>
      </c>
      <c r="U16" s="1" t="s">
        <v>14</v>
      </c>
      <c r="V16" s="2">
        <f t="shared" si="3"/>
        <v>677.31053975342195</v>
      </c>
      <c r="W16" s="2">
        <f t="shared" si="1"/>
        <v>0</v>
      </c>
      <c r="X16" s="2">
        <f t="shared" si="1"/>
        <v>0</v>
      </c>
      <c r="Y16" s="2">
        <f t="shared" si="1"/>
        <v>0</v>
      </c>
    </row>
    <row r="17" spans="1:25">
      <c r="A17" s="1" t="s">
        <v>15</v>
      </c>
      <c r="B17" s="2">
        <f t="shared" si="2"/>
        <v>348486.82397205464</v>
      </c>
      <c r="C17" s="2">
        <f t="shared" si="0"/>
        <v>0</v>
      </c>
      <c r="D17" s="2">
        <f t="shared" si="0"/>
        <v>0</v>
      </c>
      <c r="E17" s="2">
        <f t="shared" si="0"/>
        <v>0</v>
      </c>
      <c r="G17" s="2" t="s">
        <v>15</v>
      </c>
      <c r="H17" s="2" t="s">
        <v>44</v>
      </c>
      <c r="I17" s="2" t="s">
        <v>60</v>
      </c>
      <c r="J17" s="2">
        <v>5233.7842145066998</v>
      </c>
      <c r="K17" s="2"/>
      <c r="L17" s="2"/>
      <c r="M17" s="2"/>
      <c r="N17" s="2"/>
      <c r="P17" s="2" t="s">
        <v>90</v>
      </c>
      <c r="Q17" s="2">
        <v>1.50186E-2</v>
      </c>
      <c r="R17" s="2"/>
      <c r="S17" s="2">
        <f t="shared" si="4"/>
        <v>1.50186E-2</v>
      </c>
      <c r="U17" s="1" t="s">
        <v>15</v>
      </c>
      <c r="V17" s="2">
        <f t="shared" si="3"/>
        <v>348486.82397205464</v>
      </c>
      <c r="W17" s="2">
        <f t="shared" si="1"/>
        <v>0</v>
      </c>
      <c r="X17" s="2">
        <f t="shared" si="1"/>
        <v>0</v>
      </c>
      <c r="Y17" s="2">
        <f t="shared" si="1"/>
        <v>0</v>
      </c>
    </row>
    <row r="18" spans="1:25">
      <c r="A18" s="1" t="s">
        <v>16</v>
      </c>
      <c r="B18" s="2">
        <f t="shared" si="2"/>
        <v>3328244.0664896863</v>
      </c>
      <c r="C18" s="2">
        <f t="shared" si="0"/>
        <v>23445.018501658476</v>
      </c>
      <c r="D18" s="2">
        <f t="shared" si="0"/>
        <v>1176832.617983697</v>
      </c>
      <c r="E18" s="2">
        <f t="shared" si="0"/>
        <v>903407.72986561328</v>
      </c>
      <c r="G18" s="2" t="s">
        <v>16</v>
      </c>
      <c r="H18" s="2" t="s">
        <v>44</v>
      </c>
      <c r="I18" s="2" t="s">
        <v>61</v>
      </c>
      <c r="J18" s="2">
        <v>49985.566336982003</v>
      </c>
      <c r="K18" s="2">
        <v>352.11135486900798</v>
      </c>
      <c r="L18" s="2">
        <v>17674.37835644995</v>
      </c>
      <c r="M18" s="2">
        <v>13567.9193317597</v>
      </c>
      <c r="N18" s="2"/>
      <c r="P18" s="2" t="s">
        <v>90</v>
      </c>
      <c r="Q18" s="2">
        <f>Q17</f>
        <v>1.50186E-2</v>
      </c>
      <c r="R18" s="2"/>
      <c r="S18" s="2">
        <f t="shared" si="4"/>
        <v>1.50186E-2</v>
      </c>
      <c r="U18" s="1" t="s">
        <v>16</v>
      </c>
      <c r="V18" s="2">
        <f t="shared" si="3"/>
        <v>3328244.0664896863</v>
      </c>
      <c r="W18" s="2">
        <f t="shared" si="1"/>
        <v>23445.018501658476</v>
      </c>
      <c r="X18" s="2">
        <f t="shared" si="1"/>
        <v>1176832.617983697</v>
      </c>
      <c r="Y18" s="2">
        <f t="shared" si="1"/>
        <v>903407.72986561328</v>
      </c>
    </row>
    <row r="19" spans="1:25">
      <c r="A19" s="1" t="s">
        <v>17</v>
      </c>
      <c r="B19" s="2">
        <f t="shared" si="2"/>
        <v>3512.9599057255627</v>
      </c>
      <c r="C19" s="2">
        <f t="shared" si="0"/>
        <v>33.26577118247242</v>
      </c>
      <c r="D19" s="2">
        <f t="shared" si="0"/>
        <v>0</v>
      </c>
      <c r="E19" s="2">
        <f t="shared" si="0"/>
        <v>861.97343767966993</v>
      </c>
      <c r="G19" s="2" t="s">
        <v>17</v>
      </c>
      <c r="H19" s="2" t="s">
        <v>44</v>
      </c>
      <c r="I19" s="2" t="s">
        <v>62</v>
      </c>
      <c r="J19" s="2">
        <v>17480.242583697</v>
      </c>
      <c r="K19" s="2">
        <v>165.5281488</v>
      </c>
      <c r="L19" s="2"/>
      <c r="M19" s="2">
        <v>4289.1194877533999</v>
      </c>
      <c r="N19" s="2"/>
      <c r="P19" s="2" t="s">
        <v>92</v>
      </c>
      <c r="Q19" s="2">
        <v>4.97593</v>
      </c>
      <c r="R19" s="2"/>
      <c r="S19" s="2">
        <f t="shared" si="4"/>
        <v>4.97593</v>
      </c>
      <c r="U19" s="1" t="s">
        <v>17</v>
      </c>
      <c r="V19" s="2">
        <f t="shared" si="3"/>
        <v>3512.9599057255627</v>
      </c>
      <c r="W19" s="2">
        <f t="shared" si="1"/>
        <v>33.26577118247242</v>
      </c>
      <c r="X19" s="2">
        <f t="shared" si="1"/>
        <v>0</v>
      </c>
      <c r="Y19" s="2">
        <f t="shared" si="1"/>
        <v>861.97343767966993</v>
      </c>
    </row>
    <row r="20" spans="1:25">
      <c r="A20" s="1" t="s">
        <v>18</v>
      </c>
      <c r="B20" s="2">
        <f t="shared" si="2"/>
        <v>621663.17530108662</v>
      </c>
      <c r="C20" s="2">
        <f t="shared" si="0"/>
        <v>0</v>
      </c>
      <c r="D20" s="2">
        <f t="shared" si="0"/>
        <v>0</v>
      </c>
      <c r="E20" s="2">
        <f t="shared" si="0"/>
        <v>0</v>
      </c>
      <c r="G20" s="2" t="s">
        <v>18</v>
      </c>
      <c r="H20" s="2" t="s">
        <v>56</v>
      </c>
      <c r="I20" s="2" t="s">
        <v>63</v>
      </c>
      <c r="J20" s="2">
        <v>9336.5105645768999</v>
      </c>
      <c r="K20" s="2"/>
      <c r="L20" s="2"/>
      <c r="M20" s="2"/>
      <c r="N20" s="2"/>
      <c r="P20" s="2" t="s">
        <v>90</v>
      </c>
      <c r="Q20" s="2">
        <f>Q18</f>
        <v>1.50186E-2</v>
      </c>
      <c r="R20" s="2"/>
      <c r="S20" s="2">
        <f t="shared" si="4"/>
        <v>1.50186E-2</v>
      </c>
      <c r="U20" s="1" t="s">
        <v>18</v>
      </c>
      <c r="V20" s="2">
        <f t="shared" si="3"/>
        <v>621663.17530108662</v>
      </c>
      <c r="W20" s="2">
        <f t="shared" si="1"/>
        <v>0</v>
      </c>
      <c r="X20" s="2">
        <f t="shared" si="1"/>
        <v>0</v>
      </c>
      <c r="Y20" s="2">
        <f t="shared" si="1"/>
        <v>0</v>
      </c>
    </row>
    <row r="21" spans="1:25">
      <c r="A21" s="1" t="s">
        <v>19</v>
      </c>
      <c r="B21" s="2">
        <f t="shared" si="2"/>
        <v>0</v>
      </c>
      <c r="C21" s="2">
        <f t="shared" si="0"/>
        <v>0</v>
      </c>
      <c r="D21" s="2">
        <f t="shared" si="0"/>
        <v>0</v>
      </c>
      <c r="E21" s="2">
        <f t="shared" si="0"/>
        <v>2.3814345453344221</v>
      </c>
      <c r="G21" s="2" t="s">
        <v>19</v>
      </c>
      <c r="H21" s="2" t="s">
        <v>44</v>
      </c>
      <c r="I21" s="2" t="s">
        <v>64</v>
      </c>
      <c r="J21" s="2"/>
      <c r="K21" s="2"/>
      <c r="L21" s="2"/>
      <c r="M21" s="2">
        <v>22.828622066339399</v>
      </c>
      <c r="N21" s="2"/>
      <c r="P21" s="2" t="s">
        <v>94</v>
      </c>
      <c r="Q21" s="2">
        <v>9.5860800000000008</v>
      </c>
      <c r="R21" s="2"/>
      <c r="S21" s="2">
        <f t="shared" si="4"/>
        <v>9.5860800000000008</v>
      </c>
      <c r="U21" s="1" t="s">
        <v>19</v>
      </c>
      <c r="V21" s="2">
        <f t="shared" si="3"/>
        <v>0</v>
      </c>
      <c r="W21" s="2">
        <f t="shared" si="1"/>
        <v>0</v>
      </c>
      <c r="X21" s="2">
        <f t="shared" si="1"/>
        <v>0</v>
      </c>
      <c r="Y21" s="2">
        <f t="shared" si="1"/>
        <v>2.3814345453344221</v>
      </c>
    </row>
    <row r="22" spans="1:25">
      <c r="A22" s="1" t="s">
        <v>20</v>
      </c>
      <c r="B22" s="2">
        <f t="shared" si="2"/>
        <v>0</v>
      </c>
      <c r="C22" s="2">
        <f t="shared" si="0"/>
        <v>0</v>
      </c>
      <c r="D22" s="2">
        <f t="shared" si="0"/>
        <v>0</v>
      </c>
      <c r="E22" s="2">
        <f t="shared" si="0"/>
        <v>2060.8836463976932</v>
      </c>
      <c r="G22" s="2" t="s">
        <v>20</v>
      </c>
      <c r="H22" s="2" t="s">
        <v>44</v>
      </c>
      <c r="I22" s="2" t="s">
        <v>65</v>
      </c>
      <c r="J22" s="2"/>
      <c r="K22" s="2"/>
      <c r="L22" s="2"/>
      <c r="M22" s="2">
        <v>19755.795505059999</v>
      </c>
      <c r="N22" s="2"/>
      <c r="P22" s="2" t="s">
        <v>94</v>
      </c>
      <c r="Q22" s="2">
        <f>Q21</f>
        <v>9.5860800000000008</v>
      </c>
      <c r="R22" s="2"/>
      <c r="S22" s="2">
        <f t="shared" si="4"/>
        <v>9.5860800000000008</v>
      </c>
      <c r="U22" s="1" t="s">
        <v>20</v>
      </c>
      <c r="V22" s="2">
        <f t="shared" si="3"/>
        <v>0</v>
      </c>
      <c r="W22" s="2">
        <f t="shared" si="1"/>
        <v>0</v>
      </c>
      <c r="X22" s="2">
        <f t="shared" si="1"/>
        <v>0</v>
      </c>
      <c r="Y22" s="2">
        <f t="shared" si="1"/>
        <v>2060.8836463976932</v>
      </c>
    </row>
    <row r="23" spans="1:25">
      <c r="A23" s="1" t="s">
        <v>21</v>
      </c>
      <c r="B23" s="2">
        <f t="shared" si="2"/>
        <v>0</v>
      </c>
      <c r="C23" s="2">
        <f t="shared" si="0"/>
        <v>0</v>
      </c>
      <c r="D23" s="2">
        <f t="shared" si="0"/>
        <v>51.37995226004503</v>
      </c>
      <c r="E23" s="2">
        <f t="shared" si="0"/>
        <v>1193.3083182419716</v>
      </c>
      <c r="G23" s="2" t="s">
        <v>21</v>
      </c>
      <c r="H23" s="2" t="s">
        <v>44</v>
      </c>
      <c r="I23" s="2" t="s">
        <v>60</v>
      </c>
      <c r="J23" s="2"/>
      <c r="K23" s="2"/>
      <c r="L23" s="2">
        <v>492.53233276097251</v>
      </c>
      <c r="M23" s="2">
        <v>11439.149003332999</v>
      </c>
      <c r="N23" s="2"/>
      <c r="P23" s="2" t="s">
        <v>94</v>
      </c>
      <c r="Q23" s="2">
        <f>Q22</f>
        <v>9.5860800000000008</v>
      </c>
      <c r="R23" s="2"/>
      <c r="S23" s="2">
        <f t="shared" si="4"/>
        <v>9.5860800000000008</v>
      </c>
      <c r="U23" s="1" t="s">
        <v>21</v>
      </c>
      <c r="V23" s="2">
        <f t="shared" si="3"/>
        <v>0</v>
      </c>
      <c r="W23" s="2">
        <f t="shared" si="1"/>
        <v>0</v>
      </c>
      <c r="X23" s="2">
        <f t="shared" si="1"/>
        <v>51.37995226004503</v>
      </c>
      <c r="Y23" s="2">
        <f t="shared" si="1"/>
        <v>1193.3083182419716</v>
      </c>
    </row>
    <row r="24" spans="1:25">
      <c r="A24" s="1" t="s">
        <v>22</v>
      </c>
      <c r="B24" s="2">
        <f t="shared" si="2"/>
        <v>0</v>
      </c>
      <c r="C24" s="2">
        <f t="shared" si="0"/>
        <v>5571.9247314010872</v>
      </c>
      <c r="D24" s="2">
        <f t="shared" si="0"/>
        <v>0</v>
      </c>
      <c r="E24" s="2">
        <f t="shared" si="0"/>
        <v>0</v>
      </c>
      <c r="G24" s="2" t="s">
        <v>22</v>
      </c>
      <c r="H24" s="2" t="s">
        <v>66</v>
      </c>
      <c r="I24" s="2" t="s">
        <v>67</v>
      </c>
      <c r="J24" s="2"/>
      <c r="K24" s="2">
        <v>49952.528094000001</v>
      </c>
      <c r="L24" s="2"/>
      <c r="M24" s="2"/>
      <c r="N24" s="2"/>
      <c r="P24" s="2" t="s">
        <v>96</v>
      </c>
      <c r="Q24" s="2">
        <v>8.9650400000000001</v>
      </c>
      <c r="R24" s="2"/>
      <c r="S24" s="2">
        <f t="shared" si="4"/>
        <v>8.9650400000000001</v>
      </c>
      <c r="U24" s="1" t="s">
        <v>22</v>
      </c>
      <c r="V24" s="2">
        <f t="shared" si="3"/>
        <v>0</v>
      </c>
      <c r="W24" s="2">
        <f t="shared" si="1"/>
        <v>5571.9247314010872</v>
      </c>
      <c r="X24" s="2">
        <f t="shared" si="1"/>
        <v>0</v>
      </c>
      <c r="Y24" s="2">
        <f t="shared" si="1"/>
        <v>0</v>
      </c>
    </row>
    <row r="25" spans="1:25">
      <c r="A25" s="1" t="s">
        <v>23</v>
      </c>
      <c r="B25" s="2">
        <f t="shared" si="2"/>
        <v>0</v>
      </c>
      <c r="C25" s="2">
        <f t="shared" si="0"/>
        <v>1193.472372023112</v>
      </c>
      <c r="D25" s="2">
        <f t="shared" si="0"/>
        <v>323.4594126832942</v>
      </c>
      <c r="E25" s="2">
        <f t="shared" si="0"/>
        <v>0</v>
      </c>
      <c r="G25" s="2" t="s">
        <v>23</v>
      </c>
      <c r="H25" s="2" t="s">
        <v>66</v>
      </c>
      <c r="I25" s="2" t="s">
        <v>68</v>
      </c>
      <c r="J25" s="2"/>
      <c r="K25" s="2">
        <v>10699.52755408208</v>
      </c>
      <c r="L25" s="2">
        <v>2899.82657308224</v>
      </c>
      <c r="M25" s="2"/>
      <c r="N25" s="2"/>
      <c r="P25" s="2" t="s">
        <v>96</v>
      </c>
      <c r="Q25" s="2">
        <f>Q24</f>
        <v>8.9650400000000001</v>
      </c>
      <c r="R25" s="2"/>
      <c r="S25" s="2">
        <f t="shared" si="4"/>
        <v>8.9650400000000001</v>
      </c>
      <c r="U25" s="1" t="s">
        <v>23</v>
      </c>
      <c r="V25" s="2">
        <f t="shared" si="3"/>
        <v>0</v>
      </c>
      <c r="W25" s="2">
        <f t="shared" si="1"/>
        <v>1193.472372023112</v>
      </c>
      <c r="X25" s="2">
        <f t="shared" si="1"/>
        <v>323.4594126832942</v>
      </c>
      <c r="Y25" s="2">
        <f t="shared" si="1"/>
        <v>0</v>
      </c>
    </row>
    <row r="26" spans="1:25">
      <c r="A26" s="1" t="s">
        <v>24</v>
      </c>
      <c r="B26" s="2">
        <f t="shared" si="2"/>
        <v>0</v>
      </c>
      <c r="C26" s="2">
        <f t="shared" si="0"/>
        <v>133.83383761901743</v>
      </c>
      <c r="D26" s="2">
        <f t="shared" si="0"/>
        <v>32.838858304667411</v>
      </c>
      <c r="E26" s="2">
        <f t="shared" si="0"/>
        <v>0</v>
      </c>
      <c r="G26" s="2" t="s">
        <v>24</v>
      </c>
      <c r="H26" s="2" t="s">
        <v>66</v>
      </c>
      <c r="I26" s="2" t="s">
        <v>69</v>
      </c>
      <c r="J26" s="2"/>
      <c r="K26" s="2">
        <v>1199.825707607996</v>
      </c>
      <c r="L26" s="2">
        <v>294.40167825567551</v>
      </c>
      <c r="M26" s="2"/>
      <c r="N26" s="2">
        <v>24044.126283414</v>
      </c>
      <c r="P26" s="2" t="s">
        <v>96</v>
      </c>
      <c r="Q26" s="2">
        <f>Q25</f>
        <v>8.9650400000000001</v>
      </c>
      <c r="R26" s="2"/>
      <c r="S26" s="2">
        <f t="shared" si="4"/>
        <v>8.9650400000000001</v>
      </c>
      <c r="U26" s="1" t="s">
        <v>24</v>
      </c>
      <c r="V26" s="2">
        <f t="shared" si="3"/>
        <v>0</v>
      </c>
      <c r="W26" s="2">
        <f t="shared" si="1"/>
        <v>133.83383761901743</v>
      </c>
      <c r="X26" s="2">
        <f t="shared" si="1"/>
        <v>32.838858304667411</v>
      </c>
      <c r="Y26" s="2">
        <f t="shared" si="1"/>
        <v>0</v>
      </c>
    </row>
    <row r="27" spans="1:25">
      <c r="A27" s="1" t="s">
        <v>25</v>
      </c>
      <c r="B27" s="2">
        <f t="shared" si="2"/>
        <v>619.29025470285683</v>
      </c>
      <c r="C27" s="2">
        <f t="shared" si="0"/>
        <v>0</v>
      </c>
      <c r="D27" s="2">
        <f t="shared" si="0"/>
        <v>0</v>
      </c>
      <c r="E27" s="2">
        <f t="shared" si="0"/>
        <v>0</v>
      </c>
      <c r="G27" s="2" t="s">
        <v>25</v>
      </c>
      <c r="H27" s="2" t="s">
        <v>66</v>
      </c>
      <c r="I27" s="2" t="s">
        <v>70</v>
      </c>
      <c r="J27" s="2">
        <v>5551.9619050212996</v>
      </c>
      <c r="K27" s="2"/>
      <c r="L27" s="2"/>
      <c r="M27" s="2"/>
      <c r="N27" s="2"/>
      <c r="P27" s="2" t="s">
        <v>96</v>
      </c>
      <c r="Q27" s="2">
        <f>Q26</f>
        <v>8.9650400000000001</v>
      </c>
      <c r="R27" s="2"/>
      <c r="S27" s="2">
        <f t="shared" si="4"/>
        <v>8.9650400000000001</v>
      </c>
      <c r="U27" s="1" t="s">
        <v>25</v>
      </c>
      <c r="V27" s="2">
        <f t="shared" si="3"/>
        <v>619.29025470285683</v>
      </c>
      <c r="W27" s="2">
        <f t="shared" si="1"/>
        <v>0</v>
      </c>
      <c r="X27" s="2">
        <f t="shared" si="1"/>
        <v>0</v>
      </c>
      <c r="Y27" s="2">
        <f t="shared" si="1"/>
        <v>0</v>
      </c>
    </row>
    <row r="28" spans="1:25">
      <c r="A28" s="1" t="s">
        <v>26</v>
      </c>
      <c r="B28" s="2">
        <f t="shared" si="2"/>
        <v>49.412566340234953</v>
      </c>
      <c r="C28" s="2">
        <f t="shared" si="2"/>
        <v>0</v>
      </c>
      <c r="D28" s="2">
        <f t="shared" si="2"/>
        <v>0</v>
      </c>
      <c r="E28" s="2">
        <f t="shared" si="2"/>
        <v>0</v>
      </c>
      <c r="G28" s="2" t="s">
        <v>26</v>
      </c>
      <c r="H28" s="2" t="s">
        <v>66</v>
      </c>
      <c r="I28" s="2" t="s">
        <v>71</v>
      </c>
      <c r="J28" s="2">
        <v>442.98563374285999</v>
      </c>
      <c r="K28" s="2"/>
      <c r="L28" s="2"/>
      <c r="M28" s="2"/>
      <c r="N28" s="2"/>
      <c r="P28" s="2" t="s">
        <v>96</v>
      </c>
      <c r="Q28" s="2">
        <f>Q27</f>
        <v>8.9650400000000001</v>
      </c>
      <c r="R28" s="2"/>
      <c r="S28" s="2">
        <f t="shared" si="4"/>
        <v>8.9650400000000001</v>
      </c>
      <c r="U28" s="1" t="s">
        <v>26</v>
      </c>
      <c r="V28" s="2">
        <f t="shared" si="3"/>
        <v>49.412566340234953</v>
      </c>
      <c r="W28" s="2">
        <f t="shared" si="3"/>
        <v>0</v>
      </c>
      <c r="X28" s="2">
        <f t="shared" si="3"/>
        <v>0</v>
      </c>
      <c r="Y28" s="2">
        <f t="shared" si="3"/>
        <v>0</v>
      </c>
    </row>
    <row r="29" spans="1:25">
      <c r="A29" s="1" t="s">
        <v>27</v>
      </c>
      <c r="B29" s="2">
        <f t="shared" si="2"/>
        <v>0</v>
      </c>
      <c r="C29" s="2">
        <f t="shared" si="2"/>
        <v>0</v>
      </c>
      <c r="D29" s="2">
        <f t="shared" si="2"/>
        <v>3203.1724077326539</v>
      </c>
      <c r="E29" s="2">
        <f t="shared" si="2"/>
        <v>0</v>
      </c>
      <c r="G29" s="2" t="s">
        <v>27</v>
      </c>
      <c r="H29" s="2" t="s">
        <v>55</v>
      </c>
      <c r="I29" s="2" t="s">
        <v>72</v>
      </c>
      <c r="J29" s="2"/>
      <c r="K29" s="2"/>
      <c r="L29" s="2">
        <v>28716.568762219551</v>
      </c>
      <c r="M29" s="2"/>
      <c r="N29" s="2"/>
      <c r="P29" s="2" t="s">
        <v>96</v>
      </c>
      <c r="Q29" s="2">
        <f>Q28</f>
        <v>8.9650400000000001</v>
      </c>
      <c r="R29" s="2"/>
      <c r="S29" s="2">
        <f t="shared" si="4"/>
        <v>8.9650400000000001</v>
      </c>
      <c r="U29" s="1" t="s">
        <v>27</v>
      </c>
      <c r="V29" s="2">
        <f t="shared" si="3"/>
        <v>0</v>
      </c>
      <c r="W29" s="2">
        <f t="shared" si="3"/>
        <v>0</v>
      </c>
      <c r="X29" s="2">
        <f t="shared" si="3"/>
        <v>3203.1724077326539</v>
      </c>
      <c r="Y29" s="2">
        <f t="shared" si="3"/>
        <v>0</v>
      </c>
    </row>
    <row r="30" spans="1:25">
      <c r="A30" s="1" t="s">
        <v>28</v>
      </c>
      <c r="B30" s="2">
        <f t="shared" si="2"/>
        <v>0</v>
      </c>
      <c r="C30" s="2">
        <f t="shared" si="2"/>
        <v>0</v>
      </c>
      <c r="D30" s="2">
        <f t="shared" si="2"/>
        <v>681.3995285726628</v>
      </c>
      <c r="E30" s="2">
        <f t="shared" si="2"/>
        <v>0</v>
      </c>
      <c r="G30" s="2" t="s">
        <v>28</v>
      </c>
      <c r="H30" s="2" t="s">
        <v>66</v>
      </c>
      <c r="I30" s="2" t="s">
        <v>73</v>
      </c>
      <c r="J30" s="2"/>
      <c r="K30" s="2"/>
      <c r="L30" s="2">
        <v>6108.7740296350648</v>
      </c>
      <c r="M30" s="2"/>
      <c r="N30" s="2"/>
      <c r="P30" s="2" t="s">
        <v>96</v>
      </c>
      <c r="Q30" s="2">
        <f>Q29</f>
        <v>8.9650400000000001</v>
      </c>
      <c r="R30" s="2"/>
      <c r="S30" s="2">
        <f t="shared" si="4"/>
        <v>8.9650400000000001</v>
      </c>
      <c r="U30" s="1" t="s">
        <v>28</v>
      </c>
      <c r="V30" s="2">
        <f t="shared" si="3"/>
        <v>0</v>
      </c>
      <c r="W30" s="2">
        <f t="shared" si="3"/>
        <v>0</v>
      </c>
      <c r="X30" s="2">
        <f t="shared" si="3"/>
        <v>681.3995285726628</v>
      </c>
      <c r="Y30" s="2">
        <f t="shared" si="3"/>
        <v>0</v>
      </c>
    </row>
    <row r="31" spans="1:25">
      <c r="A31" s="1" t="s">
        <v>29</v>
      </c>
      <c r="B31" s="2">
        <f t="shared" si="2"/>
        <v>0</v>
      </c>
      <c r="C31" s="2">
        <f t="shared" si="2"/>
        <v>0</v>
      </c>
      <c r="D31" s="2">
        <f t="shared" si="2"/>
        <v>60.12642034161393</v>
      </c>
      <c r="E31" s="2">
        <f t="shared" si="2"/>
        <v>0</v>
      </c>
      <c r="G31" s="2" t="s">
        <v>29</v>
      </c>
      <c r="H31" s="2" t="s">
        <v>66</v>
      </c>
      <c r="I31" s="2" t="s">
        <v>74</v>
      </c>
      <c r="J31" s="2"/>
      <c r="K31" s="2"/>
      <c r="L31" s="2">
        <v>539.03576341938253</v>
      </c>
      <c r="M31" s="2"/>
      <c r="N31" s="2"/>
      <c r="P31" s="2" t="s">
        <v>96</v>
      </c>
      <c r="Q31" s="2">
        <f>Q30</f>
        <v>8.9650400000000001</v>
      </c>
      <c r="R31" s="2"/>
      <c r="S31" s="2">
        <f t="shared" si="4"/>
        <v>8.9650400000000001</v>
      </c>
      <c r="U31" s="1" t="s">
        <v>29</v>
      </c>
      <c r="V31" s="2">
        <f t="shared" si="3"/>
        <v>0</v>
      </c>
      <c r="W31" s="2">
        <f t="shared" si="3"/>
        <v>0</v>
      </c>
      <c r="X31" s="2">
        <f t="shared" si="3"/>
        <v>60.12642034161393</v>
      </c>
      <c r="Y31" s="2">
        <f t="shared" si="3"/>
        <v>0</v>
      </c>
    </row>
    <row r="32" spans="1:25">
      <c r="A32" s="1" t="s">
        <v>30</v>
      </c>
      <c r="B32" s="2">
        <f t="shared" si="2"/>
        <v>0</v>
      </c>
      <c r="C32" s="2">
        <f t="shared" si="2"/>
        <v>186.46242201261791</v>
      </c>
      <c r="D32" s="2">
        <f t="shared" si="2"/>
        <v>0</v>
      </c>
      <c r="E32" s="2">
        <f t="shared" si="2"/>
        <v>0</v>
      </c>
      <c r="G32" s="2" t="s">
        <v>30</v>
      </c>
      <c r="H32" s="2" t="s">
        <v>66</v>
      </c>
      <c r="I32" s="2" t="s">
        <v>75</v>
      </c>
      <c r="J32" s="2"/>
      <c r="K32" s="2">
        <v>1671.6430718399999</v>
      </c>
      <c r="L32" s="2"/>
      <c r="M32" s="2"/>
      <c r="N32" s="2"/>
      <c r="P32" s="2" t="s">
        <v>96</v>
      </c>
      <c r="Q32" s="2">
        <f>Q31</f>
        <v>8.9650400000000001</v>
      </c>
      <c r="R32" s="2"/>
      <c r="S32" s="2">
        <f t="shared" si="4"/>
        <v>8.9650400000000001</v>
      </c>
      <c r="U32" s="1" t="s">
        <v>30</v>
      </c>
      <c r="V32" s="2">
        <f t="shared" si="3"/>
        <v>0</v>
      </c>
      <c r="W32" s="2">
        <f t="shared" si="3"/>
        <v>186.46242201261791</v>
      </c>
      <c r="X32" s="2">
        <f t="shared" si="3"/>
        <v>0</v>
      </c>
      <c r="Y32" s="2">
        <f t="shared" si="3"/>
        <v>0</v>
      </c>
    </row>
    <row r="33" spans="1:25">
      <c r="A33" s="1" t="s">
        <v>31</v>
      </c>
      <c r="B33" s="2">
        <f t="shared" si="2"/>
        <v>0</v>
      </c>
      <c r="C33" s="2">
        <f t="shared" si="2"/>
        <v>522.76779856915664</v>
      </c>
      <c r="D33" s="2">
        <f t="shared" si="2"/>
        <v>0</v>
      </c>
      <c r="E33" s="2">
        <f t="shared" si="2"/>
        <v>0</v>
      </c>
      <c r="G33" s="2" t="s">
        <v>31</v>
      </c>
      <c r="H33" s="2" t="s">
        <v>76</v>
      </c>
      <c r="I33" s="2" t="s">
        <v>77</v>
      </c>
      <c r="J33" s="2"/>
      <c r="K33" s="2">
        <v>88369.191437928806</v>
      </c>
      <c r="L33" s="2"/>
      <c r="M33" s="2"/>
      <c r="N33" s="2"/>
      <c r="P33" s="2" t="s">
        <v>97</v>
      </c>
      <c r="Q33" s="2">
        <v>169.041</v>
      </c>
      <c r="R33" s="2"/>
      <c r="S33" s="2">
        <f t="shared" si="4"/>
        <v>169.041</v>
      </c>
      <c r="U33" s="1" t="s">
        <v>31</v>
      </c>
      <c r="V33" s="2">
        <f t="shared" si="3"/>
        <v>0</v>
      </c>
      <c r="W33" s="2">
        <f t="shared" si="3"/>
        <v>522.76779856915664</v>
      </c>
      <c r="X33" s="2">
        <f t="shared" si="3"/>
        <v>0</v>
      </c>
      <c r="Y33" s="2">
        <f t="shared" si="3"/>
        <v>0</v>
      </c>
    </row>
    <row r="34" spans="1:25">
      <c r="A34" s="1" t="s">
        <v>32</v>
      </c>
      <c r="B34" s="2">
        <f t="shared" si="2"/>
        <v>0</v>
      </c>
      <c r="C34" s="2">
        <f t="shared" si="2"/>
        <v>6.2324361545423895E-2</v>
      </c>
      <c r="D34" s="2">
        <f t="shared" si="2"/>
        <v>4.4239167346974993E-2</v>
      </c>
      <c r="E34" s="2">
        <f t="shared" si="2"/>
        <v>0</v>
      </c>
      <c r="G34" s="2" t="s">
        <v>32</v>
      </c>
      <c r="H34" s="2" t="s">
        <v>76</v>
      </c>
      <c r="I34" s="2" t="s">
        <v>78</v>
      </c>
      <c r="J34" s="2"/>
      <c r="K34" s="2">
        <v>10.5353724</v>
      </c>
      <c r="L34" s="2">
        <v>7.4782330874999996</v>
      </c>
      <c r="M34" s="2"/>
      <c r="N34" s="2"/>
      <c r="P34" s="2" t="s">
        <v>97</v>
      </c>
      <c r="Q34" s="2">
        <f>Q33</f>
        <v>169.041</v>
      </c>
      <c r="R34" s="2"/>
      <c r="S34" s="2">
        <f t="shared" si="4"/>
        <v>169.041</v>
      </c>
      <c r="U34" s="1" t="s">
        <v>32</v>
      </c>
      <c r="V34" s="2">
        <f t="shared" si="3"/>
        <v>0</v>
      </c>
      <c r="W34" s="2">
        <f t="shared" si="3"/>
        <v>6.2324361545423895E-2</v>
      </c>
      <c r="X34" s="2">
        <f t="shared" si="3"/>
        <v>4.4239167346974993E-2</v>
      </c>
      <c r="Y34" s="2">
        <f t="shared" si="3"/>
        <v>0</v>
      </c>
    </row>
    <row r="35" spans="1:25">
      <c r="A35" s="1" t="s">
        <v>33</v>
      </c>
      <c r="B35" s="2">
        <f t="shared" si="2"/>
        <v>0</v>
      </c>
      <c r="C35" s="2">
        <f t="shared" si="2"/>
        <v>4.5976227973559789</v>
      </c>
      <c r="D35" s="2">
        <f t="shared" si="2"/>
        <v>1.4455910607485759E-3</v>
      </c>
      <c r="E35" s="2">
        <f t="shared" si="2"/>
        <v>0</v>
      </c>
      <c r="G35" s="2" t="s">
        <v>33</v>
      </c>
      <c r="H35" s="2" t="s">
        <v>76</v>
      </c>
      <c r="I35" s="2" t="s">
        <v>57</v>
      </c>
      <c r="J35" s="2"/>
      <c r="K35" s="2">
        <v>777.18675528785195</v>
      </c>
      <c r="L35" s="2">
        <v>0.24436415850000001</v>
      </c>
      <c r="M35" s="2"/>
      <c r="N35" s="2">
        <v>9.2212890000000005</v>
      </c>
      <c r="P35" s="2" t="s">
        <v>97</v>
      </c>
      <c r="Q35" s="2">
        <f>Q33</f>
        <v>169.041</v>
      </c>
      <c r="R35" s="2"/>
      <c r="S35" s="2">
        <f t="shared" si="4"/>
        <v>169.041</v>
      </c>
      <c r="U35" s="1" t="s">
        <v>33</v>
      </c>
      <c r="V35" s="2">
        <f t="shared" si="3"/>
        <v>0</v>
      </c>
      <c r="W35" s="2">
        <f t="shared" si="3"/>
        <v>4.5976227973559789</v>
      </c>
      <c r="X35" s="2">
        <f t="shared" si="3"/>
        <v>1.4455910607485759E-3</v>
      </c>
      <c r="Y35" s="2">
        <f t="shared" si="3"/>
        <v>0</v>
      </c>
    </row>
    <row r="36" spans="1:25">
      <c r="A36" s="1" t="s">
        <v>34</v>
      </c>
      <c r="B36" s="2">
        <f t="shared" si="2"/>
        <v>0</v>
      </c>
      <c r="C36" s="2">
        <f t="shared" si="2"/>
        <v>179.96685140567317</v>
      </c>
      <c r="D36" s="2">
        <f t="shared" si="2"/>
        <v>14.664812118316721</v>
      </c>
      <c r="E36" s="2">
        <f t="shared" si="2"/>
        <v>0</v>
      </c>
      <c r="G36" s="2" t="s">
        <v>34</v>
      </c>
      <c r="H36" s="2" t="s">
        <v>76</v>
      </c>
      <c r="I36" s="2" t="s">
        <v>79</v>
      </c>
      <c r="J36" s="2"/>
      <c r="K36" s="2">
        <v>30421.776528466398</v>
      </c>
      <c r="L36" s="2">
        <v>2478.9545052923768</v>
      </c>
      <c r="M36" s="2"/>
      <c r="N36" s="2"/>
      <c r="P36" s="2" t="s">
        <v>97</v>
      </c>
      <c r="Q36" s="2">
        <f>Q33</f>
        <v>169.041</v>
      </c>
      <c r="R36" s="2"/>
      <c r="S36" s="2">
        <f t="shared" si="4"/>
        <v>169.041</v>
      </c>
      <c r="U36" s="1" t="s">
        <v>34</v>
      </c>
      <c r="V36" s="2">
        <f t="shared" si="3"/>
        <v>0</v>
      </c>
      <c r="W36" s="2">
        <f t="shared" si="3"/>
        <v>179.96685140567317</v>
      </c>
      <c r="X36" s="2">
        <f t="shared" si="3"/>
        <v>14.664812118316721</v>
      </c>
      <c r="Y36" s="2">
        <f t="shared" si="3"/>
        <v>0</v>
      </c>
    </row>
    <row r="37" spans="1:25">
      <c r="A37" s="1" t="s">
        <v>35</v>
      </c>
      <c r="B37" s="2">
        <f t="shared" si="2"/>
        <v>0</v>
      </c>
      <c r="C37" s="2">
        <f t="shared" si="2"/>
        <v>0</v>
      </c>
      <c r="D37" s="2">
        <f t="shared" si="2"/>
        <v>37.962238973654081</v>
      </c>
      <c r="E37" s="2">
        <f t="shared" si="2"/>
        <v>0</v>
      </c>
      <c r="G37" s="2" t="s">
        <v>35</v>
      </c>
      <c r="H37" s="2" t="s">
        <v>55</v>
      </c>
      <c r="I37" s="2" t="s">
        <v>80</v>
      </c>
      <c r="J37" s="2"/>
      <c r="K37" s="2"/>
      <c r="L37" s="2">
        <v>6417.1748383454596</v>
      </c>
      <c r="M37" s="2"/>
      <c r="N37" s="2"/>
      <c r="P37" s="2" t="s">
        <v>97</v>
      </c>
      <c r="Q37" s="2">
        <f>Q33</f>
        <v>169.041</v>
      </c>
      <c r="R37" s="2"/>
      <c r="S37" s="2">
        <f t="shared" si="4"/>
        <v>169.041</v>
      </c>
      <c r="U37" s="1" t="s">
        <v>35</v>
      </c>
      <c r="V37" s="2">
        <f t="shared" si="3"/>
        <v>0</v>
      </c>
      <c r="W37" s="2">
        <f t="shared" si="3"/>
        <v>0</v>
      </c>
      <c r="X37" s="2">
        <f t="shared" si="3"/>
        <v>37.962238973654081</v>
      </c>
      <c r="Y37" s="2">
        <f t="shared" si="3"/>
        <v>0</v>
      </c>
    </row>
    <row r="38" spans="1:25">
      <c r="A38" s="1" t="s">
        <v>36</v>
      </c>
      <c r="B38" s="2">
        <f t="shared" si="2"/>
        <v>0</v>
      </c>
      <c r="C38" s="2">
        <f t="shared" si="2"/>
        <v>0</v>
      </c>
      <c r="D38" s="2">
        <f t="shared" si="2"/>
        <v>0</v>
      </c>
      <c r="E38" s="2">
        <f t="shared" si="2"/>
        <v>0</v>
      </c>
      <c r="G38" s="2" t="s">
        <v>87</v>
      </c>
      <c r="H38" s="2" t="s">
        <v>55</v>
      </c>
      <c r="I38" s="2" t="s">
        <v>81</v>
      </c>
      <c r="J38" s="2"/>
      <c r="K38" s="2"/>
      <c r="L38" s="2"/>
      <c r="M38" s="2"/>
      <c r="N38" s="2"/>
      <c r="P38" s="2" t="s">
        <v>97</v>
      </c>
      <c r="Q38" s="2">
        <f>Q33</f>
        <v>169.041</v>
      </c>
      <c r="R38" s="2"/>
      <c r="S38" s="2">
        <f t="shared" si="4"/>
        <v>169.041</v>
      </c>
      <c r="U38" s="1" t="s">
        <v>36</v>
      </c>
      <c r="V38" s="2">
        <f t="shared" si="3"/>
        <v>0</v>
      </c>
      <c r="W38" s="2">
        <f t="shared" si="3"/>
        <v>0</v>
      </c>
      <c r="X38" s="2">
        <f t="shared" si="3"/>
        <v>0</v>
      </c>
      <c r="Y38" s="2">
        <f t="shared" si="3"/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8"/>
  <sheetViews>
    <sheetView topLeftCell="A7" zoomScale="70" zoomScaleNormal="70" workbookViewId="0">
      <selection activeCell="Q33" sqref="Q33"/>
    </sheetView>
  </sheetViews>
  <sheetFormatPr defaultRowHeight="14.4"/>
  <cols>
    <col min="1" max="1" width="12.88671875" bestFit="1" customWidth="1"/>
    <col min="2" max="4" width="12" bestFit="1" customWidth="1"/>
    <col min="5" max="5" width="5.33203125" bestFit="1" customWidth="1"/>
    <col min="7" max="7" width="33.44140625" bestFit="1" customWidth="1"/>
    <col min="8" max="8" width="15.21875" bestFit="1" customWidth="1"/>
    <col min="9" max="9" width="34" bestFit="1" customWidth="1"/>
    <col min="10" max="13" width="12" bestFit="1" customWidth="1"/>
    <col min="16" max="16" width="73.109375" bestFit="1" customWidth="1"/>
    <col min="21" max="21" width="13.109375" bestFit="1" customWidth="1"/>
  </cols>
  <sheetData>
    <row r="1" spans="1:25" s="5" customFormat="1">
      <c r="A1" s="4"/>
      <c r="B1" s="3" t="s">
        <v>37</v>
      </c>
      <c r="C1" s="3" t="s">
        <v>38</v>
      </c>
      <c r="D1" s="3" t="s">
        <v>39</v>
      </c>
      <c r="E1" s="3" t="s">
        <v>40</v>
      </c>
      <c r="G1" s="7" t="s">
        <v>84</v>
      </c>
      <c r="H1" s="7" t="s">
        <v>85</v>
      </c>
      <c r="I1" s="7" t="s">
        <v>86</v>
      </c>
      <c r="J1" s="7" t="s">
        <v>37</v>
      </c>
      <c r="K1" s="7" t="s">
        <v>38</v>
      </c>
      <c r="L1" s="7" t="s">
        <v>39</v>
      </c>
      <c r="M1" s="7" t="s">
        <v>83</v>
      </c>
      <c r="N1" s="7" t="s">
        <v>82</v>
      </c>
      <c r="O1"/>
      <c r="P1" s="8" t="s">
        <v>98</v>
      </c>
      <c r="Q1" s="10" t="s">
        <v>100</v>
      </c>
      <c r="R1" s="10" t="s">
        <v>101</v>
      </c>
      <c r="S1" s="10" t="s">
        <v>102</v>
      </c>
      <c r="T1"/>
      <c r="U1" s="2"/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1" t="s">
        <v>0</v>
      </c>
      <c r="B2" s="6"/>
      <c r="C2" s="6"/>
      <c r="D2" s="6"/>
      <c r="E2" s="6"/>
      <c r="G2" s="2" t="s">
        <v>0</v>
      </c>
      <c r="H2" s="2" t="s">
        <v>41</v>
      </c>
      <c r="I2" s="2" t="s">
        <v>42</v>
      </c>
      <c r="J2" s="2">
        <v>13618.870348524</v>
      </c>
      <c r="K2" s="2">
        <v>3.8188575330749202</v>
      </c>
      <c r="L2" s="2">
        <v>50.475544096535202</v>
      </c>
      <c r="M2" s="2"/>
      <c r="N2" s="2"/>
      <c r="P2" s="2"/>
      <c r="Q2" s="2"/>
      <c r="R2" s="2"/>
      <c r="S2" s="2"/>
      <c r="U2" s="1" t="s">
        <v>0</v>
      </c>
      <c r="V2" s="6"/>
      <c r="W2" s="6"/>
      <c r="X2" s="6"/>
      <c r="Y2" s="6"/>
    </row>
    <row r="3" spans="1:25">
      <c r="A3" s="1" t="s">
        <v>1</v>
      </c>
      <c r="B3" s="6"/>
      <c r="C3" s="6"/>
      <c r="D3" s="6"/>
      <c r="E3" s="6"/>
      <c r="G3" s="2" t="s">
        <v>1</v>
      </c>
      <c r="H3" s="2" t="s">
        <v>41</v>
      </c>
      <c r="I3" s="2" t="s">
        <v>43</v>
      </c>
      <c r="J3" s="2">
        <v>13.237859729004001</v>
      </c>
      <c r="K3" s="2">
        <v>8.3481998291014391E-3</v>
      </c>
      <c r="L3" s="2">
        <v>7.9009748382567191E-3</v>
      </c>
      <c r="M3" s="2"/>
      <c r="N3" s="2"/>
      <c r="P3" s="2"/>
      <c r="Q3" s="2"/>
      <c r="R3" s="2"/>
      <c r="S3" s="2"/>
      <c r="U3" s="1" t="s">
        <v>1</v>
      </c>
      <c r="V3" s="6"/>
      <c r="W3" s="6"/>
      <c r="X3" s="6"/>
      <c r="Y3" s="6"/>
    </row>
    <row r="4" spans="1:25">
      <c r="A4" s="1" t="s">
        <v>2</v>
      </c>
      <c r="B4" s="6"/>
      <c r="C4" s="6"/>
      <c r="D4" s="6"/>
      <c r="E4" s="6"/>
      <c r="G4" s="2" t="s">
        <v>2</v>
      </c>
      <c r="H4" s="2" t="s">
        <v>44</v>
      </c>
      <c r="I4" s="2" t="s">
        <v>45</v>
      </c>
      <c r="J4" s="2">
        <v>2492.7935325072999</v>
      </c>
      <c r="K4" s="2">
        <v>4.1278940175292398</v>
      </c>
      <c r="L4" s="2">
        <v>6.5862816836242786</v>
      </c>
      <c r="M4" s="2"/>
      <c r="N4" s="2"/>
      <c r="P4" s="2"/>
      <c r="Q4" s="2"/>
      <c r="R4" s="2"/>
      <c r="S4" s="2"/>
      <c r="U4" s="1" t="s">
        <v>2</v>
      </c>
      <c r="V4" s="6"/>
      <c r="W4" s="6"/>
      <c r="X4" s="6"/>
      <c r="Y4" s="6"/>
    </row>
    <row r="5" spans="1:25">
      <c r="A5" s="1" t="s">
        <v>3</v>
      </c>
      <c r="B5" s="6"/>
      <c r="C5" s="6"/>
      <c r="D5" s="6"/>
      <c r="E5" s="6"/>
      <c r="G5" s="2" t="s">
        <v>3</v>
      </c>
      <c r="H5" s="2" t="s">
        <v>46</v>
      </c>
      <c r="I5" s="2" t="s">
        <v>47</v>
      </c>
      <c r="J5" s="2">
        <v>10.82652986908</v>
      </c>
      <c r="K5" s="2">
        <v>2.1198799743652442E-3</v>
      </c>
      <c r="L5" s="2">
        <v>8.025259902954085E-2</v>
      </c>
      <c r="M5" s="2"/>
      <c r="N5" s="2"/>
      <c r="P5" s="2"/>
      <c r="Q5" s="2"/>
      <c r="R5" s="2"/>
      <c r="S5" s="2"/>
      <c r="U5" s="1" t="s">
        <v>3</v>
      </c>
      <c r="V5" s="6"/>
      <c r="W5" s="6"/>
      <c r="X5" s="6"/>
      <c r="Y5" s="6"/>
    </row>
    <row r="6" spans="1:25">
      <c r="A6" s="1" t="s">
        <v>4</v>
      </c>
      <c r="B6" s="6"/>
      <c r="C6" s="6"/>
      <c r="D6" s="6"/>
      <c r="E6" s="6"/>
      <c r="G6" s="2" t="s">
        <v>4</v>
      </c>
      <c r="H6" s="2" t="s">
        <v>46</v>
      </c>
      <c r="I6" s="2" t="s">
        <v>48</v>
      </c>
      <c r="J6" s="2">
        <v>1854.4868562012</v>
      </c>
      <c r="K6" s="2">
        <v>8.8075790929319204</v>
      </c>
      <c r="L6" s="2">
        <v>8.3434559146987493</v>
      </c>
      <c r="M6" s="2"/>
      <c r="N6" s="2"/>
      <c r="P6" s="2"/>
      <c r="Q6" s="2"/>
      <c r="R6" s="2"/>
      <c r="S6" s="2"/>
      <c r="U6" s="1" t="s">
        <v>4</v>
      </c>
      <c r="V6" s="6"/>
      <c r="W6" s="6"/>
      <c r="X6" s="6"/>
      <c r="Y6" s="6"/>
    </row>
    <row r="7" spans="1:25">
      <c r="A7" s="1" t="s">
        <v>5</v>
      </c>
      <c r="B7" s="6"/>
      <c r="C7" s="6"/>
      <c r="D7" s="6"/>
      <c r="E7" s="6"/>
      <c r="G7" s="2" t="s">
        <v>5</v>
      </c>
      <c r="H7" s="2" t="s">
        <v>46</v>
      </c>
      <c r="I7" s="2" t="s">
        <v>49</v>
      </c>
      <c r="J7" s="2">
        <v>848.94009025878995</v>
      </c>
      <c r="K7" s="2">
        <v>1.233269011816408</v>
      </c>
      <c r="L7" s="2">
        <v>79.36455827679579</v>
      </c>
      <c r="M7" s="2"/>
      <c r="N7" s="2"/>
      <c r="P7" s="2"/>
      <c r="Q7" s="2"/>
      <c r="R7" s="2"/>
      <c r="S7" s="2"/>
      <c r="U7" s="1" t="s">
        <v>5</v>
      </c>
      <c r="V7" s="6"/>
      <c r="W7" s="6"/>
      <c r="X7" s="6"/>
      <c r="Y7" s="6"/>
    </row>
    <row r="8" spans="1:25">
      <c r="A8" s="1" t="s">
        <v>6</v>
      </c>
      <c r="B8" s="6"/>
      <c r="C8" s="6"/>
      <c r="D8" s="6"/>
      <c r="E8" s="6"/>
      <c r="G8" s="2" t="s">
        <v>6</v>
      </c>
      <c r="H8" s="2" t="s">
        <v>46</v>
      </c>
      <c r="I8" s="2" t="s">
        <v>50</v>
      </c>
      <c r="J8" s="2"/>
      <c r="K8" s="2">
        <v>0</v>
      </c>
      <c r="L8" s="2">
        <v>0</v>
      </c>
      <c r="M8" s="2"/>
      <c r="N8" s="2"/>
      <c r="P8" s="2"/>
      <c r="Q8" s="2"/>
      <c r="R8" s="2"/>
      <c r="S8" s="2"/>
      <c r="U8" s="1" t="s">
        <v>6</v>
      </c>
      <c r="V8" s="6"/>
      <c r="W8" s="6"/>
      <c r="X8" s="6"/>
      <c r="Y8" s="6"/>
    </row>
    <row r="9" spans="1:25">
      <c r="A9" s="1" t="s">
        <v>7</v>
      </c>
      <c r="B9" s="6"/>
      <c r="C9" s="6"/>
      <c r="D9" s="6"/>
      <c r="E9" s="6"/>
      <c r="G9" s="2" t="s">
        <v>7</v>
      </c>
      <c r="H9" s="2" t="s">
        <v>46</v>
      </c>
      <c r="I9" s="2" t="s">
        <v>51</v>
      </c>
      <c r="J9" s="2">
        <v>10.322752259827</v>
      </c>
      <c r="K9" s="2">
        <v>3.0553600769042399E-2</v>
      </c>
      <c r="L9" s="2">
        <v>4.3375201091765549E-2</v>
      </c>
      <c r="M9" s="2"/>
      <c r="N9" s="2"/>
      <c r="P9" s="2"/>
      <c r="Q9" s="2"/>
      <c r="R9" s="2"/>
      <c r="S9" s="2"/>
      <c r="U9" s="1" t="s">
        <v>7</v>
      </c>
      <c r="V9" s="6"/>
      <c r="W9" s="6"/>
      <c r="X9" s="6"/>
      <c r="Y9" s="6"/>
    </row>
    <row r="10" spans="1:25">
      <c r="A10" s="1" t="s">
        <v>8</v>
      </c>
      <c r="B10" s="6"/>
      <c r="C10" s="6"/>
      <c r="D10" s="6"/>
      <c r="E10" s="6"/>
      <c r="G10" s="2" t="s">
        <v>8</v>
      </c>
      <c r="H10" s="2" t="s">
        <v>52</v>
      </c>
      <c r="I10" s="2" t="s">
        <v>53</v>
      </c>
      <c r="J10" s="2">
        <v>1469.6925014010999</v>
      </c>
      <c r="K10" s="2">
        <v>309.03423498603235</v>
      </c>
      <c r="L10" s="2">
        <v>36.233252083733753</v>
      </c>
      <c r="M10" s="2">
        <v>308.84296301270001</v>
      </c>
      <c r="N10" s="2"/>
      <c r="P10" s="2"/>
      <c r="Q10" s="2"/>
      <c r="R10" s="2"/>
      <c r="S10" s="2"/>
      <c r="U10" s="1" t="s">
        <v>8</v>
      </c>
      <c r="V10" s="6"/>
      <c r="W10" s="6"/>
      <c r="X10" s="6"/>
      <c r="Y10" s="6"/>
    </row>
    <row r="11" spans="1:25">
      <c r="A11" s="1" t="s">
        <v>9</v>
      </c>
      <c r="B11" s="6"/>
      <c r="C11" s="6"/>
      <c r="D11" s="6"/>
      <c r="E11" s="6"/>
      <c r="G11" s="2" t="s">
        <v>9</v>
      </c>
      <c r="H11" s="2" t="s">
        <v>54</v>
      </c>
      <c r="I11" s="2" t="s">
        <v>55</v>
      </c>
      <c r="J11" s="2">
        <v>2340.4473105469001</v>
      </c>
      <c r="K11" s="2">
        <v>207.34391682128629</v>
      </c>
      <c r="L11" s="2">
        <v>10.365461607665878</v>
      </c>
      <c r="M11" s="2">
        <v>83.570001220703006</v>
      </c>
      <c r="N11" s="2"/>
      <c r="P11" s="2"/>
      <c r="Q11" s="2"/>
      <c r="R11" s="2"/>
      <c r="S11" s="2"/>
      <c r="U11" s="1" t="s">
        <v>9</v>
      </c>
      <c r="V11" s="6"/>
      <c r="W11" s="6"/>
      <c r="X11" s="6"/>
      <c r="Y11" s="6"/>
    </row>
    <row r="12" spans="1:25">
      <c r="A12" s="1" t="s">
        <v>10</v>
      </c>
      <c r="B12" s="2">
        <f>V12</f>
        <v>8499.579978342641</v>
      </c>
      <c r="C12" s="2">
        <f t="shared" ref="C12:E27" si="0">W12</f>
        <v>365644.35708894412</v>
      </c>
      <c r="D12" s="2">
        <f t="shared" si="0"/>
        <v>16.179216833802581</v>
      </c>
      <c r="E12" s="2">
        <f t="shared" si="0"/>
        <v>0</v>
      </c>
      <c r="G12" s="2" t="s">
        <v>10</v>
      </c>
      <c r="H12" s="2" t="s">
        <v>56</v>
      </c>
      <c r="I12" s="2" t="s">
        <v>57</v>
      </c>
      <c r="J12" s="2">
        <v>422.05599336258001</v>
      </c>
      <c r="K12" s="2">
        <v>18156.472760044318</v>
      </c>
      <c r="L12" s="2">
        <v>0.80339680902098443</v>
      </c>
      <c r="M12" s="2"/>
      <c r="N12" s="2"/>
      <c r="P12" s="2" t="s">
        <v>88</v>
      </c>
      <c r="Q12" s="2">
        <v>4.9656100000000002E-2</v>
      </c>
      <c r="R12" s="2"/>
      <c r="S12" s="2">
        <f>SUM(Q12:R12)</f>
        <v>4.9656100000000002E-2</v>
      </c>
      <c r="U12" s="1" t="s">
        <v>10</v>
      </c>
      <c r="V12" s="2">
        <f>J12/$S12</f>
        <v>8499.579978342641</v>
      </c>
      <c r="W12" s="2">
        <f t="shared" ref="W12:Y27" si="1">K12/$S12</f>
        <v>365644.35708894412</v>
      </c>
      <c r="X12" s="2">
        <f t="shared" si="1"/>
        <v>16.179216833802581</v>
      </c>
      <c r="Y12" s="2">
        <f t="shared" si="1"/>
        <v>0</v>
      </c>
    </row>
    <row r="13" spans="1:25">
      <c r="A13" s="1" t="s">
        <v>11</v>
      </c>
      <c r="B13" s="2">
        <f t="shared" ref="B13:E38" si="2">V13</f>
        <v>376.48133072788744</v>
      </c>
      <c r="C13" s="2">
        <f t="shared" si="0"/>
        <v>24183.11084356342</v>
      </c>
      <c r="D13" s="2">
        <f t="shared" si="0"/>
        <v>3.1138622860884393</v>
      </c>
      <c r="E13" s="2">
        <f t="shared" si="0"/>
        <v>0</v>
      </c>
      <c r="G13" s="2" t="s">
        <v>11</v>
      </c>
      <c r="H13" s="2" t="s">
        <v>56</v>
      </c>
      <c r="I13" s="2" t="s">
        <v>58</v>
      </c>
      <c r="J13" s="2">
        <v>2.3831644716406002</v>
      </c>
      <c r="K13" s="2">
        <v>153.0815099508408</v>
      </c>
      <c r="L13" s="2">
        <v>1.971105965716843E-2</v>
      </c>
      <c r="M13" s="2"/>
      <c r="N13" s="2"/>
      <c r="P13" s="2" t="s">
        <v>99</v>
      </c>
      <c r="Q13">
        <v>3.9030100000000002E-3</v>
      </c>
      <c r="R13">
        <v>2.4270899999999998E-3</v>
      </c>
      <c r="S13" s="2">
        <f>SUM(Q13:R13)</f>
        <v>6.3301E-3</v>
      </c>
      <c r="U13" s="1" t="s">
        <v>11</v>
      </c>
      <c r="V13" s="2">
        <f t="shared" ref="V13:Y38" si="3">J13/$S13</f>
        <v>376.48133072788744</v>
      </c>
      <c r="W13" s="2">
        <f t="shared" si="1"/>
        <v>24183.11084356342</v>
      </c>
      <c r="X13" s="2">
        <f t="shared" si="1"/>
        <v>3.1138622860884393</v>
      </c>
      <c r="Y13" s="2">
        <f t="shared" si="1"/>
        <v>0</v>
      </c>
    </row>
    <row r="14" spans="1:25">
      <c r="A14" s="1" t="s">
        <v>12</v>
      </c>
      <c r="B14" s="2">
        <f t="shared" si="2"/>
        <v>33006.88869483296</v>
      </c>
      <c r="C14" s="2">
        <f t="shared" si="0"/>
        <v>0</v>
      </c>
      <c r="D14" s="2">
        <f t="shared" si="0"/>
        <v>0</v>
      </c>
      <c r="E14" s="2">
        <f t="shared" si="0"/>
        <v>0</v>
      </c>
      <c r="G14" s="2" t="s">
        <v>12</v>
      </c>
      <c r="H14" s="2" t="s">
        <v>44</v>
      </c>
      <c r="I14" s="2" t="s">
        <v>59</v>
      </c>
      <c r="J14" s="2">
        <v>409.91585139</v>
      </c>
      <c r="K14" s="2"/>
      <c r="L14" s="2"/>
      <c r="M14" s="2"/>
      <c r="N14" s="2"/>
      <c r="P14" s="2" t="s">
        <v>89</v>
      </c>
      <c r="Q14" s="2">
        <v>1.2419100000000001E-2</v>
      </c>
      <c r="R14" s="2"/>
      <c r="S14" s="2">
        <f t="shared" ref="S14:S38" si="4">SUM(Q14:R14)</f>
        <v>1.2419100000000001E-2</v>
      </c>
      <c r="U14" s="1" t="s">
        <v>12</v>
      </c>
      <c r="V14" s="2">
        <f t="shared" si="3"/>
        <v>33006.88869483296</v>
      </c>
      <c r="W14" s="2">
        <f t="shared" si="1"/>
        <v>0</v>
      </c>
      <c r="X14" s="2">
        <f t="shared" si="1"/>
        <v>0</v>
      </c>
      <c r="Y14" s="2">
        <f t="shared" si="1"/>
        <v>0</v>
      </c>
    </row>
    <row r="15" spans="1:25">
      <c r="A15" s="1" t="s">
        <v>13</v>
      </c>
      <c r="B15" s="2">
        <f t="shared" si="2"/>
        <v>3623.4509747083121</v>
      </c>
      <c r="C15" s="2">
        <f t="shared" si="0"/>
        <v>0</v>
      </c>
      <c r="D15" s="2">
        <f t="shared" si="0"/>
        <v>0</v>
      </c>
      <c r="E15" s="2">
        <f t="shared" si="0"/>
        <v>0</v>
      </c>
      <c r="G15" s="2" t="s">
        <v>13</v>
      </c>
      <c r="H15" s="2" t="s">
        <v>44</v>
      </c>
      <c r="I15" s="2" t="s">
        <v>59</v>
      </c>
      <c r="J15" s="2">
        <v>45</v>
      </c>
      <c r="K15" s="2"/>
      <c r="L15" s="2"/>
      <c r="M15" s="2"/>
      <c r="N15" s="2"/>
      <c r="P15" s="2" t="s">
        <v>89</v>
      </c>
      <c r="Q15" s="2">
        <f>Q14</f>
        <v>1.2419100000000001E-2</v>
      </c>
      <c r="R15" s="2"/>
      <c r="S15" s="2">
        <f t="shared" si="4"/>
        <v>1.2419100000000001E-2</v>
      </c>
      <c r="U15" s="1" t="s">
        <v>13</v>
      </c>
      <c r="V15" s="2">
        <f t="shared" si="3"/>
        <v>3623.4509747083121</v>
      </c>
      <c r="W15" s="2">
        <f t="shared" si="1"/>
        <v>0</v>
      </c>
      <c r="X15" s="2">
        <f t="shared" si="1"/>
        <v>0</v>
      </c>
      <c r="Y15" s="2">
        <f t="shared" si="1"/>
        <v>0</v>
      </c>
    </row>
    <row r="16" spans="1:25">
      <c r="A16" s="1" t="s">
        <v>14</v>
      </c>
      <c r="B16" s="2">
        <f t="shared" si="2"/>
        <v>12.392275026583246</v>
      </c>
      <c r="C16" s="2">
        <f t="shared" si="0"/>
        <v>0</v>
      </c>
      <c r="D16" s="2">
        <f t="shared" si="0"/>
        <v>0</v>
      </c>
      <c r="E16" s="2">
        <f t="shared" si="0"/>
        <v>0</v>
      </c>
      <c r="G16" s="2" t="s">
        <v>14</v>
      </c>
      <c r="H16" s="2" t="s">
        <v>44</v>
      </c>
      <c r="I16" s="2" t="s">
        <v>59</v>
      </c>
      <c r="J16" s="2">
        <v>0.15390090278263999</v>
      </c>
      <c r="K16" s="2"/>
      <c r="L16" s="2"/>
      <c r="M16" s="2"/>
      <c r="N16" s="2"/>
      <c r="P16" s="2" t="s">
        <v>89</v>
      </c>
      <c r="Q16" s="2">
        <f>Q15</f>
        <v>1.2419100000000001E-2</v>
      </c>
      <c r="R16" s="2"/>
      <c r="S16" s="2">
        <f t="shared" si="4"/>
        <v>1.2419100000000001E-2</v>
      </c>
      <c r="U16" s="1" t="s">
        <v>14</v>
      </c>
      <c r="V16" s="2">
        <f t="shared" si="3"/>
        <v>12.392275026583246</v>
      </c>
      <c r="W16" s="2">
        <f t="shared" si="1"/>
        <v>0</v>
      </c>
      <c r="X16" s="2">
        <f t="shared" si="1"/>
        <v>0</v>
      </c>
      <c r="Y16" s="2">
        <f t="shared" si="1"/>
        <v>0</v>
      </c>
    </row>
    <row r="17" spans="1:25">
      <c r="A17" s="1" t="s">
        <v>15</v>
      </c>
      <c r="B17" s="2">
        <f t="shared" si="2"/>
        <v>16.043372884290147</v>
      </c>
      <c r="C17" s="2">
        <f t="shared" si="0"/>
        <v>0</v>
      </c>
      <c r="D17" s="2">
        <f t="shared" si="0"/>
        <v>0</v>
      </c>
      <c r="E17" s="2">
        <f t="shared" si="0"/>
        <v>0</v>
      </c>
      <c r="G17" s="2" t="s">
        <v>15</v>
      </c>
      <c r="H17" s="2" t="s">
        <v>44</v>
      </c>
      <c r="I17" s="2" t="s">
        <v>60</v>
      </c>
      <c r="J17" s="2">
        <v>0.240949</v>
      </c>
      <c r="K17" s="2"/>
      <c r="L17" s="2"/>
      <c r="M17" s="2"/>
      <c r="N17" s="2"/>
      <c r="P17" s="2" t="s">
        <v>90</v>
      </c>
      <c r="Q17" s="2">
        <v>1.50186E-2</v>
      </c>
      <c r="R17" s="2"/>
      <c r="S17" s="2">
        <f t="shared" si="4"/>
        <v>1.50186E-2</v>
      </c>
      <c r="U17" s="1" t="s">
        <v>15</v>
      </c>
      <c r="V17" s="2">
        <f t="shared" si="3"/>
        <v>16.043372884290147</v>
      </c>
      <c r="W17" s="2">
        <f t="shared" si="1"/>
        <v>0</v>
      </c>
      <c r="X17" s="2">
        <f t="shared" si="1"/>
        <v>0</v>
      </c>
      <c r="Y17" s="2">
        <f t="shared" si="1"/>
        <v>0</v>
      </c>
    </row>
    <row r="18" spans="1:25">
      <c r="A18" s="1" t="s">
        <v>16</v>
      </c>
      <c r="B18" s="2">
        <f t="shared" si="2"/>
        <v>0</v>
      </c>
      <c r="C18" s="2">
        <f t="shared" si="0"/>
        <v>0</v>
      </c>
      <c r="D18" s="2">
        <f t="shared" si="0"/>
        <v>0</v>
      </c>
      <c r="E18" s="2">
        <f t="shared" si="0"/>
        <v>0</v>
      </c>
      <c r="G18" s="2" t="s">
        <v>16</v>
      </c>
      <c r="H18" s="2" t="s">
        <v>44</v>
      </c>
      <c r="I18" s="2" t="s">
        <v>61</v>
      </c>
      <c r="J18" s="2"/>
      <c r="K18" s="2"/>
      <c r="L18" s="2"/>
      <c r="M18" s="2"/>
      <c r="N18" s="2"/>
      <c r="P18" s="2" t="s">
        <v>90</v>
      </c>
      <c r="Q18" s="2">
        <f>Q17</f>
        <v>1.50186E-2</v>
      </c>
      <c r="R18" s="2"/>
      <c r="S18" s="2">
        <f t="shared" si="4"/>
        <v>1.50186E-2</v>
      </c>
      <c r="U18" s="1" t="s">
        <v>16</v>
      </c>
      <c r="V18" s="2">
        <f t="shared" si="3"/>
        <v>0</v>
      </c>
      <c r="W18" s="2">
        <f t="shared" si="1"/>
        <v>0</v>
      </c>
      <c r="X18" s="2">
        <f t="shared" si="1"/>
        <v>0</v>
      </c>
      <c r="Y18" s="2">
        <f t="shared" si="1"/>
        <v>0</v>
      </c>
    </row>
    <row r="19" spans="1:25">
      <c r="A19" s="1" t="s">
        <v>17</v>
      </c>
      <c r="B19" s="2">
        <f t="shared" si="2"/>
        <v>0</v>
      </c>
      <c r="C19" s="2">
        <f t="shared" si="0"/>
        <v>0</v>
      </c>
      <c r="D19" s="2">
        <f t="shared" si="0"/>
        <v>0</v>
      </c>
      <c r="E19" s="2">
        <f t="shared" si="0"/>
        <v>0</v>
      </c>
      <c r="G19" s="2" t="s">
        <v>17</v>
      </c>
      <c r="H19" s="2" t="s">
        <v>44</v>
      </c>
      <c r="I19" s="2" t="s">
        <v>62</v>
      </c>
      <c r="J19" s="2"/>
      <c r="K19" s="2"/>
      <c r="L19" s="2"/>
      <c r="M19" s="2"/>
      <c r="N19" s="2"/>
      <c r="P19" s="2" t="s">
        <v>92</v>
      </c>
      <c r="Q19" s="2">
        <v>8.9807099999999994E-3</v>
      </c>
      <c r="R19" s="2"/>
      <c r="S19" s="2">
        <f t="shared" si="4"/>
        <v>8.9807099999999994E-3</v>
      </c>
      <c r="U19" s="1" t="s">
        <v>17</v>
      </c>
      <c r="V19" s="2">
        <f t="shared" si="3"/>
        <v>0</v>
      </c>
      <c r="W19" s="2">
        <f t="shared" si="1"/>
        <v>0</v>
      </c>
      <c r="X19" s="2">
        <f t="shared" si="1"/>
        <v>0</v>
      </c>
      <c r="Y19" s="2">
        <f t="shared" si="1"/>
        <v>0</v>
      </c>
    </row>
    <row r="20" spans="1:25">
      <c r="A20" s="1" t="s">
        <v>18</v>
      </c>
      <c r="B20" s="2">
        <f t="shared" si="2"/>
        <v>1084.133100897687</v>
      </c>
      <c r="C20" s="2">
        <f t="shared" si="0"/>
        <v>0</v>
      </c>
      <c r="D20" s="2">
        <f t="shared" si="0"/>
        <v>0</v>
      </c>
      <c r="E20" s="2">
        <f t="shared" si="0"/>
        <v>0</v>
      </c>
      <c r="G20" s="2" t="s">
        <v>18</v>
      </c>
      <c r="H20" s="2" t="s">
        <v>56</v>
      </c>
      <c r="I20" s="2" t="s">
        <v>63</v>
      </c>
      <c r="J20" s="2">
        <v>16.282161389142001</v>
      </c>
      <c r="K20" s="2"/>
      <c r="L20" s="2"/>
      <c r="M20" s="2"/>
      <c r="N20" s="2"/>
      <c r="P20" s="2" t="s">
        <v>90</v>
      </c>
      <c r="Q20" s="2">
        <f>Q18</f>
        <v>1.50186E-2</v>
      </c>
      <c r="R20" s="2"/>
      <c r="S20" s="2">
        <f t="shared" si="4"/>
        <v>1.50186E-2</v>
      </c>
      <c r="U20" s="1" t="s">
        <v>18</v>
      </c>
      <c r="V20" s="2">
        <f t="shared" si="3"/>
        <v>1084.133100897687</v>
      </c>
      <c r="W20" s="2">
        <f t="shared" si="1"/>
        <v>0</v>
      </c>
      <c r="X20" s="2">
        <f t="shared" si="1"/>
        <v>0</v>
      </c>
      <c r="Y20" s="2">
        <f t="shared" si="1"/>
        <v>0</v>
      </c>
    </row>
    <row r="21" spans="1:25">
      <c r="A21" s="1" t="s">
        <v>19</v>
      </c>
      <c r="B21" s="2">
        <f t="shared" si="2"/>
        <v>0</v>
      </c>
      <c r="C21" s="2">
        <f t="shared" si="0"/>
        <v>0</v>
      </c>
      <c r="D21" s="2">
        <f t="shared" si="0"/>
        <v>0</v>
      </c>
      <c r="E21" s="2">
        <f t="shared" si="0"/>
        <v>0</v>
      </c>
      <c r="G21" s="2" t="s">
        <v>19</v>
      </c>
      <c r="H21" s="2" t="s">
        <v>44</v>
      </c>
      <c r="I21" s="2" t="s">
        <v>64</v>
      </c>
      <c r="J21" s="2"/>
      <c r="K21" s="2"/>
      <c r="L21" s="2"/>
      <c r="M21" s="2"/>
      <c r="N21" s="2"/>
      <c r="P21" s="2" t="s">
        <v>94</v>
      </c>
      <c r="Q21" s="2">
        <v>7.9032700000000004E-3</v>
      </c>
      <c r="R21" s="2"/>
      <c r="S21" s="2">
        <f t="shared" si="4"/>
        <v>7.9032700000000004E-3</v>
      </c>
      <c r="U21" s="1" t="s">
        <v>19</v>
      </c>
      <c r="V21" s="2">
        <f t="shared" si="3"/>
        <v>0</v>
      </c>
      <c r="W21" s="2">
        <f t="shared" si="1"/>
        <v>0</v>
      </c>
      <c r="X21" s="2">
        <f t="shared" si="1"/>
        <v>0</v>
      </c>
      <c r="Y21" s="2">
        <f t="shared" si="1"/>
        <v>0</v>
      </c>
    </row>
    <row r="22" spans="1:25">
      <c r="A22" s="1" t="s">
        <v>20</v>
      </c>
      <c r="B22" s="2">
        <f t="shared" si="2"/>
        <v>0</v>
      </c>
      <c r="C22" s="2">
        <f t="shared" si="0"/>
        <v>0</v>
      </c>
      <c r="D22" s="2">
        <f t="shared" si="0"/>
        <v>0</v>
      </c>
      <c r="E22" s="2">
        <f t="shared" si="0"/>
        <v>0</v>
      </c>
      <c r="G22" s="2" t="s">
        <v>20</v>
      </c>
      <c r="H22" s="2" t="s">
        <v>44</v>
      </c>
      <c r="I22" s="2" t="s">
        <v>65</v>
      </c>
      <c r="J22" s="2"/>
      <c r="K22" s="2"/>
      <c r="L22" s="2"/>
      <c r="M22" s="2"/>
      <c r="N22" s="2"/>
      <c r="P22" s="2" t="s">
        <v>94</v>
      </c>
      <c r="Q22" s="2">
        <f>Q21</f>
        <v>7.9032700000000004E-3</v>
      </c>
      <c r="R22" s="2"/>
      <c r="S22" s="2">
        <f t="shared" si="4"/>
        <v>7.9032700000000004E-3</v>
      </c>
      <c r="U22" s="1" t="s">
        <v>20</v>
      </c>
      <c r="V22" s="2">
        <f t="shared" si="3"/>
        <v>0</v>
      </c>
      <c r="W22" s="2">
        <f t="shared" si="1"/>
        <v>0</v>
      </c>
      <c r="X22" s="2">
        <f t="shared" si="1"/>
        <v>0</v>
      </c>
      <c r="Y22" s="2">
        <f t="shared" si="1"/>
        <v>0</v>
      </c>
    </row>
    <row r="23" spans="1:25">
      <c r="A23" s="1" t="s">
        <v>21</v>
      </c>
      <c r="B23" s="2">
        <f t="shared" si="2"/>
        <v>0</v>
      </c>
      <c r="C23" s="2">
        <f t="shared" si="0"/>
        <v>0</v>
      </c>
      <c r="D23" s="2">
        <f t="shared" si="0"/>
        <v>31.991405636518504</v>
      </c>
      <c r="E23" s="2">
        <f t="shared" si="0"/>
        <v>0</v>
      </c>
      <c r="G23" s="2" t="s">
        <v>21</v>
      </c>
      <c r="H23" s="2" t="s">
        <v>44</v>
      </c>
      <c r="I23" s="2" t="s">
        <v>60</v>
      </c>
      <c r="J23" s="2"/>
      <c r="K23" s="2"/>
      <c r="L23" s="2">
        <v>0.25283671642492761</v>
      </c>
      <c r="M23" s="2"/>
      <c r="N23" s="2"/>
      <c r="P23" s="2" t="s">
        <v>94</v>
      </c>
      <c r="Q23" s="2">
        <f>Q22</f>
        <v>7.9032700000000004E-3</v>
      </c>
      <c r="R23" s="2"/>
      <c r="S23" s="2">
        <f t="shared" si="4"/>
        <v>7.9032700000000004E-3</v>
      </c>
      <c r="U23" s="1" t="s">
        <v>21</v>
      </c>
      <c r="V23" s="2">
        <f t="shared" si="3"/>
        <v>0</v>
      </c>
      <c r="W23" s="2">
        <f t="shared" si="1"/>
        <v>0</v>
      </c>
      <c r="X23" s="2">
        <f t="shared" si="1"/>
        <v>31.991405636518504</v>
      </c>
      <c r="Y23" s="2">
        <f t="shared" si="1"/>
        <v>0</v>
      </c>
    </row>
    <row r="24" spans="1:25">
      <c r="A24" s="1" t="s">
        <v>22</v>
      </c>
      <c r="B24" s="2">
        <f t="shared" si="2"/>
        <v>0</v>
      </c>
      <c r="C24" s="2">
        <f t="shared" si="0"/>
        <v>124615.99038245178</v>
      </c>
      <c r="D24" s="2">
        <f t="shared" si="0"/>
        <v>0</v>
      </c>
      <c r="E24" s="2">
        <f t="shared" si="0"/>
        <v>0</v>
      </c>
      <c r="G24" s="2" t="s">
        <v>22</v>
      </c>
      <c r="H24" s="2" t="s">
        <v>66</v>
      </c>
      <c r="I24" s="2" t="s">
        <v>67</v>
      </c>
      <c r="J24" s="2"/>
      <c r="K24" s="2">
        <v>17611.354840799999</v>
      </c>
      <c r="L24" s="2"/>
      <c r="M24" s="2"/>
      <c r="N24" s="2"/>
      <c r="P24" s="2" t="s">
        <v>96</v>
      </c>
      <c r="Q24" s="2">
        <v>0.14132500000000001</v>
      </c>
      <c r="R24" s="2"/>
      <c r="S24" s="2">
        <f t="shared" si="4"/>
        <v>0.14132500000000001</v>
      </c>
      <c r="U24" s="1" t="s">
        <v>22</v>
      </c>
      <c r="V24" s="2">
        <f t="shared" si="3"/>
        <v>0</v>
      </c>
      <c r="W24" s="2">
        <f t="shared" si="1"/>
        <v>124615.99038245178</v>
      </c>
      <c r="X24" s="2">
        <f t="shared" si="1"/>
        <v>0</v>
      </c>
      <c r="Y24" s="2">
        <f t="shared" si="1"/>
        <v>0</v>
      </c>
    </row>
    <row r="25" spans="1:25">
      <c r="A25" s="1" t="s">
        <v>23</v>
      </c>
      <c r="B25" s="2">
        <f t="shared" si="2"/>
        <v>0</v>
      </c>
      <c r="C25" s="2">
        <f t="shared" si="0"/>
        <v>5264.6082335043338</v>
      </c>
      <c r="D25" s="2">
        <f t="shared" si="0"/>
        <v>3820.7683737314246</v>
      </c>
      <c r="E25" s="2">
        <f t="shared" si="0"/>
        <v>0</v>
      </c>
      <c r="G25" s="2" t="s">
        <v>23</v>
      </c>
      <c r="H25" s="2" t="s">
        <v>66</v>
      </c>
      <c r="I25" s="2" t="s">
        <v>68</v>
      </c>
      <c r="J25" s="2"/>
      <c r="K25" s="2">
        <v>744.02075860000002</v>
      </c>
      <c r="L25" s="2">
        <v>539.97009041759361</v>
      </c>
      <c r="M25" s="2"/>
      <c r="N25" s="2"/>
      <c r="P25" s="2" t="s">
        <v>96</v>
      </c>
      <c r="Q25" s="2">
        <f>Q24</f>
        <v>0.14132500000000001</v>
      </c>
      <c r="R25" s="2"/>
      <c r="S25" s="2">
        <f t="shared" si="4"/>
        <v>0.14132500000000001</v>
      </c>
      <c r="U25" s="1" t="s">
        <v>23</v>
      </c>
      <c r="V25" s="2">
        <f t="shared" si="3"/>
        <v>0</v>
      </c>
      <c r="W25" s="2">
        <f t="shared" si="1"/>
        <v>5264.6082335043338</v>
      </c>
      <c r="X25" s="2">
        <f t="shared" si="1"/>
        <v>3820.7683737314246</v>
      </c>
      <c r="Y25" s="2">
        <f t="shared" si="1"/>
        <v>0</v>
      </c>
    </row>
    <row r="26" spans="1:25">
      <c r="A26" s="1" t="s">
        <v>24</v>
      </c>
      <c r="B26" s="2">
        <f t="shared" si="2"/>
        <v>0</v>
      </c>
      <c r="C26" s="2">
        <f t="shared" si="0"/>
        <v>37.245692564320827</v>
      </c>
      <c r="D26" s="2">
        <f t="shared" si="0"/>
        <v>9.1389893792085335</v>
      </c>
      <c r="E26" s="2">
        <f t="shared" si="0"/>
        <v>746.39185495963204</v>
      </c>
      <c r="G26" s="2" t="s">
        <v>24</v>
      </c>
      <c r="H26" s="2" t="s">
        <v>66</v>
      </c>
      <c r="I26" s="2" t="s">
        <v>69</v>
      </c>
      <c r="J26" s="2"/>
      <c r="K26" s="2">
        <v>5.2637475016526407</v>
      </c>
      <c r="L26" s="2">
        <v>1.291567674016646</v>
      </c>
      <c r="M26" s="2">
        <v>105.48382890217</v>
      </c>
      <c r="N26" s="2"/>
      <c r="P26" s="2" t="s">
        <v>96</v>
      </c>
      <c r="Q26" s="2">
        <f>Q25</f>
        <v>0.14132500000000001</v>
      </c>
      <c r="R26" s="2"/>
      <c r="S26" s="2">
        <f t="shared" si="4"/>
        <v>0.14132500000000001</v>
      </c>
      <c r="U26" s="1" t="s">
        <v>24</v>
      </c>
      <c r="V26" s="2">
        <f t="shared" si="3"/>
        <v>0</v>
      </c>
      <c r="W26" s="2">
        <f t="shared" si="1"/>
        <v>37.245692564320827</v>
      </c>
      <c r="X26" s="2">
        <f t="shared" si="1"/>
        <v>9.1389893792085335</v>
      </c>
      <c r="Y26" s="2">
        <f t="shared" si="1"/>
        <v>746.39185495963204</v>
      </c>
    </row>
    <row r="27" spans="1:25">
      <c r="A27" s="1" t="s">
        <v>25</v>
      </c>
      <c r="B27" s="2">
        <f t="shared" si="2"/>
        <v>0</v>
      </c>
      <c r="C27" s="2">
        <f t="shared" si="0"/>
        <v>0</v>
      </c>
      <c r="D27" s="2">
        <f t="shared" si="0"/>
        <v>0</v>
      </c>
      <c r="E27" s="2">
        <f t="shared" si="0"/>
        <v>0</v>
      </c>
      <c r="G27" s="2" t="s">
        <v>25</v>
      </c>
      <c r="H27" s="2" t="s">
        <v>66</v>
      </c>
      <c r="I27" s="2" t="s">
        <v>70</v>
      </c>
      <c r="J27" s="2"/>
      <c r="K27" s="2"/>
      <c r="L27" s="2"/>
      <c r="M27" s="2"/>
      <c r="N27" s="2"/>
      <c r="P27" s="2" t="s">
        <v>96</v>
      </c>
      <c r="Q27" s="2">
        <f>Q26</f>
        <v>0.14132500000000001</v>
      </c>
      <c r="R27" s="2"/>
      <c r="S27" s="2">
        <f t="shared" si="4"/>
        <v>0.14132500000000001</v>
      </c>
      <c r="U27" s="1" t="s">
        <v>25</v>
      </c>
      <c r="V27" s="2">
        <f t="shared" si="3"/>
        <v>0</v>
      </c>
      <c r="W27" s="2">
        <f t="shared" si="1"/>
        <v>0</v>
      </c>
      <c r="X27" s="2">
        <f t="shared" si="1"/>
        <v>0</v>
      </c>
      <c r="Y27" s="2">
        <f t="shared" si="1"/>
        <v>0</v>
      </c>
    </row>
    <row r="28" spans="1:25">
      <c r="A28" s="1" t="s">
        <v>26</v>
      </c>
      <c r="B28" s="2">
        <f t="shared" si="2"/>
        <v>0</v>
      </c>
      <c r="C28" s="2">
        <f t="shared" si="2"/>
        <v>0</v>
      </c>
      <c r="D28" s="2">
        <f t="shared" si="2"/>
        <v>0</v>
      </c>
      <c r="E28" s="2">
        <f t="shared" si="2"/>
        <v>0</v>
      </c>
      <c r="G28" s="2" t="s">
        <v>26</v>
      </c>
      <c r="H28" s="2" t="s">
        <v>66</v>
      </c>
      <c r="I28" s="2" t="s">
        <v>71</v>
      </c>
      <c r="J28" s="2"/>
      <c r="K28" s="2"/>
      <c r="L28" s="2"/>
      <c r="M28" s="2"/>
      <c r="N28" s="2"/>
      <c r="P28" s="2" t="s">
        <v>96</v>
      </c>
      <c r="Q28" s="2">
        <f>Q27</f>
        <v>0.14132500000000001</v>
      </c>
      <c r="R28" s="2"/>
      <c r="S28" s="2">
        <f t="shared" si="4"/>
        <v>0.14132500000000001</v>
      </c>
      <c r="U28" s="1" t="s">
        <v>26</v>
      </c>
      <c r="V28" s="2">
        <f t="shared" si="3"/>
        <v>0</v>
      </c>
      <c r="W28" s="2">
        <f t="shared" si="3"/>
        <v>0</v>
      </c>
      <c r="X28" s="2">
        <f t="shared" si="3"/>
        <v>0</v>
      </c>
      <c r="Y28" s="2">
        <f t="shared" si="3"/>
        <v>0</v>
      </c>
    </row>
    <row r="29" spans="1:25">
      <c r="A29" s="1" t="s">
        <v>27</v>
      </c>
      <c r="B29" s="2">
        <f t="shared" si="2"/>
        <v>0</v>
      </c>
      <c r="C29" s="2">
        <f t="shared" si="2"/>
        <v>0</v>
      </c>
      <c r="D29" s="2">
        <f t="shared" si="2"/>
        <v>40721.420805513881</v>
      </c>
      <c r="E29" s="2">
        <f t="shared" si="2"/>
        <v>0</v>
      </c>
      <c r="G29" s="2" t="s">
        <v>27</v>
      </c>
      <c r="H29" s="2" t="s">
        <v>55</v>
      </c>
      <c r="I29" s="2" t="s">
        <v>72</v>
      </c>
      <c r="J29" s="2"/>
      <c r="K29" s="2"/>
      <c r="L29" s="2">
        <v>5754.9547953392494</v>
      </c>
      <c r="M29" s="2"/>
      <c r="N29" s="2"/>
      <c r="P29" s="2" t="s">
        <v>96</v>
      </c>
      <c r="Q29" s="2">
        <f>Q28</f>
        <v>0.14132500000000001</v>
      </c>
      <c r="R29" s="2"/>
      <c r="S29" s="2">
        <f t="shared" si="4"/>
        <v>0.14132500000000001</v>
      </c>
      <c r="U29" s="1" t="s">
        <v>27</v>
      </c>
      <c r="V29" s="2">
        <f t="shared" si="3"/>
        <v>0</v>
      </c>
      <c r="W29" s="2">
        <f t="shared" si="3"/>
        <v>0</v>
      </c>
      <c r="X29" s="2">
        <f t="shared" si="3"/>
        <v>40721.420805513881</v>
      </c>
      <c r="Y29" s="2">
        <f t="shared" si="3"/>
        <v>0</v>
      </c>
    </row>
    <row r="30" spans="1:25">
      <c r="A30" s="1" t="s">
        <v>28</v>
      </c>
      <c r="B30" s="2">
        <f t="shared" si="2"/>
        <v>0</v>
      </c>
      <c r="C30" s="2">
        <f t="shared" si="2"/>
        <v>0</v>
      </c>
      <c r="D30" s="2">
        <f t="shared" si="2"/>
        <v>3837.2541711451154</v>
      </c>
      <c r="E30" s="2">
        <f t="shared" si="2"/>
        <v>0</v>
      </c>
      <c r="G30" s="2" t="s">
        <v>28</v>
      </c>
      <c r="H30" s="2" t="s">
        <v>66</v>
      </c>
      <c r="I30" s="2" t="s">
        <v>73</v>
      </c>
      <c r="J30" s="2"/>
      <c r="K30" s="2"/>
      <c r="L30" s="2">
        <v>542.29994573708348</v>
      </c>
      <c r="M30" s="2"/>
      <c r="N30" s="2"/>
      <c r="P30" s="2" t="s">
        <v>96</v>
      </c>
      <c r="Q30" s="2">
        <f>Q29</f>
        <v>0.14132500000000001</v>
      </c>
      <c r="R30" s="2"/>
      <c r="S30" s="2">
        <f t="shared" si="4"/>
        <v>0.14132500000000001</v>
      </c>
      <c r="U30" s="1" t="s">
        <v>28</v>
      </c>
      <c r="V30" s="2">
        <f t="shared" si="3"/>
        <v>0</v>
      </c>
      <c r="W30" s="2">
        <f t="shared" si="3"/>
        <v>0</v>
      </c>
      <c r="X30" s="2">
        <f t="shared" si="3"/>
        <v>3837.2541711451154</v>
      </c>
      <c r="Y30" s="2">
        <f t="shared" si="3"/>
        <v>0</v>
      </c>
    </row>
    <row r="31" spans="1:25">
      <c r="A31" s="1" t="s">
        <v>29</v>
      </c>
      <c r="B31" s="2">
        <f t="shared" si="2"/>
        <v>0</v>
      </c>
      <c r="C31" s="2">
        <f t="shared" si="2"/>
        <v>0</v>
      </c>
      <c r="D31" s="2">
        <f t="shared" si="2"/>
        <v>579.21715047879604</v>
      </c>
      <c r="E31" s="2">
        <f t="shared" si="2"/>
        <v>0</v>
      </c>
      <c r="G31" s="2" t="s">
        <v>29</v>
      </c>
      <c r="H31" s="2" t="s">
        <v>66</v>
      </c>
      <c r="I31" s="2" t="s">
        <v>74</v>
      </c>
      <c r="J31" s="2"/>
      <c r="K31" s="2"/>
      <c r="L31" s="2">
        <v>81.857863791415852</v>
      </c>
      <c r="M31" s="2"/>
      <c r="N31" s="2"/>
      <c r="P31" s="2" t="s">
        <v>96</v>
      </c>
      <c r="Q31" s="2">
        <f>Q30</f>
        <v>0.14132500000000001</v>
      </c>
      <c r="R31" s="2"/>
      <c r="S31" s="2">
        <f t="shared" si="4"/>
        <v>0.14132500000000001</v>
      </c>
      <c r="U31" s="1" t="s">
        <v>29</v>
      </c>
      <c r="V31" s="2">
        <f t="shared" si="3"/>
        <v>0</v>
      </c>
      <c r="W31" s="2">
        <f t="shared" si="3"/>
        <v>0</v>
      </c>
      <c r="X31" s="2">
        <f t="shared" si="3"/>
        <v>579.21715047879604</v>
      </c>
      <c r="Y31" s="2">
        <f t="shared" si="3"/>
        <v>0</v>
      </c>
    </row>
    <row r="32" spans="1:25">
      <c r="A32" s="1" t="s">
        <v>30</v>
      </c>
      <c r="B32" s="2">
        <f t="shared" si="2"/>
        <v>0</v>
      </c>
      <c r="C32" s="2">
        <f t="shared" si="2"/>
        <v>0</v>
      </c>
      <c r="D32" s="2">
        <f t="shared" si="2"/>
        <v>0</v>
      </c>
      <c r="E32" s="2">
        <f t="shared" si="2"/>
        <v>0</v>
      </c>
      <c r="G32" s="2" t="s">
        <v>30</v>
      </c>
      <c r="H32" s="2" t="s">
        <v>66</v>
      </c>
      <c r="I32" s="2" t="s">
        <v>75</v>
      </c>
      <c r="J32" s="2"/>
      <c r="K32" s="2"/>
      <c r="L32" s="2"/>
      <c r="M32" s="2"/>
      <c r="N32" s="2"/>
      <c r="P32" s="2" t="s">
        <v>96</v>
      </c>
      <c r="Q32" s="2">
        <f>Q31</f>
        <v>0.14132500000000001</v>
      </c>
      <c r="R32" s="2"/>
      <c r="S32" s="2">
        <f t="shared" si="4"/>
        <v>0.14132500000000001</v>
      </c>
      <c r="U32" s="1" t="s">
        <v>30</v>
      </c>
      <c r="V32" s="2">
        <f t="shared" si="3"/>
        <v>0</v>
      </c>
      <c r="W32" s="2">
        <f t="shared" si="3"/>
        <v>0</v>
      </c>
      <c r="X32" s="2">
        <f t="shared" si="3"/>
        <v>0</v>
      </c>
      <c r="Y32" s="2">
        <f t="shared" si="3"/>
        <v>0</v>
      </c>
    </row>
    <row r="33" spans="1:25">
      <c r="A33" s="1" t="s">
        <v>31</v>
      </c>
      <c r="B33" s="2">
        <f t="shared" si="2"/>
        <v>0</v>
      </c>
      <c r="C33" s="2">
        <f t="shared" si="2"/>
        <v>211.61915128577587</v>
      </c>
      <c r="D33" s="2">
        <f t="shared" si="2"/>
        <v>0</v>
      </c>
      <c r="E33" s="2">
        <f t="shared" si="2"/>
        <v>0</v>
      </c>
      <c r="G33" s="2" t="s">
        <v>31</v>
      </c>
      <c r="H33" s="2" t="s">
        <v>76</v>
      </c>
      <c r="I33" s="2" t="s">
        <v>77</v>
      </c>
      <c r="J33" s="2"/>
      <c r="K33" s="2">
        <v>299.43898287785998</v>
      </c>
      <c r="L33" s="2"/>
      <c r="M33" s="2"/>
      <c r="N33" s="2"/>
      <c r="P33" s="2" t="s">
        <v>97</v>
      </c>
      <c r="Q33" s="2">
        <v>1.41499</v>
      </c>
      <c r="R33" s="2"/>
      <c r="S33" s="2">
        <f t="shared" si="4"/>
        <v>1.41499</v>
      </c>
      <c r="U33" s="1" t="s">
        <v>31</v>
      </c>
      <c r="V33" s="2">
        <f t="shared" si="3"/>
        <v>0</v>
      </c>
      <c r="W33" s="2">
        <f t="shared" si="3"/>
        <v>211.61915128577587</v>
      </c>
      <c r="X33" s="2">
        <f t="shared" si="3"/>
        <v>0</v>
      </c>
      <c r="Y33" s="2">
        <f t="shared" si="3"/>
        <v>0</v>
      </c>
    </row>
    <row r="34" spans="1:25">
      <c r="A34" s="1" t="s">
        <v>32</v>
      </c>
      <c r="B34" s="2">
        <f t="shared" si="2"/>
        <v>0</v>
      </c>
      <c r="C34" s="2">
        <f t="shared" si="2"/>
        <v>0</v>
      </c>
      <c r="D34" s="2">
        <f t="shared" si="2"/>
        <v>0</v>
      </c>
      <c r="E34" s="2">
        <f t="shared" si="2"/>
        <v>0</v>
      </c>
      <c r="G34" s="2" t="s">
        <v>32</v>
      </c>
      <c r="H34" s="2" t="s">
        <v>76</v>
      </c>
      <c r="I34" s="2" t="s">
        <v>78</v>
      </c>
      <c r="J34" s="2"/>
      <c r="K34" s="2"/>
      <c r="L34" s="2"/>
      <c r="M34" s="2"/>
      <c r="N34" s="2"/>
      <c r="P34" s="2" t="s">
        <v>97</v>
      </c>
      <c r="Q34" s="2">
        <f>Q33</f>
        <v>1.41499</v>
      </c>
      <c r="R34" s="2"/>
      <c r="S34" s="2">
        <f t="shared" si="4"/>
        <v>1.41499</v>
      </c>
      <c r="U34" s="1" t="s">
        <v>32</v>
      </c>
      <c r="V34" s="2">
        <f t="shared" si="3"/>
        <v>0</v>
      </c>
      <c r="W34" s="2">
        <f t="shared" si="3"/>
        <v>0</v>
      </c>
      <c r="X34" s="2">
        <f t="shared" si="3"/>
        <v>0</v>
      </c>
      <c r="Y34" s="2">
        <f t="shared" si="3"/>
        <v>0</v>
      </c>
    </row>
    <row r="35" spans="1:25">
      <c r="A35" s="1" t="s">
        <v>33</v>
      </c>
      <c r="B35" s="2">
        <f t="shared" si="2"/>
        <v>0.61445075630873014</v>
      </c>
      <c r="C35" s="2">
        <f t="shared" si="2"/>
        <v>25.578227573339742</v>
      </c>
      <c r="D35" s="2">
        <f t="shared" si="2"/>
        <v>7.4655239864230491E-2</v>
      </c>
      <c r="E35" s="2">
        <f t="shared" si="2"/>
        <v>4.3134686464215297E-2</v>
      </c>
      <c r="G35" s="2" t="s">
        <v>33</v>
      </c>
      <c r="H35" s="2" t="s">
        <v>76</v>
      </c>
      <c r="I35" s="2" t="s">
        <v>57</v>
      </c>
      <c r="J35" s="2">
        <v>0.86944167566928998</v>
      </c>
      <c r="K35" s="2">
        <v>36.192936234000001</v>
      </c>
      <c r="L35" s="2">
        <v>0.1056364178554875</v>
      </c>
      <c r="M35" s="2">
        <v>6.1035150000000003E-2</v>
      </c>
      <c r="N35" s="2"/>
      <c r="P35" s="2" t="s">
        <v>97</v>
      </c>
      <c r="Q35" s="2">
        <f>Q33</f>
        <v>1.41499</v>
      </c>
      <c r="R35" s="2"/>
      <c r="S35" s="2">
        <f t="shared" si="4"/>
        <v>1.41499</v>
      </c>
      <c r="U35" s="1" t="s">
        <v>33</v>
      </c>
      <c r="V35" s="2">
        <f t="shared" si="3"/>
        <v>0.61445075630873014</v>
      </c>
      <c r="W35" s="2">
        <f t="shared" si="3"/>
        <v>25.578227573339742</v>
      </c>
      <c r="X35" s="2">
        <f t="shared" si="3"/>
        <v>7.4655239864230491E-2</v>
      </c>
      <c r="Y35" s="2">
        <f t="shared" si="3"/>
        <v>4.3134686464215297E-2</v>
      </c>
    </row>
    <row r="36" spans="1:25">
      <c r="A36" s="1" t="s">
        <v>34</v>
      </c>
      <c r="B36" s="2">
        <f t="shared" si="2"/>
        <v>0</v>
      </c>
      <c r="C36" s="2">
        <f t="shared" si="2"/>
        <v>315.87124997380619</v>
      </c>
      <c r="D36" s="2">
        <f t="shared" si="2"/>
        <v>37.650691340261844</v>
      </c>
      <c r="E36" s="2">
        <f t="shared" si="2"/>
        <v>0</v>
      </c>
      <c r="G36" s="2" t="s">
        <v>34</v>
      </c>
      <c r="H36" s="2" t="s">
        <v>76</v>
      </c>
      <c r="I36" s="2" t="s">
        <v>79</v>
      </c>
      <c r="J36" s="2"/>
      <c r="K36" s="2">
        <v>446.95466000043598</v>
      </c>
      <c r="L36" s="2">
        <v>53.275351739557102</v>
      </c>
      <c r="M36" s="2"/>
      <c r="N36" s="2"/>
      <c r="P36" s="2" t="s">
        <v>97</v>
      </c>
      <c r="Q36" s="2">
        <f>Q33</f>
        <v>1.41499</v>
      </c>
      <c r="R36" s="2"/>
      <c r="S36" s="2">
        <f t="shared" si="4"/>
        <v>1.41499</v>
      </c>
      <c r="U36" s="1" t="s">
        <v>34</v>
      </c>
      <c r="V36" s="2">
        <f t="shared" si="3"/>
        <v>0</v>
      </c>
      <c r="W36" s="2">
        <f t="shared" si="3"/>
        <v>315.87124997380619</v>
      </c>
      <c r="X36" s="2">
        <f t="shared" si="3"/>
        <v>37.650691340261844</v>
      </c>
      <c r="Y36" s="2">
        <f t="shared" si="3"/>
        <v>0</v>
      </c>
    </row>
    <row r="37" spans="1:25">
      <c r="A37" s="1" t="s">
        <v>35</v>
      </c>
      <c r="B37" s="2">
        <f t="shared" si="2"/>
        <v>0</v>
      </c>
      <c r="C37" s="2">
        <f t="shared" si="2"/>
        <v>0</v>
      </c>
      <c r="D37" s="2">
        <f t="shared" si="2"/>
        <v>68.649081712702099</v>
      </c>
      <c r="E37" s="2">
        <f t="shared" si="2"/>
        <v>0</v>
      </c>
      <c r="G37" s="2" t="s">
        <v>35</v>
      </c>
      <c r="H37" s="2" t="s">
        <v>55</v>
      </c>
      <c r="I37" s="2" t="s">
        <v>80</v>
      </c>
      <c r="J37" s="2"/>
      <c r="K37" s="2"/>
      <c r="L37" s="2">
        <v>97.137764132656343</v>
      </c>
      <c r="M37" s="2"/>
      <c r="N37" s="2"/>
      <c r="P37" s="2" t="s">
        <v>97</v>
      </c>
      <c r="Q37" s="2">
        <f>Q33</f>
        <v>1.41499</v>
      </c>
      <c r="R37" s="2"/>
      <c r="S37" s="2">
        <f t="shared" si="4"/>
        <v>1.41499</v>
      </c>
      <c r="U37" s="1" t="s">
        <v>35</v>
      </c>
      <c r="V37" s="2">
        <f t="shared" si="3"/>
        <v>0</v>
      </c>
      <c r="W37" s="2">
        <f t="shared" si="3"/>
        <v>0</v>
      </c>
      <c r="X37" s="2">
        <f t="shared" si="3"/>
        <v>68.649081712702099</v>
      </c>
      <c r="Y37" s="2">
        <f t="shared" si="3"/>
        <v>0</v>
      </c>
    </row>
    <row r="38" spans="1:25">
      <c r="A38" s="1" t="s">
        <v>36</v>
      </c>
      <c r="B38" s="2">
        <f t="shared" si="2"/>
        <v>0</v>
      </c>
      <c r="C38" s="2">
        <f t="shared" si="2"/>
        <v>0</v>
      </c>
      <c r="D38" s="2">
        <f t="shared" si="2"/>
        <v>0</v>
      </c>
      <c r="E38" s="2">
        <f t="shared" si="2"/>
        <v>0</v>
      </c>
      <c r="G38" s="2" t="s">
        <v>36</v>
      </c>
      <c r="H38" s="2" t="s">
        <v>55</v>
      </c>
      <c r="I38" s="2" t="s">
        <v>81</v>
      </c>
      <c r="J38" s="2"/>
      <c r="K38" s="2"/>
      <c r="L38" s="2"/>
      <c r="M38" s="2"/>
      <c r="N38" s="2"/>
      <c r="P38" s="2" t="s">
        <v>97</v>
      </c>
      <c r="Q38" s="2">
        <f>Q33</f>
        <v>1.41499</v>
      </c>
      <c r="R38" s="2"/>
      <c r="S38" s="2">
        <f t="shared" si="4"/>
        <v>1.41499</v>
      </c>
      <c r="U38" s="1" t="s">
        <v>36</v>
      </c>
      <c r="V38" s="2">
        <f t="shared" si="3"/>
        <v>0</v>
      </c>
      <c r="W38" s="2">
        <f t="shared" si="3"/>
        <v>0</v>
      </c>
      <c r="X38" s="2">
        <f t="shared" si="3"/>
        <v>0</v>
      </c>
      <c r="Y38" s="2">
        <f t="shared" si="3"/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"/>
  <sheetViews>
    <sheetView zoomScale="55" zoomScaleNormal="55" workbookViewId="0">
      <selection activeCell="I55" sqref="I55"/>
    </sheetView>
  </sheetViews>
  <sheetFormatPr defaultRowHeight="14.4"/>
  <cols>
    <col min="1" max="1" width="12.88671875" bestFit="1" customWidth="1"/>
    <col min="7" max="7" width="33.44140625" bestFit="1" customWidth="1"/>
    <col min="8" max="8" width="15.21875" bestFit="1" customWidth="1"/>
    <col min="9" max="9" width="34" bestFit="1" customWidth="1"/>
    <col min="10" max="14" width="12" bestFit="1" customWidth="1"/>
    <col min="16" max="16" width="80.6640625" bestFit="1" customWidth="1"/>
    <col min="17" max="17" width="12.21875" bestFit="1" customWidth="1"/>
  </cols>
  <sheetData>
    <row r="1" spans="1:25" s="5" customFormat="1">
      <c r="A1" s="4"/>
      <c r="B1" s="3" t="s">
        <v>37</v>
      </c>
      <c r="C1" s="3" t="s">
        <v>38</v>
      </c>
      <c r="D1" s="3" t="s">
        <v>39</v>
      </c>
      <c r="E1" s="3" t="s">
        <v>40</v>
      </c>
      <c r="G1" s="7" t="s">
        <v>84</v>
      </c>
      <c r="H1" s="7" t="s">
        <v>85</v>
      </c>
      <c r="I1" s="7" t="s">
        <v>86</v>
      </c>
      <c r="J1" s="7" t="s">
        <v>37</v>
      </c>
      <c r="K1" s="7" t="s">
        <v>38</v>
      </c>
      <c r="L1" s="7" t="s">
        <v>39</v>
      </c>
      <c r="M1" s="7" t="s">
        <v>83</v>
      </c>
      <c r="N1" s="7" t="s">
        <v>82</v>
      </c>
      <c r="O1"/>
      <c r="P1" s="8" t="s">
        <v>98</v>
      </c>
      <c r="Q1" s="10" t="s">
        <v>100</v>
      </c>
      <c r="R1" s="10" t="s">
        <v>101</v>
      </c>
      <c r="S1" s="10" t="s">
        <v>102</v>
      </c>
      <c r="T1"/>
      <c r="U1" s="2"/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1" t="s">
        <v>0</v>
      </c>
      <c r="B2" s="6"/>
      <c r="C2" s="6"/>
      <c r="D2" s="6"/>
      <c r="E2" s="6"/>
      <c r="G2" s="2" t="s">
        <v>0</v>
      </c>
      <c r="H2" s="2" t="s">
        <v>41</v>
      </c>
      <c r="I2" s="2" t="s">
        <v>42</v>
      </c>
      <c r="J2" s="2">
        <v>3311.3976759521001</v>
      </c>
      <c r="K2" s="2">
        <v>0.79127538505859207</v>
      </c>
      <c r="L2" s="2">
        <v>9.2333830568848665</v>
      </c>
      <c r="M2" s="2"/>
      <c r="N2" s="2"/>
      <c r="P2" s="2"/>
      <c r="Q2" s="2"/>
      <c r="R2" s="2"/>
      <c r="S2" s="2"/>
      <c r="U2" s="1" t="s">
        <v>0</v>
      </c>
      <c r="V2" s="6"/>
      <c r="W2" s="6"/>
      <c r="X2" s="6"/>
      <c r="Y2" s="6"/>
    </row>
    <row r="3" spans="1:25">
      <c r="A3" s="1" t="s">
        <v>1</v>
      </c>
      <c r="B3" s="6"/>
      <c r="C3" s="6"/>
      <c r="D3" s="6"/>
      <c r="E3" s="6"/>
      <c r="G3" s="2" t="s">
        <v>1</v>
      </c>
      <c r="H3" s="2" t="s">
        <v>41</v>
      </c>
      <c r="I3" s="2" t="s">
        <v>43</v>
      </c>
      <c r="J3" s="2">
        <v>43.576124414062001</v>
      </c>
      <c r="K3" s="2">
        <v>1.261118903242772E-2</v>
      </c>
      <c r="L3" s="2">
        <v>8.9516844726562503E-2</v>
      </c>
      <c r="M3" s="2"/>
      <c r="N3" s="2"/>
      <c r="P3" s="2"/>
      <c r="Q3" s="2"/>
      <c r="R3" s="2"/>
      <c r="S3" s="2"/>
      <c r="U3" s="1" t="s">
        <v>1</v>
      </c>
      <c r="V3" s="6"/>
      <c r="W3" s="6"/>
      <c r="X3" s="6"/>
      <c r="Y3" s="6"/>
    </row>
    <row r="4" spans="1:25">
      <c r="A4" s="1" t="s">
        <v>2</v>
      </c>
      <c r="B4" s="6"/>
      <c r="C4" s="6"/>
      <c r="D4" s="6"/>
      <c r="E4" s="6"/>
      <c r="G4" s="2" t="s">
        <v>2</v>
      </c>
      <c r="H4" s="2" t="s">
        <v>44</v>
      </c>
      <c r="I4" s="2" t="s">
        <v>45</v>
      </c>
      <c r="J4" s="2">
        <v>33210.968808209</v>
      </c>
      <c r="K4" s="2">
        <v>94.291259619132802</v>
      </c>
      <c r="L4" s="2">
        <v>133.93496726463411</v>
      </c>
      <c r="M4" s="2"/>
      <c r="N4" s="2"/>
      <c r="P4" s="2"/>
      <c r="Q4" s="2"/>
      <c r="R4" s="2"/>
      <c r="S4" s="2"/>
      <c r="U4" s="1" t="s">
        <v>2</v>
      </c>
      <c r="V4" s="6"/>
      <c r="W4" s="6"/>
      <c r="X4" s="6"/>
      <c r="Y4" s="6"/>
    </row>
    <row r="5" spans="1:25">
      <c r="A5" s="1" t="s">
        <v>3</v>
      </c>
      <c r="B5" s="6"/>
      <c r="C5" s="6"/>
      <c r="D5" s="6"/>
      <c r="E5" s="6"/>
      <c r="G5" s="2" t="s">
        <v>3</v>
      </c>
      <c r="H5" s="2" t="s">
        <v>46</v>
      </c>
      <c r="I5" s="2" t="s">
        <v>47</v>
      </c>
      <c r="J5" s="2">
        <v>1076.0116082520001</v>
      </c>
      <c r="K5" s="2">
        <v>5.8198239062381596</v>
      </c>
      <c r="L5" s="2">
        <v>10.518684408431961</v>
      </c>
      <c r="M5" s="2"/>
      <c r="N5" s="2"/>
      <c r="P5" s="2"/>
      <c r="Q5" s="2"/>
      <c r="R5" s="2"/>
      <c r="S5" s="2"/>
      <c r="U5" s="1" t="s">
        <v>3</v>
      </c>
      <c r="V5" s="6"/>
      <c r="W5" s="6"/>
      <c r="X5" s="6"/>
      <c r="Y5" s="6"/>
    </row>
    <row r="6" spans="1:25">
      <c r="A6" s="1" t="s">
        <v>4</v>
      </c>
      <c r="B6" s="6"/>
      <c r="C6" s="6"/>
      <c r="D6" s="6"/>
      <c r="E6" s="6"/>
      <c r="G6" s="2" t="s">
        <v>4</v>
      </c>
      <c r="H6" s="2" t="s">
        <v>46</v>
      </c>
      <c r="I6" s="2" t="s">
        <v>48</v>
      </c>
      <c r="J6" s="2"/>
      <c r="K6" s="2"/>
      <c r="L6" s="2"/>
      <c r="M6" s="2"/>
      <c r="N6" s="2"/>
      <c r="P6" s="2"/>
      <c r="Q6" s="2"/>
      <c r="R6" s="2"/>
      <c r="S6" s="2"/>
      <c r="U6" s="1" t="s">
        <v>4</v>
      </c>
      <c r="V6" s="6"/>
      <c r="W6" s="6"/>
      <c r="X6" s="6"/>
      <c r="Y6" s="6"/>
    </row>
    <row r="7" spans="1:25">
      <c r="A7" s="1" t="s">
        <v>5</v>
      </c>
      <c r="B7" s="6"/>
      <c r="C7" s="6"/>
      <c r="D7" s="6"/>
      <c r="E7" s="6"/>
      <c r="G7" s="2" t="s">
        <v>5</v>
      </c>
      <c r="H7" s="2" t="s">
        <v>46</v>
      </c>
      <c r="I7" s="2" t="s">
        <v>49</v>
      </c>
      <c r="J7" s="2"/>
      <c r="K7" s="2"/>
      <c r="L7" s="2"/>
      <c r="M7" s="2"/>
      <c r="N7" s="2"/>
      <c r="P7" s="2"/>
      <c r="Q7" s="2"/>
      <c r="R7" s="2"/>
      <c r="S7" s="2"/>
      <c r="U7" s="1" t="s">
        <v>5</v>
      </c>
      <c r="V7" s="6"/>
      <c r="W7" s="6"/>
      <c r="X7" s="6"/>
      <c r="Y7" s="6"/>
    </row>
    <row r="8" spans="1:25">
      <c r="A8" s="1" t="s">
        <v>6</v>
      </c>
      <c r="B8" s="6"/>
      <c r="C8" s="6"/>
      <c r="D8" s="6"/>
      <c r="E8" s="6"/>
      <c r="G8" s="2" t="s">
        <v>6</v>
      </c>
      <c r="H8" s="2" t="s">
        <v>46</v>
      </c>
      <c r="I8" s="2" t="s">
        <v>50</v>
      </c>
      <c r="J8" s="2"/>
      <c r="K8" s="2"/>
      <c r="L8" s="2"/>
      <c r="M8" s="2"/>
      <c r="N8" s="2"/>
      <c r="P8" s="2"/>
      <c r="Q8" s="2"/>
      <c r="R8" s="2"/>
      <c r="S8" s="2"/>
      <c r="U8" s="1" t="s">
        <v>6</v>
      </c>
      <c r="V8" s="6"/>
      <c r="W8" s="6"/>
      <c r="X8" s="6"/>
      <c r="Y8" s="6"/>
    </row>
    <row r="9" spans="1:25">
      <c r="A9" s="1" t="s">
        <v>7</v>
      </c>
      <c r="B9" s="6"/>
      <c r="C9" s="6"/>
      <c r="D9" s="6"/>
      <c r="E9" s="6"/>
      <c r="G9" s="2" t="s">
        <v>7</v>
      </c>
      <c r="H9" s="2" t="s">
        <v>46</v>
      </c>
      <c r="I9" s="2" t="s">
        <v>51</v>
      </c>
      <c r="J9" s="2">
        <v>3983.247882312</v>
      </c>
      <c r="K9" s="2">
        <v>7.9747740864257199</v>
      </c>
      <c r="L9" s="2">
        <v>15.67478071179181</v>
      </c>
      <c r="M9" s="2"/>
      <c r="N9" s="2"/>
      <c r="P9" s="2"/>
      <c r="Q9" s="2"/>
      <c r="R9" s="2"/>
      <c r="S9" s="2"/>
      <c r="U9" s="1" t="s">
        <v>7</v>
      </c>
      <c r="V9" s="6"/>
      <c r="W9" s="6"/>
      <c r="X9" s="6"/>
      <c r="Y9" s="6"/>
    </row>
    <row r="10" spans="1:25">
      <c r="A10" s="1" t="s">
        <v>8</v>
      </c>
      <c r="B10" s="6"/>
      <c r="C10" s="6"/>
      <c r="D10" s="6"/>
      <c r="E10" s="6"/>
      <c r="G10" s="2" t="s">
        <v>8</v>
      </c>
      <c r="H10" s="2" t="s">
        <v>52</v>
      </c>
      <c r="I10" s="2" t="s">
        <v>53</v>
      </c>
      <c r="J10" s="2">
        <v>8028.2429615250003</v>
      </c>
      <c r="K10" s="2">
        <v>572.38321009432627</v>
      </c>
      <c r="L10" s="2">
        <v>42.254683166890281</v>
      </c>
      <c r="M10" s="2"/>
      <c r="N10" s="2">
        <v>581.20907031250999</v>
      </c>
      <c r="P10" s="2"/>
      <c r="Q10" s="2"/>
      <c r="R10" s="2"/>
      <c r="S10" s="2"/>
      <c r="U10" s="1" t="s">
        <v>8</v>
      </c>
      <c r="V10" s="6"/>
      <c r="W10" s="6"/>
      <c r="X10" s="6"/>
      <c r="Y10" s="6"/>
    </row>
    <row r="11" spans="1:25">
      <c r="A11" s="1" t="s">
        <v>9</v>
      </c>
      <c r="B11" s="6"/>
      <c r="C11" s="6"/>
      <c r="D11" s="6"/>
      <c r="E11" s="6"/>
      <c r="G11" s="2" t="s">
        <v>9</v>
      </c>
      <c r="H11" s="2" t="s">
        <v>54</v>
      </c>
      <c r="I11" s="2" t="s">
        <v>55</v>
      </c>
      <c r="J11" s="2">
        <v>3755.9258494947999</v>
      </c>
      <c r="K11" s="2">
        <v>584.87398999862</v>
      </c>
      <c r="L11" s="2">
        <v>49.165392558204353</v>
      </c>
      <c r="M11" s="2"/>
      <c r="N11" s="2">
        <v>3212.513671875</v>
      </c>
      <c r="P11" s="2"/>
      <c r="Q11" s="2"/>
      <c r="R11" s="2"/>
      <c r="S11" s="2"/>
      <c r="U11" s="1" t="s">
        <v>9</v>
      </c>
      <c r="V11" s="6"/>
      <c r="W11" s="6"/>
      <c r="X11" s="6"/>
      <c r="Y11" s="6"/>
    </row>
    <row r="12" spans="1:25">
      <c r="A12" s="1" t="s">
        <v>10</v>
      </c>
      <c r="B12" s="2">
        <f>V12</f>
        <v>31181.502461132073</v>
      </c>
      <c r="C12" s="2">
        <f t="shared" ref="C12:E27" si="0">W12</f>
        <v>1454702.3351342736</v>
      </c>
      <c r="D12" s="2">
        <f t="shared" si="0"/>
        <v>895.62159320914691</v>
      </c>
      <c r="E12" s="2">
        <f t="shared" si="0"/>
        <v>0</v>
      </c>
      <c r="G12" s="2" t="s">
        <v>10</v>
      </c>
      <c r="H12" s="2" t="s">
        <v>56</v>
      </c>
      <c r="I12" s="2" t="s">
        <v>57</v>
      </c>
      <c r="J12" s="2">
        <v>201.08607940657001</v>
      </c>
      <c r="K12" s="2">
        <v>9381.2153420240647</v>
      </c>
      <c r="L12" s="2">
        <v>5.7757651362305351</v>
      </c>
      <c r="M12" s="2"/>
      <c r="N12" s="2"/>
      <c r="P12" s="2" t="s">
        <v>88</v>
      </c>
      <c r="Q12" s="2">
        <v>6.4488899999999997E-3</v>
      </c>
      <c r="R12" s="2"/>
      <c r="S12" s="2">
        <f>SUM(Q12:R12)</f>
        <v>6.4488899999999997E-3</v>
      </c>
      <c r="U12" s="1" t="s">
        <v>10</v>
      </c>
      <c r="V12" s="2">
        <f>J12/$S12</f>
        <v>31181.502461132073</v>
      </c>
      <c r="W12" s="2">
        <f t="shared" ref="W12:Y27" si="1">K12/$S12</f>
        <v>1454702.3351342736</v>
      </c>
      <c r="X12" s="2">
        <f t="shared" si="1"/>
        <v>895.62159320914691</v>
      </c>
      <c r="Y12" s="2">
        <f t="shared" si="1"/>
        <v>0</v>
      </c>
    </row>
    <row r="13" spans="1:25">
      <c r="A13" s="1" t="s">
        <v>11</v>
      </c>
      <c r="B13" s="2">
        <f t="shared" ref="B13:E38" si="2">V13</f>
        <v>0.11665338988999417</v>
      </c>
      <c r="C13" s="2">
        <f t="shared" si="0"/>
        <v>644.75510602808561</v>
      </c>
      <c r="D13" s="2">
        <f t="shared" si="0"/>
        <v>0</v>
      </c>
      <c r="E13" s="2">
        <f t="shared" si="0"/>
        <v>0</v>
      </c>
      <c r="G13" s="2" t="s">
        <v>11</v>
      </c>
      <c r="H13" s="2" t="s">
        <v>56</v>
      </c>
      <c r="I13" s="2" t="s">
        <v>58</v>
      </c>
      <c r="J13" s="2">
        <v>7.2694543017577998E-4</v>
      </c>
      <c r="K13" s="2">
        <v>4.0179010515820401</v>
      </c>
      <c r="L13" s="2">
        <v>0</v>
      </c>
      <c r="M13" s="2"/>
      <c r="N13" s="2"/>
      <c r="P13" s="2" t="s">
        <v>99</v>
      </c>
      <c r="Q13">
        <v>4.7157400000000004E-3</v>
      </c>
      <c r="R13">
        <v>1.51593E-3</v>
      </c>
      <c r="S13" s="2">
        <f>SUM(Q13:R13)</f>
        <v>6.2316699999999999E-3</v>
      </c>
      <c r="U13" s="1" t="s">
        <v>11</v>
      </c>
      <c r="V13" s="2">
        <f t="shared" ref="V13:Y38" si="3">J13/$S13</f>
        <v>0.11665338988999417</v>
      </c>
      <c r="W13" s="2">
        <f t="shared" si="1"/>
        <v>644.75510602808561</v>
      </c>
      <c r="X13" s="2">
        <f t="shared" si="1"/>
        <v>0</v>
      </c>
      <c r="Y13" s="2">
        <f t="shared" si="1"/>
        <v>0</v>
      </c>
    </row>
    <row r="14" spans="1:25">
      <c r="A14" s="1" t="s">
        <v>12</v>
      </c>
      <c r="B14" s="2">
        <f t="shared" si="2"/>
        <v>134480.20974064516</v>
      </c>
      <c r="C14" s="2">
        <f t="shared" si="0"/>
        <v>0</v>
      </c>
      <c r="D14" s="2">
        <f t="shared" si="0"/>
        <v>0</v>
      </c>
      <c r="E14" s="2">
        <f t="shared" si="0"/>
        <v>0</v>
      </c>
      <c r="G14" s="2" t="s">
        <v>12</v>
      </c>
      <c r="H14" s="2" t="s">
        <v>44</v>
      </c>
      <c r="I14" s="2" t="s">
        <v>59</v>
      </c>
      <c r="J14" s="2">
        <v>2288.2211127999999</v>
      </c>
      <c r="K14" s="2"/>
      <c r="L14" s="2"/>
      <c r="M14" s="2"/>
      <c r="N14" s="2"/>
      <c r="P14" s="2" t="s">
        <v>89</v>
      </c>
      <c r="Q14" s="2">
        <v>1.7015300000000001E-2</v>
      </c>
      <c r="R14" s="2"/>
      <c r="S14" s="2">
        <f t="shared" ref="S14:S38" si="4">SUM(Q14:R14)</f>
        <v>1.7015300000000001E-2</v>
      </c>
      <c r="U14" s="1" t="s">
        <v>12</v>
      </c>
      <c r="V14" s="2">
        <f t="shared" si="3"/>
        <v>134480.20974064516</v>
      </c>
      <c r="W14" s="2">
        <f t="shared" si="1"/>
        <v>0</v>
      </c>
      <c r="X14" s="2">
        <f t="shared" si="1"/>
        <v>0</v>
      </c>
      <c r="Y14" s="2">
        <f t="shared" si="1"/>
        <v>0</v>
      </c>
    </row>
    <row r="15" spans="1:25">
      <c r="A15" s="1" t="s">
        <v>13</v>
      </c>
      <c r="B15" s="2">
        <f t="shared" si="2"/>
        <v>0</v>
      </c>
      <c r="C15" s="2">
        <f t="shared" si="0"/>
        <v>0</v>
      </c>
      <c r="D15" s="2">
        <f t="shared" si="0"/>
        <v>0</v>
      </c>
      <c r="E15" s="2">
        <f t="shared" si="0"/>
        <v>0</v>
      </c>
      <c r="G15" s="2" t="s">
        <v>13</v>
      </c>
      <c r="H15" s="2" t="s">
        <v>44</v>
      </c>
      <c r="I15" s="2" t="s">
        <v>59</v>
      </c>
      <c r="J15" s="2"/>
      <c r="K15" s="2"/>
      <c r="L15" s="2"/>
      <c r="M15" s="2"/>
      <c r="N15" s="2"/>
      <c r="P15" s="2" t="s">
        <v>89</v>
      </c>
      <c r="Q15" s="2">
        <f>Q14</f>
        <v>1.7015300000000001E-2</v>
      </c>
      <c r="R15" s="2"/>
      <c r="S15" s="2">
        <f t="shared" si="4"/>
        <v>1.7015300000000001E-2</v>
      </c>
      <c r="U15" s="1" t="s">
        <v>13</v>
      </c>
      <c r="V15" s="2">
        <f t="shared" si="3"/>
        <v>0</v>
      </c>
      <c r="W15" s="2">
        <f t="shared" si="1"/>
        <v>0</v>
      </c>
      <c r="X15" s="2">
        <f t="shared" si="1"/>
        <v>0</v>
      </c>
      <c r="Y15" s="2">
        <f t="shared" si="1"/>
        <v>0</v>
      </c>
    </row>
    <row r="16" spans="1:25">
      <c r="A16" s="1" t="s">
        <v>14</v>
      </c>
      <c r="B16" s="2">
        <f t="shared" si="2"/>
        <v>74.833010061162597</v>
      </c>
      <c r="C16" s="2">
        <f t="shared" si="0"/>
        <v>0</v>
      </c>
      <c r="D16" s="2">
        <f t="shared" si="0"/>
        <v>0</v>
      </c>
      <c r="E16" s="2">
        <f t="shared" si="0"/>
        <v>0</v>
      </c>
      <c r="G16" s="2" t="s">
        <v>14</v>
      </c>
      <c r="H16" s="2" t="s">
        <v>44</v>
      </c>
      <c r="I16" s="2" t="s">
        <v>59</v>
      </c>
      <c r="J16" s="2">
        <v>1.2733061160937</v>
      </c>
      <c r="K16" s="2"/>
      <c r="L16" s="2"/>
      <c r="M16" s="2"/>
      <c r="N16" s="2"/>
      <c r="P16" s="2" t="s">
        <v>89</v>
      </c>
      <c r="Q16" s="2">
        <f>Q15</f>
        <v>1.7015300000000001E-2</v>
      </c>
      <c r="R16" s="2"/>
      <c r="S16" s="2">
        <f t="shared" si="4"/>
        <v>1.7015300000000001E-2</v>
      </c>
      <c r="U16" s="1" t="s">
        <v>14</v>
      </c>
      <c r="V16" s="2">
        <f t="shared" si="3"/>
        <v>74.833010061162597</v>
      </c>
      <c r="W16" s="2">
        <f t="shared" si="1"/>
        <v>0</v>
      </c>
      <c r="X16" s="2">
        <f t="shared" si="1"/>
        <v>0</v>
      </c>
      <c r="Y16" s="2">
        <f t="shared" si="1"/>
        <v>0</v>
      </c>
    </row>
    <row r="17" spans="1:25">
      <c r="A17" s="1" t="s">
        <v>15</v>
      </c>
      <c r="B17" s="2">
        <f t="shared" si="2"/>
        <v>0</v>
      </c>
      <c r="C17" s="2">
        <f t="shared" si="0"/>
        <v>0</v>
      </c>
      <c r="D17" s="2">
        <f t="shared" si="0"/>
        <v>0</v>
      </c>
      <c r="E17" s="2">
        <f t="shared" si="0"/>
        <v>0</v>
      </c>
      <c r="G17" s="2" t="s">
        <v>15</v>
      </c>
      <c r="H17" s="2" t="s">
        <v>44</v>
      </c>
      <c r="I17" s="2" t="s">
        <v>60</v>
      </c>
      <c r="J17" s="2"/>
      <c r="K17" s="2"/>
      <c r="L17" s="2"/>
      <c r="M17" s="2"/>
      <c r="N17" s="2"/>
      <c r="P17" s="2" t="s">
        <v>90</v>
      </c>
      <c r="Q17" s="2">
        <v>1.6853E-2</v>
      </c>
      <c r="R17" s="2"/>
      <c r="S17" s="2">
        <f t="shared" si="4"/>
        <v>1.6853E-2</v>
      </c>
      <c r="U17" s="1" t="s">
        <v>15</v>
      </c>
      <c r="V17" s="2">
        <f t="shared" si="3"/>
        <v>0</v>
      </c>
      <c r="W17" s="2">
        <f t="shared" si="1"/>
        <v>0</v>
      </c>
      <c r="X17" s="2">
        <f t="shared" si="1"/>
        <v>0</v>
      </c>
      <c r="Y17" s="2">
        <f t="shared" si="1"/>
        <v>0</v>
      </c>
    </row>
    <row r="18" spans="1:25">
      <c r="A18" s="1" t="s">
        <v>16</v>
      </c>
      <c r="B18" s="2">
        <f t="shared" si="2"/>
        <v>8010.4432445261973</v>
      </c>
      <c r="C18" s="2">
        <f t="shared" si="0"/>
        <v>32.896220257520916</v>
      </c>
      <c r="D18" s="2">
        <f t="shared" si="0"/>
        <v>0</v>
      </c>
      <c r="E18" s="2">
        <f t="shared" si="0"/>
        <v>5444.7279416127694</v>
      </c>
      <c r="G18" s="2" t="s">
        <v>16</v>
      </c>
      <c r="H18" s="2" t="s">
        <v>44</v>
      </c>
      <c r="I18" s="2" t="s">
        <v>61</v>
      </c>
      <c r="J18" s="2">
        <v>135</v>
      </c>
      <c r="K18" s="2">
        <v>0.5544</v>
      </c>
      <c r="L18" s="2"/>
      <c r="M18" s="2">
        <v>91.76</v>
      </c>
      <c r="N18" s="2"/>
      <c r="P18" s="2" t="s">
        <v>90</v>
      </c>
      <c r="Q18" s="2">
        <f>Q17</f>
        <v>1.6853E-2</v>
      </c>
      <c r="R18" s="2"/>
      <c r="S18" s="2">
        <f t="shared" si="4"/>
        <v>1.6853E-2</v>
      </c>
      <c r="U18" s="1" t="s">
        <v>16</v>
      </c>
      <c r="V18" s="2">
        <f t="shared" si="3"/>
        <v>8010.4432445261973</v>
      </c>
      <c r="W18" s="2">
        <f t="shared" si="1"/>
        <v>32.896220257520916</v>
      </c>
      <c r="X18" s="2">
        <f t="shared" si="1"/>
        <v>0</v>
      </c>
      <c r="Y18" s="2">
        <f t="shared" si="1"/>
        <v>5444.7279416127694</v>
      </c>
    </row>
    <row r="19" spans="1:25">
      <c r="A19" s="1" t="s">
        <v>17</v>
      </c>
      <c r="B19" s="2">
        <f t="shared" si="2"/>
        <v>32009.464705036014</v>
      </c>
      <c r="C19" s="2">
        <f t="shared" si="0"/>
        <v>269.70490269826166</v>
      </c>
      <c r="D19" s="2">
        <f t="shared" si="0"/>
        <v>0</v>
      </c>
      <c r="E19" s="2">
        <f t="shared" si="0"/>
        <v>0</v>
      </c>
      <c r="G19" s="2" t="s">
        <v>17</v>
      </c>
      <c r="H19" s="2" t="s">
        <v>44</v>
      </c>
      <c r="I19" s="2" t="s">
        <v>62</v>
      </c>
      <c r="J19" s="2">
        <v>147.65870040038999</v>
      </c>
      <c r="K19" s="2">
        <v>1.244140625</v>
      </c>
      <c r="L19" s="2"/>
      <c r="M19" s="2"/>
      <c r="N19" s="2"/>
      <c r="P19" s="2" t="s">
        <v>92</v>
      </c>
      <c r="Q19" s="2">
        <v>4.6129700000000001E-3</v>
      </c>
      <c r="R19" s="2"/>
      <c r="S19" s="2">
        <f t="shared" si="4"/>
        <v>4.6129700000000001E-3</v>
      </c>
      <c r="U19" s="1" t="s">
        <v>17</v>
      </c>
      <c r="V19" s="2">
        <f t="shared" si="3"/>
        <v>32009.464705036014</v>
      </c>
      <c r="W19" s="2">
        <f t="shared" si="1"/>
        <v>269.70490269826166</v>
      </c>
      <c r="X19" s="2">
        <f t="shared" si="1"/>
        <v>0</v>
      </c>
      <c r="Y19" s="2">
        <f t="shared" si="1"/>
        <v>0</v>
      </c>
    </row>
    <row r="20" spans="1:25">
      <c r="A20" s="1" t="s">
        <v>18</v>
      </c>
      <c r="B20" s="2">
        <f t="shared" si="2"/>
        <v>5745.2420504224765</v>
      </c>
      <c r="C20" s="2">
        <f t="shared" si="0"/>
        <v>0</v>
      </c>
      <c r="D20" s="2">
        <f t="shared" si="0"/>
        <v>0</v>
      </c>
      <c r="E20" s="2">
        <f t="shared" si="0"/>
        <v>0</v>
      </c>
      <c r="G20" s="2" t="s">
        <v>18</v>
      </c>
      <c r="H20" s="2" t="s">
        <v>56</v>
      </c>
      <c r="I20" s="2" t="s">
        <v>63</v>
      </c>
      <c r="J20" s="2">
        <v>96.824564275770001</v>
      </c>
      <c r="K20" s="2"/>
      <c r="L20" s="2"/>
      <c r="M20" s="2"/>
      <c r="N20" s="2"/>
      <c r="P20" s="2" t="s">
        <v>90</v>
      </c>
      <c r="Q20" s="2">
        <f>Q18</f>
        <v>1.6853E-2</v>
      </c>
      <c r="R20" s="2"/>
      <c r="S20" s="2">
        <f t="shared" si="4"/>
        <v>1.6853E-2</v>
      </c>
      <c r="U20" s="1" t="s">
        <v>18</v>
      </c>
      <c r="V20" s="2">
        <f t="shared" si="3"/>
        <v>5745.2420504224765</v>
      </c>
      <c r="W20" s="2">
        <f t="shared" si="1"/>
        <v>0</v>
      </c>
      <c r="X20" s="2">
        <f t="shared" si="1"/>
        <v>0</v>
      </c>
      <c r="Y20" s="2">
        <f t="shared" si="1"/>
        <v>0</v>
      </c>
    </row>
    <row r="21" spans="1:25">
      <c r="A21" s="1" t="s">
        <v>19</v>
      </c>
      <c r="B21" s="2">
        <f t="shared" si="2"/>
        <v>0</v>
      </c>
      <c r="C21" s="2">
        <f t="shared" si="0"/>
        <v>0</v>
      </c>
      <c r="D21" s="2">
        <f t="shared" si="0"/>
        <v>0</v>
      </c>
      <c r="E21" s="2">
        <f t="shared" si="0"/>
        <v>109136.87880944708</v>
      </c>
      <c r="G21" s="2" t="s">
        <v>19</v>
      </c>
      <c r="H21" s="2" t="s">
        <v>44</v>
      </c>
      <c r="I21" s="2" t="s">
        <v>64</v>
      </c>
      <c r="J21" s="2"/>
      <c r="K21" s="2"/>
      <c r="L21" s="2"/>
      <c r="M21" s="2">
        <v>2099.771720918</v>
      </c>
      <c r="N21" s="2"/>
      <c r="P21" s="2" t="s">
        <v>94</v>
      </c>
      <c r="Q21" s="2">
        <v>1.9239800000000001E-2</v>
      </c>
      <c r="R21" s="2"/>
      <c r="S21" s="2">
        <f t="shared" si="4"/>
        <v>1.9239800000000001E-2</v>
      </c>
      <c r="U21" s="1" t="s">
        <v>19</v>
      </c>
      <c r="V21" s="2">
        <f t="shared" si="3"/>
        <v>0</v>
      </c>
      <c r="W21" s="2">
        <f t="shared" si="1"/>
        <v>0</v>
      </c>
      <c r="X21" s="2">
        <f t="shared" si="1"/>
        <v>0</v>
      </c>
      <c r="Y21" s="2">
        <f t="shared" si="1"/>
        <v>109136.87880944708</v>
      </c>
    </row>
    <row r="22" spans="1:25">
      <c r="A22" s="1" t="s">
        <v>20</v>
      </c>
      <c r="B22" s="2">
        <f t="shared" si="2"/>
        <v>0</v>
      </c>
      <c r="C22" s="2">
        <f t="shared" si="0"/>
        <v>0</v>
      </c>
      <c r="D22" s="2">
        <f t="shared" si="0"/>
        <v>0</v>
      </c>
      <c r="E22" s="2">
        <f t="shared" si="0"/>
        <v>0</v>
      </c>
      <c r="G22" s="2" t="s">
        <v>20</v>
      </c>
      <c r="H22" s="2" t="s">
        <v>44</v>
      </c>
      <c r="I22" s="2" t="s">
        <v>65</v>
      </c>
      <c r="J22" s="2"/>
      <c r="K22" s="2"/>
      <c r="L22" s="2"/>
      <c r="M22" s="2"/>
      <c r="N22" s="2"/>
      <c r="P22" s="2" t="s">
        <v>94</v>
      </c>
      <c r="Q22" s="2">
        <f>Q21</f>
        <v>1.9239800000000001E-2</v>
      </c>
      <c r="R22" s="2"/>
      <c r="S22" s="2">
        <f t="shared" si="4"/>
        <v>1.9239800000000001E-2</v>
      </c>
      <c r="U22" s="1" t="s">
        <v>20</v>
      </c>
      <c r="V22" s="2">
        <f t="shared" si="3"/>
        <v>0</v>
      </c>
      <c r="W22" s="2">
        <f t="shared" si="1"/>
        <v>0</v>
      </c>
      <c r="X22" s="2">
        <f t="shared" si="1"/>
        <v>0</v>
      </c>
      <c r="Y22" s="2">
        <f t="shared" si="1"/>
        <v>0</v>
      </c>
    </row>
    <row r="23" spans="1:25">
      <c r="A23" s="1" t="s">
        <v>21</v>
      </c>
      <c r="B23" s="2">
        <f t="shared" si="2"/>
        <v>0</v>
      </c>
      <c r="C23" s="2">
        <f t="shared" si="0"/>
        <v>0</v>
      </c>
      <c r="D23" s="2">
        <f t="shared" si="0"/>
        <v>2.8348582088358505</v>
      </c>
      <c r="E23" s="2">
        <f t="shared" si="0"/>
        <v>0</v>
      </c>
      <c r="G23" s="2" t="s">
        <v>21</v>
      </c>
      <c r="H23" s="2" t="s">
        <v>44</v>
      </c>
      <c r="I23" s="2" t="s">
        <v>60</v>
      </c>
      <c r="J23" s="2"/>
      <c r="K23" s="2"/>
      <c r="L23" s="2">
        <v>5.454210496636E-2</v>
      </c>
      <c r="M23" s="2">
        <v>0</v>
      </c>
      <c r="N23" s="2"/>
      <c r="P23" s="2" t="s">
        <v>94</v>
      </c>
      <c r="Q23" s="2">
        <f>Q22</f>
        <v>1.9239800000000001E-2</v>
      </c>
      <c r="R23" s="2"/>
      <c r="S23" s="2">
        <f t="shared" si="4"/>
        <v>1.9239800000000001E-2</v>
      </c>
      <c r="U23" s="1" t="s">
        <v>21</v>
      </c>
      <c r="V23" s="2">
        <f t="shared" si="3"/>
        <v>0</v>
      </c>
      <c r="W23" s="2">
        <f t="shared" si="1"/>
        <v>0</v>
      </c>
      <c r="X23" s="2">
        <f t="shared" si="1"/>
        <v>2.8348582088358505</v>
      </c>
      <c r="Y23" s="2">
        <f t="shared" si="1"/>
        <v>0</v>
      </c>
    </row>
    <row r="24" spans="1:25">
      <c r="A24" s="1" t="s">
        <v>22</v>
      </c>
      <c r="B24" s="2">
        <f t="shared" si="2"/>
        <v>0</v>
      </c>
      <c r="C24" s="2">
        <f t="shared" si="0"/>
        <v>14207.998690597133</v>
      </c>
      <c r="D24" s="2">
        <f t="shared" si="0"/>
        <v>0</v>
      </c>
      <c r="E24" s="2">
        <f t="shared" si="0"/>
        <v>0</v>
      </c>
      <c r="G24" s="2" t="s">
        <v>22</v>
      </c>
      <c r="H24" s="2" t="s">
        <v>66</v>
      </c>
      <c r="I24" s="2" t="s">
        <v>67</v>
      </c>
      <c r="J24" s="2"/>
      <c r="K24" s="2">
        <v>1510.4239247999999</v>
      </c>
      <c r="L24" s="2"/>
      <c r="M24" s="2"/>
      <c r="N24" s="2"/>
      <c r="P24" s="2" t="s">
        <v>96</v>
      </c>
      <c r="Q24" s="2">
        <v>0.106308</v>
      </c>
      <c r="R24" s="2"/>
      <c r="S24" s="2">
        <f t="shared" si="4"/>
        <v>0.106308</v>
      </c>
      <c r="U24" s="1" t="s">
        <v>22</v>
      </c>
      <c r="V24" s="2">
        <f t="shared" si="3"/>
        <v>0</v>
      </c>
      <c r="W24" s="2">
        <f t="shared" si="1"/>
        <v>14207.998690597133</v>
      </c>
      <c r="X24" s="2">
        <f t="shared" si="1"/>
        <v>0</v>
      </c>
      <c r="Y24" s="2">
        <f t="shared" si="1"/>
        <v>0</v>
      </c>
    </row>
    <row r="25" spans="1:25">
      <c r="A25" s="1" t="s">
        <v>23</v>
      </c>
      <c r="B25" s="2">
        <f t="shared" si="2"/>
        <v>0</v>
      </c>
      <c r="C25" s="2">
        <f t="shared" si="0"/>
        <v>1705.7748233434925</v>
      </c>
      <c r="D25" s="2">
        <f t="shared" si="0"/>
        <v>1384.935408608605</v>
      </c>
      <c r="E25" s="2">
        <f t="shared" si="0"/>
        <v>0</v>
      </c>
      <c r="G25" s="2" t="s">
        <v>23</v>
      </c>
      <c r="H25" s="2" t="s">
        <v>66</v>
      </c>
      <c r="I25" s="2" t="s">
        <v>68</v>
      </c>
      <c r="J25" s="2"/>
      <c r="K25" s="2">
        <v>181.33750992</v>
      </c>
      <c r="L25" s="2">
        <v>147.22971341836359</v>
      </c>
      <c r="M25" s="2"/>
      <c r="N25" s="2"/>
      <c r="P25" s="2" t="s">
        <v>96</v>
      </c>
      <c r="Q25" s="2">
        <f>Q24</f>
        <v>0.106308</v>
      </c>
      <c r="R25" s="2"/>
      <c r="S25" s="2">
        <f t="shared" si="4"/>
        <v>0.106308</v>
      </c>
      <c r="U25" s="1" t="s">
        <v>23</v>
      </c>
      <c r="V25" s="2">
        <f t="shared" si="3"/>
        <v>0</v>
      </c>
      <c r="W25" s="2">
        <f t="shared" si="1"/>
        <v>1705.7748233434925</v>
      </c>
      <c r="X25" s="2">
        <f t="shared" si="1"/>
        <v>1384.935408608605</v>
      </c>
      <c r="Y25" s="2">
        <f t="shared" si="1"/>
        <v>0</v>
      </c>
    </row>
    <row r="26" spans="1:25">
      <c r="A26" s="1" t="s">
        <v>24</v>
      </c>
      <c r="B26" s="2">
        <f t="shared" si="2"/>
        <v>0</v>
      </c>
      <c r="C26" s="2">
        <f t="shared" si="0"/>
        <v>439.38683150445502</v>
      </c>
      <c r="D26" s="2">
        <f t="shared" si="0"/>
        <v>107.81250958211368</v>
      </c>
      <c r="E26" s="2">
        <f t="shared" si="0"/>
        <v>0</v>
      </c>
      <c r="G26" s="2" t="s">
        <v>24</v>
      </c>
      <c r="H26" s="2" t="s">
        <v>66</v>
      </c>
      <c r="I26" s="2" t="s">
        <v>69</v>
      </c>
      <c r="J26" s="2"/>
      <c r="K26" s="2">
        <v>46.710335283575603</v>
      </c>
      <c r="L26" s="2">
        <v>11.46133226865534</v>
      </c>
      <c r="M26" s="2"/>
      <c r="N26" s="2">
        <v>936.06029040499004</v>
      </c>
      <c r="P26" s="2" t="s">
        <v>96</v>
      </c>
      <c r="Q26" s="2">
        <f>Q25</f>
        <v>0.106308</v>
      </c>
      <c r="R26" s="2"/>
      <c r="S26" s="2">
        <f t="shared" si="4"/>
        <v>0.106308</v>
      </c>
      <c r="U26" s="1" t="s">
        <v>24</v>
      </c>
      <c r="V26" s="2">
        <f t="shared" si="3"/>
        <v>0</v>
      </c>
      <c r="W26" s="2">
        <f t="shared" si="1"/>
        <v>439.38683150445502</v>
      </c>
      <c r="X26" s="2">
        <f t="shared" si="1"/>
        <v>107.81250958211368</v>
      </c>
      <c r="Y26" s="2">
        <f t="shared" si="1"/>
        <v>0</v>
      </c>
    </row>
    <row r="27" spans="1:25">
      <c r="A27" s="1" t="s">
        <v>25</v>
      </c>
      <c r="B27" s="2">
        <f t="shared" si="2"/>
        <v>161.61485855800129</v>
      </c>
      <c r="C27" s="2">
        <f t="shared" si="0"/>
        <v>0</v>
      </c>
      <c r="D27" s="2">
        <f t="shared" si="0"/>
        <v>0</v>
      </c>
      <c r="E27" s="2">
        <f t="shared" si="0"/>
        <v>0</v>
      </c>
      <c r="G27" s="2" t="s">
        <v>25</v>
      </c>
      <c r="H27" s="2" t="s">
        <v>66</v>
      </c>
      <c r="I27" s="2" t="s">
        <v>70</v>
      </c>
      <c r="J27" s="2">
        <v>17.180952383584</v>
      </c>
      <c r="K27" s="2"/>
      <c r="L27" s="2"/>
      <c r="M27" s="2"/>
      <c r="N27" s="2"/>
      <c r="P27" s="2" t="s">
        <v>96</v>
      </c>
      <c r="Q27" s="2">
        <f>Q26</f>
        <v>0.106308</v>
      </c>
      <c r="R27" s="2"/>
      <c r="S27" s="2">
        <f t="shared" si="4"/>
        <v>0.106308</v>
      </c>
      <c r="U27" s="1" t="s">
        <v>25</v>
      </c>
      <c r="V27" s="2">
        <f t="shared" si="3"/>
        <v>161.61485855800129</v>
      </c>
      <c r="W27" s="2">
        <f t="shared" si="1"/>
        <v>0</v>
      </c>
      <c r="X27" s="2">
        <f t="shared" si="1"/>
        <v>0</v>
      </c>
      <c r="Y27" s="2">
        <f t="shared" si="1"/>
        <v>0</v>
      </c>
    </row>
    <row r="28" spans="1:25">
      <c r="A28" s="1" t="s">
        <v>26</v>
      </c>
      <c r="B28" s="2">
        <f t="shared" si="2"/>
        <v>937.16891780755907</v>
      </c>
      <c r="C28" s="2">
        <f t="shared" si="2"/>
        <v>0</v>
      </c>
      <c r="D28" s="2">
        <f t="shared" si="2"/>
        <v>0</v>
      </c>
      <c r="E28" s="2">
        <f t="shared" si="2"/>
        <v>0</v>
      </c>
      <c r="G28" s="2" t="s">
        <v>26</v>
      </c>
      <c r="H28" s="2" t="s">
        <v>66</v>
      </c>
      <c r="I28" s="2" t="s">
        <v>71</v>
      </c>
      <c r="J28" s="2">
        <v>99.628553314285995</v>
      </c>
      <c r="K28" s="2"/>
      <c r="L28" s="2"/>
      <c r="M28" s="2"/>
      <c r="N28" s="2"/>
      <c r="P28" s="2" t="s">
        <v>96</v>
      </c>
      <c r="Q28" s="2">
        <f>Q27</f>
        <v>0.106308</v>
      </c>
      <c r="R28" s="2"/>
      <c r="S28" s="2">
        <f t="shared" si="4"/>
        <v>0.106308</v>
      </c>
      <c r="U28" s="1" t="s">
        <v>26</v>
      </c>
      <c r="V28" s="2">
        <f t="shared" si="3"/>
        <v>937.16891780755907</v>
      </c>
      <c r="W28" s="2">
        <f t="shared" si="3"/>
        <v>0</v>
      </c>
      <c r="X28" s="2">
        <f t="shared" si="3"/>
        <v>0</v>
      </c>
      <c r="Y28" s="2">
        <f t="shared" si="3"/>
        <v>0</v>
      </c>
    </row>
    <row r="29" spans="1:25">
      <c r="A29" s="1" t="s">
        <v>27</v>
      </c>
      <c r="B29" s="2">
        <f t="shared" si="2"/>
        <v>0</v>
      </c>
      <c r="C29" s="2">
        <f t="shared" si="2"/>
        <v>0</v>
      </c>
      <c r="D29" s="2">
        <f t="shared" si="2"/>
        <v>9419.6031299458737</v>
      </c>
      <c r="E29" s="2">
        <f t="shared" si="2"/>
        <v>0</v>
      </c>
      <c r="G29" s="2" t="s">
        <v>27</v>
      </c>
      <c r="H29" s="2" t="s">
        <v>55</v>
      </c>
      <c r="I29" s="2" t="s">
        <v>72</v>
      </c>
      <c r="J29" s="2"/>
      <c r="K29" s="2"/>
      <c r="L29" s="2">
        <v>1001.379169538286</v>
      </c>
      <c r="M29" s="2"/>
      <c r="N29" s="2"/>
      <c r="P29" s="2" t="s">
        <v>96</v>
      </c>
      <c r="Q29" s="2">
        <f>Q28</f>
        <v>0.106308</v>
      </c>
      <c r="R29" s="2"/>
      <c r="S29" s="2">
        <f t="shared" si="4"/>
        <v>0.106308</v>
      </c>
      <c r="U29" s="1" t="s">
        <v>27</v>
      </c>
      <c r="V29" s="2">
        <f t="shared" si="3"/>
        <v>0</v>
      </c>
      <c r="W29" s="2">
        <f t="shared" si="3"/>
        <v>0</v>
      </c>
      <c r="X29" s="2">
        <f t="shared" si="3"/>
        <v>9419.6031299458737</v>
      </c>
      <c r="Y29" s="2">
        <f t="shared" si="3"/>
        <v>0</v>
      </c>
    </row>
    <row r="30" spans="1:25">
      <c r="A30" s="1" t="s">
        <v>28</v>
      </c>
      <c r="B30" s="2">
        <f t="shared" si="2"/>
        <v>0</v>
      </c>
      <c r="C30" s="2">
        <f t="shared" si="2"/>
        <v>0</v>
      </c>
      <c r="D30" s="2">
        <f t="shared" si="2"/>
        <v>2063.7660898462973</v>
      </c>
      <c r="E30" s="2">
        <f t="shared" si="2"/>
        <v>0</v>
      </c>
      <c r="G30" s="2" t="s">
        <v>28</v>
      </c>
      <c r="H30" s="2" t="s">
        <v>66</v>
      </c>
      <c r="I30" s="2" t="s">
        <v>73</v>
      </c>
      <c r="J30" s="2"/>
      <c r="K30" s="2"/>
      <c r="L30" s="2">
        <v>219.39484547938019</v>
      </c>
      <c r="M30" s="2"/>
      <c r="N30" s="2"/>
      <c r="P30" s="2" t="s">
        <v>96</v>
      </c>
      <c r="Q30" s="2">
        <f>Q29</f>
        <v>0.106308</v>
      </c>
      <c r="R30" s="2"/>
      <c r="S30" s="2">
        <f t="shared" si="4"/>
        <v>0.106308</v>
      </c>
      <c r="U30" s="1" t="s">
        <v>28</v>
      </c>
      <c r="V30" s="2">
        <f t="shared" si="3"/>
        <v>0</v>
      </c>
      <c r="W30" s="2">
        <f t="shared" si="3"/>
        <v>0</v>
      </c>
      <c r="X30" s="2">
        <f t="shared" si="3"/>
        <v>2063.7660898462973</v>
      </c>
      <c r="Y30" s="2">
        <f t="shared" si="3"/>
        <v>0</v>
      </c>
    </row>
    <row r="31" spans="1:25">
      <c r="A31" s="1" t="s">
        <v>29</v>
      </c>
      <c r="B31" s="2">
        <f t="shared" si="2"/>
        <v>0</v>
      </c>
      <c r="C31" s="2">
        <f t="shared" si="2"/>
        <v>0</v>
      </c>
      <c r="D31" s="2">
        <f t="shared" si="2"/>
        <v>116.9135740112352</v>
      </c>
      <c r="E31" s="2">
        <f t="shared" si="2"/>
        <v>0</v>
      </c>
      <c r="G31" s="2" t="s">
        <v>29</v>
      </c>
      <c r="H31" s="2" t="s">
        <v>66</v>
      </c>
      <c r="I31" s="2" t="s">
        <v>74</v>
      </c>
      <c r="J31" s="2"/>
      <c r="K31" s="2"/>
      <c r="L31" s="2">
        <v>12.428848225986391</v>
      </c>
      <c r="M31" s="2"/>
      <c r="N31" s="2"/>
      <c r="P31" s="2" t="s">
        <v>96</v>
      </c>
      <c r="Q31" s="2">
        <f>Q30</f>
        <v>0.106308</v>
      </c>
      <c r="R31" s="2"/>
      <c r="S31" s="2">
        <f t="shared" si="4"/>
        <v>0.106308</v>
      </c>
      <c r="U31" s="1" t="s">
        <v>29</v>
      </c>
      <c r="V31" s="2">
        <f t="shared" si="3"/>
        <v>0</v>
      </c>
      <c r="W31" s="2">
        <f t="shared" si="3"/>
        <v>0</v>
      </c>
      <c r="X31" s="2">
        <f t="shared" si="3"/>
        <v>116.9135740112352</v>
      </c>
      <c r="Y31" s="2">
        <f t="shared" si="3"/>
        <v>0</v>
      </c>
    </row>
    <row r="32" spans="1:25">
      <c r="A32" s="1" t="s">
        <v>30</v>
      </c>
      <c r="B32" s="2">
        <f t="shared" si="2"/>
        <v>0</v>
      </c>
      <c r="C32" s="2">
        <f t="shared" si="2"/>
        <v>29714.053393716371</v>
      </c>
      <c r="D32" s="2">
        <f t="shared" si="2"/>
        <v>0</v>
      </c>
      <c r="E32" s="2">
        <f t="shared" si="2"/>
        <v>0</v>
      </c>
      <c r="G32" s="2" t="s">
        <v>30</v>
      </c>
      <c r="H32" s="2" t="s">
        <v>66</v>
      </c>
      <c r="I32" s="2" t="s">
        <v>75</v>
      </c>
      <c r="J32" s="2"/>
      <c r="K32" s="2">
        <v>3158.8415881791998</v>
      </c>
      <c r="L32" s="2"/>
      <c r="M32" s="2"/>
      <c r="N32" s="2"/>
      <c r="P32" s="2" t="s">
        <v>96</v>
      </c>
      <c r="Q32" s="2">
        <f>Q31</f>
        <v>0.106308</v>
      </c>
      <c r="R32" s="2"/>
      <c r="S32" s="2">
        <f t="shared" si="4"/>
        <v>0.106308</v>
      </c>
      <c r="U32" s="1" t="s">
        <v>30</v>
      </c>
      <c r="V32" s="2">
        <f t="shared" si="3"/>
        <v>0</v>
      </c>
      <c r="W32" s="2">
        <f t="shared" si="3"/>
        <v>29714.053393716371</v>
      </c>
      <c r="X32" s="2">
        <f t="shared" si="3"/>
        <v>0</v>
      </c>
      <c r="Y32" s="2">
        <f t="shared" si="3"/>
        <v>0</v>
      </c>
    </row>
    <row r="33" spans="1:25">
      <c r="A33" s="1" t="s">
        <v>31</v>
      </c>
      <c r="B33" s="2">
        <f t="shared" si="2"/>
        <v>0</v>
      </c>
      <c r="C33" s="2">
        <f t="shared" si="2"/>
        <v>1708.192396435921</v>
      </c>
      <c r="D33" s="2">
        <f t="shared" si="2"/>
        <v>0</v>
      </c>
      <c r="E33" s="2">
        <f t="shared" si="2"/>
        <v>0</v>
      </c>
      <c r="G33" s="2" t="s">
        <v>31</v>
      </c>
      <c r="H33" s="2" t="s">
        <v>76</v>
      </c>
      <c r="I33" s="2" t="s">
        <v>77</v>
      </c>
      <c r="J33" s="2"/>
      <c r="K33" s="2">
        <v>2774.8731383903319</v>
      </c>
      <c r="L33" s="2"/>
      <c r="M33" s="2"/>
      <c r="N33" s="2"/>
      <c r="P33" s="2" t="s">
        <v>97</v>
      </c>
      <c r="Q33" s="2">
        <v>1.6244499999999999</v>
      </c>
      <c r="R33" s="2"/>
      <c r="S33" s="2">
        <f t="shared" si="4"/>
        <v>1.6244499999999999</v>
      </c>
      <c r="U33" s="1" t="s">
        <v>31</v>
      </c>
      <c r="V33" s="2">
        <f t="shared" si="3"/>
        <v>0</v>
      </c>
      <c r="W33" s="2">
        <f t="shared" si="3"/>
        <v>1708.192396435921</v>
      </c>
      <c r="X33" s="2">
        <f t="shared" si="3"/>
        <v>0</v>
      </c>
      <c r="Y33" s="2">
        <f t="shared" si="3"/>
        <v>0</v>
      </c>
    </row>
    <row r="34" spans="1:25">
      <c r="A34" s="1" t="s">
        <v>32</v>
      </c>
      <c r="B34" s="2">
        <f t="shared" si="2"/>
        <v>0</v>
      </c>
      <c r="C34" s="2">
        <f t="shared" si="2"/>
        <v>0</v>
      </c>
      <c r="D34" s="2">
        <f t="shared" si="2"/>
        <v>0</v>
      </c>
      <c r="E34" s="2">
        <f t="shared" si="2"/>
        <v>0</v>
      </c>
      <c r="G34" s="2" t="s">
        <v>32</v>
      </c>
      <c r="H34" s="2" t="s">
        <v>76</v>
      </c>
      <c r="I34" s="2" t="s">
        <v>78</v>
      </c>
      <c r="J34" s="2"/>
      <c r="K34" s="2"/>
      <c r="L34" s="2"/>
      <c r="M34" s="2"/>
      <c r="N34" s="2"/>
      <c r="P34" s="2" t="s">
        <v>97</v>
      </c>
      <c r="Q34" s="2">
        <f>Q33</f>
        <v>1.6244499999999999</v>
      </c>
      <c r="R34" s="2"/>
      <c r="S34" s="2">
        <f t="shared" si="4"/>
        <v>1.6244499999999999</v>
      </c>
      <c r="U34" s="1" t="s">
        <v>32</v>
      </c>
      <c r="V34" s="2">
        <f t="shared" si="3"/>
        <v>0</v>
      </c>
      <c r="W34" s="2">
        <f t="shared" si="3"/>
        <v>0</v>
      </c>
      <c r="X34" s="2">
        <f t="shared" si="3"/>
        <v>0</v>
      </c>
      <c r="Y34" s="2">
        <f t="shared" si="3"/>
        <v>0</v>
      </c>
    </row>
    <row r="35" spans="1:25">
      <c r="A35" s="1" t="s">
        <v>33</v>
      </c>
      <c r="B35" s="2">
        <f t="shared" si="2"/>
        <v>6.6579692189442587</v>
      </c>
      <c r="C35" s="2">
        <f t="shared" si="2"/>
        <v>33.948368430940441</v>
      </c>
      <c r="D35" s="2">
        <f t="shared" si="2"/>
        <v>0.78727969473083192</v>
      </c>
      <c r="E35" s="2">
        <f t="shared" si="2"/>
        <v>0</v>
      </c>
      <c r="G35" s="2" t="s">
        <v>33</v>
      </c>
      <c r="H35" s="2" t="s">
        <v>76</v>
      </c>
      <c r="I35" s="2" t="s">
        <v>57</v>
      </c>
      <c r="J35" s="2">
        <v>10.815538097714001</v>
      </c>
      <c r="K35" s="2">
        <v>55.147427097641199</v>
      </c>
      <c r="L35" s="2">
        <v>1.2788965001054999</v>
      </c>
      <c r="M35" s="2"/>
      <c r="N35" s="2"/>
      <c r="P35" s="2" t="s">
        <v>97</v>
      </c>
      <c r="Q35" s="2">
        <f>Q33</f>
        <v>1.6244499999999999</v>
      </c>
      <c r="R35" s="2"/>
      <c r="S35" s="2">
        <f t="shared" si="4"/>
        <v>1.6244499999999999</v>
      </c>
      <c r="U35" s="1" t="s">
        <v>33</v>
      </c>
      <c r="V35" s="2">
        <f t="shared" si="3"/>
        <v>6.6579692189442587</v>
      </c>
      <c r="W35" s="2">
        <f t="shared" si="3"/>
        <v>33.948368430940441</v>
      </c>
      <c r="X35" s="2">
        <f t="shared" si="3"/>
        <v>0.78727969473083192</v>
      </c>
      <c r="Y35" s="2">
        <f t="shared" si="3"/>
        <v>0</v>
      </c>
    </row>
    <row r="36" spans="1:25">
      <c r="A36" s="1" t="s">
        <v>34</v>
      </c>
      <c r="B36" s="2">
        <f t="shared" si="2"/>
        <v>0</v>
      </c>
      <c r="C36" s="2">
        <f t="shared" si="2"/>
        <v>2398.868065920798</v>
      </c>
      <c r="D36" s="2">
        <f t="shared" si="2"/>
        <v>143.83794850789727</v>
      </c>
      <c r="E36" s="2">
        <f t="shared" si="2"/>
        <v>0</v>
      </c>
      <c r="G36" s="2" t="s">
        <v>34</v>
      </c>
      <c r="H36" s="2" t="s">
        <v>76</v>
      </c>
      <c r="I36" s="2" t="s">
        <v>79</v>
      </c>
      <c r="J36" s="2"/>
      <c r="K36" s="2">
        <v>3896.8412296850402</v>
      </c>
      <c r="L36" s="2">
        <v>233.65755545365371</v>
      </c>
      <c r="M36" s="2"/>
      <c r="N36" s="2"/>
      <c r="P36" s="2" t="s">
        <v>97</v>
      </c>
      <c r="Q36" s="2">
        <f>Q33</f>
        <v>1.6244499999999999</v>
      </c>
      <c r="R36" s="2"/>
      <c r="S36" s="2">
        <f t="shared" si="4"/>
        <v>1.6244499999999999</v>
      </c>
      <c r="U36" s="1" t="s">
        <v>34</v>
      </c>
      <c r="V36" s="2">
        <f t="shared" si="3"/>
        <v>0</v>
      </c>
      <c r="W36" s="2">
        <f t="shared" si="3"/>
        <v>2398.868065920798</v>
      </c>
      <c r="X36" s="2">
        <f t="shared" si="3"/>
        <v>143.83794850789727</v>
      </c>
      <c r="Y36" s="2">
        <f t="shared" si="3"/>
        <v>0</v>
      </c>
    </row>
    <row r="37" spans="1:25">
      <c r="A37" s="1" t="s">
        <v>35</v>
      </c>
      <c r="B37" s="2">
        <f t="shared" si="2"/>
        <v>0</v>
      </c>
      <c r="C37" s="2">
        <f t="shared" si="2"/>
        <v>0</v>
      </c>
      <c r="D37" s="2">
        <f t="shared" si="2"/>
        <v>232.92035753340949</v>
      </c>
      <c r="E37" s="2">
        <f t="shared" si="2"/>
        <v>0</v>
      </c>
      <c r="G37" s="2" t="s">
        <v>35</v>
      </c>
      <c r="H37" s="2" t="s">
        <v>55</v>
      </c>
      <c r="I37" s="2" t="s">
        <v>80</v>
      </c>
      <c r="J37" s="2"/>
      <c r="K37" s="2"/>
      <c r="L37" s="2">
        <v>378.36747479514702</v>
      </c>
      <c r="M37" s="2"/>
      <c r="N37" s="2"/>
      <c r="P37" s="2" t="s">
        <v>97</v>
      </c>
      <c r="Q37" s="2">
        <f>Q33</f>
        <v>1.6244499999999999</v>
      </c>
      <c r="R37" s="2"/>
      <c r="S37" s="2">
        <f t="shared" si="4"/>
        <v>1.6244499999999999</v>
      </c>
      <c r="U37" s="1" t="s">
        <v>35</v>
      </c>
      <c r="V37" s="2">
        <f t="shared" si="3"/>
        <v>0</v>
      </c>
      <c r="W37" s="2">
        <f t="shared" si="3"/>
        <v>0</v>
      </c>
      <c r="X37" s="2">
        <f t="shared" si="3"/>
        <v>232.92035753340949</v>
      </c>
      <c r="Y37" s="2">
        <f t="shared" si="3"/>
        <v>0</v>
      </c>
    </row>
    <row r="38" spans="1:25">
      <c r="A38" s="1" t="s">
        <v>36</v>
      </c>
      <c r="B38" s="2">
        <f t="shared" si="2"/>
        <v>0</v>
      </c>
      <c r="C38" s="2">
        <f t="shared" si="2"/>
        <v>0</v>
      </c>
      <c r="D38" s="2">
        <f t="shared" si="2"/>
        <v>0</v>
      </c>
      <c r="E38" s="2">
        <f t="shared" si="2"/>
        <v>0</v>
      </c>
      <c r="G38" s="2" t="s">
        <v>36</v>
      </c>
      <c r="H38" s="2" t="s">
        <v>55</v>
      </c>
      <c r="I38" s="2" t="s">
        <v>81</v>
      </c>
      <c r="J38" s="2"/>
      <c r="K38" s="2"/>
      <c r="L38" s="2"/>
      <c r="M38" s="2"/>
      <c r="N38" s="2"/>
      <c r="P38" s="2" t="s">
        <v>97</v>
      </c>
      <c r="Q38" s="2">
        <f>Q33</f>
        <v>1.6244499999999999</v>
      </c>
      <c r="R38" s="2"/>
      <c r="S38" s="2">
        <f t="shared" si="4"/>
        <v>1.6244499999999999</v>
      </c>
      <c r="U38" s="1" t="s">
        <v>36</v>
      </c>
      <c r="V38" s="2">
        <f t="shared" si="3"/>
        <v>0</v>
      </c>
      <c r="W38" s="2">
        <f t="shared" si="3"/>
        <v>0</v>
      </c>
      <c r="X38" s="2">
        <f t="shared" si="3"/>
        <v>0</v>
      </c>
      <c r="Y38" s="2">
        <f t="shared" si="3"/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8"/>
  <sheetViews>
    <sheetView zoomScale="70" zoomScaleNormal="70" workbookViewId="0">
      <selection activeCell="I43" sqref="I43"/>
    </sheetView>
  </sheetViews>
  <sheetFormatPr defaultRowHeight="14.4"/>
  <cols>
    <col min="1" max="1" width="13.33203125" bestFit="1" customWidth="1"/>
    <col min="7" max="7" width="33.44140625" bestFit="1" customWidth="1"/>
    <col min="8" max="8" width="15.21875" bestFit="1" customWidth="1"/>
    <col min="9" max="9" width="34" bestFit="1" customWidth="1"/>
    <col min="10" max="14" width="12" bestFit="1" customWidth="1"/>
    <col min="16" max="16" width="73.109375" bestFit="1" customWidth="1"/>
  </cols>
  <sheetData>
    <row r="1" spans="1:25">
      <c r="A1" s="2"/>
      <c r="B1" s="3" t="s">
        <v>37</v>
      </c>
      <c r="C1" s="3" t="s">
        <v>38</v>
      </c>
      <c r="D1" s="3" t="s">
        <v>39</v>
      </c>
      <c r="E1" s="3" t="s">
        <v>40</v>
      </c>
      <c r="G1" s="7" t="s">
        <v>84</v>
      </c>
      <c r="H1" s="7" t="s">
        <v>85</v>
      </c>
      <c r="I1" s="7" t="s">
        <v>86</v>
      </c>
      <c r="J1" s="7" t="s">
        <v>37</v>
      </c>
      <c r="K1" s="7" t="s">
        <v>38</v>
      </c>
      <c r="L1" s="7" t="s">
        <v>39</v>
      </c>
      <c r="M1" s="7" t="s">
        <v>83</v>
      </c>
      <c r="N1" s="7" t="s">
        <v>82</v>
      </c>
      <c r="P1" s="8" t="s">
        <v>98</v>
      </c>
      <c r="Q1" s="10" t="s">
        <v>100</v>
      </c>
      <c r="R1" s="10" t="s">
        <v>101</v>
      </c>
      <c r="S1" s="10" t="s">
        <v>102</v>
      </c>
      <c r="U1" s="2"/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1" t="s">
        <v>0</v>
      </c>
      <c r="B2" s="6"/>
      <c r="C2" s="6"/>
      <c r="D2" s="6"/>
      <c r="E2" s="6"/>
      <c r="G2" s="2" t="s">
        <v>0</v>
      </c>
      <c r="H2" s="2" t="s">
        <v>41</v>
      </c>
      <c r="I2" s="2" t="s">
        <v>42</v>
      </c>
      <c r="J2" s="2">
        <v>1794043.8098672887</v>
      </c>
      <c r="K2" s="2">
        <v>1946.8759756829672</v>
      </c>
      <c r="L2" s="2">
        <v>8299.6177884935805</v>
      </c>
      <c r="M2" s="2"/>
      <c r="N2" s="2">
        <v>70181.826917202387</v>
      </c>
      <c r="P2" s="2"/>
      <c r="Q2" s="2"/>
      <c r="R2" s="2"/>
      <c r="S2" s="2"/>
      <c r="U2" s="1" t="s">
        <v>0</v>
      </c>
      <c r="V2" s="6"/>
      <c r="W2" s="6"/>
      <c r="X2" s="6"/>
      <c r="Y2" s="6"/>
    </row>
    <row r="3" spans="1:25">
      <c r="A3" s="1" t="s">
        <v>1</v>
      </c>
      <c r="B3" s="6"/>
      <c r="C3" s="6"/>
      <c r="D3" s="6"/>
      <c r="E3" s="6"/>
      <c r="G3" s="2" t="s">
        <v>1</v>
      </c>
      <c r="H3" s="2" t="s">
        <v>41</v>
      </c>
      <c r="I3" s="2" t="s">
        <v>43</v>
      </c>
      <c r="J3" s="2">
        <v>378496.62272509839</v>
      </c>
      <c r="K3" s="2">
        <v>453.73648412275514</v>
      </c>
      <c r="L3" s="2">
        <v>279.0904820325029</v>
      </c>
      <c r="M3" s="2"/>
      <c r="N3" s="2">
        <v>343.42176958008002</v>
      </c>
      <c r="P3" s="2"/>
      <c r="Q3" s="2"/>
      <c r="R3" s="2"/>
      <c r="S3" s="2"/>
      <c r="U3" s="1" t="s">
        <v>1</v>
      </c>
      <c r="V3" s="6"/>
      <c r="W3" s="6"/>
      <c r="X3" s="6"/>
      <c r="Y3" s="6"/>
    </row>
    <row r="4" spans="1:25">
      <c r="A4" s="1" t="s">
        <v>2</v>
      </c>
      <c r="B4" s="6"/>
      <c r="C4" s="6"/>
      <c r="D4" s="6"/>
      <c r="E4" s="6"/>
      <c r="G4" s="2" t="s">
        <v>2</v>
      </c>
      <c r="H4" s="2" t="s">
        <v>44</v>
      </c>
      <c r="I4" s="2" t="s">
        <v>45</v>
      </c>
      <c r="J4" s="2">
        <v>510406.47443226492</v>
      </c>
      <c r="K4" s="2">
        <v>1892.4161915231964</v>
      </c>
      <c r="L4" s="2">
        <v>2466.5421492597243</v>
      </c>
      <c r="M4" s="2"/>
      <c r="N4" s="2">
        <v>273043.31553286454</v>
      </c>
      <c r="P4" s="2"/>
      <c r="Q4" s="2"/>
      <c r="R4" s="2"/>
      <c r="S4" s="2"/>
      <c r="U4" s="1" t="s">
        <v>2</v>
      </c>
      <c r="V4" s="6"/>
      <c r="W4" s="6"/>
      <c r="X4" s="6"/>
      <c r="Y4" s="6"/>
    </row>
    <row r="5" spans="1:25">
      <c r="A5" s="1" t="s">
        <v>3</v>
      </c>
      <c r="B5" s="6"/>
      <c r="C5" s="6"/>
      <c r="D5" s="6"/>
      <c r="E5" s="6"/>
      <c r="G5" s="2" t="s">
        <v>3</v>
      </c>
      <c r="H5" s="2" t="s">
        <v>46</v>
      </c>
      <c r="I5" s="2" t="s">
        <v>47</v>
      </c>
      <c r="J5" s="2">
        <v>201220.63000432117</v>
      </c>
      <c r="K5" s="2">
        <v>39.407021578435028</v>
      </c>
      <c r="L5" s="2">
        <v>1491.8372454692703</v>
      </c>
      <c r="M5" s="2"/>
      <c r="N5" s="2"/>
      <c r="P5" s="2"/>
      <c r="Q5" s="2"/>
      <c r="R5" s="2"/>
      <c r="S5" s="2"/>
      <c r="U5" s="1" t="s">
        <v>3</v>
      </c>
      <c r="V5" s="6"/>
      <c r="W5" s="6"/>
      <c r="X5" s="6"/>
      <c r="Y5" s="6"/>
    </row>
    <row r="6" spans="1:25">
      <c r="A6" s="1" t="s">
        <v>4</v>
      </c>
      <c r="B6" s="6"/>
      <c r="C6" s="6"/>
      <c r="D6" s="6"/>
      <c r="E6" s="6"/>
      <c r="G6" s="2" t="s">
        <v>4</v>
      </c>
      <c r="H6" s="2" t="s">
        <v>46</v>
      </c>
      <c r="I6" s="2" t="s">
        <v>48</v>
      </c>
      <c r="J6" s="2">
        <v>1601739.4269589134</v>
      </c>
      <c r="K6" s="2">
        <v>4119.7781331854612</v>
      </c>
      <c r="L6" s="2">
        <v>18116.371575638124</v>
      </c>
      <c r="M6" s="2"/>
      <c r="N6" s="2">
        <v>116073.56723612915</v>
      </c>
      <c r="P6" s="2"/>
      <c r="Q6" s="2"/>
      <c r="R6" s="2"/>
      <c r="S6" s="2"/>
      <c r="U6" s="1" t="s">
        <v>4</v>
      </c>
      <c r="V6" s="6"/>
      <c r="W6" s="6"/>
      <c r="X6" s="6"/>
      <c r="Y6" s="6"/>
    </row>
    <row r="7" spans="1:25">
      <c r="A7" s="1" t="s">
        <v>5</v>
      </c>
      <c r="B7" s="6"/>
      <c r="C7" s="6"/>
      <c r="D7" s="6"/>
      <c r="E7" s="6"/>
      <c r="G7" s="2" t="s">
        <v>5</v>
      </c>
      <c r="H7" s="2" t="s">
        <v>46</v>
      </c>
      <c r="I7" s="2" t="s">
        <v>49</v>
      </c>
      <c r="J7" s="2">
        <v>48670.394997656302</v>
      </c>
      <c r="K7" s="2">
        <v>77.76809420624987</v>
      </c>
      <c r="L7" s="2">
        <v>4980.7783906816412</v>
      </c>
      <c r="M7" s="2"/>
      <c r="N7" s="2">
        <v>1218.3992742186999</v>
      </c>
      <c r="P7" s="2"/>
      <c r="Q7" s="2"/>
      <c r="R7" s="2"/>
      <c r="S7" s="2"/>
      <c r="U7" s="1" t="s">
        <v>5</v>
      </c>
      <c r="V7" s="6"/>
      <c r="W7" s="6"/>
      <c r="X7" s="6"/>
      <c r="Y7" s="6"/>
    </row>
    <row r="8" spans="1:25">
      <c r="A8" s="1" t="s">
        <v>6</v>
      </c>
      <c r="B8" s="6"/>
      <c r="C8" s="6"/>
      <c r="D8" s="6"/>
      <c r="E8" s="6"/>
      <c r="G8" s="2" t="s">
        <v>6</v>
      </c>
      <c r="H8" s="2" t="s">
        <v>46</v>
      </c>
      <c r="I8" s="2" t="s">
        <v>50</v>
      </c>
      <c r="J8" s="2">
        <v>29811.69001298062</v>
      </c>
      <c r="K8" s="2">
        <v>81.436990745143632</v>
      </c>
      <c r="L8" s="2">
        <v>219.90473196341901</v>
      </c>
      <c r="M8" s="2"/>
      <c r="N8" s="2">
        <v>319.53101308593</v>
      </c>
      <c r="P8" s="2"/>
      <c r="Q8" s="2"/>
      <c r="R8" s="2"/>
      <c r="S8" s="2"/>
      <c r="U8" s="1" t="s">
        <v>6</v>
      </c>
      <c r="V8" s="6"/>
      <c r="W8" s="6"/>
      <c r="X8" s="6"/>
      <c r="Y8" s="6"/>
    </row>
    <row r="9" spans="1:25">
      <c r="A9" s="1" t="s">
        <v>7</v>
      </c>
      <c r="B9" s="6"/>
      <c r="C9" s="6"/>
      <c r="D9" s="6"/>
      <c r="E9" s="6"/>
      <c r="G9" s="2" t="s">
        <v>7</v>
      </c>
      <c r="H9" s="2" t="s">
        <v>46</v>
      </c>
      <c r="I9" s="2" t="s">
        <v>51</v>
      </c>
      <c r="J9" s="2">
        <v>61103.750321460611</v>
      </c>
      <c r="K9" s="2">
        <v>30.795183539916106</v>
      </c>
      <c r="L9" s="2">
        <v>29.686559779514283</v>
      </c>
      <c r="M9" s="2"/>
      <c r="N9" s="2"/>
      <c r="P9" s="2"/>
      <c r="Q9" s="2"/>
      <c r="R9" s="2"/>
      <c r="S9" s="2"/>
      <c r="U9" s="1" t="s">
        <v>7</v>
      </c>
      <c r="V9" s="6"/>
      <c r="W9" s="6"/>
      <c r="X9" s="6"/>
      <c r="Y9" s="6"/>
    </row>
    <row r="10" spans="1:25">
      <c r="A10" s="1" t="s">
        <v>8</v>
      </c>
      <c r="B10" s="6"/>
      <c r="C10" s="6"/>
      <c r="D10" s="6"/>
      <c r="E10" s="6"/>
      <c r="G10" s="2" t="s">
        <v>8</v>
      </c>
      <c r="H10" s="2" t="s">
        <v>52</v>
      </c>
      <c r="I10" s="2" t="s">
        <v>53</v>
      </c>
      <c r="J10" s="2">
        <v>685006.80706405453</v>
      </c>
      <c r="K10" s="2">
        <v>10348.671786057161</v>
      </c>
      <c r="L10" s="2">
        <v>6749.0608660843736</v>
      </c>
      <c r="M10" s="2"/>
      <c r="N10" s="2">
        <v>109111.06853735761</v>
      </c>
      <c r="P10" s="2"/>
      <c r="Q10" s="2"/>
      <c r="R10" s="2"/>
      <c r="S10" s="2"/>
      <c r="U10" s="1" t="s">
        <v>8</v>
      </c>
      <c r="V10" s="6"/>
      <c r="W10" s="6"/>
      <c r="X10" s="6"/>
      <c r="Y10" s="6"/>
    </row>
    <row r="11" spans="1:25">
      <c r="A11" s="1" t="s">
        <v>9</v>
      </c>
      <c r="B11" s="6"/>
      <c r="C11" s="6"/>
      <c r="D11" s="6"/>
      <c r="E11" s="6"/>
      <c r="G11" s="2" t="s">
        <v>9</v>
      </c>
      <c r="H11" s="2" t="s">
        <v>54</v>
      </c>
      <c r="I11" s="2" t="s">
        <v>55</v>
      </c>
      <c r="J11" s="2">
        <v>2793.8688965443057</v>
      </c>
      <c r="K11" s="2">
        <v>5.0069787171965414</v>
      </c>
      <c r="L11" s="2">
        <v>278.75096483352206</v>
      </c>
      <c r="M11" s="2"/>
      <c r="N11" s="2">
        <v>9.1745375870926002E-2</v>
      </c>
      <c r="P11" s="2"/>
      <c r="Q11" s="2"/>
      <c r="R11" s="2"/>
      <c r="S11" s="2"/>
      <c r="U11" s="1" t="s">
        <v>9</v>
      </c>
      <c r="V11" s="6"/>
      <c r="W11" s="6"/>
      <c r="X11" s="6"/>
      <c r="Y11" s="6"/>
    </row>
    <row r="12" spans="1:25">
      <c r="A12" s="1" t="s">
        <v>10</v>
      </c>
      <c r="B12" s="2">
        <f>V12</f>
        <v>3110.7418735140527</v>
      </c>
      <c r="C12" s="2">
        <f t="shared" ref="C12:E27" si="0">W12</f>
        <v>7999.409418594174</v>
      </c>
      <c r="D12" s="2">
        <f t="shared" si="0"/>
        <v>0</v>
      </c>
      <c r="E12" s="2">
        <f t="shared" si="0"/>
        <v>0</v>
      </c>
      <c r="G12" s="2" t="s">
        <v>10</v>
      </c>
      <c r="H12" s="2" t="s">
        <v>56</v>
      </c>
      <c r="I12" s="2" t="s">
        <v>57</v>
      </c>
      <c r="J12" s="2">
        <v>19294.967511426879</v>
      </c>
      <c r="K12" s="2">
        <v>49617.856806619893</v>
      </c>
      <c r="L12" s="2"/>
      <c r="M12" s="2"/>
      <c r="N12" s="2"/>
      <c r="P12" s="2" t="s">
        <v>88</v>
      </c>
      <c r="Q12" s="2">
        <v>6.2026899999999996</v>
      </c>
      <c r="R12" s="2"/>
      <c r="S12" s="2">
        <f>SUM(Q12:R12)</f>
        <v>6.2026899999999996</v>
      </c>
      <c r="U12" s="1" t="s">
        <v>10</v>
      </c>
      <c r="V12" s="2">
        <f>J12/$S12</f>
        <v>3110.7418735140527</v>
      </c>
      <c r="W12" s="2">
        <f t="shared" ref="W12:Y27" si="1">K12/$S12</f>
        <v>7999.409418594174</v>
      </c>
      <c r="X12" s="2">
        <f t="shared" si="1"/>
        <v>0</v>
      </c>
      <c r="Y12" s="2">
        <f t="shared" si="1"/>
        <v>0</v>
      </c>
    </row>
    <row r="13" spans="1:25">
      <c r="A13" s="1" t="s">
        <v>11</v>
      </c>
      <c r="B13" s="2">
        <f t="shared" ref="B13:E38" si="2">V13</f>
        <v>672.59834708919789</v>
      </c>
      <c r="C13" s="2">
        <f t="shared" si="0"/>
        <v>5990.3709583096224</v>
      </c>
      <c r="D13" s="2">
        <f t="shared" si="0"/>
        <v>2.7338631344735465</v>
      </c>
      <c r="E13" s="2">
        <f t="shared" si="0"/>
        <v>0</v>
      </c>
      <c r="G13" s="2" t="s">
        <v>11</v>
      </c>
      <c r="H13" s="2" t="s">
        <v>56</v>
      </c>
      <c r="I13" s="2" t="s">
        <v>58</v>
      </c>
      <c r="J13" s="2">
        <v>36954.369204617673</v>
      </c>
      <c r="K13" s="2">
        <v>329127.15445111808</v>
      </c>
      <c r="L13" s="2">
        <v>150.20582203843972</v>
      </c>
      <c r="M13" s="2"/>
      <c r="N13" s="2">
        <v>126040.5849</v>
      </c>
      <c r="P13" s="2" t="s">
        <v>99</v>
      </c>
      <c r="Q13">
        <v>40.297800000000002</v>
      </c>
      <c r="R13">
        <v>14.6449</v>
      </c>
      <c r="S13" s="2">
        <f>SUM(Q13:R13)</f>
        <v>54.942700000000002</v>
      </c>
      <c r="U13" s="1" t="s">
        <v>11</v>
      </c>
      <c r="V13" s="2">
        <f t="shared" ref="V13:Y38" si="3">J13/$S13</f>
        <v>672.59834708919789</v>
      </c>
      <c r="W13" s="2">
        <f t="shared" si="1"/>
        <v>5990.3709583096224</v>
      </c>
      <c r="X13" s="2">
        <f t="shared" si="1"/>
        <v>2.7338631344735465</v>
      </c>
      <c r="Y13" s="2">
        <f t="shared" si="1"/>
        <v>0</v>
      </c>
    </row>
    <row r="14" spans="1:25">
      <c r="A14" s="1" t="s">
        <v>12</v>
      </c>
      <c r="B14" s="2">
        <f t="shared" si="2"/>
        <v>3170.5812751427402</v>
      </c>
      <c r="C14" s="2">
        <f t="shared" si="0"/>
        <v>0</v>
      </c>
      <c r="D14" s="2">
        <f t="shared" si="0"/>
        <v>0</v>
      </c>
      <c r="E14" s="2">
        <f t="shared" si="0"/>
        <v>0</v>
      </c>
      <c r="G14" s="2" t="s">
        <v>12</v>
      </c>
      <c r="H14" s="2" t="s">
        <v>44</v>
      </c>
      <c r="I14" s="2" t="s">
        <v>59</v>
      </c>
      <c r="J14" s="2">
        <v>48020.989877056913</v>
      </c>
      <c r="K14" s="2"/>
      <c r="L14" s="2"/>
      <c r="M14" s="2"/>
      <c r="N14" s="2"/>
      <c r="P14" s="2" t="s">
        <v>89</v>
      </c>
      <c r="Q14" s="2">
        <v>15.145799999999999</v>
      </c>
      <c r="R14" s="2"/>
      <c r="S14" s="2">
        <f t="shared" ref="S14:S38" si="4">SUM(Q14:R14)</f>
        <v>15.145799999999999</v>
      </c>
      <c r="U14" s="1" t="s">
        <v>12</v>
      </c>
      <c r="V14" s="2">
        <f t="shared" si="3"/>
        <v>3170.5812751427402</v>
      </c>
      <c r="W14" s="2">
        <f t="shared" si="1"/>
        <v>0</v>
      </c>
      <c r="X14" s="2">
        <f t="shared" si="1"/>
        <v>0</v>
      </c>
      <c r="Y14" s="2">
        <f t="shared" si="1"/>
        <v>0</v>
      </c>
    </row>
    <row r="15" spans="1:25">
      <c r="A15" s="1" t="s">
        <v>13</v>
      </c>
      <c r="B15" s="2">
        <f t="shared" si="2"/>
        <v>925.85073089569391</v>
      </c>
      <c r="C15" s="2">
        <f t="shared" si="0"/>
        <v>0</v>
      </c>
      <c r="D15" s="2">
        <f t="shared" si="0"/>
        <v>0</v>
      </c>
      <c r="E15" s="2">
        <f t="shared" si="0"/>
        <v>0</v>
      </c>
      <c r="G15" s="2" t="s">
        <v>13</v>
      </c>
      <c r="H15" s="2" t="s">
        <v>44</v>
      </c>
      <c r="I15" s="2" t="s">
        <v>59</v>
      </c>
      <c r="J15" s="2">
        <v>14022.75</v>
      </c>
      <c r="K15" s="2"/>
      <c r="L15" s="2"/>
      <c r="M15" s="2"/>
      <c r="N15" s="2"/>
      <c r="P15" s="2" t="s">
        <v>89</v>
      </c>
      <c r="Q15" s="2">
        <f>Q14</f>
        <v>15.145799999999999</v>
      </c>
      <c r="R15" s="2"/>
      <c r="S15" s="2">
        <f t="shared" si="4"/>
        <v>15.145799999999999</v>
      </c>
      <c r="U15" s="1" t="s">
        <v>13</v>
      </c>
      <c r="V15" s="2">
        <f t="shared" si="3"/>
        <v>925.85073089569391</v>
      </c>
      <c r="W15" s="2">
        <f t="shared" si="1"/>
        <v>0</v>
      </c>
      <c r="X15" s="2">
        <f t="shared" si="1"/>
        <v>0</v>
      </c>
      <c r="Y15" s="2">
        <f t="shared" si="1"/>
        <v>0</v>
      </c>
    </row>
    <row r="16" spans="1:25">
      <c r="A16" s="1" t="s">
        <v>14</v>
      </c>
      <c r="B16" s="2">
        <f t="shared" si="2"/>
        <v>124.76969038021407</v>
      </c>
      <c r="C16" s="2">
        <f t="shared" si="0"/>
        <v>0</v>
      </c>
      <c r="D16" s="2">
        <f t="shared" si="0"/>
        <v>0</v>
      </c>
      <c r="E16" s="2">
        <f t="shared" si="0"/>
        <v>0</v>
      </c>
      <c r="G16" s="2" t="s">
        <v>14</v>
      </c>
      <c r="H16" s="2" t="s">
        <v>44</v>
      </c>
      <c r="I16" s="2" t="s">
        <v>59</v>
      </c>
      <c r="J16" s="2">
        <v>1889.7367765606461</v>
      </c>
      <c r="K16" s="2"/>
      <c r="L16" s="2"/>
      <c r="M16" s="2"/>
      <c r="N16" s="2"/>
      <c r="P16" s="2" t="s">
        <v>89</v>
      </c>
      <c r="Q16" s="2">
        <f>Q15</f>
        <v>15.145799999999999</v>
      </c>
      <c r="R16" s="2"/>
      <c r="S16" s="2">
        <f t="shared" si="4"/>
        <v>15.145799999999999</v>
      </c>
      <c r="U16" s="1" t="s">
        <v>14</v>
      </c>
      <c r="V16" s="2">
        <f t="shared" si="3"/>
        <v>124.76969038021407</v>
      </c>
      <c r="W16" s="2">
        <f t="shared" si="1"/>
        <v>0</v>
      </c>
      <c r="X16" s="2">
        <f t="shared" si="1"/>
        <v>0</v>
      </c>
      <c r="Y16" s="2">
        <f t="shared" si="1"/>
        <v>0</v>
      </c>
    </row>
    <row r="17" spans="1:25">
      <c r="A17" s="1" t="s">
        <v>15</v>
      </c>
      <c r="B17" s="2">
        <f t="shared" si="2"/>
        <v>98.536419832236632</v>
      </c>
      <c r="C17" s="2">
        <f t="shared" si="0"/>
        <v>0</v>
      </c>
      <c r="D17" s="2">
        <f t="shared" si="0"/>
        <v>0</v>
      </c>
      <c r="E17" s="2">
        <f t="shared" si="0"/>
        <v>0</v>
      </c>
      <c r="G17" s="2" t="s">
        <v>15</v>
      </c>
      <c r="H17" s="2" t="s">
        <v>44</v>
      </c>
      <c r="I17" s="2" t="s">
        <v>60</v>
      </c>
      <c r="J17" s="2">
        <v>12548.810138475001</v>
      </c>
      <c r="K17" s="2"/>
      <c r="L17" s="2"/>
      <c r="M17" s="2"/>
      <c r="N17" s="2"/>
      <c r="P17" s="2" t="s">
        <v>90</v>
      </c>
      <c r="Q17" s="2">
        <v>127.352</v>
      </c>
      <c r="R17" s="2"/>
      <c r="S17" s="2">
        <f t="shared" si="4"/>
        <v>127.352</v>
      </c>
      <c r="U17" s="1" t="s">
        <v>15</v>
      </c>
      <c r="V17" s="2">
        <f t="shared" si="3"/>
        <v>98.536419832236632</v>
      </c>
      <c r="W17" s="2">
        <f t="shared" si="1"/>
        <v>0</v>
      </c>
      <c r="X17" s="2">
        <f t="shared" si="1"/>
        <v>0</v>
      </c>
      <c r="Y17" s="2">
        <f t="shared" si="1"/>
        <v>0</v>
      </c>
    </row>
    <row r="18" spans="1:25">
      <c r="A18" s="1" t="s">
        <v>16</v>
      </c>
      <c r="B18" s="2">
        <f t="shared" si="2"/>
        <v>661.35617400584977</v>
      </c>
      <c r="C18" s="2">
        <f t="shared" si="0"/>
        <v>8.6820214505859017</v>
      </c>
      <c r="D18" s="2">
        <f t="shared" si="0"/>
        <v>136.67578704811237</v>
      </c>
      <c r="E18" s="2">
        <f t="shared" si="0"/>
        <v>28.232135399711506</v>
      </c>
      <c r="G18" s="2" t="s">
        <v>16</v>
      </c>
      <c r="H18" s="2" t="s">
        <v>44</v>
      </c>
      <c r="I18" s="2" t="s">
        <v>61</v>
      </c>
      <c r="J18" s="2">
        <v>84225.031471992988</v>
      </c>
      <c r="K18" s="2">
        <v>1105.6727957750159</v>
      </c>
      <c r="L18" s="2">
        <v>17405.934832151208</v>
      </c>
      <c r="M18" s="2">
        <v>3595.4189074240599</v>
      </c>
      <c r="N18" s="2"/>
      <c r="P18" s="2" t="s">
        <v>90</v>
      </c>
      <c r="Q18" s="2">
        <f>Q17</f>
        <v>127.352</v>
      </c>
      <c r="R18" s="2"/>
      <c r="S18" s="2">
        <f t="shared" si="4"/>
        <v>127.352</v>
      </c>
      <c r="U18" s="1" t="s">
        <v>16</v>
      </c>
      <c r="V18" s="2">
        <f t="shared" si="3"/>
        <v>661.35617400584977</v>
      </c>
      <c r="W18" s="2">
        <f t="shared" si="1"/>
        <v>8.6820214505859017</v>
      </c>
      <c r="X18" s="2">
        <f t="shared" si="1"/>
        <v>136.67578704811237</v>
      </c>
      <c r="Y18" s="2">
        <f t="shared" si="1"/>
        <v>28.232135399711506</v>
      </c>
    </row>
    <row r="19" spans="1:25">
      <c r="A19" s="1" t="s">
        <v>17</v>
      </c>
      <c r="B19" s="2">
        <f t="shared" si="2"/>
        <v>814.07941866463443</v>
      </c>
      <c r="C19" s="2">
        <f t="shared" si="0"/>
        <v>1.6685791830544421</v>
      </c>
      <c r="D19" s="2">
        <f t="shared" si="0"/>
        <v>0</v>
      </c>
      <c r="E19" s="2">
        <f t="shared" si="0"/>
        <v>258.56889231425424</v>
      </c>
      <c r="G19" s="2" t="s">
        <v>17</v>
      </c>
      <c r="H19" s="2" t="s">
        <v>44</v>
      </c>
      <c r="I19" s="2" t="s">
        <v>62</v>
      </c>
      <c r="J19" s="2">
        <v>16370.404437869001</v>
      </c>
      <c r="K19" s="2">
        <v>33.553625649960082</v>
      </c>
      <c r="L19" s="2"/>
      <c r="M19" s="2">
        <v>5199.5877124365707</v>
      </c>
      <c r="N19" s="2"/>
      <c r="P19" s="2" t="s">
        <v>92</v>
      </c>
      <c r="Q19" s="2">
        <v>20.109100000000002</v>
      </c>
      <c r="R19" s="2"/>
      <c r="S19" s="2">
        <f t="shared" si="4"/>
        <v>20.109100000000002</v>
      </c>
      <c r="U19" s="1" t="s">
        <v>17</v>
      </c>
      <c r="V19" s="2">
        <f t="shared" si="3"/>
        <v>814.07941866463443</v>
      </c>
      <c r="W19" s="2">
        <f t="shared" si="1"/>
        <v>1.6685791830544421</v>
      </c>
      <c r="X19" s="2">
        <f t="shared" si="1"/>
        <v>0</v>
      </c>
      <c r="Y19" s="2">
        <f t="shared" si="1"/>
        <v>258.56889231425424</v>
      </c>
    </row>
    <row r="20" spans="1:25">
      <c r="A20" s="1" t="s">
        <v>18</v>
      </c>
      <c r="B20" s="2">
        <f t="shared" si="2"/>
        <v>86.35359163229208</v>
      </c>
      <c r="C20" s="2">
        <f t="shared" si="0"/>
        <v>0</v>
      </c>
      <c r="D20" s="2">
        <f t="shared" si="0"/>
        <v>0</v>
      </c>
      <c r="E20" s="2">
        <f t="shared" si="0"/>
        <v>0</v>
      </c>
      <c r="G20" s="2" t="s">
        <v>18</v>
      </c>
      <c r="H20" s="2" t="s">
        <v>56</v>
      </c>
      <c r="I20" s="2" t="s">
        <v>63</v>
      </c>
      <c r="J20" s="2">
        <v>10997.302601555661</v>
      </c>
      <c r="K20" s="2"/>
      <c r="L20" s="2"/>
      <c r="M20" s="2"/>
      <c r="N20" s="2"/>
      <c r="P20" s="2" t="s">
        <v>90</v>
      </c>
      <c r="Q20" s="2">
        <f>Q18</f>
        <v>127.352</v>
      </c>
      <c r="R20" s="2"/>
      <c r="S20" s="2">
        <f t="shared" si="4"/>
        <v>127.352</v>
      </c>
      <c r="U20" s="1" t="s">
        <v>18</v>
      </c>
      <c r="V20" s="2">
        <f t="shared" si="3"/>
        <v>86.35359163229208</v>
      </c>
      <c r="W20" s="2">
        <f t="shared" si="1"/>
        <v>0</v>
      </c>
      <c r="X20" s="2">
        <f t="shared" si="1"/>
        <v>0</v>
      </c>
      <c r="Y20" s="2">
        <f t="shared" si="1"/>
        <v>0</v>
      </c>
    </row>
    <row r="21" spans="1:25">
      <c r="A21" s="1" t="s">
        <v>19</v>
      </c>
      <c r="B21" s="2">
        <f t="shared" si="2"/>
        <v>0</v>
      </c>
      <c r="C21" s="2">
        <f t="shared" si="0"/>
        <v>0</v>
      </c>
      <c r="D21" s="2">
        <f t="shared" si="0"/>
        <v>0</v>
      </c>
      <c r="E21" s="2">
        <f t="shared" si="0"/>
        <v>23.680107083490118</v>
      </c>
      <c r="G21" s="2" t="s">
        <v>19</v>
      </c>
      <c r="H21" s="2" t="s">
        <v>44</v>
      </c>
      <c r="I21" s="2" t="s">
        <v>64</v>
      </c>
      <c r="J21" s="2"/>
      <c r="K21" s="2"/>
      <c r="L21" s="2"/>
      <c r="M21" s="2">
        <v>4073.9256226436396</v>
      </c>
      <c r="N21" s="2"/>
      <c r="P21" s="2" t="s">
        <v>94</v>
      </c>
      <c r="Q21" s="2">
        <v>172.04</v>
      </c>
      <c r="R21" s="2"/>
      <c r="S21" s="2">
        <f t="shared" si="4"/>
        <v>172.04</v>
      </c>
      <c r="U21" s="1" t="s">
        <v>19</v>
      </c>
      <c r="V21" s="2">
        <f t="shared" si="3"/>
        <v>0</v>
      </c>
      <c r="W21" s="2">
        <f t="shared" si="1"/>
        <v>0</v>
      </c>
      <c r="X21" s="2">
        <f t="shared" si="1"/>
        <v>0</v>
      </c>
      <c r="Y21" s="2">
        <f t="shared" si="1"/>
        <v>23.680107083490118</v>
      </c>
    </row>
    <row r="22" spans="1:25">
      <c r="A22" s="1" t="s">
        <v>20</v>
      </c>
      <c r="B22" s="2">
        <f t="shared" si="2"/>
        <v>0</v>
      </c>
      <c r="C22" s="2">
        <f t="shared" si="0"/>
        <v>0</v>
      </c>
      <c r="D22" s="2">
        <f t="shared" si="0"/>
        <v>0</v>
      </c>
      <c r="E22" s="2">
        <f t="shared" si="0"/>
        <v>906.76027304745992</v>
      </c>
      <c r="G22" s="2" t="s">
        <v>20</v>
      </c>
      <c r="H22" s="2" t="s">
        <v>44</v>
      </c>
      <c r="I22" s="2" t="s">
        <v>65</v>
      </c>
      <c r="J22" s="2"/>
      <c r="K22" s="2"/>
      <c r="L22" s="2"/>
      <c r="M22" s="2">
        <v>155999.037375085</v>
      </c>
      <c r="N22" s="2"/>
      <c r="P22" s="2" t="s">
        <v>94</v>
      </c>
      <c r="Q22" s="2">
        <f>Q21</f>
        <v>172.04</v>
      </c>
      <c r="R22" s="2"/>
      <c r="S22" s="2">
        <f t="shared" si="4"/>
        <v>172.04</v>
      </c>
      <c r="U22" s="1" t="s">
        <v>20</v>
      </c>
      <c r="V22" s="2">
        <f t="shared" si="3"/>
        <v>0</v>
      </c>
      <c r="W22" s="2">
        <f t="shared" si="1"/>
        <v>0</v>
      </c>
      <c r="X22" s="2">
        <f t="shared" si="1"/>
        <v>0</v>
      </c>
      <c r="Y22" s="2">
        <f t="shared" si="1"/>
        <v>906.76027304745992</v>
      </c>
    </row>
    <row r="23" spans="1:25">
      <c r="A23" s="1" t="s">
        <v>21</v>
      </c>
      <c r="B23" s="2">
        <f t="shared" si="2"/>
        <v>0</v>
      </c>
      <c r="C23" s="2">
        <f t="shared" si="0"/>
        <v>0</v>
      </c>
      <c r="D23" s="2">
        <f t="shared" si="0"/>
        <v>24.414520840501311</v>
      </c>
      <c r="E23" s="2">
        <f t="shared" si="0"/>
        <v>210.79639007122762</v>
      </c>
      <c r="G23" s="2" t="s">
        <v>21</v>
      </c>
      <c r="H23" s="2" t="s">
        <v>44</v>
      </c>
      <c r="I23" s="2" t="s">
        <v>60</v>
      </c>
      <c r="J23" s="2"/>
      <c r="K23" s="2"/>
      <c r="L23" s="2">
        <v>4200.2741653998455</v>
      </c>
      <c r="M23" s="2">
        <v>36265.410947853998</v>
      </c>
      <c r="N23" s="2"/>
      <c r="P23" s="2" t="s">
        <v>94</v>
      </c>
      <c r="Q23" s="2">
        <f>Q22</f>
        <v>172.04</v>
      </c>
      <c r="R23" s="2"/>
      <c r="S23" s="2">
        <f t="shared" si="4"/>
        <v>172.04</v>
      </c>
      <c r="U23" s="1" t="s">
        <v>21</v>
      </c>
      <c r="V23" s="2">
        <f t="shared" si="3"/>
        <v>0</v>
      </c>
      <c r="W23" s="2">
        <f t="shared" si="1"/>
        <v>0</v>
      </c>
      <c r="X23" s="2">
        <f t="shared" si="1"/>
        <v>24.414520840501311</v>
      </c>
      <c r="Y23" s="2">
        <f t="shared" si="1"/>
        <v>210.79639007122762</v>
      </c>
    </row>
    <row r="24" spans="1:25">
      <c r="A24" s="1" t="s">
        <v>22</v>
      </c>
      <c r="B24" s="2">
        <f t="shared" si="2"/>
        <v>0</v>
      </c>
      <c r="C24" s="2">
        <f t="shared" si="0"/>
        <v>3743.3745569901912</v>
      </c>
      <c r="D24" s="2">
        <f t="shared" si="0"/>
        <v>0</v>
      </c>
      <c r="E24" s="2">
        <f t="shared" si="0"/>
        <v>0</v>
      </c>
      <c r="G24" s="2" t="s">
        <v>22</v>
      </c>
      <c r="H24" s="2" t="s">
        <v>66</v>
      </c>
      <c r="I24" s="2" t="s">
        <v>67</v>
      </c>
      <c r="J24" s="2"/>
      <c r="K24" s="2">
        <v>217992.79696413389</v>
      </c>
      <c r="L24" s="2"/>
      <c r="M24" s="2"/>
      <c r="N24" s="2"/>
      <c r="P24" s="2" t="s">
        <v>96</v>
      </c>
      <c r="Q24" s="2">
        <v>58.234299999999998</v>
      </c>
      <c r="R24" s="2"/>
      <c r="S24" s="2">
        <f t="shared" si="4"/>
        <v>58.234299999999998</v>
      </c>
      <c r="U24" s="1" t="s">
        <v>22</v>
      </c>
      <c r="V24" s="2">
        <f t="shared" si="3"/>
        <v>0</v>
      </c>
      <c r="W24" s="2">
        <f t="shared" si="1"/>
        <v>3743.3745569901912</v>
      </c>
      <c r="X24" s="2">
        <f t="shared" si="1"/>
        <v>0</v>
      </c>
      <c r="Y24" s="2">
        <f t="shared" si="1"/>
        <v>0</v>
      </c>
    </row>
    <row r="25" spans="1:25">
      <c r="A25" s="1" t="s">
        <v>23</v>
      </c>
      <c r="B25" s="2">
        <f t="shared" si="2"/>
        <v>0</v>
      </c>
      <c r="C25" s="2">
        <f t="shared" si="0"/>
        <v>1275.287948027099</v>
      </c>
      <c r="D25" s="2">
        <f t="shared" si="0"/>
        <v>86.358485462295391</v>
      </c>
      <c r="E25" s="2">
        <f t="shared" si="0"/>
        <v>0</v>
      </c>
      <c r="G25" s="2" t="s">
        <v>23</v>
      </c>
      <c r="H25" s="2" t="s">
        <v>66</v>
      </c>
      <c r="I25" s="2" t="s">
        <v>68</v>
      </c>
      <c r="J25" s="2"/>
      <c r="K25" s="2">
        <v>74265.500951794485</v>
      </c>
      <c r="L25" s="2">
        <v>5029.0259499569484</v>
      </c>
      <c r="M25" s="2"/>
      <c r="N25" s="2"/>
      <c r="P25" s="2" t="s">
        <v>96</v>
      </c>
      <c r="Q25" s="2">
        <f>Q24</f>
        <v>58.234299999999998</v>
      </c>
      <c r="R25" s="2"/>
      <c r="S25" s="2">
        <f t="shared" si="4"/>
        <v>58.234299999999998</v>
      </c>
      <c r="U25" s="1" t="s">
        <v>23</v>
      </c>
      <c r="V25" s="2">
        <f t="shared" si="3"/>
        <v>0</v>
      </c>
      <c r="W25" s="2">
        <f t="shared" si="1"/>
        <v>1275.287948027099</v>
      </c>
      <c r="X25" s="2">
        <f t="shared" si="1"/>
        <v>86.358485462295391</v>
      </c>
      <c r="Y25" s="2">
        <f t="shared" si="1"/>
        <v>0</v>
      </c>
    </row>
    <row r="26" spans="1:25">
      <c r="A26" s="1" t="s">
        <v>24</v>
      </c>
      <c r="B26" s="2">
        <f t="shared" si="2"/>
        <v>0</v>
      </c>
      <c r="C26" s="2">
        <f t="shared" si="0"/>
        <v>4.9824321447797093</v>
      </c>
      <c r="D26" s="2">
        <f t="shared" si="0"/>
        <v>1.2225412207098136</v>
      </c>
      <c r="E26" s="2">
        <f t="shared" si="0"/>
        <v>0</v>
      </c>
      <c r="G26" s="2" t="s">
        <v>24</v>
      </c>
      <c r="H26" s="2" t="s">
        <v>66</v>
      </c>
      <c r="I26" s="2" t="s">
        <v>69</v>
      </c>
      <c r="J26" s="2"/>
      <c r="K26" s="2">
        <v>290.14844824874501</v>
      </c>
      <c r="L26" s="2">
        <v>71.193832209181494</v>
      </c>
      <c r="M26" s="2"/>
      <c r="N26" s="2">
        <v>5814.482792286296</v>
      </c>
      <c r="P26" s="2" t="s">
        <v>96</v>
      </c>
      <c r="Q26" s="2">
        <f>Q25</f>
        <v>58.234299999999998</v>
      </c>
      <c r="R26" s="2"/>
      <c r="S26" s="2">
        <f t="shared" si="4"/>
        <v>58.234299999999998</v>
      </c>
      <c r="U26" s="1" t="s">
        <v>24</v>
      </c>
      <c r="V26" s="2">
        <f t="shared" si="3"/>
        <v>0</v>
      </c>
      <c r="W26" s="2">
        <f t="shared" si="1"/>
        <v>4.9824321447797093</v>
      </c>
      <c r="X26" s="2">
        <f t="shared" si="1"/>
        <v>1.2225412207098136</v>
      </c>
      <c r="Y26" s="2">
        <f t="shared" si="1"/>
        <v>0</v>
      </c>
    </row>
    <row r="27" spans="1:25">
      <c r="A27" s="1" t="s">
        <v>25</v>
      </c>
      <c r="B27" s="2">
        <f t="shared" si="2"/>
        <v>64.994178291925891</v>
      </c>
      <c r="C27" s="2">
        <f t="shared" si="0"/>
        <v>0</v>
      </c>
      <c r="D27" s="2">
        <f t="shared" si="0"/>
        <v>0</v>
      </c>
      <c r="E27" s="2">
        <f t="shared" si="0"/>
        <v>0</v>
      </c>
      <c r="G27" s="2" t="s">
        <v>25</v>
      </c>
      <c r="H27" s="2" t="s">
        <v>66</v>
      </c>
      <c r="I27" s="2" t="s">
        <v>70</v>
      </c>
      <c r="J27" s="2">
        <v>3784.8904769054998</v>
      </c>
      <c r="K27" s="2"/>
      <c r="L27" s="2"/>
      <c r="M27" s="2"/>
      <c r="N27" s="2"/>
      <c r="P27" s="2" t="s">
        <v>96</v>
      </c>
      <c r="Q27" s="2">
        <f>Q26</f>
        <v>58.234299999999998</v>
      </c>
      <c r="R27" s="2"/>
      <c r="S27" s="2">
        <f t="shared" si="4"/>
        <v>58.234299999999998</v>
      </c>
      <c r="U27" s="1" t="s">
        <v>25</v>
      </c>
      <c r="V27" s="2">
        <f t="shared" si="3"/>
        <v>64.994178291925891</v>
      </c>
      <c r="W27" s="2">
        <f t="shared" si="1"/>
        <v>0</v>
      </c>
      <c r="X27" s="2">
        <f t="shared" si="1"/>
        <v>0</v>
      </c>
      <c r="Y27" s="2">
        <f t="shared" si="1"/>
        <v>0</v>
      </c>
    </row>
    <row r="28" spans="1:25">
      <c r="A28" s="1" t="s">
        <v>26</v>
      </c>
      <c r="B28" s="2">
        <f t="shared" si="2"/>
        <v>120.0085347476865</v>
      </c>
      <c r="C28" s="2">
        <f t="shared" si="2"/>
        <v>0</v>
      </c>
      <c r="D28" s="2">
        <f t="shared" si="2"/>
        <v>0</v>
      </c>
      <c r="E28" s="2">
        <f t="shared" si="2"/>
        <v>0</v>
      </c>
      <c r="G28" s="2" t="s">
        <v>26</v>
      </c>
      <c r="H28" s="2" t="s">
        <v>66</v>
      </c>
      <c r="I28" s="2" t="s">
        <v>71</v>
      </c>
      <c r="J28" s="2">
        <v>6988.6130150571998</v>
      </c>
      <c r="K28" s="2"/>
      <c r="L28" s="2"/>
      <c r="M28" s="2"/>
      <c r="N28" s="2"/>
      <c r="P28" s="2" t="s">
        <v>96</v>
      </c>
      <c r="Q28" s="2">
        <f>Q27</f>
        <v>58.234299999999998</v>
      </c>
      <c r="R28" s="2"/>
      <c r="S28" s="2">
        <f t="shared" si="4"/>
        <v>58.234299999999998</v>
      </c>
      <c r="U28" s="1" t="s">
        <v>26</v>
      </c>
      <c r="V28" s="2">
        <f t="shared" si="3"/>
        <v>120.0085347476865</v>
      </c>
      <c r="W28" s="2">
        <f t="shared" si="3"/>
        <v>0</v>
      </c>
      <c r="X28" s="2">
        <f t="shared" si="3"/>
        <v>0</v>
      </c>
      <c r="Y28" s="2">
        <f t="shared" si="3"/>
        <v>0</v>
      </c>
    </row>
    <row r="29" spans="1:25">
      <c r="A29" s="1" t="s">
        <v>27</v>
      </c>
      <c r="B29" s="2">
        <f t="shared" si="2"/>
        <v>0</v>
      </c>
      <c r="C29" s="2">
        <f t="shared" si="2"/>
        <v>0</v>
      </c>
      <c r="D29" s="2">
        <f t="shared" si="2"/>
        <v>2258.0558874904154</v>
      </c>
      <c r="E29" s="2">
        <f t="shared" si="2"/>
        <v>0</v>
      </c>
      <c r="G29" s="2" t="s">
        <v>27</v>
      </c>
      <c r="H29" s="2" t="s">
        <v>55</v>
      </c>
      <c r="I29" s="2" t="s">
        <v>72</v>
      </c>
      <c r="J29" s="2"/>
      <c r="K29" s="2"/>
      <c r="L29" s="2">
        <v>131496.30396888309</v>
      </c>
      <c r="M29" s="2"/>
      <c r="N29" s="2"/>
      <c r="P29" s="2" t="s">
        <v>96</v>
      </c>
      <c r="Q29" s="2">
        <f>Q28</f>
        <v>58.234299999999998</v>
      </c>
      <c r="R29" s="2"/>
      <c r="S29" s="2">
        <f t="shared" si="4"/>
        <v>58.234299999999998</v>
      </c>
      <c r="U29" s="1" t="s">
        <v>27</v>
      </c>
      <c r="V29" s="2">
        <f t="shared" si="3"/>
        <v>0</v>
      </c>
      <c r="W29" s="2">
        <f t="shared" si="3"/>
        <v>0</v>
      </c>
      <c r="X29" s="2">
        <f t="shared" si="3"/>
        <v>2258.0558874904154</v>
      </c>
      <c r="Y29" s="2">
        <f t="shared" si="3"/>
        <v>0</v>
      </c>
    </row>
    <row r="30" spans="1:25">
      <c r="A30" s="1" t="s">
        <v>28</v>
      </c>
      <c r="B30" s="2">
        <f t="shared" si="2"/>
        <v>0</v>
      </c>
      <c r="C30" s="2">
        <f t="shared" si="2"/>
        <v>0</v>
      </c>
      <c r="D30" s="2">
        <f t="shared" si="2"/>
        <v>445.58118413502717</v>
      </c>
      <c r="E30" s="2">
        <f t="shared" si="2"/>
        <v>0</v>
      </c>
      <c r="G30" s="2" t="s">
        <v>28</v>
      </c>
      <c r="H30" s="2" t="s">
        <v>66</v>
      </c>
      <c r="I30" s="2" t="s">
        <v>73</v>
      </c>
      <c r="J30" s="2"/>
      <c r="K30" s="2"/>
      <c r="L30" s="2">
        <v>25948.108351274412</v>
      </c>
      <c r="M30" s="2"/>
      <c r="N30" s="2"/>
      <c r="P30" s="2" t="s">
        <v>96</v>
      </c>
      <c r="Q30" s="2">
        <f>Q29</f>
        <v>58.234299999999998</v>
      </c>
      <c r="R30" s="2"/>
      <c r="S30" s="2">
        <f t="shared" si="4"/>
        <v>58.234299999999998</v>
      </c>
      <c r="U30" s="1" t="s">
        <v>28</v>
      </c>
      <c r="V30" s="2">
        <f t="shared" si="3"/>
        <v>0</v>
      </c>
      <c r="W30" s="2">
        <f t="shared" si="3"/>
        <v>0</v>
      </c>
      <c r="X30" s="2">
        <f t="shared" si="3"/>
        <v>445.58118413502717</v>
      </c>
      <c r="Y30" s="2">
        <f t="shared" si="3"/>
        <v>0</v>
      </c>
    </row>
    <row r="31" spans="1:25">
      <c r="A31" s="1" t="s">
        <v>29</v>
      </c>
      <c r="B31" s="2">
        <f t="shared" si="2"/>
        <v>0</v>
      </c>
      <c r="C31" s="2">
        <f t="shared" si="2"/>
        <v>0</v>
      </c>
      <c r="D31" s="2">
        <f t="shared" si="2"/>
        <v>21.916304796052824</v>
      </c>
      <c r="E31" s="2">
        <f t="shared" si="2"/>
        <v>0</v>
      </c>
      <c r="G31" s="2" t="s">
        <v>29</v>
      </c>
      <c r="H31" s="2" t="s">
        <v>66</v>
      </c>
      <c r="I31" s="2" t="s">
        <v>74</v>
      </c>
      <c r="J31" s="2"/>
      <c r="K31" s="2"/>
      <c r="L31" s="2">
        <v>1276.2806683847789</v>
      </c>
      <c r="M31" s="2"/>
      <c r="N31" s="2"/>
      <c r="P31" s="2" t="s">
        <v>96</v>
      </c>
      <c r="Q31" s="2">
        <f>Q30</f>
        <v>58.234299999999998</v>
      </c>
      <c r="R31" s="2"/>
      <c r="S31" s="2">
        <f t="shared" si="4"/>
        <v>58.234299999999998</v>
      </c>
      <c r="U31" s="1" t="s">
        <v>29</v>
      </c>
      <c r="V31" s="2">
        <f t="shared" si="3"/>
        <v>0</v>
      </c>
      <c r="W31" s="2">
        <f t="shared" si="3"/>
        <v>0</v>
      </c>
      <c r="X31" s="2">
        <f t="shared" si="3"/>
        <v>21.916304796052824</v>
      </c>
      <c r="Y31" s="2">
        <f t="shared" si="3"/>
        <v>0</v>
      </c>
    </row>
    <row r="32" spans="1:25">
      <c r="A32" s="1" t="s">
        <v>30</v>
      </c>
      <c r="B32" s="2">
        <f t="shared" si="2"/>
        <v>0</v>
      </c>
      <c r="C32" s="2">
        <f t="shared" si="2"/>
        <v>131.09092976370422</v>
      </c>
      <c r="D32" s="2">
        <f t="shared" si="2"/>
        <v>0</v>
      </c>
      <c r="E32" s="2">
        <f t="shared" si="2"/>
        <v>0</v>
      </c>
      <c r="G32" s="2" t="s">
        <v>30</v>
      </c>
      <c r="H32" s="2" t="s">
        <v>66</v>
      </c>
      <c r="I32" s="2" t="s">
        <v>75</v>
      </c>
      <c r="J32" s="2"/>
      <c r="K32" s="2">
        <v>7633.9885311384805</v>
      </c>
      <c r="L32" s="2"/>
      <c r="M32" s="2"/>
      <c r="N32" s="2"/>
      <c r="P32" s="2" t="s">
        <v>96</v>
      </c>
      <c r="Q32" s="2">
        <f>Q31</f>
        <v>58.234299999999998</v>
      </c>
      <c r="R32" s="2"/>
      <c r="S32" s="2">
        <f t="shared" si="4"/>
        <v>58.234299999999998</v>
      </c>
      <c r="U32" s="1" t="s">
        <v>30</v>
      </c>
      <c r="V32" s="2">
        <f t="shared" si="3"/>
        <v>0</v>
      </c>
      <c r="W32" s="2">
        <f t="shared" si="3"/>
        <v>131.09092976370422</v>
      </c>
      <c r="X32" s="2">
        <f t="shared" si="3"/>
        <v>0</v>
      </c>
      <c r="Y32" s="2">
        <f t="shared" si="3"/>
        <v>0</v>
      </c>
    </row>
    <row r="33" spans="1:25">
      <c r="A33" s="1" t="s">
        <v>31</v>
      </c>
      <c r="B33" s="2">
        <f t="shared" si="2"/>
        <v>0</v>
      </c>
      <c r="C33" s="2">
        <f t="shared" si="2"/>
        <v>51.134115558054972</v>
      </c>
      <c r="D33" s="2">
        <f t="shared" si="2"/>
        <v>0</v>
      </c>
      <c r="E33" s="2">
        <f t="shared" si="2"/>
        <v>0</v>
      </c>
      <c r="G33" s="2" t="s">
        <v>31</v>
      </c>
      <c r="H33" s="2" t="s">
        <v>76</v>
      </c>
      <c r="I33" s="2" t="s">
        <v>77</v>
      </c>
      <c r="J33" s="2"/>
      <c r="K33" s="2">
        <v>118852.55881505391</v>
      </c>
      <c r="L33" s="2"/>
      <c r="M33" s="2"/>
      <c r="N33" s="2"/>
      <c r="P33" s="2" t="s">
        <v>97</v>
      </c>
      <c r="Q33" s="2">
        <v>2324.33</v>
      </c>
      <c r="R33" s="2"/>
      <c r="S33" s="2">
        <f t="shared" si="4"/>
        <v>2324.33</v>
      </c>
      <c r="U33" s="1" t="s">
        <v>31</v>
      </c>
      <c r="V33" s="2">
        <f t="shared" si="3"/>
        <v>0</v>
      </c>
      <c r="W33" s="2">
        <f t="shared" si="3"/>
        <v>51.134115558054972</v>
      </c>
      <c r="X33" s="2">
        <f t="shared" si="3"/>
        <v>0</v>
      </c>
      <c r="Y33" s="2">
        <f t="shared" si="3"/>
        <v>0</v>
      </c>
    </row>
    <row r="34" spans="1:25">
      <c r="A34" s="1" t="s">
        <v>32</v>
      </c>
      <c r="B34" s="2">
        <f t="shared" si="2"/>
        <v>0</v>
      </c>
      <c r="C34" s="2">
        <f t="shared" si="2"/>
        <v>1.1797229540537544</v>
      </c>
      <c r="D34" s="2">
        <f t="shared" si="2"/>
        <v>0.93240125760284165</v>
      </c>
      <c r="E34" s="2">
        <f t="shared" si="2"/>
        <v>0</v>
      </c>
      <c r="G34" s="2" t="s">
        <v>32</v>
      </c>
      <c r="H34" s="2" t="s">
        <v>76</v>
      </c>
      <c r="I34" s="2" t="s">
        <v>78</v>
      </c>
      <c r="J34" s="2"/>
      <c r="K34" s="2">
        <v>2742.065453795763</v>
      </c>
      <c r="L34" s="2">
        <v>2167.2082150840129</v>
      </c>
      <c r="M34" s="2"/>
      <c r="N34" s="2"/>
      <c r="P34" s="2" t="s">
        <v>97</v>
      </c>
      <c r="Q34" s="2">
        <f>Q33</f>
        <v>2324.33</v>
      </c>
      <c r="R34" s="2"/>
      <c r="S34" s="2">
        <f t="shared" si="4"/>
        <v>2324.33</v>
      </c>
      <c r="U34" s="1" t="s">
        <v>32</v>
      </c>
      <c r="V34" s="2">
        <f t="shared" si="3"/>
        <v>0</v>
      </c>
      <c r="W34" s="2">
        <f t="shared" si="3"/>
        <v>1.1797229540537544</v>
      </c>
      <c r="X34" s="2">
        <f t="shared" si="3"/>
        <v>0.93240125760284165</v>
      </c>
      <c r="Y34" s="2">
        <f t="shared" si="3"/>
        <v>0</v>
      </c>
    </row>
    <row r="35" spans="1:25">
      <c r="A35" s="1" t="s">
        <v>33</v>
      </c>
      <c r="B35" s="2">
        <f t="shared" si="2"/>
        <v>5.6684360338583498E-2</v>
      </c>
      <c r="C35" s="2">
        <f t="shared" si="2"/>
        <v>1.7622054373959546</v>
      </c>
      <c r="D35" s="2">
        <f t="shared" si="2"/>
        <v>3.8016600760111523E-3</v>
      </c>
      <c r="E35" s="2">
        <f t="shared" si="2"/>
        <v>0</v>
      </c>
      <c r="G35" s="2" t="s">
        <v>33</v>
      </c>
      <c r="H35" s="2" t="s">
        <v>76</v>
      </c>
      <c r="I35" s="2" t="s">
        <v>57</v>
      </c>
      <c r="J35" s="2">
        <v>131.75315926577977</v>
      </c>
      <c r="K35" s="2">
        <v>4095.9469643025391</v>
      </c>
      <c r="L35" s="2">
        <v>8.8363125644750014</v>
      </c>
      <c r="M35" s="2"/>
      <c r="N35" s="2">
        <v>207.46347324999999</v>
      </c>
      <c r="P35" s="2" t="s">
        <v>97</v>
      </c>
      <c r="Q35" s="2">
        <f>Q33</f>
        <v>2324.33</v>
      </c>
      <c r="R35" s="2"/>
      <c r="S35" s="2">
        <f t="shared" si="4"/>
        <v>2324.33</v>
      </c>
      <c r="U35" s="1" t="s">
        <v>33</v>
      </c>
      <c r="V35" s="2">
        <f t="shared" si="3"/>
        <v>5.6684360338583498E-2</v>
      </c>
      <c r="W35" s="2">
        <f t="shared" si="3"/>
        <v>1.7622054373959546</v>
      </c>
      <c r="X35" s="2">
        <f t="shared" si="3"/>
        <v>3.8016600760111523E-3</v>
      </c>
      <c r="Y35" s="2">
        <f t="shared" si="3"/>
        <v>0</v>
      </c>
    </row>
    <row r="36" spans="1:25">
      <c r="A36" s="1" t="s">
        <v>34</v>
      </c>
      <c r="B36" s="2">
        <f t="shared" si="2"/>
        <v>0</v>
      </c>
      <c r="C36" s="2">
        <f t="shared" si="2"/>
        <v>16.143135923736754</v>
      </c>
      <c r="D36" s="2">
        <f t="shared" si="2"/>
        <v>3.3988680789933494</v>
      </c>
      <c r="E36" s="2">
        <f t="shared" si="2"/>
        <v>0</v>
      </c>
      <c r="G36" s="2" t="s">
        <v>34</v>
      </c>
      <c r="H36" s="2" t="s">
        <v>76</v>
      </c>
      <c r="I36" s="2" t="s">
        <v>79</v>
      </c>
      <c r="J36" s="2"/>
      <c r="K36" s="2">
        <v>37521.975121619049</v>
      </c>
      <c r="L36" s="2">
        <v>7900.0910420466116</v>
      </c>
      <c r="M36" s="2"/>
      <c r="N36" s="2"/>
      <c r="P36" s="2" t="s">
        <v>97</v>
      </c>
      <c r="Q36" s="2">
        <f>Q33</f>
        <v>2324.33</v>
      </c>
      <c r="R36" s="2"/>
      <c r="S36" s="2">
        <f t="shared" si="4"/>
        <v>2324.33</v>
      </c>
      <c r="U36" s="1" t="s">
        <v>34</v>
      </c>
      <c r="V36" s="2">
        <f t="shared" si="3"/>
        <v>0</v>
      </c>
      <c r="W36" s="2">
        <f t="shared" si="3"/>
        <v>16.143135923736754</v>
      </c>
      <c r="X36" s="2">
        <f t="shared" si="3"/>
        <v>3.3988680789933494</v>
      </c>
      <c r="Y36" s="2">
        <f t="shared" si="3"/>
        <v>0</v>
      </c>
    </row>
    <row r="37" spans="1:25">
      <c r="A37" s="1" t="s">
        <v>35</v>
      </c>
      <c r="B37" s="2">
        <f t="shared" si="2"/>
        <v>0</v>
      </c>
      <c r="C37" s="2">
        <f t="shared" si="2"/>
        <v>0</v>
      </c>
      <c r="D37" s="2">
        <f t="shared" si="2"/>
        <v>7.612214738712991</v>
      </c>
      <c r="E37" s="2">
        <f t="shared" si="2"/>
        <v>0</v>
      </c>
      <c r="G37" s="2" t="s">
        <v>35</v>
      </c>
      <c r="H37" s="2" t="s">
        <v>55</v>
      </c>
      <c r="I37" s="2" t="s">
        <v>80</v>
      </c>
      <c r="J37" s="2"/>
      <c r="K37" s="2"/>
      <c r="L37" s="2">
        <v>17693.299083632766</v>
      </c>
      <c r="M37" s="2"/>
      <c r="N37" s="2"/>
      <c r="P37" s="2" t="s">
        <v>97</v>
      </c>
      <c r="Q37" s="2">
        <f>Q33</f>
        <v>2324.33</v>
      </c>
      <c r="R37" s="2"/>
      <c r="S37" s="2">
        <f t="shared" si="4"/>
        <v>2324.33</v>
      </c>
      <c r="U37" s="1" t="s">
        <v>35</v>
      </c>
      <c r="V37" s="2">
        <f t="shared" si="3"/>
        <v>0</v>
      </c>
      <c r="W37" s="2">
        <f t="shared" si="3"/>
        <v>0</v>
      </c>
      <c r="X37" s="2">
        <f t="shared" si="3"/>
        <v>7.612214738712991</v>
      </c>
      <c r="Y37" s="2">
        <f t="shared" si="3"/>
        <v>0</v>
      </c>
    </row>
    <row r="38" spans="1:25">
      <c r="A38" s="1" t="s">
        <v>36</v>
      </c>
      <c r="B38" s="2">
        <f t="shared" si="2"/>
        <v>2.0349950308260878</v>
      </c>
      <c r="C38" s="2">
        <f t="shared" si="2"/>
        <v>0.18069723318117478</v>
      </c>
      <c r="D38" s="2">
        <f t="shared" si="2"/>
        <v>8.5508512130377367E-3</v>
      </c>
      <c r="E38" s="2">
        <f t="shared" si="2"/>
        <v>0</v>
      </c>
      <c r="G38" s="2" t="s">
        <v>36</v>
      </c>
      <c r="H38" s="2" t="s">
        <v>55</v>
      </c>
      <c r="I38" s="2" t="s">
        <v>81</v>
      </c>
      <c r="J38" s="2">
        <v>4730</v>
      </c>
      <c r="K38" s="2">
        <v>420</v>
      </c>
      <c r="L38" s="2">
        <v>19.875</v>
      </c>
      <c r="M38" s="2"/>
      <c r="N38" s="2"/>
      <c r="P38" s="2" t="s">
        <v>97</v>
      </c>
      <c r="Q38" s="2">
        <f>Q33</f>
        <v>2324.33</v>
      </c>
      <c r="R38" s="2"/>
      <c r="S38" s="2">
        <f t="shared" si="4"/>
        <v>2324.33</v>
      </c>
      <c r="U38" s="1" t="s">
        <v>36</v>
      </c>
      <c r="V38" s="2">
        <f t="shared" si="3"/>
        <v>2.0349950308260878</v>
      </c>
      <c r="W38" s="2">
        <f t="shared" si="3"/>
        <v>0.18069723318117478</v>
      </c>
      <c r="X38" s="2">
        <f t="shared" si="3"/>
        <v>8.5508512130377367E-3</v>
      </c>
      <c r="Y38" s="2">
        <f t="shared" si="3"/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38"/>
  <sheetViews>
    <sheetView zoomScale="70" zoomScaleNormal="70" workbookViewId="0">
      <selection activeCell="P44" sqref="P44"/>
    </sheetView>
  </sheetViews>
  <sheetFormatPr defaultRowHeight="14.4"/>
  <cols>
    <col min="1" max="1" width="13.33203125" bestFit="1" customWidth="1"/>
    <col min="7" max="7" width="33.44140625" bestFit="1" customWidth="1"/>
    <col min="8" max="8" width="15.21875" bestFit="1" customWidth="1"/>
    <col min="9" max="9" width="34" bestFit="1" customWidth="1"/>
    <col min="10" max="14" width="12" bestFit="1" customWidth="1"/>
    <col min="16" max="16" width="73.109375" bestFit="1" customWidth="1"/>
  </cols>
  <sheetData>
    <row r="1" spans="1:25">
      <c r="A1" s="2"/>
      <c r="B1" s="3" t="s">
        <v>37</v>
      </c>
      <c r="C1" s="3" t="s">
        <v>38</v>
      </c>
      <c r="D1" s="3" t="s">
        <v>39</v>
      </c>
      <c r="E1" s="3" t="s">
        <v>40</v>
      </c>
      <c r="G1" s="7" t="s">
        <v>84</v>
      </c>
      <c r="H1" s="7" t="s">
        <v>85</v>
      </c>
      <c r="I1" s="7" t="s">
        <v>86</v>
      </c>
      <c r="J1" s="7" t="s">
        <v>37</v>
      </c>
      <c r="K1" s="7" t="s">
        <v>38</v>
      </c>
      <c r="L1" s="7" t="s">
        <v>39</v>
      </c>
      <c r="M1" s="7" t="s">
        <v>83</v>
      </c>
      <c r="N1" s="7" t="s">
        <v>82</v>
      </c>
      <c r="P1" s="8" t="s">
        <v>98</v>
      </c>
      <c r="Q1" s="10" t="s">
        <v>100</v>
      </c>
      <c r="R1" s="10" t="s">
        <v>101</v>
      </c>
      <c r="S1" s="10" t="s">
        <v>102</v>
      </c>
      <c r="U1" s="2"/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1" t="s">
        <v>0</v>
      </c>
      <c r="B2" s="6"/>
      <c r="C2" s="6"/>
      <c r="D2" s="6"/>
      <c r="E2" s="6"/>
      <c r="G2" s="2" t="s">
        <v>0</v>
      </c>
      <c r="H2" s="2" t="s">
        <v>41</v>
      </c>
      <c r="I2" s="2" t="s">
        <v>42</v>
      </c>
      <c r="J2" s="2">
        <v>398830.11009491392</v>
      </c>
      <c r="K2" s="2">
        <v>1048.8691651700065</v>
      </c>
      <c r="L2" s="2">
        <v>1541.680312881309</v>
      </c>
      <c r="M2" s="2"/>
      <c r="N2" s="2">
        <v>88613.463758463389</v>
      </c>
      <c r="P2" s="2"/>
      <c r="Q2" s="2"/>
      <c r="R2" s="2"/>
      <c r="S2" s="2"/>
      <c r="U2" s="1" t="s">
        <v>0</v>
      </c>
      <c r="V2" s="6"/>
      <c r="W2" s="6"/>
      <c r="X2" s="6"/>
      <c r="Y2" s="6"/>
    </row>
    <row r="3" spans="1:25">
      <c r="A3" s="1" t="s">
        <v>1</v>
      </c>
      <c r="B3" s="6"/>
      <c r="C3" s="6"/>
      <c r="D3" s="6"/>
      <c r="E3" s="6"/>
      <c r="G3" s="2" t="s">
        <v>1</v>
      </c>
      <c r="H3" s="2" t="s">
        <v>41</v>
      </c>
      <c r="I3" s="2" t="s">
        <v>43</v>
      </c>
      <c r="J3" s="2">
        <v>131135.57532335893</v>
      </c>
      <c r="K3" s="2">
        <v>683.84583801899385</v>
      </c>
      <c r="L3" s="2">
        <v>760.66236588786751</v>
      </c>
      <c r="M3" s="2"/>
      <c r="N3" s="2">
        <v>63526.870356632047</v>
      </c>
      <c r="P3" s="2"/>
      <c r="Q3" s="2"/>
      <c r="R3" s="2"/>
      <c r="S3" s="2"/>
      <c r="U3" s="1" t="s">
        <v>1</v>
      </c>
      <c r="V3" s="6"/>
      <c r="W3" s="6"/>
      <c r="X3" s="6"/>
      <c r="Y3" s="6"/>
    </row>
    <row r="4" spans="1:25">
      <c r="A4" s="1" t="s">
        <v>2</v>
      </c>
      <c r="B4" s="6"/>
      <c r="C4" s="6"/>
      <c r="D4" s="6"/>
      <c r="E4" s="6"/>
      <c r="G4" s="2" t="s">
        <v>2</v>
      </c>
      <c r="H4" s="2" t="s">
        <v>44</v>
      </c>
      <c r="I4" s="2" t="s">
        <v>45</v>
      </c>
      <c r="J4" s="2">
        <v>237604.20414237765</v>
      </c>
      <c r="K4" s="2">
        <v>2590.5117613366388</v>
      </c>
      <c r="L4" s="2">
        <v>2773.8881629783932</v>
      </c>
      <c r="M4" s="2"/>
      <c r="N4" s="2">
        <v>472029.87188059743</v>
      </c>
      <c r="P4" s="2"/>
      <c r="Q4" s="2"/>
      <c r="R4" s="2"/>
      <c r="S4" s="2"/>
      <c r="U4" s="1" t="s">
        <v>2</v>
      </c>
      <c r="V4" s="6"/>
      <c r="W4" s="6"/>
      <c r="X4" s="6"/>
      <c r="Y4" s="6"/>
    </row>
    <row r="5" spans="1:25">
      <c r="A5" s="1" t="s">
        <v>3</v>
      </c>
      <c r="B5" s="6"/>
      <c r="C5" s="6"/>
      <c r="D5" s="6"/>
      <c r="E5" s="6"/>
      <c r="G5" s="2" t="s">
        <v>3</v>
      </c>
      <c r="H5" s="2" t="s">
        <v>46</v>
      </c>
      <c r="I5" s="2" t="s">
        <v>47</v>
      </c>
      <c r="J5" s="2">
        <v>16474.800060020527</v>
      </c>
      <c r="K5" s="2">
        <v>3.2270237731665383</v>
      </c>
      <c r="L5" s="2">
        <v>122.16589998416089</v>
      </c>
      <c r="M5" s="2"/>
      <c r="N5" s="2"/>
      <c r="P5" s="2"/>
      <c r="Q5" s="2"/>
      <c r="R5" s="2"/>
      <c r="S5" s="2"/>
      <c r="U5" s="1" t="s">
        <v>3</v>
      </c>
      <c r="V5" s="6"/>
      <c r="W5" s="6"/>
      <c r="X5" s="6"/>
      <c r="Y5" s="6"/>
    </row>
    <row r="6" spans="1:25">
      <c r="A6" s="1" t="s">
        <v>4</v>
      </c>
      <c r="B6" s="6"/>
      <c r="C6" s="6"/>
      <c r="D6" s="6"/>
      <c r="E6" s="6"/>
      <c r="G6" s="2" t="s">
        <v>4</v>
      </c>
      <c r="H6" s="2" t="s">
        <v>46</v>
      </c>
      <c r="I6" s="2" t="s">
        <v>48</v>
      </c>
      <c r="J6" s="2">
        <v>559443.19564072881</v>
      </c>
      <c r="K6" s="2">
        <v>2597.9707246632993</v>
      </c>
      <c r="L6" s="2">
        <v>7275.6731374840983</v>
      </c>
      <c r="M6" s="2"/>
      <c r="N6" s="2">
        <v>76182.885123914224</v>
      </c>
      <c r="P6" s="2"/>
      <c r="Q6" s="2"/>
      <c r="R6" s="2"/>
      <c r="S6" s="2"/>
      <c r="U6" s="1" t="s">
        <v>4</v>
      </c>
      <c r="V6" s="6"/>
      <c r="W6" s="6"/>
      <c r="X6" s="6"/>
      <c r="Y6" s="6"/>
    </row>
    <row r="7" spans="1:25">
      <c r="A7" s="1" t="s">
        <v>5</v>
      </c>
      <c r="B7" s="6"/>
      <c r="C7" s="6"/>
      <c r="D7" s="6"/>
      <c r="E7" s="6"/>
      <c r="G7" s="2" t="s">
        <v>5</v>
      </c>
      <c r="H7" s="2" t="s">
        <v>46</v>
      </c>
      <c r="I7" s="2" t="s">
        <v>49</v>
      </c>
      <c r="J7" s="2">
        <v>5174.1677947007511</v>
      </c>
      <c r="K7" s="2">
        <v>8.4829962810886883</v>
      </c>
      <c r="L7" s="2">
        <v>529.76192752712484</v>
      </c>
      <c r="M7" s="2"/>
      <c r="N7" s="2">
        <v>310.97371992186999</v>
      </c>
      <c r="P7" s="2"/>
      <c r="Q7" s="2"/>
      <c r="R7" s="2"/>
      <c r="S7" s="2"/>
      <c r="U7" s="1" t="s">
        <v>5</v>
      </c>
      <c r="V7" s="6"/>
      <c r="W7" s="6"/>
      <c r="X7" s="6"/>
      <c r="Y7" s="6"/>
    </row>
    <row r="8" spans="1:25">
      <c r="A8" s="1" t="s">
        <v>6</v>
      </c>
      <c r="B8" s="6"/>
      <c r="C8" s="6"/>
      <c r="D8" s="6"/>
      <c r="E8" s="6"/>
      <c r="G8" s="2" t="s">
        <v>6</v>
      </c>
      <c r="H8" s="2" t="s">
        <v>46</v>
      </c>
      <c r="I8" s="2" t="s">
        <v>50</v>
      </c>
      <c r="J8" s="2">
        <v>10147.015529214703</v>
      </c>
      <c r="K8" s="2">
        <v>26.318931513759448</v>
      </c>
      <c r="L8" s="2">
        <v>71.168539297411314</v>
      </c>
      <c r="M8" s="2"/>
      <c r="N8" s="2"/>
      <c r="P8" s="2"/>
      <c r="Q8" s="2"/>
      <c r="R8" s="2"/>
      <c r="S8" s="2"/>
      <c r="U8" s="1" t="s">
        <v>6</v>
      </c>
      <c r="V8" s="6"/>
      <c r="W8" s="6"/>
      <c r="X8" s="6"/>
      <c r="Y8" s="6"/>
    </row>
    <row r="9" spans="1:25">
      <c r="A9" s="1" t="s">
        <v>7</v>
      </c>
      <c r="B9" s="6"/>
      <c r="C9" s="6"/>
      <c r="D9" s="6"/>
      <c r="E9" s="6"/>
      <c r="G9" s="2" t="s">
        <v>7</v>
      </c>
      <c r="H9" s="2" t="s">
        <v>46</v>
      </c>
      <c r="I9" s="2" t="s">
        <v>51</v>
      </c>
      <c r="J9" s="2">
        <v>9232.1586867860442</v>
      </c>
      <c r="K9" s="2">
        <v>6.1639816369278417</v>
      </c>
      <c r="L9" s="2">
        <v>25.195112847307772</v>
      </c>
      <c r="M9" s="2"/>
      <c r="N9" s="2"/>
      <c r="P9" s="2"/>
      <c r="Q9" s="2"/>
      <c r="R9" s="2"/>
      <c r="S9" s="2"/>
      <c r="U9" s="1" t="s">
        <v>7</v>
      </c>
      <c r="V9" s="6"/>
      <c r="W9" s="6"/>
      <c r="X9" s="6"/>
      <c r="Y9" s="6"/>
    </row>
    <row r="10" spans="1:25">
      <c r="A10" s="1" t="s">
        <v>8</v>
      </c>
      <c r="B10" s="6"/>
      <c r="C10" s="6"/>
      <c r="D10" s="6"/>
      <c r="E10" s="6"/>
      <c r="G10" s="2" t="s">
        <v>8</v>
      </c>
      <c r="H10" s="2" t="s">
        <v>52</v>
      </c>
      <c r="I10" s="2" t="s">
        <v>53</v>
      </c>
      <c r="J10" s="2">
        <v>144373.49601216381</v>
      </c>
      <c r="K10" s="2">
        <v>13713.206252011832</v>
      </c>
      <c r="L10" s="2">
        <v>5982.0150802466387</v>
      </c>
      <c r="M10" s="2"/>
      <c r="N10" s="2">
        <v>166320.0697063579</v>
      </c>
      <c r="P10" s="2"/>
      <c r="Q10" s="2"/>
      <c r="R10" s="2"/>
      <c r="S10" s="2"/>
      <c r="U10" s="1" t="s">
        <v>8</v>
      </c>
      <c r="V10" s="6"/>
      <c r="W10" s="6"/>
      <c r="X10" s="6"/>
      <c r="Y10" s="6"/>
    </row>
    <row r="11" spans="1:25">
      <c r="A11" s="1" t="s">
        <v>9</v>
      </c>
      <c r="B11" s="6"/>
      <c r="C11" s="6"/>
      <c r="D11" s="6"/>
      <c r="E11" s="6"/>
      <c r="G11" s="2" t="s">
        <v>9</v>
      </c>
      <c r="H11" s="2" t="s">
        <v>54</v>
      </c>
      <c r="I11" s="2" t="s">
        <v>55</v>
      </c>
      <c r="J11" s="2">
        <v>7722.2872351307742</v>
      </c>
      <c r="K11" s="2">
        <v>53.875756654675627</v>
      </c>
      <c r="L11" s="2">
        <v>18.733598579480361</v>
      </c>
      <c r="M11" s="2"/>
      <c r="N11" s="2">
        <v>383.92704088132172</v>
      </c>
      <c r="P11" s="2"/>
      <c r="Q11" s="2"/>
      <c r="R11" s="2"/>
      <c r="S11" s="2"/>
      <c r="U11" s="1" t="s">
        <v>9</v>
      </c>
      <c r="V11" s="6"/>
      <c r="W11" s="6"/>
      <c r="X11" s="6"/>
      <c r="Y11" s="6"/>
    </row>
    <row r="12" spans="1:25">
      <c r="A12" s="1" t="s">
        <v>10</v>
      </c>
      <c r="B12" s="2">
        <f>V12</f>
        <v>5831.2007127796342</v>
      </c>
      <c r="C12" s="2">
        <f t="shared" ref="C12:E27" si="0">W12</f>
        <v>43239.022882537844</v>
      </c>
      <c r="D12" s="2">
        <f t="shared" si="0"/>
        <v>367.75039440129558</v>
      </c>
      <c r="E12" s="2">
        <f t="shared" si="0"/>
        <v>0</v>
      </c>
      <c r="G12" s="2" t="s">
        <v>10</v>
      </c>
      <c r="H12" s="2" t="s">
        <v>56</v>
      </c>
      <c r="I12" s="2" t="s">
        <v>57</v>
      </c>
      <c r="J12" s="2">
        <v>3775.2534590699288</v>
      </c>
      <c r="K12" s="2">
        <v>27993.937911681296</v>
      </c>
      <c r="L12" s="2">
        <v>238.09006359447</v>
      </c>
      <c r="M12" s="2"/>
      <c r="N12" s="2"/>
      <c r="P12" s="2" t="s">
        <v>88</v>
      </c>
      <c r="Q12" s="2">
        <v>0.64742299999999997</v>
      </c>
      <c r="R12" s="2"/>
      <c r="S12" s="2">
        <f>SUM(Q12:R12)</f>
        <v>0.64742299999999997</v>
      </c>
      <c r="U12" s="1" t="s">
        <v>10</v>
      </c>
      <c r="V12" s="2">
        <f>J12/$S12</f>
        <v>5831.2007127796342</v>
      </c>
      <c r="W12" s="2">
        <f t="shared" ref="W12:Y27" si="1">K12/$S12</f>
        <v>43239.022882537844</v>
      </c>
      <c r="X12" s="2">
        <f t="shared" si="1"/>
        <v>367.75039440129558</v>
      </c>
      <c r="Y12" s="2">
        <f t="shared" si="1"/>
        <v>0</v>
      </c>
    </row>
    <row r="13" spans="1:25">
      <c r="A13" s="1" t="s">
        <v>11</v>
      </c>
      <c r="B13" s="2">
        <f t="shared" ref="B13:E38" si="2">V13</f>
        <v>2628.2249128855701</v>
      </c>
      <c r="C13" s="2">
        <f t="shared" si="0"/>
        <v>8588.476311570008</v>
      </c>
      <c r="D13" s="2">
        <f t="shared" si="0"/>
        <v>9.8911725177074317</v>
      </c>
      <c r="E13" s="2">
        <f t="shared" si="0"/>
        <v>0</v>
      </c>
      <c r="G13" s="2" t="s">
        <v>11</v>
      </c>
      <c r="H13" s="2" t="s">
        <v>56</v>
      </c>
      <c r="I13" s="2" t="s">
        <v>58</v>
      </c>
      <c r="J13" s="2">
        <v>39613.998846215145</v>
      </c>
      <c r="K13" s="2">
        <v>129450.06686042828</v>
      </c>
      <c r="L13" s="2">
        <v>149.08499450832079</v>
      </c>
      <c r="M13" s="2"/>
      <c r="N13" s="2">
        <v>41627.99584326773</v>
      </c>
      <c r="P13" s="2" t="s">
        <v>99</v>
      </c>
      <c r="Q13">
        <v>9.4189500000000006</v>
      </c>
      <c r="R13">
        <v>5.6535799999999998</v>
      </c>
      <c r="S13" s="2">
        <f>SUM(Q13:R13)</f>
        <v>15.07253</v>
      </c>
      <c r="U13" s="1" t="s">
        <v>11</v>
      </c>
      <c r="V13" s="2">
        <f t="shared" ref="V13:Y38" si="3">J13/$S13</f>
        <v>2628.2249128855701</v>
      </c>
      <c r="W13" s="2">
        <f t="shared" si="1"/>
        <v>8588.476311570008</v>
      </c>
      <c r="X13" s="2">
        <f t="shared" si="1"/>
        <v>9.8911725177074317</v>
      </c>
      <c r="Y13" s="2">
        <f t="shared" si="1"/>
        <v>0</v>
      </c>
    </row>
    <row r="14" spans="1:25">
      <c r="A14" s="1" t="s">
        <v>12</v>
      </c>
      <c r="B14" s="2">
        <f t="shared" si="2"/>
        <v>7753.4742494333195</v>
      </c>
      <c r="C14" s="2">
        <f t="shared" si="0"/>
        <v>0</v>
      </c>
      <c r="D14" s="2">
        <f t="shared" si="0"/>
        <v>0</v>
      </c>
      <c r="E14" s="2">
        <f t="shared" si="0"/>
        <v>0</v>
      </c>
      <c r="G14" s="2" t="s">
        <v>12</v>
      </c>
      <c r="H14" s="2" t="s">
        <v>44</v>
      </c>
      <c r="I14" s="2" t="s">
        <v>59</v>
      </c>
      <c r="J14" s="2">
        <v>62343.437932160989</v>
      </c>
      <c r="K14" s="2"/>
      <c r="L14" s="2"/>
      <c r="M14" s="2"/>
      <c r="N14" s="2"/>
      <c r="P14" s="2" t="s">
        <v>89</v>
      </c>
      <c r="Q14" s="2">
        <v>8.0407100000000007</v>
      </c>
      <c r="R14" s="2"/>
      <c r="S14" s="2">
        <f t="shared" ref="S14:S38" si="4">SUM(Q14:R14)</f>
        <v>8.0407100000000007</v>
      </c>
      <c r="U14" s="1" t="s">
        <v>12</v>
      </c>
      <c r="V14" s="2">
        <f t="shared" si="3"/>
        <v>7753.4742494333195</v>
      </c>
      <c r="W14" s="2">
        <f t="shared" si="1"/>
        <v>0</v>
      </c>
      <c r="X14" s="2">
        <f t="shared" si="1"/>
        <v>0</v>
      </c>
      <c r="Y14" s="2">
        <f t="shared" si="1"/>
        <v>0</v>
      </c>
    </row>
    <row r="15" spans="1:25">
      <c r="A15" s="1" t="s">
        <v>13</v>
      </c>
      <c r="B15" s="2">
        <f t="shared" si="2"/>
        <v>1119.3041410522205</v>
      </c>
      <c r="C15" s="2">
        <f t="shared" si="0"/>
        <v>0</v>
      </c>
      <c r="D15" s="2">
        <f t="shared" si="0"/>
        <v>0</v>
      </c>
      <c r="E15" s="2">
        <f t="shared" si="0"/>
        <v>0</v>
      </c>
      <c r="G15" s="2" t="s">
        <v>13</v>
      </c>
      <c r="H15" s="2" t="s">
        <v>44</v>
      </c>
      <c r="I15" s="2" t="s">
        <v>59</v>
      </c>
      <c r="J15" s="2">
        <v>9000</v>
      </c>
      <c r="K15" s="2"/>
      <c r="L15" s="2"/>
      <c r="M15" s="2"/>
      <c r="N15" s="2"/>
      <c r="P15" s="2" t="s">
        <v>89</v>
      </c>
      <c r="Q15" s="2">
        <f>Q14</f>
        <v>8.0407100000000007</v>
      </c>
      <c r="R15" s="2"/>
      <c r="S15" s="2">
        <f t="shared" si="4"/>
        <v>8.0407100000000007</v>
      </c>
      <c r="U15" s="1" t="s">
        <v>13</v>
      </c>
      <c r="V15" s="2">
        <f t="shared" si="3"/>
        <v>1119.3041410522205</v>
      </c>
      <c r="W15" s="2">
        <f t="shared" si="1"/>
        <v>0</v>
      </c>
      <c r="X15" s="2">
        <f t="shared" si="1"/>
        <v>0</v>
      </c>
      <c r="Y15" s="2">
        <f t="shared" si="1"/>
        <v>0</v>
      </c>
    </row>
    <row r="16" spans="1:25">
      <c r="A16" s="1" t="s">
        <v>14</v>
      </c>
      <c r="B16" s="2">
        <f t="shared" si="2"/>
        <v>4.0262871572522636</v>
      </c>
      <c r="C16" s="2">
        <f t="shared" si="0"/>
        <v>0</v>
      </c>
      <c r="D16" s="2">
        <f t="shared" si="0"/>
        <v>0</v>
      </c>
      <c r="E16" s="2">
        <f t="shared" si="0"/>
        <v>0</v>
      </c>
      <c r="G16" s="2" t="s">
        <v>14</v>
      </c>
      <c r="H16" s="2" t="s">
        <v>44</v>
      </c>
      <c r="I16" s="2" t="s">
        <v>59</v>
      </c>
      <c r="J16" s="2">
        <v>32.374207408189854</v>
      </c>
      <c r="K16" s="2"/>
      <c r="L16" s="2"/>
      <c r="M16" s="2"/>
      <c r="N16" s="2"/>
      <c r="P16" s="2" t="s">
        <v>89</v>
      </c>
      <c r="Q16" s="2">
        <f>Q15</f>
        <v>8.0407100000000007</v>
      </c>
      <c r="R16" s="2"/>
      <c r="S16" s="2">
        <f t="shared" si="4"/>
        <v>8.0407100000000007</v>
      </c>
      <c r="U16" s="1" t="s">
        <v>14</v>
      </c>
      <c r="V16" s="2">
        <f t="shared" si="3"/>
        <v>4.0262871572522636</v>
      </c>
      <c r="W16" s="2">
        <f t="shared" si="1"/>
        <v>0</v>
      </c>
      <c r="X16" s="2">
        <f t="shared" si="1"/>
        <v>0</v>
      </c>
      <c r="Y16" s="2">
        <f t="shared" si="1"/>
        <v>0</v>
      </c>
    </row>
    <row r="17" spans="1:25">
      <c r="A17" s="1" t="s">
        <v>15</v>
      </c>
      <c r="B17" s="2">
        <f t="shared" si="2"/>
        <v>772.48614856605968</v>
      </c>
      <c r="C17" s="2">
        <f t="shared" si="0"/>
        <v>0</v>
      </c>
      <c r="D17" s="2">
        <f t="shared" si="0"/>
        <v>0</v>
      </c>
      <c r="E17" s="2">
        <f t="shared" si="0"/>
        <v>0</v>
      </c>
      <c r="G17" s="2" t="s">
        <v>15</v>
      </c>
      <c r="H17" s="2" t="s">
        <v>44</v>
      </c>
      <c r="I17" s="2" t="s">
        <v>60</v>
      </c>
      <c r="J17" s="2">
        <v>27958.822920895967</v>
      </c>
      <c r="K17" s="2"/>
      <c r="L17" s="2"/>
      <c r="M17" s="2"/>
      <c r="N17" s="2"/>
      <c r="P17" s="2" t="s">
        <v>90</v>
      </c>
      <c r="Q17" s="2">
        <v>36.193300000000001</v>
      </c>
      <c r="R17" s="2"/>
      <c r="S17" s="2">
        <f t="shared" si="4"/>
        <v>36.193300000000001</v>
      </c>
      <c r="U17" s="1" t="s">
        <v>15</v>
      </c>
      <c r="V17" s="2">
        <f t="shared" si="3"/>
        <v>772.48614856605968</v>
      </c>
      <c r="W17" s="2">
        <f t="shared" si="1"/>
        <v>0</v>
      </c>
      <c r="X17" s="2">
        <f t="shared" si="1"/>
        <v>0</v>
      </c>
      <c r="Y17" s="2">
        <f t="shared" si="1"/>
        <v>0</v>
      </c>
    </row>
    <row r="18" spans="1:25">
      <c r="A18" s="1" t="s">
        <v>16</v>
      </c>
      <c r="B18" s="2">
        <f t="shared" si="2"/>
        <v>832.81382711136791</v>
      </c>
      <c r="C18" s="2">
        <f t="shared" si="0"/>
        <v>17.248199774656115</v>
      </c>
      <c r="D18" s="2">
        <f t="shared" si="0"/>
        <v>1799.2829243109986</v>
      </c>
      <c r="E18" s="2">
        <f t="shared" si="0"/>
        <v>85.377127810948437</v>
      </c>
      <c r="G18" s="2" t="s">
        <v>16</v>
      </c>
      <c r="H18" s="2" t="s">
        <v>44</v>
      </c>
      <c r="I18" s="2" t="s">
        <v>61</v>
      </c>
      <c r="J18" s="2">
        <v>30142.280688789873</v>
      </c>
      <c r="K18" s="2">
        <v>624.26926890406116</v>
      </c>
      <c r="L18" s="2">
        <v>65121.986664465265</v>
      </c>
      <c r="M18" s="2">
        <v>3090.08</v>
      </c>
      <c r="N18" s="2"/>
      <c r="P18" s="2" t="s">
        <v>90</v>
      </c>
      <c r="Q18" s="2">
        <f>Q17</f>
        <v>36.193300000000001</v>
      </c>
      <c r="R18" s="2"/>
      <c r="S18" s="2">
        <f t="shared" si="4"/>
        <v>36.193300000000001</v>
      </c>
      <c r="U18" s="1" t="s">
        <v>16</v>
      </c>
      <c r="V18" s="2">
        <f t="shared" si="3"/>
        <v>832.81382711136791</v>
      </c>
      <c r="W18" s="2">
        <f t="shared" si="1"/>
        <v>17.248199774656115</v>
      </c>
      <c r="X18" s="2">
        <f t="shared" si="1"/>
        <v>1799.2829243109986</v>
      </c>
      <c r="Y18" s="2">
        <f t="shared" si="1"/>
        <v>85.377127810948437</v>
      </c>
    </row>
    <row r="19" spans="1:25">
      <c r="A19" s="1" t="s">
        <v>17</v>
      </c>
      <c r="B19" s="2">
        <f t="shared" si="2"/>
        <v>1492.0415196691149</v>
      </c>
      <c r="C19" s="2">
        <f t="shared" si="0"/>
        <v>14.573320834530387</v>
      </c>
      <c r="D19" s="2">
        <f t="shared" si="0"/>
        <v>0</v>
      </c>
      <c r="E19" s="2">
        <f t="shared" si="0"/>
        <v>64.047388010596762</v>
      </c>
      <c r="G19" s="2" t="s">
        <v>17</v>
      </c>
      <c r="H19" s="2" t="s">
        <v>44</v>
      </c>
      <c r="I19" s="2" t="s">
        <v>62</v>
      </c>
      <c r="J19" s="2">
        <v>11429.08280191101</v>
      </c>
      <c r="K19" s="2">
        <v>111.6320747921278</v>
      </c>
      <c r="L19" s="2"/>
      <c r="M19" s="2">
        <v>490.60491358281149</v>
      </c>
      <c r="N19" s="2">
        <v>216.20474804688001</v>
      </c>
      <c r="P19" s="2" t="s">
        <v>92</v>
      </c>
      <c r="Q19" s="2">
        <v>7.6600299999999999</v>
      </c>
      <c r="R19" s="2"/>
      <c r="S19" s="2">
        <f t="shared" si="4"/>
        <v>7.6600299999999999</v>
      </c>
      <c r="U19" s="1" t="s">
        <v>17</v>
      </c>
      <c r="V19" s="2">
        <f t="shared" si="3"/>
        <v>1492.0415196691149</v>
      </c>
      <c r="W19" s="2">
        <f t="shared" si="1"/>
        <v>14.573320834530387</v>
      </c>
      <c r="X19" s="2">
        <f t="shared" si="1"/>
        <v>0</v>
      </c>
      <c r="Y19" s="2">
        <f t="shared" si="1"/>
        <v>64.047388010596762</v>
      </c>
    </row>
    <row r="20" spans="1:25">
      <c r="A20" s="1" t="s">
        <v>18</v>
      </c>
      <c r="B20" s="2">
        <f t="shared" si="2"/>
        <v>156.26977135989827</v>
      </c>
      <c r="C20" s="2">
        <f t="shared" si="0"/>
        <v>0</v>
      </c>
      <c r="D20" s="2">
        <f t="shared" si="0"/>
        <v>0</v>
      </c>
      <c r="E20" s="2">
        <f t="shared" si="0"/>
        <v>0</v>
      </c>
      <c r="G20" s="2" t="s">
        <v>18</v>
      </c>
      <c r="H20" s="2" t="s">
        <v>56</v>
      </c>
      <c r="I20" s="2" t="s">
        <v>63</v>
      </c>
      <c r="J20" s="2">
        <v>5655.9187157602064</v>
      </c>
      <c r="K20" s="2"/>
      <c r="L20" s="2"/>
      <c r="M20" s="2"/>
      <c r="N20" s="2"/>
      <c r="P20" s="2" t="s">
        <v>90</v>
      </c>
      <c r="Q20" s="2">
        <f>Q18</f>
        <v>36.193300000000001</v>
      </c>
      <c r="R20" s="2"/>
      <c r="S20" s="2">
        <f t="shared" si="4"/>
        <v>36.193300000000001</v>
      </c>
      <c r="U20" s="1" t="s">
        <v>18</v>
      </c>
      <c r="V20" s="2">
        <f t="shared" si="3"/>
        <v>156.26977135989827</v>
      </c>
      <c r="W20" s="2">
        <f t="shared" si="1"/>
        <v>0</v>
      </c>
      <c r="X20" s="2">
        <f t="shared" si="1"/>
        <v>0</v>
      </c>
      <c r="Y20" s="2">
        <f t="shared" si="1"/>
        <v>0</v>
      </c>
    </row>
    <row r="21" spans="1:25">
      <c r="A21" s="1" t="s">
        <v>19</v>
      </c>
      <c r="B21" s="2">
        <f t="shared" si="2"/>
        <v>0</v>
      </c>
      <c r="C21" s="2">
        <f t="shared" si="0"/>
        <v>0</v>
      </c>
      <c r="D21" s="2">
        <f t="shared" si="0"/>
        <v>0</v>
      </c>
      <c r="E21" s="2">
        <f t="shared" si="0"/>
        <v>0</v>
      </c>
      <c r="G21" s="2" t="s">
        <v>19</v>
      </c>
      <c r="H21" s="2" t="s">
        <v>44</v>
      </c>
      <c r="I21" s="2" t="s">
        <v>64</v>
      </c>
      <c r="J21" s="2"/>
      <c r="K21" s="2"/>
      <c r="L21" s="2"/>
      <c r="M21" s="2"/>
      <c r="N21" s="2"/>
      <c r="P21" s="2" t="s">
        <v>94</v>
      </c>
      <c r="Q21" s="2">
        <v>36.296199999999999</v>
      </c>
      <c r="R21" s="2"/>
      <c r="S21" s="2">
        <f t="shared" si="4"/>
        <v>36.296199999999999</v>
      </c>
      <c r="U21" s="1" t="s">
        <v>19</v>
      </c>
      <c r="V21" s="2">
        <f t="shared" si="3"/>
        <v>0</v>
      </c>
      <c r="W21" s="2">
        <f t="shared" si="1"/>
        <v>0</v>
      </c>
      <c r="X21" s="2">
        <f t="shared" si="1"/>
        <v>0</v>
      </c>
      <c r="Y21" s="2">
        <f t="shared" si="1"/>
        <v>0</v>
      </c>
    </row>
    <row r="22" spans="1:25">
      <c r="A22" s="1" t="s">
        <v>20</v>
      </c>
      <c r="B22" s="2">
        <f t="shared" si="2"/>
        <v>0</v>
      </c>
      <c r="C22" s="2">
        <f t="shared" si="0"/>
        <v>0</v>
      </c>
      <c r="D22" s="2">
        <f t="shared" si="0"/>
        <v>0</v>
      </c>
      <c r="E22" s="2">
        <f t="shared" si="0"/>
        <v>1798.4983524879278</v>
      </c>
      <c r="G22" s="2" t="s">
        <v>20</v>
      </c>
      <c r="H22" s="2" t="s">
        <v>44</v>
      </c>
      <c r="I22" s="2" t="s">
        <v>65</v>
      </c>
      <c r="J22" s="2"/>
      <c r="K22" s="2"/>
      <c r="L22" s="2"/>
      <c r="M22" s="2">
        <v>65278.655901572325</v>
      </c>
      <c r="N22" s="2"/>
      <c r="P22" s="2" t="s">
        <v>94</v>
      </c>
      <c r="Q22" s="2">
        <f>Q21</f>
        <v>36.296199999999999</v>
      </c>
      <c r="R22" s="2"/>
      <c r="S22" s="2">
        <f t="shared" si="4"/>
        <v>36.296199999999999</v>
      </c>
      <c r="U22" s="1" t="s">
        <v>20</v>
      </c>
      <c r="V22" s="2">
        <f t="shared" si="3"/>
        <v>0</v>
      </c>
      <c r="W22" s="2">
        <f t="shared" si="1"/>
        <v>0</v>
      </c>
      <c r="X22" s="2">
        <f t="shared" si="1"/>
        <v>0</v>
      </c>
      <c r="Y22" s="2">
        <f t="shared" si="1"/>
        <v>1798.4983524879278</v>
      </c>
    </row>
    <row r="23" spans="1:25">
      <c r="A23" s="1" t="s">
        <v>21</v>
      </c>
      <c r="B23" s="2">
        <f t="shared" si="2"/>
        <v>0</v>
      </c>
      <c r="C23" s="2">
        <f t="shared" si="0"/>
        <v>0</v>
      </c>
      <c r="D23" s="2">
        <f t="shared" si="0"/>
        <v>13.110148119785531</v>
      </c>
      <c r="E23" s="2">
        <f t="shared" si="0"/>
        <v>53.106014422951532</v>
      </c>
      <c r="G23" s="2" t="s">
        <v>21</v>
      </c>
      <c r="H23" s="2" t="s">
        <v>44</v>
      </c>
      <c r="I23" s="2" t="s">
        <v>60</v>
      </c>
      <c r="J23" s="2"/>
      <c r="K23" s="2"/>
      <c r="L23" s="2">
        <v>475.84855818535959</v>
      </c>
      <c r="M23" s="2">
        <v>1927.5465206983333</v>
      </c>
      <c r="N23" s="2"/>
      <c r="P23" s="2" t="s">
        <v>94</v>
      </c>
      <c r="Q23" s="2">
        <f>Q22</f>
        <v>36.296199999999999</v>
      </c>
      <c r="R23" s="2"/>
      <c r="S23" s="2">
        <f t="shared" si="4"/>
        <v>36.296199999999999</v>
      </c>
      <c r="U23" s="1" t="s">
        <v>21</v>
      </c>
      <c r="V23" s="2">
        <f t="shared" si="3"/>
        <v>0</v>
      </c>
      <c r="W23" s="2">
        <f t="shared" si="1"/>
        <v>0</v>
      </c>
      <c r="X23" s="2">
        <f t="shared" si="1"/>
        <v>13.110148119785531</v>
      </c>
      <c r="Y23" s="2">
        <f t="shared" si="1"/>
        <v>53.106014422951532</v>
      </c>
    </row>
    <row r="24" spans="1:25">
      <c r="A24" s="1" t="s">
        <v>22</v>
      </c>
      <c r="B24" s="2">
        <f t="shared" si="2"/>
        <v>0</v>
      </c>
      <c r="C24" s="2">
        <f t="shared" si="0"/>
        <v>16356.116347525511</v>
      </c>
      <c r="D24" s="2">
        <f t="shared" si="0"/>
        <v>0</v>
      </c>
      <c r="E24" s="2">
        <f t="shared" si="0"/>
        <v>0</v>
      </c>
      <c r="G24" s="2" t="s">
        <v>22</v>
      </c>
      <c r="H24" s="2" t="s">
        <v>66</v>
      </c>
      <c r="I24" s="2" t="s">
        <v>67</v>
      </c>
      <c r="J24" s="2"/>
      <c r="K24" s="2">
        <v>797484.97842610977</v>
      </c>
      <c r="L24" s="2"/>
      <c r="M24" s="2"/>
      <c r="N24" s="2"/>
      <c r="P24" s="2" t="s">
        <v>96</v>
      </c>
      <c r="Q24" s="2">
        <v>48.757599999999996</v>
      </c>
      <c r="R24" s="2"/>
      <c r="S24" s="2">
        <f t="shared" si="4"/>
        <v>48.757599999999996</v>
      </c>
      <c r="U24" s="1" t="s">
        <v>22</v>
      </c>
      <c r="V24" s="2">
        <f t="shared" si="3"/>
        <v>0</v>
      </c>
      <c r="W24" s="2">
        <f t="shared" si="1"/>
        <v>16356.116347525511</v>
      </c>
      <c r="X24" s="2">
        <f t="shared" si="1"/>
        <v>0</v>
      </c>
      <c r="Y24" s="2">
        <f t="shared" si="1"/>
        <v>0</v>
      </c>
    </row>
    <row r="25" spans="1:25">
      <c r="A25" s="1" t="s">
        <v>23</v>
      </c>
      <c r="B25" s="2">
        <f t="shared" si="2"/>
        <v>0</v>
      </c>
      <c r="C25" s="2">
        <f t="shared" si="0"/>
        <v>514.82128028907528</v>
      </c>
      <c r="D25" s="2">
        <f t="shared" si="0"/>
        <v>177.72158710732404</v>
      </c>
      <c r="E25" s="2">
        <f t="shared" si="0"/>
        <v>0</v>
      </c>
      <c r="G25" s="2" t="s">
        <v>23</v>
      </c>
      <c r="H25" s="2" t="s">
        <v>66</v>
      </c>
      <c r="I25" s="2" t="s">
        <v>68</v>
      </c>
      <c r="J25" s="2"/>
      <c r="K25" s="2">
        <v>25101.450055822614</v>
      </c>
      <c r="L25" s="2">
        <v>8665.2780555440622</v>
      </c>
      <c r="M25" s="2"/>
      <c r="N25" s="2"/>
      <c r="P25" s="2" t="s">
        <v>96</v>
      </c>
      <c r="Q25" s="2">
        <f>Q24</f>
        <v>48.757599999999996</v>
      </c>
      <c r="R25" s="2"/>
      <c r="S25" s="2">
        <f t="shared" si="4"/>
        <v>48.757599999999996</v>
      </c>
      <c r="U25" s="1" t="s">
        <v>23</v>
      </c>
      <c r="V25" s="2">
        <f t="shared" si="3"/>
        <v>0</v>
      </c>
      <c r="W25" s="2">
        <f t="shared" si="1"/>
        <v>514.82128028907528</v>
      </c>
      <c r="X25" s="2">
        <f t="shared" si="1"/>
        <v>177.72158710732404</v>
      </c>
      <c r="Y25" s="2">
        <f t="shared" si="1"/>
        <v>0</v>
      </c>
    </row>
    <row r="26" spans="1:25">
      <c r="A26" s="1" t="s">
        <v>24</v>
      </c>
      <c r="B26" s="2">
        <f t="shared" si="2"/>
        <v>0</v>
      </c>
      <c r="C26" s="2">
        <f t="shared" si="0"/>
        <v>329.68381218067503</v>
      </c>
      <c r="D26" s="2">
        <f t="shared" si="0"/>
        <v>80.894639099888053</v>
      </c>
      <c r="E26" s="2">
        <f t="shared" si="0"/>
        <v>0</v>
      </c>
      <c r="G26" s="2" t="s">
        <v>24</v>
      </c>
      <c r="H26" s="2" t="s">
        <v>66</v>
      </c>
      <c r="I26" s="2" t="s">
        <v>69</v>
      </c>
      <c r="J26" s="2"/>
      <c r="K26" s="2">
        <v>16074.591440780479</v>
      </c>
      <c r="L26" s="2">
        <v>3944.2284553767017</v>
      </c>
      <c r="M26" s="2"/>
      <c r="N26" s="2">
        <v>322129.70942834526</v>
      </c>
      <c r="P26" s="2" t="s">
        <v>96</v>
      </c>
      <c r="Q26" s="2">
        <f>Q25</f>
        <v>48.757599999999996</v>
      </c>
      <c r="R26" s="2"/>
      <c r="S26" s="2">
        <f t="shared" si="4"/>
        <v>48.757599999999996</v>
      </c>
      <c r="U26" s="1" t="s">
        <v>24</v>
      </c>
      <c r="V26" s="2">
        <f t="shared" si="3"/>
        <v>0</v>
      </c>
      <c r="W26" s="2">
        <f t="shared" si="1"/>
        <v>329.68381218067503</v>
      </c>
      <c r="X26" s="2">
        <f t="shared" si="1"/>
        <v>80.894639099888053</v>
      </c>
      <c r="Y26" s="2">
        <f t="shared" si="1"/>
        <v>0</v>
      </c>
    </row>
    <row r="27" spans="1:25">
      <c r="A27" s="1" t="s">
        <v>25</v>
      </c>
      <c r="B27" s="2">
        <f t="shared" si="2"/>
        <v>208.18263647296996</v>
      </c>
      <c r="C27" s="2">
        <f t="shared" si="0"/>
        <v>0</v>
      </c>
      <c r="D27" s="2">
        <f t="shared" si="0"/>
        <v>0</v>
      </c>
      <c r="E27" s="2">
        <f t="shared" si="0"/>
        <v>0</v>
      </c>
      <c r="G27" s="2" t="s">
        <v>25</v>
      </c>
      <c r="H27" s="2" t="s">
        <v>66</v>
      </c>
      <c r="I27" s="2" t="s">
        <v>70</v>
      </c>
      <c r="J27" s="2">
        <v>10150.485716094479</v>
      </c>
      <c r="K27" s="2"/>
      <c r="L27" s="2"/>
      <c r="M27" s="2"/>
      <c r="N27" s="2"/>
      <c r="P27" s="2" t="s">
        <v>96</v>
      </c>
      <c r="Q27" s="2">
        <f>Q26</f>
        <v>48.757599999999996</v>
      </c>
      <c r="R27" s="2"/>
      <c r="S27" s="2">
        <f t="shared" si="4"/>
        <v>48.757599999999996</v>
      </c>
      <c r="U27" s="1" t="s">
        <v>25</v>
      </c>
      <c r="V27" s="2">
        <f t="shared" si="3"/>
        <v>208.18263647296996</v>
      </c>
      <c r="W27" s="2">
        <f t="shared" si="1"/>
        <v>0</v>
      </c>
      <c r="X27" s="2">
        <f t="shared" si="1"/>
        <v>0</v>
      </c>
      <c r="Y27" s="2">
        <f t="shared" si="1"/>
        <v>0</v>
      </c>
    </row>
    <row r="28" spans="1:25">
      <c r="A28" s="1" t="s">
        <v>26</v>
      </c>
      <c r="B28" s="2">
        <f t="shared" si="2"/>
        <v>164.26036968537022</v>
      </c>
      <c r="C28" s="2">
        <f t="shared" si="2"/>
        <v>0</v>
      </c>
      <c r="D28" s="2">
        <f t="shared" si="2"/>
        <v>0</v>
      </c>
      <c r="E28" s="2">
        <f t="shared" si="2"/>
        <v>0</v>
      </c>
      <c r="G28" s="2" t="s">
        <v>26</v>
      </c>
      <c r="H28" s="2" t="s">
        <v>66</v>
      </c>
      <c r="I28" s="2" t="s">
        <v>71</v>
      </c>
      <c r="J28" s="2">
        <v>8008.9414009714064</v>
      </c>
      <c r="K28" s="2"/>
      <c r="L28" s="2"/>
      <c r="M28" s="2"/>
      <c r="N28" s="2"/>
      <c r="P28" s="2" t="s">
        <v>96</v>
      </c>
      <c r="Q28" s="2">
        <f>Q27</f>
        <v>48.757599999999996</v>
      </c>
      <c r="R28" s="2"/>
      <c r="S28" s="2">
        <f t="shared" si="4"/>
        <v>48.757599999999996</v>
      </c>
      <c r="U28" s="1" t="s">
        <v>26</v>
      </c>
      <c r="V28" s="2">
        <f t="shared" si="3"/>
        <v>164.26036968537022</v>
      </c>
      <c r="W28" s="2">
        <f t="shared" si="3"/>
        <v>0</v>
      </c>
      <c r="X28" s="2">
        <f t="shared" si="3"/>
        <v>0</v>
      </c>
      <c r="Y28" s="2">
        <f t="shared" si="3"/>
        <v>0</v>
      </c>
    </row>
    <row r="29" spans="1:25">
      <c r="A29" s="1" t="s">
        <v>27</v>
      </c>
      <c r="B29" s="2">
        <f t="shared" si="2"/>
        <v>0</v>
      </c>
      <c r="C29" s="2">
        <f t="shared" si="2"/>
        <v>0</v>
      </c>
      <c r="D29" s="2">
        <f t="shared" si="2"/>
        <v>4492.7238616396426</v>
      </c>
      <c r="E29" s="2">
        <f t="shared" si="2"/>
        <v>0</v>
      </c>
      <c r="G29" s="2" t="s">
        <v>27</v>
      </c>
      <c r="H29" s="2" t="s">
        <v>55</v>
      </c>
      <c r="I29" s="2" t="s">
        <v>72</v>
      </c>
      <c r="J29" s="2"/>
      <c r="K29" s="2"/>
      <c r="L29" s="2">
        <v>219054.43295628103</v>
      </c>
      <c r="M29" s="2"/>
      <c r="N29" s="2"/>
      <c r="P29" s="2" t="s">
        <v>96</v>
      </c>
      <c r="Q29" s="2">
        <f>Q28</f>
        <v>48.757599999999996</v>
      </c>
      <c r="R29" s="2"/>
      <c r="S29" s="2">
        <f t="shared" si="4"/>
        <v>48.757599999999996</v>
      </c>
      <c r="U29" s="1" t="s">
        <v>27</v>
      </c>
      <c r="V29" s="2">
        <f t="shared" si="3"/>
        <v>0</v>
      </c>
      <c r="W29" s="2">
        <f t="shared" si="3"/>
        <v>0</v>
      </c>
      <c r="X29" s="2">
        <f t="shared" si="3"/>
        <v>4492.7238616396426</v>
      </c>
      <c r="Y29" s="2">
        <f t="shared" si="3"/>
        <v>0</v>
      </c>
    </row>
    <row r="30" spans="1:25">
      <c r="A30" s="1" t="s">
        <v>28</v>
      </c>
      <c r="B30" s="2">
        <f t="shared" si="2"/>
        <v>0</v>
      </c>
      <c r="C30" s="2">
        <f t="shared" si="2"/>
        <v>0</v>
      </c>
      <c r="D30" s="2">
        <f t="shared" si="2"/>
        <v>582.39895478782898</v>
      </c>
      <c r="E30" s="2">
        <f t="shared" si="2"/>
        <v>0</v>
      </c>
      <c r="G30" s="2" t="s">
        <v>28</v>
      </c>
      <c r="H30" s="2" t="s">
        <v>66</v>
      </c>
      <c r="I30" s="2" t="s">
        <v>73</v>
      </c>
      <c r="J30" s="2"/>
      <c r="K30" s="2"/>
      <c r="L30" s="2">
        <v>28396.375277963049</v>
      </c>
      <c r="M30" s="2"/>
      <c r="N30" s="2"/>
      <c r="P30" s="2" t="s">
        <v>96</v>
      </c>
      <c r="Q30" s="2">
        <f>Q29</f>
        <v>48.757599999999996</v>
      </c>
      <c r="R30" s="2"/>
      <c r="S30" s="2">
        <f t="shared" si="4"/>
        <v>48.757599999999996</v>
      </c>
      <c r="U30" s="1" t="s">
        <v>28</v>
      </c>
      <c r="V30" s="2">
        <f t="shared" si="3"/>
        <v>0</v>
      </c>
      <c r="W30" s="2">
        <f t="shared" si="3"/>
        <v>0</v>
      </c>
      <c r="X30" s="2">
        <f t="shared" si="3"/>
        <v>582.39895478782898</v>
      </c>
      <c r="Y30" s="2">
        <f t="shared" si="3"/>
        <v>0</v>
      </c>
    </row>
    <row r="31" spans="1:25">
      <c r="A31" s="1" t="s">
        <v>29</v>
      </c>
      <c r="B31" s="2">
        <f t="shared" si="2"/>
        <v>0</v>
      </c>
      <c r="C31" s="2">
        <f t="shared" si="2"/>
        <v>0</v>
      </c>
      <c r="D31" s="2">
        <f t="shared" si="2"/>
        <v>30.608014702491584</v>
      </c>
      <c r="E31" s="2">
        <f t="shared" si="2"/>
        <v>0</v>
      </c>
      <c r="G31" s="2" t="s">
        <v>29</v>
      </c>
      <c r="H31" s="2" t="s">
        <v>66</v>
      </c>
      <c r="I31" s="2" t="s">
        <v>74</v>
      </c>
      <c r="J31" s="2"/>
      <c r="K31" s="2"/>
      <c r="L31" s="2">
        <v>1492.3733376582036</v>
      </c>
      <c r="M31" s="2"/>
      <c r="N31" s="2"/>
      <c r="P31" s="2" t="s">
        <v>96</v>
      </c>
      <c r="Q31" s="2">
        <f>Q30</f>
        <v>48.757599999999996</v>
      </c>
      <c r="R31" s="2"/>
      <c r="S31" s="2">
        <f t="shared" si="4"/>
        <v>48.757599999999996</v>
      </c>
      <c r="U31" s="1" t="s">
        <v>29</v>
      </c>
      <c r="V31" s="2">
        <f t="shared" si="3"/>
        <v>0</v>
      </c>
      <c r="W31" s="2">
        <f t="shared" si="3"/>
        <v>0</v>
      </c>
      <c r="X31" s="2">
        <f t="shared" si="3"/>
        <v>30.608014702491584</v>
      </c>
      <c r="Y31" s="2">
        <f t="shared" si="3"/>
        <v>0</v>
      </c>
    </row>
    <row r="32" spans="1:25">
      <c r="A32" s="1" t="s">
        <v>30</v>
      </c>
      <c r="B32" s="2">
        <f t="shared" si="2"/>
        <v>0</v>
      </c>
      <c r="C32" s="2">
        <f t="shared" si="2"/>
        <v>453.08557980786185</v>
      </c>
      <c r="D32" s="2">
        <f t="shared" si="2"/>
        <v>0</v>
      </c>
      <c r="E32" s="2">
        <f t="shared" si="2"/>
        <v>0</v>
      </c>
      <c r="G32" s="2" t="s">
        <v>30</v>
      </c>
      <c r="H32" s="2" t="s">
        <v>66</v>
      </c>
      <c r="I32" s="2" t="s">
        <v>75</v>
      </c>
      <c r="J32" s="2"/>
      <c r="K32" s="2">
        <v>22091.365466039802</v>
      </c>
      <c r="L32" s="2"/>
      <c r="M32" s="2"/>
      <c r="N32" s="2"/>
      <c r="P32" s="2" t="s">
        <v>96</v>
      </c>
      <c r="Q32" s="2">
        <f>Q31</f>
        <v>48.757599999999996</v>
      </c>
      <c r="R32" s="2"/>
      <c r="S32" s="2">
        <f t="shared" si="4"/>
        <v>48.757599999999996</v>
      </c>
      <c r="U32" s="1" t="s">
        <v>30</v>
      </c>
      <c r="V32" s="2">
        <f t="shared" si="3"/>
        <v>0</v>
      </c>
      <c r="W32" s="2">
        <f t="shared" si="3"/>
        <v>453.08557980786185</v>
      </c>
      <c r="X32" s="2">
        <f t="shared" si="3"/>
        <v>0</v>
      </c>
      <c r="Y32" s="2">
        <f t="shared" si="3"/>
        <v>0</v>
      </c>
    </row>
    <row r="33" spans="1:25">
      <c r="A33" s="1" t="s">
        <v>31</v>
      </c>
      <c r="B33" s="2">
        <f t="shared" si="2"/>
        <v>0</v>
      </c>
      <c r="C33" s="2">
        <f t="shared" si="2"/>
        <v>332.59719108488753</v>
      </c>
      <c r="D33" s="2">
        <f t="shared" si="2"/>
        <v>0</v>
      </c>
      <c r="E33" s="2">
        <f t="shared" si="2"/>
        <v>0</v>
      </c>
      <c r="G33" s="2" t="s">
        <v>31</v>
      </c>
      <c r="H33" s="2" t="s">
        <v>76</v>
      </c>
      <c r="I33" s="2" t="s">
        <v>77</v>
      </c>
      <c r="J33" s="2"/>
      <c r="K33" s="2">
        <v>178578.4164344889</v>
      </c>
      <c r="L33" s="2"/>
      <c r="M33" s="2"/>
      <c r="N33" s="2"/>
      <c r="P33" s="2" t="s">
        <v>97</v>
      </c>
      <c r="Q33" s="2">
        <v>536.92100000000005</v>
      </c>
      <c r="R33" s="2"/>
      <c r="S33" s="2">
        <f t="shared" si="4"/>
        <v>536.92100000000005</v>
      </c>
      <c r="U33" s="1" t="s">
        <v>31</v>
      </c>
      <c r="V33" s="2">
        <f t="shared" si="3"/>
        <v>0</v>
      </c>
      <c r="W33" s="2">
        <f t="shared" si="3"/>
        <v>332.59719108488753</v>
      </c>
      <c r="X33" s="2">
        <f t="shared" si="3"/>
        <v>0</v>
      </c>
      <c r="Y33" s="2">
        <f t="shared" si="3"/>
        <v>0</v>
      </c>
    </row>
    <row r="34" spans="1:25">
      <c r="A34" s="1" t="s">
        <v>32</v>
      </c>
      <c r="B34" s="2">
        <f t="shared" si="2"/>
        <v>0</v>
      </c>
      <c r="C34" s="2">
        <f t="shared" si="2"/>
        <v>4.4984430959282538</v>
      </c>
      <c r="D34" s="2">
        <f t="shared" si="2"/>
        <v>3.1930913046990606</v>
      </c>
      <c r="E34" s="2">
        <f t="shared" si="2"/>
        <v>0</v>
      </c>
      <c r="G34" s="2" t="s">
        <v>32</v>
      </c>
      <c r="H34" s="2" t="s">
        <v>76</v>
      </c>
      <c r="I34" s="2" t="s">
        <v>78</v>
      </c>
      <c r="J34" s="2"/>
      <c r="K34" s="2">
        <v>2415.3085655088944</v>
      </c>
      <c r="L34" s="2">
        <v>1714.4377764103244</v>
      </c>
      <c r="M34" s="2"/>
      <c r="N34" s="2"/>
      <c r="P34" s="2" t="s">
        <v>97</v>
      </c>
      <c r="Q34" s="2">
        <f>Q33</f>
        <v>536.92100000000005</v>
      </c>
      <c r="R34" s="2"/>
      <c r="S34" s="2">
        <f t="shared" si="4"/>
        <v>536.92100000000005</v>
      </c>
      <c r="U34" s="1" t="s">
        <v>32</v>
      </c>
      <c r="V34" s="2">
        <f t="shared" si="3"/>
        <v>0</v>
      </c>
      <c r="W34" s="2">
        <f t="shared" si="3"/>
        <v>4.4984430959282538</v>
      </c>
      <c r="X34" s="2">
        <f t="shared" si="3"/>
        <v>3.1930913046990606</v>
      </c>
      <c r="Y34" s="2">
        <f t="shared" si="3"/>
        <v>0</v>
      </c>
    </row>
    <row r="35" spans="1:25">
      <c r="A35" s="1" t="s">
        <v>33</v>
      </c>
      <c r="B35" s="2">
        <f t="shared" si="2"/>
        <v>1.6265985416059201</v>
      </c>
      <c r="C35" s="2">
        <f t="shared" si="2"/>
        <v>3.7035416319356878</v>
      </c>
      <c r="D35" s="2">
        <f t="shared" si="2"/>
        <v>0.18218153446878285</v>
      </c>
      <c r="E35" s="2">
        <f t="shared" si="2"/>
        <v>0</v>
      </c>
      <c r="G35" s="2" t="s">
        <v>33</v>
      </c>
      <c r="H35" s="2" t="s">
        <v>76</v>
      </c>
      <c r="I35" s="2" t="s">
        <v>57</v>
      </c>
      <c r="J35" s="2">
        <v>873.35491555759234</v>
      </c>
      <c r="K35" s="2">
        <v>1988.5092765605416</v>
      </c>
      <c r="L35" s="2">
        <v>97.81709166851337</v>
      </c>
      <c r="M35" s="2"/>
      <c r="N35" s="2"/>
      <c r="P35" s="2" t="s">
        <v>97</v>
      </c>
      <c r="Q35" s="2">
        <f>Q33</f>
        <v>536.92100000000005</v>
      </c>
      <c r="R35" s="2"/>
      <c r="S35" s="2">
        <f t="shared" si="4"/>
        <v>536.92100000000005</v>
      </c>
      <c r="U35" s="1" t="s">
        <v>33</v>
      </c>
      <c r="V35" s="2">
        <f t="shared" si="3"/>
        <v>1.6265985416059201</v>
      </c>
      <c r="W35" s="2">
        <f t="shared" si="3"/>
        <v>3.7035416319356878</v>
      </c>
      <c r="X35" s="2">
        <f t="shared" si="3"/>
        <v>0.18218153446878285</v>
      </c>
      <c r="Y35" s="2">
        <f t="shared" si="3"/>
        <v>0</v>
      </c>
    </row>
    <row r="36" spans="1:25">
      <c r="A36" s="1" t="s">
        <v>34</v>
      </c>
      <c r="B36" s="2">
        <f t="shared" si="2"/>
        <v>0</v>
      </c>
      <c r="C36" s="2">
        <f t="shared" si="2"/>
        <v>340.36088624254552</v>
      </c>
      <c r="D36" s="2">
        <f t="shared" si="2"/>
        <v>17.359920843673887</v>
      </c>
      <c r="E36" s="2">
        <f t="shared" si="2"/>
        <v>0</v>
      </c>
      <c r="G36" s="2" t="s">
        <v>34</v>
      </c>
      <c r="H36" s="2" t="s">
        <v>76</v>
      </c>
      <c r="I36" s="2" t="s">
        <v>79</v>
      </c>
      <c r="J36" s="2"/>
      <c r="K36" s="2">
        <v>182746.9074022338</v>
      </c>
      <c r="L36" s="2">
        <v>9320.9060593062277</v>
      </c>
      <c r="M36" s="2"/>
      <c r="N36" s="2"/>
      <c r="P36" s="2" t="s">
        <v>97</v>
      </c>
      <c r="Q36" s="2">
        <f>Q33</f>
        <v>536.92100000000005</v>
      </c>
      <c r="R36" s="2"/>
      <c r="S36" s="2">
        <f t="shared" si="4"/>
        <v>536.92100000000005</v>
      </c>
      <c r="U36" s="1" t="s">
        <v>34</v>
      </c>
      <c r="V36" s="2">
        <f t="shared" si="3"/>
        <v>0</v>
      </c>
      <c r="W36" s="2">
        <f t="shared" si="3"/>
        <v>340.36088624254552</v>
      </c>
      <c r="X36" s="2">
        <f t="shared" si="3"/>
        <v>17.359920843673887</v>
      </c>
      <c r="Y36" s="2">
        <f t="shared" si="3"/>
        <v>0</v>
      </c>
    </row>
    <row r="37" spans="1:25">
      <c r="A37" s="1" t="s">
        <v>35</v>
      </c>
      <c r="B37" s="2">
        <f t="shared" si="2"/>
        <v>0</v>
      </c>
      <c r="C37" s="2">
        <f t="shared" si="2"/>
        <v>0</v>
      </c>
      <c r="D37" s="2">
        <f t="shared" si="2"/>
        <v>28.48758899367553</v>
      </c>
      <c r="E37" s="2">
        <f t="shared" si="2"/>
        <v>0</v>
      </c>
      <c r="G37" s="2" t="s">
        <v>35</v>
      </c>
      <c r="H37" s="2" t="s">
        <v>55</v>
      </c>
      <c r="I37" s="2" t="s">
        <v>80</v>
      </c>
      <c r="J37" s="2"/>
      <c r="K37" s="2"/>
      <c r="L37" s="2">
        <v>15295.584770073261</v>
      </c>
      <c r="M37" s="2"/>
      <c r="N37" s="2"/>
      <c r="P37" s="2" t="s">
        <v>97</v>
      </c>
      <c r="Q37" s="2">
        <f>Q33</f>
        <v>536.92100000000005</v>
      </c>
      <c r="R37" s="2"/>
      <c r="S37" s="2">
        <f t="shared" si="4"/>
        <v>536.92100000000005</v>
      </c>
      <c r="U37" s="1" t="s">
        <v>35</v>
      </c>
      <c r="V37" s="2">
        <f t="shared" si="3"/>
        <v>0</v>
      </c>
      <c r="W37" s="2">
        <f t="shared" si="3"/>
        <v>0</v>
      </c>
      <c r="X37" s="2">
        <f t="shared" si="3"/>
        <v>28.48758899367553</v>
      </c>
      <c r="Y37" s="2">
        <f t="shared" si="3"/>
        <v>0</v>
      </c>
    </row>
    <row r="38" spans="1:25">
      <c r="A38" s="1" t="s">
        <v>36</v>
      </c>
      <c r="B38" s="2">
        <f t="shared" si="2"/>
        <v>0</v>
      </c>
      <c r="C38" s="2">
        <f t="shared" si="2"/>
        <v>0</v>
      </c>
      <c r="D38" s="2">
        <f t="shared" si="2"/>
        <v>0</v>
      </c>
      <c r="E38" s="2">
        <f t="shared" si="2"/>
        <v>0</v>
      </c>
      <c r="G38" s="2" t="s">
        <v>36</v>
      </c>
      <c r="H38" s="2" t="s">
        <v>55</v>
      </c>
      <c r="I38" s="2" t="s">
        <v>81</v>
      </c>
      <c r="J38" s="2"/>
      <c r="K38" s="2"/>
      <c r="L38" s="2"/>
      <c r="M38" s="2"/>
      <c r="N38" s="2"/>
      <c r="P38" s="2" t="s">
        <v>97</v>
      </c>
      <c r="Q38" s="2">
        <f>Q33</f>
        <v>536.92100000000005</v>
      </c>
      <c r="R38" s="2"/>
      <c r="S38" s="2">
        <f t="shared" si="4"/>
        <v>536.92100000000005</v>
      </c>
      <c r="U38" s="1" t="s">
        <v>36</v>
      </c>
      <c r="V38" s="2">
        <f t="shared" si="3"/>
        <v>0</v>
      </c>
      <c r="W38" s="2">
        <f t="shared" si="3"/>
        <v>0</v>
      </c>
      <c r="X38" s="2">
        <f t="shared" si="3"/>
        <v>0</v>
      </c>
      <c r="Y38" s="2">
        <f t="shared" si="3"/>
        <v>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38"/>
  <sheetViews>
    <sheetView zoomScale="70" zoomScaleNormal="70" workbookViewId="0">
      <selection activeCell="L46" sqref="L46"/>
    </sheetView>
  </sheetViews>
  <sheetFormatPr defaultRowHeight="14.4"/>
  <cols>
    <col min="1" max="1" width="13.33203125" bestFit="1" customWidth="1"/>
    <col min="7" max="7" width="33.44140625" bestFit="1" customWidth="1"/>
    <col min="8" max="8" width="15.21875" bestFit="1" customWidth="1"/>
    <col min="9" max="9" width="34" bestFit="1" customWidth="1"/>
    <col min="10" max="14" width="12" bestFit="1" customWidth="1"/>
    <col min="16" max="16" width="73.109375" bestFit="1" customWidth="1"/>
  </cols>
  <sheetData>
    <row r="1" spans="1:25">
      <c r="A1" s="2"/>
      <c r="B1" s="3" t="s">
        <v>37</v>
      </c>
      <c r="C1" s="3" t="s">
        <v>38</v>
      </c>
      <c r="D1" s="3" t="s">
        <v>39</v>
      </c>
      <c r="E1" s="3" t="s">
        <v>40</v>
      </c>
      <c r="G1" s="7" t="s">
        <v>84</v>
      </c>
      <c r="H1" s="7" t="s">
        <v>85</v>
      </c>
      <c r="I1" s="7" t="s">
        <v>86</v>
      </c>
      <c r="J1" s="7" t="s">
        <v>37</v>
      </c>
      <c r="K1" s="7" t="s">
        <v>38</v>
      </c>
      <c r="L1" s="7" t="s">
        <v>39</v>
      </c>
      <c r="M1" s="7" t="s">
        <v>83</v>
      </c>
      <c r="N1" s="7" t="s">
        <v>82</v>
      </c>
      <c r="P1" s="8" t="s">
        <v>98</v>
      </c>
      <c r="Q1" s="10" t="s">
        <v>100</v>
      </c>
      <c r="R1" s="10" t="s">
        <v>101</v>
      </c>
      <c r="S1" s="10" t="s">
        <v>102</v>
      </c>
      <c r="U1" s="2"/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1" t="s">
        <v>0</v>
      </c>
      <c r="B2" s="6"/>
      <c r="C2" s="6"/>
      <c r="D2" s="6"/>
      <c r="E2" s="6"/>
      <c r="G2" s="2" t="s">
        <v>0</v>
      </c>
      <c r="H2" s="2" t="s">
        <v>41</v>
      </c>
      <c r="I2" s="2" t="s">
        <v>42</v>
      </c>
      <c r="J2" s="2">
        <v>800865.9756762638</v>
      </c>
      <c r="K2" s="2">
        <v>2282.5102628073882</v>
      </c>
      <c r="L2" s="2">
        <v>5854.8815853934357</v>
      </c>
      <c r="M2" s="2"/>
      <c r="N2" s="2">
        <v>190330.05814496049</v>
      </c>
      <c r="P2" s="2"/>
      <c r="Q2" s="2"/>
      <c r="R2" s="2"/>
      <c r="S2" s="2"/>
      <c r="U2" s="1" t="s">
        <v>0</v>
      </c>
      <c r="V2" s="6"/>
      <c r="W2" s="6"/>
      <c r="X2" s="6"/>
      <c r="Y2" s="6"/>
    </row>
    <row r="3" spans="1:25">
      <c r="A3" s="1" t="s">
        <v>1</v>
      </c>
      <c r="B3" s="6"/>
      <c r="C3" s="6"/>
      <c r="D3" s="6"/>
      <c r="E3" s="6"/>
      <c r="G3" s="2" t="s">
        <v>1</v>
      </c>
      <c r="H3" s="2" t="s">
        <v>41</v>
      </c>
      <c r="I3" s="2" t="s">
        <v>43</v>
      </c>
      <c r="J3" s="2">
        <v>168883.85325961726</v>
      </c>
      <c r="K3" s="2">
        <v>116.99519852524298</v>
      </c>
      <c r="L3" s="2">
        <v>105.26549674073527</v>
      </c>
      <c r="M3" s="2"/>
      <c r="N3" s="2">
        <v>1299.681932588436</v>
      </c>
      <c r="P3" s="2"/>
      <c r="Q3" s="2"/>
      <c r="R3" s="2"/>
      <c r="S3" s="2"/>
      <c r="U3" s="1" t="s">
        <v>1</v>
      </c>
      <c r="V3" s="6"/>
      <c r="W3" s="6"/>
      <c r="X3" s="6"/>
      <c r="Y3" s="6"/>
    </row>
    <row r="4" spans="1:25">
      <c r="A4" s="1" t="s">
        <v>2</v>
      </c>
      <c r="B4" s="6"/>
      <c r="C4" s="6"/>
      <c r="D4" s="6"/>
      <c r="E4" s="6"/>
      <c r="G4" s="2" t="s">
        <v>2</v>
      </c>
      <c r="H4" s="2" t="s">
        <v>44</v>
      </c>
      <c r="I4" s="2" t="s">
        <v>45</v>
      </c>
      <c r="J4" s="2">
        <v>391902.82630719314</v>
      </c>
      <c r="K4" s="2">
        <v>1233.1947229719647</v>
      </c>
      <c r="L4" s="2">
        <v>1645.0801844982143</v>
      </c>
      <c r="M4" s="2"/>
      <c r="N4" s="2">
        <v>139076.95588722071</v>
      </c>
      <c r="P4" s="2"/>
      <c r="Q4" s="2"/>
      <c r="R4" s="2"/>
      <c r="S4" s="2"/>
      <c r="U4" s="1" t="s">
        <v>2</v>
      </c>
      <c r="V4" s="6"/>
      <c r="W4" s="6"/>
      <c r="X4" s="6"/>
      <c r="Y4" s="6"/>
    </row>
    <row r="5" spans="1:25">
      <c r="A5" s="1" t="s">
        <v>3</v>
      </c>
      <c r="B5" s="6"/>
      <c r="C5" s="6"/>
      <c r="D5" s="6"/>
      <c r="E5" s="6"/>
      <c r="G5" s="2" t="s">
        <v>3</v>
      </c>
      <c r="H5" s="2" t="s">
        <v>46</v>
      </c>
      <c r="I5" s="2" t="s">
        <v>47</v>
      </c>
      <c r="J5" s="2">
        <v>26358.481173940265</v>
      </c>
      <c r="K5" s="2">
        <v>5.1617264241782905</v>
      </c>
      <c r="L5" s="2">
        <v>195.40821462960741</v>
      </c>
      <c r="M5" s="2"/>
      <c r="N5" s="2"/>
      <c r="P5" s="2"/>
      <c r="Q5" s="2"/>
      <c r="R5" s="2"/>
      <c r="S5" s="2"/>
      <c r="U5" s="1" t="s">
        <v>3</v>
      </c>
      <c r="V5" s="6"/>
      <c r="W5" s="6"/>
      <c r="X5" s="6"/>
      <c r="Y5" s="6"/>
    </row>
    <row r="6" spans="1:25">
      <c r="A6" s="1" t="s">
        <v>4</v>
      </c>
      <c r="B6" s="6"/>
      <c r="C6" s="6"/>
      <c r="D6" s="6"/>
      <c r="E6" s="6"/>
      <c r="G6" s="2" t="s">
        <v>4</v>
      </c>
      <c r="H6" s="2" t="s">
        <v>46</v>
      </c>
      <c r="I6" s="2" t="s">
        <v>48</v>
      </c>
      <c r="J6" s="2">
        <v>832263.52156614524</v>
      </c>
      <c r="K6" s="2">
        <v>1789.7746281385218</v>
      </c>
      <c r="L6" s="2">
        <v>7389.141677015501</v>
      </c>
      <c r="M6" s="2"/>
      <c r="N6" s="2">
        <v>46293.750882074142</v>
      </c>
      <c r="P6" s="2"/>
      <c r="Q6" s="2"/>
      <c r="R6" s="2"/>
      <c r="S6" s="2"/>
      <c r="U6" s="1" t="s">
        <v>4</v>
      </c>
      <c r="V6" s="6"/>
      <c r="W6" s="6"/>
      <c r="X6" s="6"/>
      <c r="Y6" s="6"/>
    </row>
    <row r="7" spans="1:25">
      <c r="A7" s="1" t="s">
        <v>5</v>
      </c>
      <c r="B7" s="6"/>
      <c r="C7" s="6"/>
      <c r="D7" s="6"/>
      <c r="E7" s="6"/>
      <c r="G7" s="2" t="s">
        <v>5</v>
      </c>
      <c r="H7" s="2" t="s">
        <v>46</v>
      </c>
      <c r="I7" s="2" t="s">
        <v>49</v>
      </c>
      <c r="J7" s="2">
        <v>4786.0727360162582</v>
      </c>
      <c r="K7" s="2">
        <v>7.558330074012483</v>
      </c>
      <c r="L7" s="2">
        <v>485.72246662592141</v>
      </c>
      <c r="M7" s="2"/>
      <c r="N7" s="2">
        <v>77.525977650833084</v>
      </c>
      <c r="P7" s="2"/>
      <c r="Q7" s="2"/>
      <c r="R7" s="2"/>
      <c r="S7" s="2"/>
      <c r="U7" s="1" t="s">
        <v>5</v>
      </c>
      <c r="V7" s="6"/>
      <c r="W7" s="6"/>
      <c r="X7" s="6"/>
      <c r="Y7" s="6"/>
    </row>
    <row r="8" spans="1:25">
      <c r="A8" s="1" t="s">
        <v>6</v>
      </c>
      <c r="B8" s="6"/>
      <c r="C8" s="6"/>
      <c r="D8" s="6"/>
      <c r="E8" s="6"/>
      <c r="G8" s="2" t="s">
        <v>6</v>
      </c>
      <c r="H8" s="2" t="s">
        <v>46</v>
      </c>
      <c r="I8" s="2" t="s">
        <v>50</v>
      </c>
      <c r="J8" s="2">
        <v>19961.588983082209</v>
      </c>
      <c r="K8" s="2">
        <v>52.181079334314937</v>
      </c>
      <c r="L8" s="2">
        <v>140.88654478526354</v>
      </c>
      <c r="M8" s="2"/>
      <c r="N8" s="2">
        <v>62.465062249320404</v>
      </c>
      <c r="P8" s="2"/>
      <c r="Q8" s="2"/>
      <c r="R8" s="2"/>
      <c r="S8" s="2"/>
      <c r="U8" s="1" t="s">
        <v>6</v>
      </c>
      <c r="V8" s="6"/>
      <c r="W8" s="6"/>
      <c r="X8" s="6"/>
      <c r="Y8" s="6"/>
    </row>
    <row r="9" spans="1:25">
      <c r="A9" s="1" t="s">
        <v>7</v>
      </c>
      <c r="B9" s="6"/>
      <c r="C9" s="6"/>
      <c r="D9" s="6"/>
      <c r="E9" s="6"/>
      <c r="G9" s="2" t="s">
        <v>7</v>
      </c>
      <c r="H9" s="2" t="s">
        <v>46</v>
      </c>
      <c r="I9" s="2" t="s">
        <v>51</v>
      </c>
      <c r="J9" s="2">
        <v>4018.4133143973995</v>
      </c>
      <c r="K9" s="2">
        <v>2.1696132882378394</v>
      </c>
      <c r="L9" s="2">
        <v>6.8065233568726899</v>
      </c>
      <c r="M9" s="2"/>
      <c r="N9" s="2">
        <v>13.889698220282449</v>
      </c>
      <c r="P9" s="2"/>
      <c r="Q9" s="2"/>
      <c r="R9" s="2"/>
      <c r="S9" s="2"/>
      <c r="U9" s="1" t="s">
        <v>7</v>
      </c>
      <c r="V9" s="6"/>
      <c r="W9" s="6"/>
      <c r="X9" s="6"/>
      <c r="Y9" s="6"/>
    </row>
    <row r="10" spans="1:25">
      <c r="A10" s="1" t="s">
        <v>8</v>
      </c>
      <c r="B10" s="6"/>
      <c r="C10" s="6"/>
      <c r="D10" s="6"/>
      <c r="E10" s="6"/>
      <c r="G10" s="2" t="s">
        <v>8</v>
      </c>
      <c r="H10" s="2" t="s">
        <v>52</v>
      </c>
      <c r="I10" s="2" t="s">
        <v>53</v>
      </c>
      <c r="J10" s="2">
        <v>559693.66086862353</v>
      </c>
      <c r="K10" s="2">
        <v>14969.796918983862</v>
      </c>
      <c r="L10" s="2">
        <v>6510.5006111637767</v>
      </c>
      <c r="M10" s="2"/>
      <c r="N10" s="2">
        <v>152849.83758387656</v>
      </c>
      <c r="P10" s="2"/>
      <c r="Q10" s="2"/>
      <c r="R10" s="2"/>
      <c r="S10" s="2"/>
      <c r="U10" s="1" t="s">
        <v>8</v>
      </c>
      <c r="V10" s="6"/>
      <c r="W10" s="6"/>
      <c r="X10" s="6"/>
      <c r="Y10" s="6"/>
    </row>
    <row r="11" spans="1:25">
      <c r="A11" s="1" t="s">
        <v>9</v>
      </c>
      <c r="B11" s="6"/>
      <c r="C11" s="6"/>
      <c r="D11" s="6"/>
      <c r="E11" s="6"/>
      <c r="G11" s="2" t="s">
        <v>9</v>
      </c>
      <c r="H11" s="2" t="s">
        <v>54</v>
      </c>
      <c r="I11" s="2" t="s">
        <v>55</v>
      </c>
      <c r="J11" s="2">
        <v>7819.06287460146</v>
      </c>
      <c r="K11" s="2">
        <v>53.105806489684575</v>
      </c>
      <c r="L11" s="2">
        <v>17.728957223187543</v>
      </c>
      <c r="M11" s="2"/>
      <c r="N11" s="2">
        <v>3.5730847405426829</v>
      </c>
      <c r="P11" s="2"/>
      <c r="Q11" s="2"/>
      <c r="R11" s="2"/>
      <c r="S11" s="2"/>
      <c r="U11" s="1" t="s">
        <v>9</v>
      </c>
      <c r="V11" s="6"/>
      <c r="W11" s="6"/>
      <c r="X11" s="6"/>
      <c r="Y11" s="6"/>
    </row>
    <row r="12" spans="1:25">
      <c r="A12" s="1" t="s">
        <v>10</v>
      </c>
      <c r="B12" s="2">
        <f>V12</f>
        <v>3243.9540392363792</v>
      </c>
      <c r="C12" s="2">
        <f t="shared" ref="C12:E27" si="0">W12</f>
        <v>2180.8748746241918</v>
      </c>
      <c r="D12" s="2">
        <f t="shared" si="0"/>
        <v>0.49169637831952412</v>
      </c>
      <c r="E12" s="2">
        <f t="shared" si="0"/>
        <v>0</v>
      </c>
      <c r="G12" s="2" t="s">
        <v>10</v>
      </c>
      <c r="H12" s="2" t="s">
        <v>56</v>
      </c>
      <c r="I12" s="2" t="s">
        <v>57</v>
      </c>
      <c r="J12" s="2">
        <v>12727.167079838049</v>
      </c>
      <c r="K12" s="2">
        <v>8556.3354393568225</v>
      </c>
      <c r="L12" s="2">
        <v>1.929096985879905</v>
      </c>
      <c r="M12" s="2"/>
      <c r="N12" s="2">
        <v>5.3383201628923E-3</v>
      </c>
      <c r="P12" s="2" t="s">
        <v>88</v>
      </c>
      <c r="Q12" s="2">
        <v>3.9233500000000001</v>
      </c>
      <c r="R12" s="2"/>
      <c r="S12" s="2">
        <f>SUM(Q12:R12)</f>
        <v>3.9233500000000001</v>
      </c>
      <c r="U12" s="1" t="s">
        <v>10</v>
      </c>
      <c r="V12" s="2">
        <f>J12/$S12</f>
        <v>3243.9540392363792</v>
      </c>
      <c r="W12" s="2">
        <f t="shared" ref="W12:Y27" si="1">K12/$S12</f>
        <v>2180.8748746241918</v>
      </c>
      <c r="X12" s="2">
        <f t="shared" si="1"/>
        <v>0.49169637831952412</v>
      </c>
      <c r="Y12" s="2">
        <f t="shared" si="1"/>
        <v>0</v>
      </c>
    </row>
    <row r="13" spans="1:25">
      <c r="A13" s="1" t="s">
        <v>11</v>
      </c>
      <c r="B13" s="2">
        <f t="shared" ref="B13:E38" si="2">V13</f>
        <v>105.32144526716138</v>
      </c>
      <c r="C13" s="2">
        <f t="shared" si="0"/>
        <v>1236.9514662058473</v>
      </c>
      <c r="D13" s="2">
        <f t="shared" si="0"/>
        <v>0.33429963564935739</v>
      </c>
      <c r="E13" s="2">
        <f t="shared" si="0"/>
        <v>0</v>
      </c>
      <c r="G13" s="2" t="s">
        <v>11</v>
      </c>
      <c r="H13" s="2" t="s">
        <v>56</v>
      </c>
      <c r="I13" s="2" t="s">
        <v>58</v>
      </c>
      <c r="J13" s="2">
        <v>4088.2730730799299</v>
      </c>
      <c r="K13" s="2">
        <v>48014.868758858989</v>
      </c>
      <c r="L13" s="2">
        <v>12.976542386964669</v>
      </c>
      <c r="M13" s="2"/>
      <c r="N13" s="2">
        <v>40282.76963140849</v>
      </c>
      <c r="P13" s="2" t="s">
        <v>99</v>
      </c>
      <c r="Q13">
        <v>25.653099999999998</v>
      </c>
      <c r="R13">
        <v>13.164</v>
      </c>
      <c r="S13" s="2">
        <f>SUM(Q13:R13)</f>
        <v>38.817099999999996</v>
      </c>
      <c r="U13" s="1" t="s">
        <v>11</v>
      </c>
      <c r="V13" s="2">
        <f t="shared" ref="V13:Y38" si="3">J13/$S13</f>
        <v>105.32144526716138</v>
      </c>
      <c r="W13" s="2">
        <f t="shared" si="1"/>
        <v>1236.9514662058473</v>
      </c>
      <c r="X13" s="2">
        <f t="shared" si="1"/>
        <v>0.33429963564935739</v>
      </c>
      <c r="Y13" s="2">
        <f t="shared" si="1"/>
        <v>0</v>
      </c>
    </row>
    <row r="14" spans="1:25">
      <c r="A14" s="1" t="s">
        <v>12</v>
      </c>
      <c r="B14" s="2">
        <f t="shared" si="2"/>
        <v>2930.7957066364229</v>
      </c>
      <c r="C14" s="2">
        <f t="shared" si="0"/>
        <v>0</v>
      </c>
      <c r="D14" s="2">
        <f t="shared" si="0"/>
        <v>0</v>
      </c>
      <c r="E14" s="2">
        <f t="shared" si="0"/>
        <v>0</v>
      </c>
      <c r="G14" s="2" t="s">
        <v>12</v>
      </c>
      <c r="H14" s="2" t="s">
        <v>44</v>
      </c>
      <c r="I14" s="2" t="s">
        <v>59</v>
      </c>
      <c r="J14" s="2">
        <v>91176.468274317784</v>
      </c>
      <c r="K14" s="2"/>
      <c r="L14" s="2"/>
      <c r="M14" s="2"/>
      <c r="N14" s="2"/>
      <c r="P14" s="2" t="s">
        <v>89</v>
      </c>
      <c r="Q14" s="2">
        <v>31.1098</v>
      </c>
      <c r="R14" s="2"/>
      <c r="S14" s="2">
        <f t="shared" ref="S14:S38" si="4">SUM(Q14:R14)</f>
        <v>31.1098</v>
      </c>
      <c r="U14" s="1" t="s">
        <v>12</v>
      </c>
      <c r="V14" s="2">
        <f t="shared" si="3"/>
        <v>2930.7957066364229</v>
      </c>
      <c r="W14" s="2">
        <f t="shared" si="1"/>
        <v>0</v>
      </c>
      <c r="X14" s="2">
        <f t="shared" si="1"/>
        <v>0</v>
      </c>
      <c r="Y14" s="2">
        <f t="shared" si="1"/>
        <v>0</v>
      </c>
    </row>
    <row r="15" spans="1:25">
      <c r="A15" s="1" t="s">
        <v>13</v>
      </c>
      <c r="B15" s="2">
        <f t="shared" si="2"/>
        <v>601.59499578910822</v>
      </c>
      <c r="C15" s="2">
        <f t="shared" si="0"/>
        <v>0</v>
      </c>
      <c r="D15" s="2">
        <f t="shared" si="0"/>
        <v>0</v>
      </c>
      <c r="E15" s="2">
        <f t="shared" si="0"/>
        <v>0</v>
      </c>
      <c r="G15" s="2" t="s">
        <v>13</v>
      </c>
      <c r="H15" s="2" t="s">
        <v>44</v>
      </c>
      <c r="I15" s="2" t="s">
        <v>59</v>
      </c>
      <c r="J15" s="2">
        <v>18715.5</v>
      </c>
      <c r="K15" s="2"/>
      <c r="L15" s="2"/>
      <c r="M15" s="2"/>
      <c r="N15" s="2"/>
      <c r="P15" s="2" t="s">
        <v>89</v>
      </c>
      <c r="Q15" s="2">
        <f>Q14</f>
        <v>31.1098</v>
      </c>
      <c r="R15" s="2"/>
      <c r="S15" s="2">
        <f t="shared" si="4"/>
        <v>31.1098</v>
      </c>
      <c r="U15" s="1" t="s">
        <v>13</v>
      </c>
      <c r="V15" s="2">
        <f t="shared" si="3"/>
        <v>601.59499578910822</v>
      </c>
      <c r="W15" s="2">
        <f t="shared" si="1"/>
        <v>0</v>
      </c>
      <c r="X15" s="2">
        <f t="shared" si="1"/>
        <v>0</v>
      </c>
      <c r="Y15" s="2">
        <f t="shared" si="1"/>
        <v>0</v>
      </c>
    </row>
    <row r="16" spans="1:25">
      <c r="A16" s="1" t="s">
        <v>14</v>
      </c>
      <c r="B16" s="2">
        <f t="shared" si="2"/>
        <v>139.48338451330557</v>
      </c>
      <c r="C16" s="2">
        <f t="shared" si="0"/>
        <v>0</v>
      </c>
      <c r="D16" s="2">
        <f t="shared" si="0"/>
        <v>0</v>
      </c>
      <c r="E16" s="2">
        <f t="shared" si="0"/>
        <v>0</v>
      </c>
      <c r="G16" s="2" t="s">
        <v>14</v>
      </c>
      <c r="H16" s="2" t="s">
        <v>44</v>
      </c>
      <c r="I16" s="2" t="s">
        <v>59</v>
      </c>
      <c r="J16" s="2">
        <v>4339.3001955320333</v>
      </c>
      <c r="K16" s="2"/>
      <c r="L16" s="2"/>
      <c r="M16" s="2"/>
      <c r="N16" s="2"/>
      <c r="P16" s="2" t="s">
        <v>89</v>
      </c>
      <c r="Q16" s="2">
        <f>Q15</f>
        <v>31.1098</v>
      </c>
      <c r="R16" s="2"/>
      <c r="S16" s="2">
        <f t="shared" si="4"/>
        <v>31.1098</v>
      </c>
      <c r="U16" s="1" t="s">
        <v>14</v>
      </c>
      <c r="V16" s="2">
        <f t="shared" si="3"/>
        <v>139.48338451330557</v>
      </c>
      <c r="W16" s="2">
        <f t="shared" si="1"/>
        <v>0</v>
      </c>
      <c r="X16" s="2">
        <f t="shared" si="1"/>
        <v>0</v>
      </c>
      <c r="Y16" s="2">
        <f t="shared" si="1"/>
        <v>0</v>
      </c>
    </row>
    <row r="17" spans="1:25">
      <c r="A17" s="1" t="s">
        <v>15</v>
      </c>
      <c r="B17" s="2">
        <f t="shared" si="2"/>
        <v>52.014313358735805</v>
      </c>
      <c r="C17" s="2">
        <f t="shared" si="0"/>
        <v>0</v>
      </c>
      <c r="D17" s="2">
        <f t="shared" si="0"/>
        <v>0</v>
      </c>
      <c r="E17" s="2">
        <f t="shared" si="0"/>
        <v>0</v>
      </c>
      <c r="G17" s="2" t="s">
        <v>15</v>
      </c>
      <c r="H17" s="2" t="s">
        <v>44</v>
      </c>
      <c r="I17" s="2" t="s">
        <v>60</v>
      </c>
      <c r="J17" s="2">
        <v>9013.5603619353278</v>
      </c>
      <c r="K17" s="2"/>
      <c r="L17" s="2"/>
      <c r="M17" s="2"/>
      <c r="N17" s="2"/>
      <c r="P17" s="2" t="s">
        <v>90</v>
      </c>
      <c r="Q17" s="2">
        <v>173.29</v>
      </c>
      <c r="R17" s="2"/>
      <c r="S17" s="2">
        <f t="shared" si="4"/>
        <v>173.29</v>
      </c>
      <c r="U17" s="1" t="s">
        <v>15</v>
      </c>
      <c r="V17" s="2">
        <f t="shared" si="3"/>
        <v>52.014313358735805</v>
      </c>
      <c r="W17" s="2">
        <f t="shared" si="1"/>
        <v>0</v>
      </c>
      <c r="X17" s="2">
        <f t="shared" si="1"/>
        <v>0</v>
      </c>
      <c r="Y17" s="2">
        <f t="shared" si="1"/>
        <v>0</v>
      </c>
    </row>
    <row r="18" spans="1:25">
      <c r="A18" s="1" t="s">
        <v>16</v>
      </c>
      <c r="B18" s="2">
        <f t="shared" si="2"/>
        <v>337.80546455256706</v>
      </c>
      <c r="C18" s="2">
        <f t="shared" si="0"/>
        <v>3.3020929975763513</v>
      </c>
      <c r="D18" s="2">
        <f t="shared" si="0"/>
        <v>208.84021522838307</v>
      </c>
      <c r="E18" s="2">
        <f t="shared" si="0"/>
        <v>4.0420662348270637</v>
      </c>
      <c r="G18" s="2" t="s">
        <v>16</v>
      </c>
      <c r="H18" s="2" t="s">
        <v>44</v>
      </c>
      <c r="I18" s="2" t="s">
        <v>61</v>
      </c>
      <c r="J18" s="2">
        <v>58538.308952314343</v>
      </c>
      <c r="K18" s="2">
        <v>572.21969555000589</v>
      </c>
      <c r="L18" s="2">
        <v>36189.920896926502</v>
      </c>
      <c r="M18" s="2">
        <v>700.44965783318185</v>
      </c>
      <c r="N18" s="2"/>
      <c r="P18" s="2" t="s">
        <v>90</v>
      </c>
      <c r="Q18" s="2">
        <f>Q17</f>
        <v>173.29</v>
      </c>
      <c r="R18" s="2"/>
      <c r="S18" s="2">
        <f t="shared" si="4"/>
        <v>173.29</v>
      </c>
      <c r="U18" s="1" t="s">
        <v>16</v>
      </c>
      <c r="V18" s="2">
        <f t="shared" si="3"/>
        <v>337.80546455256706</v>
      </c>
      <c r="W18" s="2">
        <f t="shared" si="1"/>
        <v>3.3020929975763513</v>
      </c>
      <c r="X18" s="2">
        <f t="shared" si="1"/>
        <v>208.84021522838307</v>
      </c>
      <c r="Y18" s="2">
        <f t="shared" si="1"/>
        <v>4.0420662348270637</v>
      </c>
    </row>
    <row r="19" spans="1:25">
      <c r="A19" s="1" t="s">
        <v>17</v>
      </c>
      <c r="B19" s="2">
        <f t="shared" si="2"/>
        <v>571.48567063084374</v>
      </c>
      <c r="C19" s="2">
        <f t="shared" si="0"/>
        <v>5.0678117831294536</v>
      </c>
      <c r="D19" s="2">
        <f t="shared" si="0"/>
        <v>0</v>
      </c>
      <c r="E19" s="2">
        <f t="shared" si="0"/>
        <v>65.028228902893446</v>
      </c>
      <c r="G19" s="2" t="s">
        <v>17</v>
      </c>
      <c r="H19" s="2" t="s">
        <v>44</v>
      </c>
      <c r="I19" s="2" t="s">
        <v>62</v>
      </c>
      <c r="J19" s="2">
        <v>24627.546341598518</v>
      </c>
      <c r="K19" s="2">
        <v>218.39177420100236</v>
      </c>
      <c r="L19" s="2"/>
      <c r="M19" s="2">
        <v>2802.3199935183998</v>
      </c>
      <c r="N19" s="2"/>
      <c r="P19" s="2" t="s">
        <v>92</v>
      </c>
      <c r="Q19" s="2">
        <v>43.093899999999998</v>
      </c>
      <c r="R19" s="2"/>
      <c r="S19" s="2">
        <f t="shared" si="4"/>
        <v>43.093899999999998</v>
      </c>
      <c r="U19" s="1" t="s">
        <v>17</v>
      </c>
      <c r="V19" s="2">
        <f t="shared" si="3"/>
        <v>571.48567063084374</v>
      </c>
      <c r="W19" s="2">
        <f t="shared" si="1"/>
        <v>5.0678117831294536</v>
      </c>
      <c r="X19" s="2">
        <f t="shared" si="1"/>
        <v>0</v>
      </c>
      <c r="Y19" s="2">
        <f t="shared" si="1"/>
        <v>65.028228902893446</v>
      </c>
    </row>
    <row r="20" spans="1:25">
      <c r="A20" s="1" t="s">
        <v>18</v>
      </c>
      <c r="B20" s="2">
        <f t="shared" si="2"/>
        <v>66.029260476049402</v>
      </c>
      <c r="C20" s="2">
        <f t="shared" si="0"/>
        <v>0</v>
      </c>
      <c r="D20" s="2">
        <f t="shared" si="0"/>
        <v>0</v>
      </c>
      <c r="E20" s="2">
        <f t="shared" si="0"/>
        <v>0</v>
      </c>
      <c r="G20" s="2" t="s">
        <v>18</v>
      </c>
      <c r="H20" s="2" t="s">
        <v>56</v>
      </c>
      <c r="I20" s="2" t="s">
        <v>63</v>
      </c>
      <c r="J20" s="2">
        <v>11442.210547894601</v>
      </c>
      <c r="K20" s="2"/>
      <c r="L20" s="2"/>
      <c r="M20" s="2"/>
      <c r="N20" s="2"/>
      <c r="P20" s="2" t="s">
        <v>90</v>
      </c>
      <c r="Q20" s="2">
        <f>Q18</f>
        <v>173.29</v>
      </c>
      <c r="R20" s="2"/>
      <c r="S20" s="2">
        <f t="shared" si="4"/>
        <v>173.29</v>
      </c>
      <c r="U20" s="1" t="s">
        <v>18</v>
      </c>
      <c r="V20" s="2">
        <f t="shared" si="3"/>
        <v>66.029260476049402</v>
      </c>
      <c r="W20" s="2">
        <f t="shared" si="1"/>
        <v>0</v>
      </c>
      <c r="X20" s="2">
        <f t="shared" si="1"/>
        <v>0</v>
      </c>
      <c r="Y20" s="2">
        <f t="shared" si="1"/>
        <v>0</v>
      </c>
    </row>
    <row r="21" spans="1:25">
      <c r="A21" s="1" t="s">
        <v>19</v>
      </c>
      <c r="B21" s="2">
        <f t="shared" si="2"/>
        <v>0</v>
      </c>
      <c r="C21" s="2">
        <f t="shared" si="0"/>
        <v>0</v>
      </c>
      <c r="D21" s="2">
        <f t="shared" si="0"/>
        <v>0</v>
      </c>
      <c r="E21" s="2">
        <f t="shared" si="0"/>
        <v>2.8117502825491094</v>
      </c>
      <c r="G21" s="2" t="s">
        <v>19</v>
      </c>
      <c r="H21" s="2" t="s">
        <v>44</v>
      </c>
      <c r="I21" s="2" t="s">
        <v>64</v>
      </c>
      <c r="J21" s="2"/>
      <c r="K21" s="2"/>
      <c r="L21" s="2"/>
      <c r="M21" s="2">
        <v>746.24133673881624</v>
      </c>
      <c r="N21" s="2"/>
      <c r="P21" s="2" t="s">
        <v>94</v>
      </c>
      <c r="Q21" s="2">
        <v>265.40100000000001</v>
      </c>
      <c r="R21" s="2"/>
      <c r="S21" s="2">
        <f t="shared" si="4"/>
        <v>265.40100000000001</v>
      </c>
      <c r="U21" s="1" t="s">
        <v>19</v>
      </c>
      <c r="V21" s="2">
        <f t="shared" si="3"/>
        <v>0</v>
      </c>
      <c r="W21" s="2">
        <f t="shared" si="1"/>
        <v>0</v>
      </c>
      <c r="X21" s="2">
        <f t="shared" si="1"/>
        <v>0</v>
      </c>
      <c r="Y21" s="2">
        <f t="shared" si="1"/>
        <v>2.8117502825491094</v>
      </c>
    </row>
    <row r="22" spans="1:25">
      <c r="A22" s="1" t="s">
        <v>20</v>
      </c>
      <c r="B22" s="2">
        <f t="shared" si="2"/>
        <v>0</v>
      </c>
      <c r="C22" s="2">
        <f t="shared" si="0"/>
        <v>0</v>
      </c>
      <c r="D22" s="2">
        <f t="shared" si="0"/>
        <v>0</v>
      </c>
      <c r="E22" s="2">
        <f t="shared" si="0"/>
        <v>293.53010851581422</v>
      </c>
      <c r="G22" s="2" t="s">
        <v>20</v>
      </c>
      <c r="H22" s="2" t="s">
        <v>44</v>
      </c>
      <c r="I22" s="2" t="s">
        <v>65</v>
      </c>
      <c r="J22" s="2"/>
      <c r="K22" s="2"/>
      <c r="L22" s="2"/>
      <c r="M22" s="2">
        <v>77903.184330205608</v>
      </c>
      <c r="N22" s="2"/>
      <c r="P22" s="2" t="s">
        <v>94</v>
      </c>
      <c r="Q22" s="2">
        <f>Q21</f>
        <v>265.40100000000001</v>
      </c>
      <c r="R22" s="2"/>
      <c r="S22" s="2">
        <f t="shared" si="4"/>
        <v>265.40100000000001</v>
      </c>
      <c r="U22" s="1" t="s">
        <v>20</v>
      </c>
      <c r="V22" s="2">
        <f t="shared" si="3"/>
        <v>0</v>
      </c>
      <c r="W22" s="2">
        <f t="shared" si="1"/>
        <v>0</v>
      </c>
      <c r="X22" s="2">
        <f t="shared" si="1"/>
        <v>0</v>
      </c>
      <c r="Y22" s="2">
        <f t="shared" si="1"/>
        <v>293.53010851581422</v>
      </c>
    </row>
    <row r="23" spans="1:25">
      <c r="A23" s="1" t="s">
        <v>21</v>
      </c>
      <c r="B23" s="2">
        <f t="shared" si="2"/>
        <v>0</v>
      </c>
      <c r="C23" s="2">
        <f t="shared" si="0"/>
        <v>0</v>
      </c>
      <c r="D23" s="2">
        <f t="shared" si="0"/>
        <v>23.759759451813835</v>
      </c>
      <c r="E23" s="2">
        <f t="shared" si="0"/>
        <v>28.565140604825871</v>
      </c>
      <c r="G23" s="2" t="s">
        <v>21</v>
      </c>
      <c r="H23" s="2" t="s">
        <v>44</v>
      </c>
      <c r="I23" s="2" t="s">
        <v>60</v>
      </c>
      <c r="J23" s="2"/>
      <c r="K23" s="2"/>
      <c r="L23" s="2">
        <v>6305.8639182708439</v>
      </c>
      <c r="M23" s="2">
        <v>7581.2168816613912</v>
      </c>
      <c r="N23" s="2"/>
      <c r="P23" s="2" t="s">
        <v>94</v>
      </c>
      <c r="Q23" s="2">
        <f>Q22</f>
        <v>265.40100000000001</v>
      </c>
      <c r="R23" s="2"/>
      <c r="S23" s="2">
        <f t="shared" si="4"/>
        <v>265.40100000000001</v>
      </c>
      <c r="U23" s="1" t="s">
        <v>21</v>
      </c>
      <c r="V23" s="2">
        <f t="shared" si="3"/>
        <v>0</v>
      </c>
      <c r="W23" s="2">
        <f t="shared" si="1"/>
        <v>0</v>
      </c>
      <c r="X23" s="2">
        <f t="shared" si="1"/>
        <v>23.759759451813835</v>
      </c>
      <c r="Y23" s="2">
        <f t="shared" si="1"/>
        <v>28.565140604825871</v>
      </c>
    </row>
    <row r="24" spans="1:25">
      <c r="A24" s="1" t="s">
        <v>22</v>
      </c>
      <c r="B24" s="2">
        <f t="shared" si="2"/>
        <v>0</v>
      </c>
      <c r="C24" s="2">
        <f t="shared" si="0"/>
        <v>3843.9815192797978</v>
      </c>
      <c r="D24" s="2">
        <f t="shared" si="0"/>
        <v>0</v>
      </c>
      <c r="E24" s="2">
        <f t="shared" si="0"/>
        <v>0</v>
      </c>
      <c r="G24" s="2" t="s">
        <v>22</v>
      </c>
      <c r="H24" s="2" t="s">
        <v>66</v>
      </c>
      <c r="I24" s="2" t="s">
        <v>67</v>
      </c>
      <c r="J24" s="2"/>
      <c r="K24" s="2">
        <v>213494.73358079998</v>
      </c>
      <c r="L24" s="2"/>
      <c r="M24" s="2"/>
      <c r="N24" s="2"/>
      <c r="P24" s="2" t="s">
        <v>96</v>
      </c>
      <c r="Q24" s="2">
        <v>55.54</v>
      </c>
      <c r="R24" s="2"/>
      <c r="S24" s="2">
        <f t="shared" si="4"/>
        <v>55.54</v>
      </c>
      <c r="U24" s="1" t="s">
        <v>22</v>
      </c>
      <c r="V24" s="2">
        <f t="shared" si="3"/>
        <v>0</v>
      </c>
      <c r="W24" s="2">
        <f t="shared" si="1"/>
        <v>3843.9815192797978</v>
      </c>
      <c r="X24" s="2">
        <f t="shared" si="1"/>
        <v>0</v>
      </c>
      <c r="Y24" s="2">
        <f t="shared" si="1"/>
        <v>0</v>
      </c>
    </row>
    <row r="25" spans="1:25">
      <c r="A25" s="1" t="s">
        <v>23</v>
      </c>
      <c r="B25" s="2">
        <f t="shared" si="2"/>
        <v>0</v>
      </c>
      <c r="C25" s="2">
        <f t="shared" si="0"/>
        <v>1196.833109061886</v>
      </c>
      <c r="D25" s="2">
        <f t="shared" si="0"/>
        <v>247.26209006414868</v>
      </c>
      <c r="E25" s="2">
        <f t="shared" si="0"/>
        <v>0</v>
      </c>
      <c r="G25" s="2" t="s">
        <v>23</v>
      </c>
      <c r="H25" s="2" t="s">
        <v>66</v>
      </c>
      <c r="I25" s="2" t="s">
        <v>68</v>
      </c>
      <c r="J25" s="2"/>
      <c r="K25" s="2">
        <v>66472.110877297149</v>
      </c>
      <c r="L25" s="2">
        <v>13732.936482162817</v>
      </c>
      <c r="M25" s="2"/>
      <c r="N25" s="2"/>
      <c r="P25" s="2" t="s">
        <v>96</v>
      </c>
      <c r="Q25" s="2">
        <f>Q24</f>
        <v>55.54</v>
      </c>
      <c r="R25" s="2"/>
      <c r="S25" s="2">
        <f t="shared" si="4"/>
        <v>55.54</v>
      </c>
      <c r="U25" s="1" t="s">
        <v>23</v>
      </c>
      <c r="V25" s="2">
        <f t="shared" si="3"/>
        <v>0</v>
      </c>
      <c r="W25" s="2">
        <f t="shared" si="1"/>
        <v>1196.833109061886</v>
      </c>
      <c r="X25" s="2">
        <f t="shared" si="1"/>
        <v>247.26209006414868</v>
      </c>
      <c r="Y25" s="2">
        <f t="shared" si="1"/>
        <v>0</v>
      </c>
    </row>
    <row r="26" spans="1:25">
      <c r="A26" s="1" t="s">
        <v>24</v>
      </c>
      <c r="B26" s="2">
        <f t="shared" si="2"/>
        <v>0</v>
      </c>
      <c r="C26" s="2">
        <f t="shared" si="0"/>
        <v>7.2646922026555441</v>
      </c>
      <c r="D26" s="2">
        <f t="shared" si="0"/>
        <v>1.7825402163923671</v>
      </c>
      <c r="E26" s="2">
        <f t="shared" si="0"/>
        <v>0</v>
      </c>
      <c r="G26" s="2" t="s">
        <v>24</v>
      </c>
      <c r="H26" s="2" t="s">
        <v>66</v>
      </c>
      <c r="I26" s="2" t="s">
        <v>69</v>
      </c>
      <c r="J26" s="2"/>
      <c r="K26" s="2">
        <v>403.4810049354889</v>
      </c>
      <c r="L26" s="2">
        <v>99.002283618432074</v>
      </c>
      <c r="M26" s="2"/>
      <c r="N26" s="2">
        <v>8085.6312496995015</v>
      </c>
      <c r="P26" s="2" t="s">
        <v>96</v>
      </c>
      <c r="Q26" s="2">
        <f>Q25</f>
        <v>55.54</v>
      </c>
      <c r="R26" s="2"/>
      <c r="S26" s="2">
        <f t="shared" si="4"/>
        <v>55.54</v>
      </c>
      <c r="U26" s="1" t="s">
        <v>24</v>
      </c>
      <c r="V26" s="2">
        <f t="shared" si="3"/>
        <v>0</v>
      </c>
      <c r="W26" s="2">
        <f t="shared" si="1"/>
        <v>7.2646922026555441</v>
      </c>
      <c r="X26" s="2">
        <f t="shared" si="1"/>
        <v>1.7825402163923671</v>
      </c>
      <c r="Y26" s="2">
        <f t="shared" si="1"/>
        <v>0</v>
      </c>
    </row>
    <row r="27" spans="1:25">
      <c r="A27" s="1" t="s">
        <v>25</v>
      </c>
      <c r="B27" s="2">
        <f t="shared" si="2"/>
        <v>119.61795018359615</v>
      </c>
      <c r="C27" s="2">
        <f t="shared" si="0"/>
        <v>0</v>
      </c>
      <c r="D27" s="2">
        <f t="shared" si="0"/>
        <v>0</v>
      </c>
      <c r="E27" s="2">
        <f t="shared" si="0"/>
        <v>0</v>
      </c>
      <c r="G27" s="2" t="s">
        <v>25</v>
      </c>
      <c r="H27" s="2" t="s">
        <v>66</v>
      </c>
      <c r="I27" s="2" t="s">
        <v>70</v>
      </c>
      <c r="J27" s="2">
        <v>6643.5809531969298</v>
      </c>
      <c r="K27" s="2"/>
      <c r="L27" s="2"/>
      <c r="M27" s="2"/>
      <c r="N27" s="2"/>
      <c r="P27" s="2" t="s">
        <v>96</v>
      </c>
      <c r="Q27" s="2">
        <f>Q26</f>
        <v>55.54</v>
      </c>
      <c r="R27" s="2"/>
      <c r="S27" s="2">
        <f t="shared" si="4"/>
        <v>55.54</v>
      </c>
      <c r="U27" s="1" t="s">
        <v>25</v>
      </c>
      <c r="V27" s="2">
        <f t="shared" si="3"/>
        <v>119.61795018359615</v>
      </c>
      <c r="W27" s="2">
        <f t="shared" si="1"/>
        <v>0</v>
      </c>
      <c r="X27" s="2">
        <f t="shared" si="1"/>
        <v>0</v>
      </c>
      <c r="Y27" s="2">
        <f t="shared" si="1"/>
        <v>0</v>
      </c>
    </row>
    <row r="28" spans="1:25">
      <c r="A28" s="1" t="s">
        <v>26</v>
      </c>
      <c r="B28" s="2">
        <f t="shared" si="2"/>
        <v>65.429022519162942</v>
      </c>
      <c r="C28" s="2">
        <f t="shared" si="2"/>
        <v>0</v>
      </c>
      <c r="D28" s="2">
        <f t="shared" si="2"/>
        <v>0</v>
      </c>
      <c r="E28" s="2">
        <f t="shared" si="2"/>
        <v>0</v>
      </c>
      <c r="G28" s="2" t="s">
        <v>26</v>
      </c>
      <c r="H28" s="2" t="s">
        <v>66</v>
      </c>
      <c r="I28" s="2" t="s">
        <v>71</v>
      </c>
      <c r="J28" s="2">
        <v>3633.9279107143097</v>
      </c>
      <c r="K28" s="2"/>
      <c r="L28" s="2"/>
      <c r="M28" s="2"/>
      <c r="N28" s="2"/>
      <c r="P28" s="2" t="s">
        <v>96</v>
      </c>
      <c r="Q28" s="2">
        <f>Q27</f>
        <v>55.54</v>
      </c>
      <c r="R28" s="2"/>
      <c r="S28" s="2">
        <f t="shared" si="4"/>
        <v>55.54</v>
      </c>
      <c r="U28" s="1" t="s">
        <v>26</v>
      </c>
      <c r="V28" s="2">
        <f t="shared" si="3"/>
        <v>65.429022519162942</v>
      </c>
      <c r="W28" s="2">
        <f t="shared" si="3"/>
        <v>0</v>
      </c>
      <c r="X28" s="2">
        <f t="shared" si="3"/>
        <v>0</v>
      </c>
      <c r="Y28" s="2">
        <f t="shared" si="3"/>
        <v>0</v>
      </c>
    </row>
    <row r="29" spans="1:25">
      <c r="A29" s="1" t="s">
        <v>27</v>
      </c>
      <c r="B29" s="2">
        <f t="shared" si="2"/>
        <v>0</v>
      </c>
      <c r="C29" s="2">
        <f t="shared" si="2"/>
        <v>0</v>
      </c>
      <c r="D29" s="2">
        <f t="shared" si="2"/>
        <v>1838.0007719635237</v>
      </c>
      <c r="E29" s="2">
        <f t="shared" si="2"/>
        <v>0</v>
      </c>
      <c r="G29" s="2" t="s">
        <v>27</v>
      </c>
      <c r="H29" s="2" t="s">
        <v>55</v>
      </c>
      <c r="I29" s="2" t="s">
        <v>72</v>
      </c>
      <c r="J29" s="2"/>
      <c r="K29" s="2"/>
      <c r="L29" s="2">
        <v>102082.56287485411</v>
      </c>
      <c r="M29" s="2"/>
      <c r="N29" s="2"/>
      <c r="P29" s="2" t="s">
        <v>96</v>
      </c>
      <c r="Q29" s="2">
        <f>Q28</f>
        <v>55.54</v>
      </c>
      <c r="R29" s="2"/>
      <c r="S29" s="2">
        <f t="shared" si="4"/>
        <v>55.54</v>
      </c>
      <c r="U29" s="1" t="s">
        <v>27</v>
      </c>
      <c r="V29" s="2">
        <f t="shared" si="3"/>
        <v>0</v>
      </c>
      <c r="W29" s="2">
        <f t="shared" si="3"/>
        <v>0</v>
      </c>
      <c r="X29" s="2">
        <f t="shared" si="3"/>
        <v>1838.0007719635237</v>
      </c>
      <c r="Y29" s="2">
        <f t="shared" si="3"/>
        <v>0</v>
      </c>
    </row>
    <row r="30" spans="1:25">
      <c r="A30" s="1" t="s">
        <v>28</v>
      </c>
      <c r="B30" s="2">
        <f t="shared" si="2"/>
        <v>0</v>
      </c>
      <c r="C30" s="2">
        <f t="shared" si="2"/>
        <v>0</v>
      </c>
      <c r="D30" s="2">
        <f t="shared" si="2"/>
        <v>425.92363471092983</v>
      </c>
      <c r="E30" s="2">
        <f t="shared" si="2"/>
        <v>0</v>
      </c>
      <c r="G30" s="2" t="s">
        <v>28</v>
      </c>
      <c r="H30" s="2" t="s">
        <v>66</v>
      </c>
      <c r="I30" s="2" t="s">
        <v>73</v>
      </c>
      <c r="J30" s="2"/>
      <c r="K30" s="2"/>
      <c r="L30" s="2">
        <v>23655.798671845041</v>
      </c>
      <c r="M30" s="2"/>
      <c r="N30" s="2"/>
      <c r="P30" s="2" t="s">
        <v>96</v>
      </c>
      <c r="Q30" s="2">
        <f>Q29</f>
        <v>55.54</v>
      </c>
      <c r="R30" s="2"/>
      <c r="S30" s="2">
        <f t="shared" si="4"/>
        <v>55.54</v>
      </c>
      <c r="U30" s="1" t="s">
        <v>28</v>
      </c>
      <c r="V30" s="2">
        <f t="shared" si="3"/>
        <v>0</v>
      </c>
      <c r="W30" s="2">
        <f t="shared" si="3"/>
        <v>0</v>
      </c>
      <c r="X30" s="2">
        <f t="shared" si="3"/>
        <v>425.92363471092983</v>
      </c>
      <c r="Y30" s="2">
        <f t="shared" si="3"/>
        <v>0</v>
      </c>
    </row>
    <row r="31" spans="1:25">
      <c r="A31" s="1" t="s">
        <v>29</v>
      </c>
      <c r="B31" s="2">
        <f t="shared" si="2"/>
        <v>0</v>
      </c>
      <c r="C31" s="2">
        <f t="shared" si="2"/>
        <v>0</v>
      </c>
      <c r="D31" s="2">
        <f t="shared" si="2"/>
        <v>37.537812916747662</v>
      </c>
      <c r="E31" s="2">
        <f t="shared" si="2"/>
        <v>0</v>
      </c>
      <c r="G31" s="2" t="s">
        <v>29</v>
      </c>
      <c r="H31" s="2" t="s">
        <v>66</v>
      </c>
      <c r="I31" s="2" t="s">
        <v>74</v>
      </c>
      <c r="J31" s="2"/>
      <c r="K31" s="2"/>
      <c r="L31" s="2">
        <v>2084.8501293961649</v>
      </c>
      <c r="M31" s="2"/>
      <c r="N31" s="2"/>
      <c r="P31" s="2" t="s">
        <v>96</v>
      </c>
      <c r="Q31" s="2">
        <f>Q30</f>
        <v>55.54</v>
      </c>
      <c r="R31" s="2"/>
      <c r="S31" s="2">
        <f t="shared" si="4"/>
        <v>55.54</v>
      </c>
      <c r="U31" s="1" t="s">
        <v>29</v>
      </c>
      <c r="V31" s="2">
        <f t="shared" si="3"/>
        <v>0</v>
      </c>
      <c r="W31" s="2">
        <f t="shared" si="3"/>
        <v>0</v>
      </c>
      <c r="X31" s="2">
        <f t="shared" si="3"/>
        <v>37.537812916747662</v>
      </c>
      <c r="Y31" s="2">
        <f t="shared" si="3"/>
        <v>0</v>
      </c>
    </row>
    <row r="32" spans="1:25">
      <c r="A32" s="1" t="s">
        <v>30</v>
      </c>
      <c r="B32" s="2">
        <f t="shared" si="2"/>
        <v>0</v>
      </c>
      <c r="C32" s="2">
        <f t="shared" si="2"/>
        <v>64.006296265034223</v>
      </c>
      <c r="D32" s="2">
        <f t="shared" si="2"/>
        <v>0</v>
      </c>
      <c r="E32" s="2">
        <f t="shared" si="2"/>
        <v>0</v>
      </c>
      <c r="G32" s="2" t="s">
        <v>30</v>
      </c>
      <c r="H32" s="2" t="s">
        <v>66</v>
      </c>
      <c r="I32" s="2" t="s">
        <v>75</v>
      </c>
      <c r="J32" s="2"/>
      <c r="K32" s="2">
        <v>3554.9096945600004</v>
      </c>
      <c r="L32" s="2"/>
      <c r="M32" s="2"/>
      <c r="N32" s="2"/>
      <c r="P32" s="2" t="s">
        <v>96</v>
      </c>
      <c r="Q32" s="2">
        <f>Q31</f>
        <v>55.54</v>
      </c>
      <c r="R32" s="2"/>
      <c r="S32" s="2">
        <f t="shared" si="4"/>
        <v>55.54</v>
      </c>
      <c r="U32" s="1" t="s">
        <v>30</v>
      </c>
      <c r="V32" s="2">
        <f t="shared" si="3"/>
        <v>0</v>
      </c>
      <c r="W32" s="2">
        <f t="shared" si="3"/>
        <v>64.006296265034223</v>
      </c>
      <c r="X32" s="2">
        <f t="shared" si="3"/>
        <v>0</v>
      </c>
      <c r="Y32" s="2">
        <f t="shared" si="3"/>
        <v>0</v>
      </c>
    </row>
    <row r="33" spans="1:25">
      <c r="A33" s="1" t="s">
        <v>31</v>
      </c>
      <c r="B33" s="2">
        <f t="shared" si="2"/>
        <v>0</v>
      </c>
      <c r="C33" s="2">
        <f t="shared" si="2"/>
        <v>66.533210376174722</v>
      </c>
      <c r="D33" s="2">
        <f t="shared" si="2"/>
        <v>0</v>
      </c>
      <c r="E33" s="2">
        <f t="shared" si="2"/>
        <v>0</v>
      </c>
      <c r="G33" s="2" t="s">
        <v>31</v>
      </c>
      <c r="H33" s="2" t="s">
        <v>76</v>
      </c>
      <c r="I33" s="2" t="s">
        <v>77</v>
      </c>
      <c r="J33" s="2"/>
      <c r="K33" s="2">
        <v>125697.20237108432</v>
      </c>
      <c r="L33" s="2"/>
      <c r="M33" s="2"/>
      <c r="N33" s="2"/>
      <c r="P33" s="2" t="s">
        <v>97</v>
      </c>
      <c r="Q33" s="2">
        <v>1889.24</v>
      </c>
      <c r="R33" s="2"/>
      <c r="S33" s="2">
        <f t="shared" si="4"/>
        <v>1889.24</v>
      </c>
      <c r="U33" s="1" t="s">
        <v>31</v>
      </c>
      <c r="V33" s="2">
        <f t="shared" si="3"/>
        <v>0</v>
      </c>
      <c r="W33" s="2">
        <f t="shared" si="3"/>
        <v>66.533210376174722</v>
      </c>
      <c r="X33" s="2">
        <f t="shared" si="3"/>
        <v>0</v>
      </c>
      <c r="Y33" s="2">
        <f t="shared" si="3"/>
        <v>0</v>
      </c>
    </row>
    <row r="34" spans="1:25">
      <c r="A34" s="1" t="s">
        <v>32</v>
      </c>
      <c r="B34" s="2">
        <f t="shared" si="2"/>
        <v>0</v>
      </c>
      <c r="C34" s="2">
        <f t="shared" si="2"/>
        <v>1.9492077360456266</v>
      </c>
      <c r="D34" s="2">
        <f t="shared" si="2"/>
        <v>1.6397998928171156</v>
      </c>
      <c r="E34" s="2">
        <f t="shared" si="2"/>
        <v>0</v>
      </c>
      <c r="G34" s="2" t="s">
        <v>32</v>
      </c>
      <c r="H34" s="2" t="s">
        <v>76</v>
      </c>
      <c r="I34" s="2" t="s">
        <v>78</v>
      </c>
      <c r="J34" s="2"/>
      <c r="K34" s="2">
        <v>3682.5212232468398</v>
      </c>
      <c r="L34" s="2">
        <v>3097.9755495058075</v>
      </c>
      <c r="M34" s="2"/>
      <c r="N34" s="2"/>
      <c r="P34" s="2" t="s">
        <v>97</v>
      </c>
      <c r="Q34" s="2">
        <f>Q33</f>
        <v>1889.24</v>
      </c>
      <c r="R34" s="2"/>
      <c r="S34" s="2">
        <f t="shared" si="4"/>
        <v>1889.24</v>
      </c>
      <c r="U34" s="1" t="s">
        <v>32</v>
      </c>
      <c r="V34" s="2">
        <f t="shared" si="3"/>
        <v>0</v>
      </c>
      <c r="W34" s="2">
        <f t="shared" si="3"/>
        <v>1.9492077360456266</v>
      </c>
      <c r="X34" s="2">
        <f t="shared" si="3"/>
        <v>1.6397998928171156</v>
      </c>
      <c r="Y34" s="2">
        <f t="shared" si="3"/>
        <v>0</v>
      </c>
    </row>
    <row r="35" spans="1:25">
      <c r="A35" s="1" t="s">
        <v>33</v>
      </c>
      <c r="B35" s="2">
        <f t="shared" si="2"/>
        <v>3.2826877088981923</v>
      </c>
      <c r="C35" s="2">
        <f t="shared" si="2"/>
        <v>5.6141719050799459</v>
      </c>
      <c r="D35" s="2">
        <f t="shared" si="2"/>
        <v>0.36462977949620184</v>
      </c>
      <c r="E35" s="2">
        <f t="shared" si="2"/>
        <v>0</v>
      </c>
      <c r="G35" s="2" t="s">
        <v>33</v>
      </c>
      <c r="H35" s="2" t="s">
        <v>76</v>
      </c>
      <c r="I35" s="2" t="s">
        <v>57</v>
      </c>
      <c r="J35" s="2">
        <v>6201.7849271588211</v>
      </c>
      <c r="K35" s="2">
        <v>10606.518129953238</v>
      </c>
      <c r="L35" s="2">
        <v>688.87316461540433</v>
      </c>
      <c r="M35" s="2"/>
      <c r="N35" s="2">
        <v>1394.1908546499999</v>
      </c>
      <c r="P35" s="2" t="s">
        <v>97</v>
      </c>
      <c r="Q35" s="2">
        <f>Q33</f>
        <v>1889.24</v>
      </c>
      <c r="R35" s="2"/>
      <c r="S35" s="2">
        <f t="shared" si="4"/>
        <v>1889.24</v>
      </c>
      <c r="U35" s="1" t="s">
        <v>33</v>
      </c>
      <c r="V35" s="2">
        <f t="shared" si="3"/>
        <v>3.2826877088981923</v>
      </c>
      <c r="W35" s="2">
        <f t="shared" si="3"/>
        <v>5.6141719050799459</v>
      </c>
      <c r="X35" s="2">
        <f t="shared" si="3"/>
        <v>0.36462977949620184</v>
      </c>
      <c r="Y35" s="2">
        <f t="shared" si="3"/>
        <v>0</v>
      </c>
    </row>
    <row r="36" spans="1:25">
      <c r="A36" s="1" t="s">
        <v>34</v>
      </c>
      <c r="B36" s="2">
        <f t="shared" si="2"/>
        <v>0</v>
      </c>
      <c r="C36" s="2">
        <f t="shared" si="2"/>
        <v>30.043570318382912</v>
      </c>
      <c r="D36" s="2">
        <f t="shared" si="2"/>
        <v>4.7797899314763752</v>
      </c>
      <c r="E36" s="2">
        <f t="shared" si="2"/>
        <v>0</v>
      </c>
      <c r="G36" s="2" t="s">
        <v>34</v>
      </c>
      <c r="H36" s="2" t="s">
        <v>76</v>
      </c>
      <c r="I36" s="2" t="s">
        <v>79</v>
      </c>
      <c r="J36" s="2"/>
      <c r="K36" s="2">
        <v>56759.514788301734</v>
      </c>
      <c r="L36" s="2">
        <v>9030.1703301424277</v>
      </c>
      <c r="M36" s="2"/>
      <c r="N36" s="2"/>
      <c r="P36" s="2" t="s">
        <v>97</v>
      </c>
      <c r="Q36" s="2">
        <f>Q33</f>
        <v>1889.24</v>
      </c>
      <c r="R36" s="2"/>
      <c r="S36" s="2">
        <f t="shared" si="4"/>
        <v>1889.24</v>
      </c>
      <c r="U36" s="1" t="s">
        <v>34</v>
      </c>
      <c r="V36" s="2">
        <f t="shared" si="3"/>
        <v>0</v>
      </c>
      <c r="W36" s="2">
        <f t="shared" si="3"/>
        <v>30.043570318382912</v>
      </c>
      <c r="X36" s="2">
        <f t="shared" si="3"/>
        <v>4.7797899314763752</v>
      </c>
      <c r="Y36" s="2">
        <f t="shared" si="3"/>
        <v>0</v>
      </c>
    </row>
    <row r="37" spans="1:25">
      <c r="A37" s="1" t="s">
        <v>35</v>
      </c>
      <c r="B37" s="2">
        <f t="shared" si="2"/>
        <v>0</v>
      </c>
      <c r="C37" s="2">
        <f t="shared" si="2"/>
        <v>0</v>
      </c>
      <c r="D37" s="2">
        <f t="shared" si="2"/>
        <v>4.633023629714347</v>
      </c>
      <c r="E37" s="2">
        <f t="shared" si="2"/>
        <v>0</v>
      </c>
      <c r="G37" s="2" t="s">
        <v>35</v>
      </c>
      <c r="H37" s="2" t="s">
        <v>55</v>
      </c>
      <c r="I37" s="2" t="s">
        <v>80</v>
      </c>
      <c r="J37" s="2"/>
      <c r="K37" s="2"/>
      <c r="L37" s="2">
        <v>8752.8935622015324</v>
      </c>
      <c r="M37" s="2"/>
      <c r="N37" s="2"/>
      <c r="P37" s="2" t="s">
        <v>97</v>
      </c>
      <c r="Q37" s="2">
        <f>Q33</f>
        <v>1889.24</v>
      </c>
      <c r="R37" s="2"/>
      <c r="S37" s="2">
        <f t="shared" si="4"/>
        <v>1889.24</v>
      </c>
      <c r="U37" s="1" t="s">
        <v>35</v>
      </c>
      <c r="V37" s="2">
        <f t="shared" si="3"/>
        <v>0</v>
      </c>
      <c r="W37" s="2">
        <f t="shared" si="3"/>
        <v>0</v>
      </c>
      <c r="X37" s="2">
        <f t="shared" si="3"/>
        <v>4.633023629714347</v>
      </c>
      <c r="Y37" s="2">
        <f t="shared" si="3"/>
        <v>0</v>
      </c>
    </row>
    <row r="38" spans="1:25">
      <c r="A38" s="1" t="s">
        <v>36</v>
      </c>
      <c r="B38" s="2">
        <f t="shared" si="2"/>
        <v>0</v>
      </c>
      <c r="C38" s="2">
        <f t="shared" si="2"/>
        <v>0</v>
      </c>
      <c r="D38" s="2">
        <f t="shared" si="2"/>
        <v>0</v>
      </c>
      <c r="E38" s="2">
        <f t="shared" si="2"/>
        <v>0</v>
      </c>
      <c r="G38" s="2" t="s">
        <v>36</v>
      </c>
      <c r="H38" s="2" t="s">
        <v>55</v>
      </c>
      <c r="I38" s="2" t="s">
        <v>81</v>
      </c>
      <c r="J38" s="2"/>
      <c r="K38" s="2"/>
      <c r="L38" s="2"/>
      <c r="M38" s="2"/>
      <c r="N38" s="2"/>
      <c r="P38" s="2" t="s">
        <v>97</v>
      </c>
      <c r="Q38" s="2">
        <f>Q33</f>
        <v>1889.24</v>
      </c>
      <c r="R38" s="2"/>
      <c r="S38" s="2">
        <f t="shared" si="4"/>
        <v>1889.24</v>
      </c>
      <c r="U38" s="1" t="s">
        <v>36</v>
      </c>
      <c r="V38" s="2">
        <f t="shared" si="3"/>
        <v>0</v>
      </c>
      <c r="W38" s="2">
        <f t="shared" si="3"/>
        <v>0</v>
      </c>
      <c r="X38" s="2">
        <f t="shared" si="3"/>
        <v>0</v>
      </c>
      <c r="Y38" s="2">
        <f t="shared" si="3"/>
        <v>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8"/>
  <sheetViews>
    <sheetView zoomScale="70" zoomScaleNormal="70" workbookViewId="0">
      <selection activeCell="P46" sqref="P46"/>
    </sheetView>
  </sheetViews>
  <sheetFormatPr defaultRowHeight="14.4"/>
  <cols>
    <col min="1" max="1" width="13.33203125" bestFit="1" customWidth="1"/>
    <col min="2" max="4" width="7.5546875" bestFit="1" customWidth="1"/>
    <col min="5" max="5" width="7.5546875" customWidth="1"/>
    <col min="7" max="7" width="32.33203125" bestFit="1" customWidth="1"/>
    <col min="8" max="8" width="15" bestFit="1" customWidth="1"/>
    <col min="9" max="9" width="33.44140625" bestFit="1" customWidth="1"/>
    <col min="10" max="13" width="12.33203125" bestFit="1" customWidth="1"/>
    <col min="16" max="16" width="73.109375" bestFit="1" customWidth="1"/>
  </cols>
  <sheetData>
    <row r="1" spans="1:25">
      <c r="A1" s="2"/>
      <c r="B1" s="3" t="s">
        <v>37</v>
      </c>
      <c r="C1" s="3" t="s">
        <v>38</v>
      </c>
      <c r="D1" s="3" t="s">
        <v>39</v>
      </c>
      <c r="E1" s="3" t="s">
        <v>40</v>
      </c>
      <c r="G1" s="7" t="s">
        <v>84</v>
      </c>
      <c r="H1" s="7" t="s">
        <v>85</v>
      </c>
      <c r="I1" s="7" t="s">
        <v>86</v>
      </c>
      <c r="J1" s="7" t="s">
        <v>37</v>
      </c>
      <c r="K1" s="7" t="s">
        <v>38</v>
      </c>
      <c r="L1" s="7" t="s">
        <v>39</v>
      </c>
      <c r="M1" s="7" t="s">
        <v>83</v>
      </c>
      <c r="N1" s="7" t="s">
        <v>82</v>
      </c>
      <c r="P1" s="8" t="s">
        <v>98</v>
      </c>
      <c r="Q1" s="10" t="s">
        <v>100</v>
      </c>
      <c r="R1" s="10" t="s">
        <v>101</v>
      </c>
      <c r="S1" s="10" t="s">
        <v>102</v>
      </c>
      <c r="U1" s="2"/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1" t="s">
        <v>0</v>
      </c>
      <c r="B2" s="6"/>
      <c r="C2" s="6"/>
      <c r="D2" s="6"/>
      <c r="E2" s="6"/>
      <c r="G2" s="2" t="s">
        <v>0</v>
      </c>
      <c r="H2" s="2" t="s">
        <v>41</v>
      </c>
      <c r="I2" s="2" t="s">
        <v>42</v>
      </c>
      <c r="J2" s="2">
        <v>322169.66782373731</v>
      </c>
      <c r="K2" s="2">
        <v>362.89313227620391</v>
      </c>
      <c r="L2" s="2">
        <v>2865.0764081472848</v>
      </c>
      <c r="M2" s="2"/>
      <c r="N2" s="2">
        <v>29581.499239747282</v>
      </c>
      <c r="P2" s="2"/>
      <c r="Q2" s="2"/>
      <c r="R2" s="2"/>
      <c r="S2" s="2"/>
      <c r="U2" s="1" t="s">
        <v>0</v>
      </c>
      <c r="V2" s="6"/>
      <c r="W2" s="6"/>
      <c r="X2" s="6"/>
      <c r="Y2" s="6"/>
    </row>
    <row r="3" spans="1:25">
      <c r="A3" s="1" t="s">
        <v>1</v>
      </c>
      <c r="B3" s="6"/>
      <c r="C3" s="6"/>
      <c r="D3" s="6"/>
      <c r="E3" s="6"/>
      <c r="G3" s="2" t="s">
        <v>1</v>
      </c>
      <c r="H3" s="2" t="s">
        <v>41</v>
      </c>
      <c r="I3" s="2" t="s">
        <v>43</v>
      </c>
      <c r="J3" s="2">
        <v>27417.138846153211</v>
      </c>
      <c r="K3" s="2">
        <v>18.523930642119378</v>
      </c>
      <c r="L3" s="2">
        <v>23.194486024253855</v>
      </c>
      <c r="M3" s="2"/>
      <c r="N3" s="2">
        <v>35.996768021059438</v>
      </c>
      <c r="P3" s="2"/>
      <c r="Q3" s="2"/>
      <c r="R3" s="2"/>
      <c r="S3" s="2"/>
      <c r="U3" s="1" t="s">
        <v>1</v>
      </c>
      <c r="V3" s="6"/>
      <c r="W3" s="6"/>
      <c r="X3" s="6"/>
      <c r="Y3" s="6"/>
    </row>
    <row r="4" spans="1:25">
      <c r="A4" s="1" t="s">
        <v>2</v>
      </c>
      <c r="B4" s="6"/>
      <c r="C4" s="6"/>
      <c r="D4" s="6"/>
      <c r="E4" s="6"/>
      <c r="G4" s="2" t="s">
        <v>2</v>
      </c>
      <c r="H4" s="2" t="s">
        <v>44</v>
      </c>
      <c r="I4" s="2" t="s">
        <v>45</v>
      </c>
      <c r="J4" s="2">
        <v>89556.58883711393</v>
      </c>
      <c r="K4" s="2">
        <v>306.34073077313843</v>
      </c>
      <c r="L4" s="2">
        <v>407.09783584916744</v>
      </c>
      <c r="M4" s="2"/>
      <c r="N4" s="2">
        <v>22192.574453056168</v>
      </c>
      <c r="P4" s="2"/>
      <c r="Q4" s="2"/>
      <c r="R4" s="2"/>
      <c r="S4" s="2"/>
      <c r="U4" s="1" t="s">
        <v>2</v>
      </c>
      <c r="V4" s="6"/>
      <c r="W4" s="6"/>
      <c r="X4" s="6"/>
      <c r="Y4" s="6"/>
    </row>
    <row r="5" spans="1:25">
      <c r="A5" s="1" t="s">
        <v>3</v>
      </c>
      <c r="B5" s="6"/>
      <c r="C5" s="6"/>
      <c r="D5" s="6"/>
      <c r="E5" s="6"/>
      <c r="G5" s="2" t="s">
        <v>3</v>
      </c>
      <c r="H5" s="2" t="s">
        <v>46</v>
      </c>
      <c r="I5" s="2" t="s">
        <v>47</v>
      </c>
      <c r="J5" s="2">
        <v>510.80018985963534</v>
      </c>
      <c r="K5" s="2">
        <v>0.10015374386024242</v>
      </c>
      <c r="L5" s="2">
        <v>3.791534588994983</v>
      </c>
      <c r="M5" s="2"/>
      <c r="N5" s="2"/>
      <c r="P5" s="2"/>
      <c r="Q5" s="2"/>
      <c r="R5" s="2"/>
      <c r="S5" s="2"/>
      <c r="U5" s="1" t="s">
        <v>3</v>
      </c>
      <c r="V5" s="6"/>
      <c r="W5" s="6"/>
      <c r="X5" s="6"/>
      <c r="Y5" s="6"/>
    </row>
    <row r="6" spans="1:25">
      <c r="A6" s="1" t="s">
        <v>4</v>
      </c>
      <c r="B6" s="6"/>
      <c r="C6" s="6"/>
      <c r="D6" s="6"/>
      <c r="E6" s="6"/>
      <c r="G6" s="2" t="s">
        <v>4</v>
      </c>
      <c r="H6" s="2" t="s">
        <v>46</v>
      </c>
      <c r="I6" s="2" t="s">
        <v>48</v>
      </c>
      <c r="J6" s="2">
        <v>170520.41265982177</v>
      </c>
      <c r="K6" s="2">
        <v>461.77947910040649</v>
      </c>
      <c r="L6" s="2">
        <v>1377.995692351144</v>
      </c>
      <c r="M6" s="2"/>
      <c r="N6" s="2">
        <v>8086.8003695411708</v>
      </c>
      <c r="P6" s="2"/>
      <c r="Q6" s="2"/>
      <c r="R6" s="2"/>
      <c r="S6" s="2"/>
      <c r="U6" s="1" t="s">
        <v>4</v>
      </c>
      <c r="V6" s="6"/>
      <c r="W6" s="6"/>
      <c r="X6" s="6"/>
      <c r="Y6" s="6"/>
    </row>
    <row r="7" spans="1:25">
      <c r="A7" s="1" t="s">
        <v>5</v>
      </c>
      <c r="B7" s="6"/>
      <c r="C7" s="6"/>
      <c r="D7" s="6"/>
      <c r="E7" s="6"/>
      <c r="G7" s="2" t="s">
        <v>5</v>
      </c>
      <c r="H7" s="2" t="s">
        <v>46</v>
      </c>
      <c r="I7" s="2" t="s">
        <v>49</v>
      </c>
      <c r="J7" s="2">
        <v>1530.4381249722496</v>
      </c>
      <c r="K7" s="2">
        <v>2.4257741908496762</v>
      </c>
      <c r="L7" s="2">
        <v>156.42298308469367</v>
      </c>
      <c r="M7" s="2"/>
      <c r="N7" s="2">
        <v>22.33461521129572</v>
      </c>
      <c r="P7" s="2"/>
      <c r="Q7" s="2"/>
      <c r="R7" s="2"/>
      <c r="S7" s="2"/>
      <c r="U7" s="1" t="s">
        <v>5</v>
      </c>
      <c r="V7" s="6"/>
      <c r="W7" s="6"/>
      <c r="X7" s="6"/>
      <c r="Y7" s="6"/>
    </row>
    <row r="8" spans="1:25">
      <c r="A8" s="1" t="s">
        <v>6</v>
      </c>
      <c r="B8" s="6"/>
      <c r="C8" s="6"/>
      <c r="D8" s="6"/>
      <c r="E8" s="6"/>
      <c r="G8" s="2" t="s">
        <v>6</v>
      </c>
      <c r="H8" s="2" t="s">
        <v>46</v>
      </c>
      <c r="I8" s="2" t="s">
        <v>50</v>
      </c>
      <c r="J8" s="2">
        <v>500.12345070312961</v>
      </c>
      <c r="K8" s="2">
        <v>1.3267109996557378</v>
      </c>
      <c r="L8" s="2">
        <v>3.5875348460078418</v>
      </c>
      <c r="M8" s="2"/>
      <c r="N8" s="2"/>
      <c r="P8" s="2"/>
      <c r="Q8" s="2"/>
      <c r="R8" s="2"/>
      <c r="S8" s="2"/>
      <c r="U8" s="1" t="s">
        <v>6</v>
      </c>
      <c r="V8" s="6"/>
      <c r="W8" s="6"/>
      <c r="X8" s="6"/>
      <c r="Y8" s="6"/>
    </row>
    <row r="9" spans="1:25">
      <c r="A9" s="1" t="s">
        <v>7</v>
      </c>
      <c r="B9" s="6"/>
      <c r="C9" s="6"/>
      <c r="D9" s="6"/>
      <c r="E9" s="6"/>
      <c r="G9" s="2" t="s">
        <v>7</v>
      </c>
      <c r="H9" s="2" t="s">
        <v>46</v>
      </c>
      <c r="I9" s="2" t="s">
        <v>51</v>
      </c>
      <c r="J9" s="2">
        <v>1816.1192033548045</v>
      </c>
      <c r="K9" s="2">
        <v>0.91269059792326646</v>
      </c>
      <c r="L9" s="2">
        <v>2.0142921035547006</v>
      </c>
      <c r="M9" s="2"/>
      <c r="N9" s="2"/>
      <c r="P9" s="2"/>
      <c r="Q9" s="2"/>
      <c r="R9" s="2"/>
      <c r="S9" s="2"/>
      <c r="U9" s="1" t="s">
        <v>7</v>
      </c>
      <c r="V9" s="6"/>
      <c r="W9" s="6"/>
      <c r="X9" s="6"/>
      <c r="Y9" s="6"/>
    </row>
    <row r="10" spans="1:25">
      <c r="A10" s="1" t="s">
        <v>8</v>
      </c>
      <c r="B10" s="6"/>
      <c r="C10" s="6"/>
      <c r="D10" s="6"/>
      <c r="E10" s="6"/>
      <c r="G10" s="2" t="s">
        <v>8</v>
      </c>
      <c r="H10" s="2" t="s">
        <v>52</v>
      </c>
      <c r="I10" s="2" t="s">
        <v>53</v>
      </c>
      <c r="J10" s="2">
        <v>97473.334804591548</v>
      </c>
      <c r="K10" s="2">
        <v>10635.486141631976</v>
      </c>
      <c r="L10" s="2">
        <v>2373.1278033725116</v>
      </c>
      <c r="M10" s="2"/>
      <c r="N10" s="2">
        <v>83051.38930112205</v>
      </c>
      <c r="P10" s="2"/>
      <c r="Q10" s="2"/>
      <c r="R10" s="2"/>
      <c r="S10" s="2"/>
      <c r="U10" s="1" t="s">
        <v>8</v>
      </c>
      <c r="V10" s="6"/>
      <c r="W10" s="6"/>
      <c r="X10" s="6"/>
      <c r="Y10" s="6"/>
    </row>
    <row r="11" spans="1:25">
      <c r="A11" s="1" t="s">
        <v>9</v>
      </c>
      <c r="B11" s="6"/>
      <c r="C11" s="6"/>
      <c r="D11" s="6"/>
      <c r="E11" s="6"/>
      <c r="G11" s="2" t="s">
        <v>9</v>
      </c>
      <c r="H11" s="2" t="s">
        <v>54</v>
      </c>
      <c r="I11" s="2" t="s">
        <v>55</v>
      </c>
      <c r="J11" s="2">
        <v>1255.9978171287009</v>
      </c>
      <c r="K11" s="2">
        <v>3.9979954340594883</v>
      </c>
      <c r="L11" s="2">
        <v>33.438850539122463</v>
      </c>
      <c r="M11" s="2"/>
      <c r="N11" s="2"/>
      <c r="P11" s="2"/>
      <c r="Q11" s="2"/>
      <c r="R11" s="2"/>
      <c r="S11" s="2"/>
      <c r="U11" s="1" t="s">
        <v>9</v>
      </c>
      <c r="V11" s="6"/>
      <c r="W11" s="6"/>
      <c r="X11" s="6"/>
      <c r="Y11" s="6"/>
    </row>
    <row r="12" spans="1:25">
      <c r="A12" s="1" t="s">
        <v>10</v>
      </c>
      <c r="B12" s="2">
        <f>V12</f>
        <v>6128.6020094119876</v>
      </c>
      <c r="C12" s="2">
        <f t="shared" ref="C12:E27" si="0">W12</f>
        <v>10504.480759347187</v>
      </c>
      <c r="D12" s="2">
        <f t="shared" si="0"/>
        <v>1.2366810901436414</v>
      </c>
      <c r="E12" s="2">
        <f t="shared" si="0"/>
        <v>0</v>
      </c>
      <c r="G12" s="2" t="s">
        <v>10</v>
      </c>
      <c r="H12" s="2" t="s">
        <v>56</v>
      </c>
      <c r="I12" s="2" t="s">
        <v>57</v>
      </c>
      <c r="J12" s="2">
        <v>11469.188372453782</v>
      </c>
      <c r="K12" s="2">
        <v>19658.295382657514</v>
      </c>
      <c r="L12" s="2">
        <v>2.3143497257166135</v>
      </c>
      <c r="M12" s="2"/>
      <c r="N12" s="2"/>
      <c r="P12" s="2" t="s">
        <v>88</v>
      </c>
      <c r="Q12" s="2">
        <v>1.8714200000000001</v>
      </c>
      <c r="R12" s="2"/>
      <c r="S12" s="2">
        <f>SUM(Q12:R12)</f>
        <v>1.8714200000000001</v>
      </c>
      <c r="U12" s="1" t="s">
        <v>10</v>
      </c>
      <c r="V12" s="2">
        <f>J12/$S12</f>
        <v>6128.6020094119876</v>
      </c>
      <c r="W12" s="2">
        <f t="shared" ref="W12:Y27" si="1">K12/$S12</f>
        <v>10504.480759347187</v>
      </c>
      <c r="X12" s="2">
        <f t="shared" si="1"/>
        <v>1.2366810901436414</v>
      </c>
      <c r="Y12" s="2">
        <f t="shared" si="1"/>
        <v>0</v>
      </c>
    </row>
    <row r="13" spans="1:25">
      <c r="A13" s="1" t="s">
        <v>11</v>
      </c>
      <c r="B13" s="2">
        <f t="shared" ref="B13:E38" si="2">V13</f>
        <v>146.52558043521643</v>
      </c>
      <c r="C13" s="2">
        <f t="shared" si="0"/>
        <v>2050.5852610448956</v>
      </c>
      <c r="D13" s="2">
        <f t="shared" si="0"/>
        <v>0.2168015881786908</v>
      </c>
      <c r="E13" s="2">
        <f t="shared" si="0"/>
        <v>0</v>
      </c>
      <c r="G13" s="2" t="s">
        <v>11</v>
      </c>
      <c r="H13" s="2" t="s">
        <v>56</v>
      </c>
      <c r="I13" s="2" t="s">
        <v>58</v>
      </c>
      <c r="J13" s="2">
        <v>883.99908355629123</v>
      </c>
      <c r="K13" s="2">
        <v>12371.32442085213</v>
      </c>
      <c r="L13" s="2">
        <v>1.3079791575932143</v>
      </c>
      <c r="M13" s="2"/>
      <c r="N13" s="2">
        <v>7471.4338902523659</v>
      </c>
      <c r="P13" s="2" t="s">
        <v>99</v>
      </c>
      <c r="Q13">
        <v>4.2522700000000002</v>
      </c>
      <c r="R13">
        <v>1.7807999999999999</v>
      </c>
      <c r="S13" s="2">
        <f>SUM(Q13:R13)</f>
        <v>6.0330700000000004</v>
      </c>
      <c r="U13" s="1" t="s">
        <v>11</v>
      </c>
      <c r="V13" s="2">
        <f t="shared" ref="V13:Y38" si="3">J13/$S13</f>
        <v>146.52558043521643</v>
      </c>
      <c r="W13" s="2">
        <f t="shared" si="1"/>
        <v>2050.5852610448956</v>
      </c>
      <c r="X13" s="2">
        <f t="shared" si="1"/>
        <v>0.2168015881786908</v>
      </c>
      <c r="Y13" s="2">
        <f t="shared" si="1"/>
        <v>0</v>
      </c>
    </row>
    <row r="14" spans="1:25">
      <c r="A14" s="1" t="s">
        <v>12</v>
      </c>
      <c r="B14" s="2">
        <f t="shared" si="2"/>
        <v>4624.0304601748585</v>
      </c>
      <c r="C14" s="2">
        <f t="shared" si="0"/>
        <v>0</v>
      </c>
      <c r="D14" s="2">
        <f t="shared" si="0"/>
        <v>0</v>
      </c>
      <c r="E14" s="2">
        <f t="shared" si="0"/>
        <v>0</v>
      </c>
      <c r="G14" s="2" t="s">
        <v>12</v>
      </c>
      <c r="H14" s="2" t="s">
        <v>44</v>
      </c>
      <c r="I14" s="2" t="s">
        <v>59</v>
      </c>
      <c r="J14" s="2">
        <v>22435.518350940802</v>
      </c>
      <c r="K14" s="2"/>
      <c r="L14" s="2"/>
      <c r="M14" s="2"/>
      <c r="N14" s="2"/>
      <c r="P14" s="2" t="s">
        <v>89</v>
      </c>
      <c r="Q14" s="2">
        <v>4.8519399999999999</v>
      </c>
      <c r="R14" s="2"/>
      <c r="S14" s="2">
        <f t="shared" ref="S14:S38" si="4">SUM(Q14:R14)</f>
        <v>4.8519399999999999</v>
      </c>
      <c r="U14" s="1" t="s">
        <v>12</v>
      </c>
      <c r="V14" s="2">
        <f t="shared" si="3"/>
        <v>4624.0304601748585</v>
      </c>
      <c r="W14" s="2">
        <f t="shared" si="1"/>
        <v>0</v>
      </c>
      <c r="X14" s="2">
        <f t="shared" si="1"/>
        <v>0</v>
      </c>
      <c r="Y14" s="2">
        <f t="shared" si="1"/>
        <v>0</v>
      </c>
    </row>
    <row r="15" spans="1:25">
      <c r="A15" s="1" t="s">
        <v>13</v>
      </c>
      <c r="B15" s="2">
        <f t="shared" si="2"/>
        <v>1489.6618672118782</v>
      </c>
      <c r="C15" s="2">
        <f t="shared" si="0"/>
        <v>0</v>
      </c>
      <c r="D15" s="2">
        <f t="shared" si="0"/>
        <v>0</v>
      </c>
      <c r="E15" s="2">
        <f t="shared" si="0"/>
        <v>0</v>
      </c>
      <c r="G15" s="2" t="s">
        <v>13</v>
      </c>
      <c r="H15" s="2" t="s">
        <v>44</v>
      </c>
      <c r="I15" s="2" t="s">
        <v>59</v>
      </c>
      <c r="J15" s="2">
        <v>7227.75</v>
      </c>
      <c r="K15" s="2"/>
      <c r="L15" s="2"/>
      <c r="M15" s="2"/>
      <c r="N15" s="2"/>
      <c r="P15" s="2" t="s">
        <v>89</v>
      </c>
      <c r="Q15" s="2">
        <f>Q14</f>
        <v>4.8519399999999999</v>
      </c>
      <c r="R15" s="2"/>
      <c r="S15" s="2">
        <f t="shared" si="4"/>
        <v>4.8519399999999999</v>
      </c>
      <c r="U15" s="1" t="s">
        <v>13</v>
      </c>
      <c r="V15" s="2">
        <f t="shared" si="3"/>
        <v>1489.6618672118782</v>
      </c>
      <c r="W15" s="2">
        <f t="shared" si="1"/>
        <v>0</v>
      </c>
      <c r="X15" s="2">
        <f t="shared" si="1"/>
        <v>0</v>
      </c>
      <c r="Y15" s="2">
        <f t="shared" si="1"/>
        <v>0</v>
      </c>
    </row>
    <row r="16" spans="1:25">
      <c r="A16" s="1" t="s">
        <v>14</v>
      </c>
      <c r="B16" s="2">
        <f t="shared" si="2"/>
        <v>157.0468689994629</v>
      </c>
      <c r="C16" s="2">
        <f t="shared" si="0"/>
        <v>0</v>
      </c>
      <c r="D16" s="2">
        <f t="shared" si="0"/>
        <v>0</v>
      </c>
      <c r="E16" s="2">
        <f t="shared" si="0"/>
        <v>0</v>
      </c>
      <c r="G16" s="2" t="s">
        <v>14</v>
      </c>
      <c r="H16" s="2" t="s">
        <v>44</v>
      </c>
      <c r="I16" s="2" t="s">
        <v>59</v>
      </c>
      <c r="J16" s="2">
        <v>761.98198557325406</v>
      </c>
      <c r="K16" s="2"/>
      <c r="L16" s="2"/>
      <c r="M16" s="2"/>
      <c r="N16" s="2"/>
      <c r="P16" s="2" t="s">
        <v>89</v>
      </c>
      <c r="Q16" s="2">
        <f>Q15</f>
        <v>4.8519399999999999</v>
      </c>
      <c r="R16" s="2"/>
      <c r="S16" s="2">
        <f t="shared" si="4"/>
        <v>4.8519399999999999</v>
      </c>
      <c r="U16" s="1" t="s">
        <v>14</v>
      </c>
      <c r="V16" s="2">
        <f t="shared" si="3"/>
        <v>157.0468689994629</v>
      </c>
      <c r="W16" s="2">
        <f t="shared" si="1"/>
        <v>0</v>
      </c>
      <c r="X16" s="2">
        <f t="shared" si="1"/>
        <v>0</v>
      </c>
      <c r="Y16" s="2">
        <f t="shared" si="1"/>
        <v>0</v>
      </c>
    </row>
    <row r="17" spans="1:25">
      <c r="A17" s="1" t="s">
        <v>15</v>
      </c>
      <c r="B17" s="2">
        <f t="shared" si="2"/>
        <v>325.73553154864209</v>
      </c>
      <c r="C17" s="2">
        <f t="shared" si="0"/>
        <v>0</v>
      </c>
      <c r="D17" s="2">
        <f t="shared" si="0"/>
        <v>0</v>
      </c>
      <c r="E17" s="2">
        <f t="shared" si="0"/>
        <v>0</v>
      </c>
      <c r="G17" s="2" t="s">
        <v>15</v>
      </c>
      <c r="H17" s="2" t="s">
        <v>44</v>
      </c>
      <c r="I17" s="2" t="s">
        <v>60</v>
      </c>
      <c r="J17" s="2">
        <v>6138.5512391404691</v>
      </c>
      <c r="K17" s="2"/>
      <c r="L17" s="2"/>
      <c r="M17" s="2"/>
      <c r="N17" s="2"/>
      <c r="P17" s="2" t="s">
        <v>90</v>
      </c>
      <c r="Q17" s="2">
        <v>18.845199999999998</v>
      </c>
      <c r="R17" s="2"/>
      <c r="S17" s="2">
        <f t="shared" si="4"/>
        <v>18.845199999999998</v>
      </c>
      <c r="U17" s="1" t="s">
        <v>15</v>
      </c>
      <c r="V17" s="2">
        <f t="shared" si="3"/>
        <v>325.73553154864209</v>
      </c>
      <c r="W17" s="2">
        <f t="shared" si="1"/>
        <v>0</v>
      </c>
      <c r="X17" s="2">
        <f t="shared" si="1"/>
        <v>0</v>
      </c>
      <c r="Y17" s="2">
        <f t="shared" si="1"/>
        <v>0</v>
      </c>
    </row>
    <row r="18" spans="1:25">
      <c r="A18" s="1" t="s">
        <v>16</v>
      </c>
      <c r="B18" s="2">
        <f t="shared" si="2"/>
        <v>902.29783376730188</v>
      </c>
      <c r="C18" s="2">
        <f t="shared" si="0"/>
        <v>4.2020300239385451</v>
      </c>
      <c r="D18" s="2">
        <f t="shared" si="0"/>
        <v>681.12214849443694</v>
      </c>
      <c r="E18" s="2">
        <f t="shared" si="0"/>
        <v>0</v>
      </c>
      <c r="G18" s="2" t="s">
        <v>16</v>
      </c>
      <c r="H18" s="2" t="s">
        <v>44</v>
      </c>
      <c r="I18" s="2" t="s">
        <v>61</v>
      </c>
      <c r="J18" s="2">
        <v>17003.983136911556</v>
      </c>
      <c r="K18" s="2">
        <v>79.188096207126662</v>
      </c>
      <c r="L18" s="2">
        <v>12835.883112807362</v>
      </c>
      <c r="M18" s="2"/>
      <c r="N18" s="2"/>
      <c r="P18" s="2" t="s">
        <v>90</v>
      </c>
      <c r="Q18" s="2">
        <f>Q17</f>
        <v>18.845199999999998</v>
      </c>
      <c r="R18" s="2"/>
      <c r="S18" s="2">
        <f t="shared" si="4"/>
        <v>18.845199999999998</v>
      </c>
      <c r="U18" s="1" t="s">
        <v>16</v>
      </c>
      <c r="V18" s="2">
        <f t="shared" si="3"/>
        <v>902.29783376730188</v>
      </c>
      <c r="W18" s="2">
        <f t="shared" si="1"/>
        <v>4.2020300239385451</v>
      </c>
      <c r="X18" s="2">
        <f t="shared" si="1"/>
        <v>681.12214849443694</v>
      </c>
      <c r="Y18" s="2">
        <f t="shared" si="1"/>
        <v>0</v>
      </c>
    </row>
    <row r="19" spans="1:25">
      <c r="A19" s="1" t="s">
        <v>17</v>
      </c>
      <c r="B19" s="2">
        <f t="shared" si="2"/>
        <v>872.30507504945058</v>
      </c>
      <c r="C19" s="2">
        <f t="shared" si="0"/>
        <v>9.0134684209253688</v>
      </c>
      <c r="D19" s="2">
        <f t="shared" si="0"/>
        <v>0</v>
      </c>
      <c r="E19" s="2">
        <f t="shared" si="0"/>
        <v>287.43926526412588</v>
      </c>
      <c r="G19" s="2" t="s">
        <v>17</v>
      </c>
      <c r="H19" s="2" t="s">
        <v>44</v>
      </c>
      <c r="I19" s="2" t="s">
        <v>62</v>
      </c>
      <c r="J19" s="2">
        <v>5074.6609432524301</v>
      </c>
      <c r="K19" s="2">
        <v>52.436122942785957</v>
      </c>
      <c r="L19" s="2"/>
      <c r="M19" s="2">
        <v>1672.1865488520102</v>
      </c>
      <c r="N19" s="2"/>
      <c r="P19" s="2" t="s">
        <v>92</v>
      </c>
      <c r="Q19" s="2">
        <v>5.8175299999999996</v>
      </c>
      <c r="R19" s="2"/>
      <c r="S19" s="2">
        <f t="shared" si="4"/>
        <v>5.8175299999999996</v>
      </c>
      <c r="U19" s="1" t="s">
        <v>17</v>
      </c>
      <c r="V19" s="2">
        <f t="shared" si="3"/>
        <v>872.30507504945058</v>
      </c>
      <c r="W19" s="2">
        <f t="shared" si="1"/>
        <v>9.0134684209253688</v>
      </c>
      <c r="X19" s="2">
        <f t="shared" si="1"/>
        <v>0</v>
      </c>
      <c r="Y19" s="2">
        <f t="shared" si="1"/>
        <v>287.43926526412588</v>
      </c>
    </row>
    <row r="20" spans="1:25">
      <c r="A20" s="1" t="s">
        <v>18</v>
      </c>
      <c r="B20" s="2">
        <f t="shared" si="2"/>
        <v>120.40816705349137</v>
      </c>
      <c r="C20" s="2">
        <f t="shared" si="0"/>
        <v>0</v>
      </c>
      <c r="D20" s="2">
        <f t="shared" si="0"/>
        <v>0</v>
      </c>
      <c r="E20" s="2">
        <f t="shared" si="0"/>
        <v>0</v>
      </c>
      <c r="G20" s="2" t="s">
        <v>18</v>
      </c>
      <c r="H20" s="2" t="s">
        <v>56</v>
      </c>
      <c r="I20" s="2" t="s">
        <v>63</v>
      </c>
      <c r="J20" s="2">
        <v>2269.1159897564553</v>
      </c>
      <c r="K20" s="2"/>
      <c r="L20" s="2"/>
      <c r="M20" s="2"/>
      <c r="N20" s="2"/>
      <c r="P20" s="2" t="s">
        <v>90</v>
      </c>
      <c r="Q20" s="2">
        <f>Q18</f>
        <v>18.845199999999998</v>
      </c>
      <c r="R20" s="2"/>
      <c r="S20" s="2">
        <f t="shared" si="4"/>
        <v>18.845199999999998</v>
      </c>
      <c r="U20" s="1" t="s">
        <v>18</v>
      </c>
      <c r="V20" s="2">
        <f t="shared" si="3"/>
        <v>120.40816705349137</v>
      </c>
      <c r="W20" s="2">
        <f t="shared" si="1"/>
        <v>0</v>
      </c>
      <c r="X20" s="2">
        <f t="shared" si="1"/>
        <v>0</v>
      </c>
      <c r="Y20" s="2">
        <f t="shared" si="1"/>
        <v>0</v>
      </c>
    </row>
    <row r="21" spans="1:25">
      <c r="A21" s="1" t="s">
        <v>19</v>
      </c>
      <c r="B21" s="2">
        <f t="shared" si="2"/>
        <v>0</v>
      </c>
      <c r="C21" s="2">
        <f t="shared" si="0"/>
        <v>0</v>
      </c>
      <c r="D21" s="2">
        <f t="shared" si="0"/>
        <v>0</v>
      </c>
      <c r="E21" s="2">
        <f t="shared" si="0"/>
        <v>0.22290388155889787</v>
      </c>
      <c r="G21" s="2" t="s">
        <v>19</v>
      </c>
      <c r="H21" s="2" t="s">
        <v>44</v>
      </c>
      <c r="I21" s="2" t="s">
        <v>64</v>
      </c>
      <c r="J21" s="2"/>
      <c r="K21" s="2"/>
      <c r="L21" s="2"/>
      <c r="M21" s="2">
        <v>9.9473977799999993</v>
      </c>
      <c r="N21" s="2"/>
      <c r="P21" s="2" t="s">
        <v>94</v>
      </c>
      <c r="Q21" s="2">
        <v>44.626399999999997</v>
      </c>
      <c r="R21" s="2"/>
      <c r="S21" s="2">
        <f t="shared" si="4"/>
        <v>44.626399999999997</v>
      </c>
      <c r="U21" s="1" t="s">
        <v>19</v>
      </c>
      <c r="V21" s="2">
        <f t="shared" si="3"/>
        <v>0</v>
      </c>
      <c r="W21" s="2">
        <f t="shared" si="1"/>
        <v>0</v>
      </c>
      <c r="X21" s="2">
        <f t="shared" si="1"/>
        <v>0</v>
      </c>
      <c r="Y21" s="2">
        <f t="shared" si="1"/>
        <v>0.22290388155889787</v>
      </c>
    </row>
    <row r="22" spans="1:25">
      <c r="A22" s="1" t="s">
        <v>20</v>
      </c>
      <c r="B22" s="2">
        <f t="shared" si="2"/>
        <v>0</v>
      </c>
      <c r="C22" s="2">
        <f t="shared" si="0"/>
        <v>0</v>
      </c>
      <c r="D22" s="2">
        <f t="shared" si="0"/>
        <v>0</v>
      </c>
      <c r="E22" s="2">
        <f t="shared" si="0"/>
        <v>389.79841967414677</v>
      </c>
      <c r="G22" s="2" t="s">
        <v>20</v>
      </c>
      <c r="H22" s="2" t="s">
        <v>44</v>
      </c>
      <c r="I22" s="2" t="s">
        <v>65</v>
      </c>
      <c r="J22" s="2"/>
      <c r="K22" s="2"/>
      <c r="L22" s="2"/>
      <c r="M22" s="2">
        <v>17395.300195746342</v>
      </c>
      <c r="N22" s="2"/>
      <c r="P22" s="2" t="s">
        <v>94</v>
      </c>
      <c r="Q22" s="2">
        <f>Q21</f>
        <v>44.626399999999997</v>
      </c>
      <c r="R22" s="2"/>
      <c r="S22" s="2">
        <f t="shared" si="4"/>
        <v>44.626399999999997</v>
      </c>
      <c r="U22" s="1" t="s">
        <v>20</v>
      </c>
      <c r="V22" s="2">
        <f t="shared" si="3"/>
        <v>0</v>
      </c>
      <c r="W22" s="2">
        <f t="shared" si="1"/>
        <v>0</v>
      </c>
      <c r="X22" s="2">
        <f t="shared" si="1"/>
        <v>0</v>
      </c>
      <c r="Y22" s="2">
        <f t="shared" si="1"/>
        <v>389.79841967414677</v>
      </c>
    </row>
    <row r="23" spans="1:25">
      <c r="A23" s="1" t="s">
        <v>21</v>
      </c>
      <c r="B23" s="2">
        <f t="shared" si="2"/>
        <v>0</v>
      </c>
      <c r="C23" s="2">
        <f t="shared" si="0"/>
        <v>0</v>
      </c>
      <c r="D23" s="2">
        <f t="shared" si="0"/>
        <v>18.408724071829251</v>
      </c>
      <c r="E23" s="2">
        <f t="shared" si="0"/>
        <v>37.39457270901174</v>
      </c>
      <c r="G23" s="2" t="s">
        <v>21</v>
      </c>
      <c r="H23" s="2" t="s">
        <v>44</v>
      </c>
      <c r="I23" s="2" t="s">
        <v>60</v>
      </c>
      <c r="J23" s="2"/>
      <c r="K23" s="2"/>
      <c r="L23" s="2">
        <v>821.51508391908089</v>
      </c>
      <c r="M23" s="2">
        <v>1668.7851595414415</v>
      </c>
      <c r="N23" s="2"/>
      <c r="P23" s="2" t="s">
        <v>94</v>
      </c>
      <c r="Q23" s="2">
        <f>Q22</f>
        <v>44.626399999999997</v>
      </c>
      <c r="R23" s="2"/>
      <c r="S23" s="2">
        <f t="shared" si="4"/>
        <v>44.626399999999997</v>
      </c>
      <c r="U23" s="1" t="s">
        <v>21</v>
      </c>
      <c r="V23" s="2">
        <f t="shared" si="3"/>
        <v>0</v>
      </c>
      <c r="W23" s="2">
        <f t="shared" si="1"/>
        <v>0</v>
      </c>
      <c r="X23" s="2">
        <f t="shared" si="1"/>
        <v>18.408724071829251</v>
      </c>
      <c r="Y23" s="2">
        <f t="shared" si="1"/>
        <v>37.39457270901174</v>
      </c>
    </row>
    <row r="24" spans="1:25">
      <c r="A24" s="1" t="s">
        <v>22</v>
      </c>
      <c r="B24" s="2">
        <f t="shared" si="2"/>
        <v>0</v>
      </c>
      <c r="C24" s="2">
        <f t="shared" si="0"/>
        <v>4090.7066613876777</v>
      </c>
      <c r="D24" s="2">
        <f t="shared" si="0"/>
        <v>0</v>
      </c>
      <c r="E24" s="2">
        <f t="shared" si="0"/>
        <v>0</v>
      </c>
      <c r="G24" s="2" t="s">
        <v>22</v>
      </c>
      <c r="H24" s="2" t="s">
        <v>66</v>
      </c>
      <c r="I24" s="2" t="s">
        <v>67</v>
      </c>
      <c r="J24" s="2"/>
      <c r="K24" s="2">
        <v>46287.573085599994</v>
      </c>
      <c r="L24" s="2"/>
      <c r="M24" s="2"/>
      <c r="N24" s="2"/>
      <c r="P24" s="2" t="s">
        <v>96</v>
      </c>
      <c r="Q24" s="2">
        <v>11.315300000000001</v>
      </c>
      <c r="R24" s="2"/>
      <c r="S24" s="2">
        <f t="shared" si="4"/>
        <v>11.315300000000001</v>
      </c>
      <c r="U24" s="1" t="s">
        <v>22</v>
      </c>
      <c r="V24" s="2">
        <f t="shared" si="3"/>
        <v>0</v>
      </c>
      <c r="W24" s="2">
        <f t="shared" si="1"/>
        <v>4090.7066613876777</v>
      </c>
      <c r="X24" s="2">
        <f t="shared" si="1"/>
        <v>0</v>
      </c>
      <c r="Y24" s="2">
        <f t="shared" si="1"/>
        <v>0</v>
      </c>
    </row>
    <row r="25" spans="1:25">
      <c r="A25" s="1" t="s">
        <v>23</v>
      </c>
      <c r="B25" s="2">
        <f t="shared" si="2"/>
        <v>0</v>
      </c>
      <c r="C25" s="2">
        <f t="shared" si="0"/>
        <v>866.31977754174795</v>
      </c>
      <c r="D25" s="2">
        <f t="shared" si="0"/>
        <v>242.09442258664455</v>
      </c>
      <c r="E25" s="2">
        <f t="shared" si="0"/>
        <v>0</v>
      </c>
      <c r="G25" s="2" t="s">
        <v>23</v>
      </c>
      <c r="H25" s="2" t="s">
        <v>66</v>
      </c>
      <c r="I25" s="2" t="s">
        <v>68</v>
      </c>
      <c r="J25" s="2"/>
      <c r="K25" s="2">
        <v>9802.6681788181413</v>
      </c>
      <c r="L25" s="2">
        <v>2739.3710198946592</v>
      </c>
      <c r="M25" s="2"/>
      <c r="N25" s="2"/>
      <c r="P25" s="2" t="s">
        <v>96</v>
      </c>
      <c r="Q25" s="2">
        <f>Q24</f>
        <v>11.315300000000001</v>
      </c>
      <c r="R25" s="2"/>
      <c r="S25" s="2">
        <f t="shared" si="4"/>
        <v>11.315300000000001</v>
      </c>
      <c r="U25" s="1" t="s">
        <v>23</v>
      </c>
      <c r="V25" s="2">
        <f t="shared" si="3"/>
        <v>0</v>
      </c>
      <c r="W25" s="2">
        <f t="shared" si="1"/>
        <v>866.31977754174795</v>
      </c>
      <c r="X25" s="2">
        <f t="shared" si="1"/>
        <v>242.09442258664455</v>
      </c>
      <c r="Y25" s="2">
        <f t="shared" si="1"/>
        <v>0</v>
      </c>
    </row>
    <row r="26" spans="1:25">
      <c r="A26" s="1" t="s">
        <v>24</v>
      </c>
      <c r="B26" s="2">
        <f t="shared" si="2"/>
        <v>0</v>
      </c>
      <c r="C26" s="2">
        <f t="shared" si="0"/>
        <v>20.618047679852182</v>
      </c>
      <c r="D26" s="2">
        <f t="shared" si="0"/>
        <v>5.0590579955192565</v>
      </c>
      <c r="E26" s="2">
        <f t="shared" si="0"/>
        <v>0</v>
      </c>
      <c r="G26" s="2" t="s">
        <v>24</v>
      </c>
      <c r="H26" s="2" t="s">
        <v>66</v>
      </c>
      <c r="I26" s="2" t="s">
        <v>69</v>
      </c>
      <c r="J26" s="2"/>
      <c r="K26" s="2">
        <v>233.29939491183143</v>
      </c>
      <c r="L26" s="2">
        <v>57.24475893669905</v>
      </c>
      <c r="M26" s="2"/>
      <c r="N26" s="2">
        <v>4675.2458107331813</v>
      </c>
      <c r="P26" s="2" t="s">
        <v>96</v>
      </c>
      <c r="Q26" s="2">
        <f>Q25</f>
        <v>11.315300000000001</v>
      </c>
      <c r="R26" s="2"/>
      <c r="S26" s="2">
        <f t="shared" si="4"/>
        <v>11.315300000000001</v>
      </c>
      <c r="U26" s="1" t="s">
        <v>24</v>
      </c>
      <c r="V26" s="2">
        <f t="shared" si="3"/>
        <v>0</v>
      </c>
      <c r="W26" s="2">
        <f t="shared" si="1"/>
        <v>20.618047679852182</v>
      </c>
      <c r="X26" s="2">
        <f t="shared" si="1"/>
        <v>5.0590579955192565</v>
      </c>
      <c r="Y26" s="2">
        <f t="shared" si="1"/>
        <v>0</v>
      </c>
    </row>
    <row r="27" spans="1:25">
      <c r="A27" s="1" t="s">
        <v>25</v>
      </c>
      <c r="B27" s="2">
        <f t="shared" si="2"/>
        <v>360.72692138969126</v>
      </c>
      <c r="C27" s="2">
        <f t="shared" si="0"/>
        <v>0</v>
      </c>
      <c r="D27" s="2">
        <f t="shared" si="0"/>
        <v>0</v>
      </c>
      <c r="E27" s="2">
        <f t="shared" si="0"/>
        <v>0</v>
      </c>
      <c r="G27" s="2" t="s">
        <v>25</v>
      </c>
      <c r="H27" s="2" t="s">
        <v>66</v>
      </c>
      <c r="I27" s="2" t="s">
        <v>70</v>
      </c>
      <c r="J27" s="2">
        <v>4081.7333336007737</v>
      </c>
      <c r="K27" s="2"/>
      <c r="L27" s="2"/>
      <c r="M27" s="2"/>
      <c r="N27" s="2"/>
      <c r="P27" s="2" t="s">
        <v>96</v>
      </c>
      <c r="Q27" s="2">
        <f>Q26</f>
        <v>11.315300000000001</v>
      </c>
      <c r="R27" s="2"/>
      <c r="S27" s="2">
        <f t="shared" si="4"/>
        <v>11.315300000000001</v>
      </c>
      <c r="U27" s="1" t="s">
        <v>25</v>
      </c>
      <c r="V27" s="2">
        <f t="shared" si="3"/>
        <v>360.72692138969126</v>
      </c>
      <c r="W27" s="2">
        <f t="shared" si="1"/>
        <v>0</v>
      </c>
      <c r="X27" s="2">
        <f t="shared" si="1"/>
        <v>0</v>
      </c>
      <c r="Y27" s="2">
        <f t="shared" si="1"/>
        <v>0</v>
      </c>
    </row>
    <row r="28" spans="1:25">
      <c r="A28" s="1" t="s">
        <v>26</v>
      </c>
      <c r="B28" s="2">
        <f t="shared" si="2"/>
        <v>113.54535596935054</v>
      </c>
      <c r="C28" s="2">
        <f t="shared" si="2"/>
        <v>0</v>
      </c>
      <c r="D28" s="2">
        <f t="shared" si="2"/>
        <v>0</v>
      </c>
      <c r="E28" s="2">
        <f t="shared" si="2"/>
        <v>0</v>
      </c>
      <c r="G28" s="2" t="s">
        <v>26</v>
      </c>
      <c r="H28" s="2" t="s">
        <v>66</v>
      </c>
      <c r="I28" s="2" t="s">
        <v>71</v>
      </c>
      <c r="J28" s="2">
        <v>1284.7997663999922</v>
      </c>
      <c r="K28" s="2"/>
      <c r="L28" s="2"/>
      <c r="M28" s="2"/>
      <c r="N28" s="2"/>
      <c r="P28" s="2" t="s">
        <v>96</v>
      </c>
      <c r="Q28" s="2">
        <f>Q27</f>
        <v>11.315300000000001</v>
      </c>
      <c r="R28" s="2"/>
      <c r="S28" s="2">
        <f t="shared" si="4"/>
        <v>11.315300000000001</v>
      </c>
      <c r="U28" s="1" t="s">
        <v>26</v>
      </c>
      <c r="V28" s="2">
        <f t="shared" si="3"/>
        <v>113.54535596935054</v>
      </c>
      <c r="W28" s="2">
        <f t="shared" si="3"/>
        <v>0</v>
      </c>
      <c r="X28" s="2">
        <f t="shared" si="3"/>
        <v>0</v>
      </c>
      <c r="Y28" s="2">
        <f t="shared" si="3"/>
        <v>0</v>
      </c>
    </row>
    <row r="29" spans="1:25">
      <c r="A29" s="1" t="s">
        <v>27</v>
      </c>
      <c r="B29" s="2">
        <f t="shared" si="2"/>
        <v>0</v>
      </c>
      <c r="C29" s="2">
        <f t="shared" si="2"/>
        <v>0</v>
      </c>
      <c r="D29" s="2">
        <f t="shared" si="2"/>
        <v>2880.3986184077944</v>
      </c>
      <c r="E29" s="2">
        <f t="shared" si="2"/>
        <v>0</v>
      </c>
      <c r="G29" s="2" t="s">
        <v>27</v>
      </c>
      <c r="H29" s="2" t="s">
        <v>55</v>
      </c>
      <c r="I29" s="2" t="s">
        <v>72</v>
      </c>
      <c r="J29" s="2"/>
      <c r="K29" s="2"/>
      <c r="L29" s="2">
        <v>32592.574486869718</v>
      </c>
      <c r="M29" s="2"/>
      <c r="N29" s="2"/>
      <c r="P29" s="2" t="s">
        <v>96</v>
      </c>
      <c r="Q29" s="2">
        <f>Q28</f>
        <v>11.315300000000001</v>
      </c>
      <c r="R29" s="2"/>
      <c r="S29" s="2">
        <f t="shared" si="4"/>
        <v>11.315300000000001</v>
      </c>
      <c r="U29" s="1" t="s">
        <v>27</v>
      </c>
      <c r="V29" s="2">
        <f t="shared" si="3"/>
        <v>0</v>
      </c>
      <c r="W29" s="2">
        <f t="shared" si="3"/>
        <v>0</v>
      </c>
      <c r="X29" s="2">
        <f t="shared" si="3"/>
        <v>2880.3986184077944</v>
      </c>
      <c r="Y29" s="2">
        <f t="shared" si="3"/>
        <v>0</v>
      </c>
    </row>
    <row r="30" spans="1:25">
      <c r="A30" s="1" t="s">
        <v>28</v>
      </c>
      <c r="B30" s="2">
        <f t="shared" si="2"/>
        <v>0</v>
      </c>
      <c r="C30" s="2">
        <f t="shared" si="2"/>
        <v>0</v>
      </c>
      <c r="D30" s="2">
        <f t="shared" si="2"/>
        <v>616.34382352167427</v>
      </c>
      <c r="E30" s="2">
        <f t="shared" si="2"/>
        <v>0</v>
      </c>
      <c r="G30" s="2" t="s">
        <v>28</v>
      </c>
      <c r="H30" s="2" t="s">
        <v>66</v>
      </c>
      <c r="I30" s="2" t="s">
        <v>73</v>
      </c>
      <c r="J30" s="2"/>
      <c r="K30" s="2"/>
      <c r="L30" s="2">
        <v>6974.1152662948016</v>
      </c>
      <c r="M30" s="2"/>
      <c r="N30" s="2"/>
      <c r="P30" s="2" t="s">
        <v>96</v>
      </c>
      <c r="Q30" s="2">
        <f>Q29</f>
        <v>11.315300000000001</v>
      </c>
      <c r="R30" s="2"/>
      <c r="S30" s="2">
        <f t="shared" si="4"/>
        <v>11.315300000000001</v>
      </c>
      <c r="U30" s="1" t="s">
        <v>28</v>
      </c>
      <c r="V30" s="2">
        <f t="shared" si="3"/>
        <v>0</v>
      </c>
      <c r="W30" s="2">
        <f t="shared" si="3"/>
        <v>0</v>
      </c>
      <c r="X30" s="2">
        <f t="shared" si="3"/>
        <v>616.34382352167427</v>
      </c>
      <c r="Y30" s="2">
        <f t="shared" si="3"/>
        <v>0</v>
      </c>
    </row>
    <row r="31" spans="1:25">
      <c r="A31" s="1" t="s">
        <v>29</v>
      </c>
      <c r="B31" s="2">
        <f t="shared" si="2"/>
        <v>0</v>
      </c>
      <c r="C31" s="2">
        <f t="shared" si="2"/>
        <v>0</v>
      </c>
      <c r="D31" s="2">
        <f t="shared" si="2"/>
        <v>44.400615695137468</v>
      </c>
      <c r="E31" s="2">
        <f t="shared" si="2"/>
        <v>0</v>
      </c>
      <c r="G31" s="2" t="s">
        <v>29</v>
      </c>
      <c r="H31" s="2" t="s">
        <v>66</v>
      </c>
      <c r="I31" s="2" t="s">
        <v>74</v>
      </c>
      <c r="J31" s="2"/>
      <c r="K31" s="2"/>
      <c r="L31" s="2">
        <v>502.40628677518902</v>
      </c>
      <c r="M31" s="2"/>
      <c r="N31" s="2"/>
      <c r="P31" s="2" t="s">
        <v>96</v>
      </c>
      <c r="Q31" s="2">
        <f>Q30</f>
        <v>11.315300000000001</v>
      </c>
      <c r="R31" s="2"/>
      <c r="S31" s="2">
        <f t="shared" si="4"/>
        <v>11.315300000000001</v>
      </c>
      <c r="U31" s="1" t="s">
        <v>29</v>
      </c>
      <c r="V31" s="2">
        <f t="shared" si="3"/>
        <v>0</v>
      </c>
      <c r="W31" s="2">
        <f t="shared" si="3"/>
        <v>0</v>
      </c>
      <c r="X31" s="2">
        <f t="shared" si="3"/>
        <v>44.400615695137468</v>
      </c>
      <c r="Y31" s="2">
        <f t="shared" si="3"/>
        <v>0</v>
      </c>
    </row>
    <row r="32" spans="1:25">
      <c r="A32" s="1" t="s">
        <v>30</v>
      </c>
      <c r="B32" s="2">
        <f t="shared" si="2"/>
        <v>0</v>
      </c>
      <c r="C32" s="2">
        <f t="shared" si="2"/>
        <v>13.817305771831059</v>
      </c>
      <c r="D32" s="2">
        <f t="shared" si="2"/>
        <v>0</v>
      </c>
      <c r="E32" s="2">
        <f t="shared" si="2"/>
        <v>0</v>
      </c>
      <c r="G32" s="2" t="s">
        <v>30</v>
      </c>
      <c r="H32" s="2" t="s">
        <v>66</v>
      </c>
      <c r="I32" s="2" t="s">
        <v>75</v>
      </c>
      <c r="J32" s="2"/>
      <c r="K32" s="2">
        <v>156.34696</v>
      </c>
      <c r="L32" s="2"/>
      <c r="M32" s="2"/>
      <c r="N32" s="2"/>
      <c r="P32" s="2" t="s">
        <v>96</v>
      </c>
      <c r="Q32" s="2">
        <f>Q31</f>
        <v>11.315300000000001</v>
      </c>
      <c r="R32" s="2"/>
      <c r="S32" s="2">
        <f t="shared" si="4"/>
        <v>11.315300000000001</v>
      </c>
      <c r="U32" s="1" t="s">
        <v>30</v>
      </c>
      <c r="V32" s="2">
        <f t="shared" si="3"/>
        <v>0</v>
      </c>
      <c r="W32" s="2">
        <f t="shared" si="3"/>
        <v>13.817305771831059</v>
      </c>
      <c r="X32" s="2">
        <f t="shared" si="3"/>
        <v>0</v>
      </c>
      <c r="Y32" s="2">
        <f t="shared" si="3"/>
        <v>0</v>
      </c>
    </row>
    <row r="33" spans="1:25">
      <c r="A33" s="1" t="s">
        <v>31</v>
      </c>
      <c r="B33" s="2">
        <f t="shared" si="2"/>
        <v>0</v>
      </c>
      <c r="C33" s="2">
        <f t="shared" si="2"/>
        <v>162.90497459519636</v>
      </c>
      <c r="D33" s="2">
        <f t="shared" si="2"/>
        <v>0</v>
      </c>
      <c r="E33" s="2">
        <f t="shared" si="2"/>
        <v>0</v>
      </c>
      <c r="G33" s="2" t="s">
        <v>31</v>
      </c>
      <c r="H33" s="2" t="s">
        <v>76</v>
      </c>
      <c r="I33" s="2" t="s">
        <v>77</v>
      </c>
      <c r="J33" s="2"/>
      <c r="K33" s="2">
        <v>28913.189416028428</v>
      </c>
      <c r="L33" s="2"/>
      <c r="M33" s="2"/>
      <c r="N33" s="2"/>
      <c r="P33" s="2" t="s">
        <v>97</v>
      </c>
      <c r="Q33" s="2">
        <v>177.48500000000001</v>
      </c>
      <c r="R33" s="2"/>
      <c r="S33" s="2">
        <f t="shared" si="4"/>
        <v>177.48500000000001</v>
      </c>
      <c r="U33" s="1" t="s">
        <v>31</v>
      </c>
      <c r="V33" s="2">
        <f t="shared" si="3"/>
        <v>0</v>
      </c>
      <c r="W33" s="2">
        <f t="shared" si="3"/>
        <v>162.90497459519636</v>
      </c>
      <c r="X33" s="2">
        <f t="shared" si="3"/>
        <v>0</v>
      </c>
      <c r="Y33" s="2">
        <f t="shared" si="3"/>
        <v>0</v>
      </c>
    </row>
    <row r="34" spans="1:25">
      <c r="A34" s="1" t="s">
        <v>32</v>
      </c>
      <c r="B34" s="2">
        <f t="shared" si="2"/>
        <v>0</v>
      </c>
      <c r="C34" s="2">
        <f t="shared" si="2"/>
        <v>5.1407266635914013</v>
      </c>
      <c r="D34" s="2">
        <f t="shared" si="2"/>
        <v>3.430557359520213</v>
      </c>
      <c r="E34" s="2">
        <f t="shared" si="2"/>
        <v>0</v>
      </c>
      <c r="G34" s="2" t="s">
        <v>32</v>
      </c>
      <c r="H34" s="2" t="s">
        <v>76</v>
      </c>
      <c r="I34" s="2" t="s">
        <v>78</v>
      </c>
      <c r="J34" s="2"/>
      <c r="K34" s="2">
        <v>912.40187188751997</v>
      </c>
      <c r="L34" s="2">
        <v>608.87247295444502</v>
      </c>
      <c r="M34" s="2"/>
      <c r="N34" s="2"/>
      <c r="P34" s="2" t="s">
        <v>97</v>
      </c>
      <c r="Q34" s="2">
        <f>Q33</f>
        <v>177.48500000000001</v>
      </c>
      <c r="R34" s="2"/>
      <c r="S34" s="2">
        <f t="shared" si="4"/>
        <v>177.48500000000001</v>
      </c>
      <c r="U34" s="1" t="s">
        <v>32</v>
      </c>
      <c r="V34" s="2">
        <f t="shared" si="3"/>
        <v>0</v>
      </c>
      <c r="W34" s="2">
        <f t="shared" si="3"/>
        <v>5.1407266635914013</v>
      </c>
      <c r="X34" s="2">
        <f t="shared" si="3"/>
        <v>3.430557359520213</v>
      </c>
      <c r="Y34" s="2">
        <f t="shared" si="3"/>
        <v>0</v>
      </c>
    </row>
    <row r="35" spans="1:25">
      <c r="A35" s="1" t="s">
        <v>33</v>
      </c>
      <c r="B35" s="2">
        <f t="shared" si="2"/>
        <v>2.6149916968422606</v>
      </c>
      <c r="C35" s="2">
        <f t="shared" si="2"/>
        <v>20.576770934184264</v>
      </c>
      <c r="D35" s="2">
        <f t="shared" si="2"/>
        <v>0.10496516609375441</v>
      </c>
      <c r="E35" s="2">
        <f t="shared" si="2"/>
        <v>0</v>
      </c>
      <c r="G35" s="2" t="s">
        <v>33</v>
      </c>
      <c r="H35" s="2" t="s">
        <v>76</v>
      </c>
      <c r="I35" s="2" t="s">
        <v>57</v>
      </c>
      <c r="J35" s="2">
        <v>464.12180131404864</v>
      </c>
      <c r="K35" s="2">
        <v>3652.0681892536945</v>
      </c>
      <c r="L35" s="2">
        <v>18.629742504150002</v>
      </c>
      <c r="M35" s="2"/>
      <c r="N35" s="2">
        <v>204.16260094999998</v>
      </c>
      <c r="P35" s="2" t="s">
        <v>97</v>
      </c>
      <c r="Q35" s="2">
        <f>Q33</f>
        <v>177.48500000000001</v>
      </c>
      <c r="R35" s="2"/>
      <c r="S35" s="2">
        <f t="shared" si="4"/>
        <v>177.48500000000001</v>
      </c>
      <c r="U35" s="1" t="s">
        <v>33</v>
      </c>
      <c r="V35" s="2">
        <f t="shared" si="3"/>
        <v>2.6149916968422606</v>
      </c>
      <c r="W35" s="2">
        <f t="shared" si="3"/>
        <v>20.576770934184264</v>
      </c>
      <c r="X35" s="2">
        <f t="shared" si="3"/>
        <v>0.10496516609375441</v>
      </c>
      <c r="Y35" s="2">
        <f t="shared" si="3"/>
        <v>0</v>
      </c>
    </row>
    <row r="36" spans="1:25">
      <c r="A36" s="1" t="s">
        <v>34</v>
      </c>
      <c r="B36" s="2">
        <f t="shared" si="2"/>
        <v>0</v>
      </c>
      <c r="C36" s="2">
        <f t="shared" si="2"/>
        <v>74.934368194249345</v>
      </c>
      <c r="D36" s="2">
        <f t="shared" si="2"/>
        <v>11.11239601425952</v>
      </c>
      <c r="E36" s="2">
        <f t="shared" si="2"/>
        <v>0</v>
      </c>
      <c r="G36" s="2" t="s">
        <v>34</v>
      </c>
      <c r="H36" s="2" t="s">
        <v>76</v>
      </c>
      <c r="I36" s="2" t="s">
        <v>79</v>
      </c>
      <c r="J36" s="2"/>
      <c r="K36" s="2">
        <v>13299.726338956347</v>
      </c>
      <c r="L36" s="2">
        <v>1972.2836065908512</v>
      </c>
      <c r="M36" s="2"/>
      <c r="N36" s="2"/>
      <c r="P36" s="2" t="s">
        <v>97</v>
      </c>
      <c r="Q36" s="2">
        <f>Q33</f>
        <v>177.48500000000001</v>
      </c>
      <c r="R36" s="2"/>
      <c r="S36" s="2">
        <f t="shared" si="4"/>
        <v>177.48500000000001</v>
      </c>
      <c r="U36" s="1" t="s">
        <v>34</v>
      </c>
      <c r="V36" s="2">
        <f t="shared" si="3"/>
        <v>0</v>
      </c>
      <c r="W36" s="2">
        <f t="shared" si="3"/>
        <v>74.934368194249345</v>
      </c>
      <c r="X36" s="2">
        <f t="shared" si="3"/>
        <v>11.11239601425952</v>
      </c>
      <c r="Y36" s="2">
        <f t="shared" si="3"/>
        <v>0</v>
      </c>
    </row>
    <row r="37" spans="1:25">
      <c r="A37" s="1" t="s">
        <v>35</v>
      </c>
      <c r="B37" s="2">
        <f t="shared" si="2"/>
        <v>0</v>
      </c>
      <c r="C37" s="2">
        <f t="shared" si="2"/>
        <v>0</v>
      </c>
      <c r="D37" s="2">
        <f t="shared" si="2"/>
        <v>14.798153637441766</v>
      </c>
      <c r="E37" s="2">
        <f t="shared" si="2"/>
        <v>0</v>
      </c>
      <c r="G37" s="2" t="s">
        <v>35</v>
      </c>
      <c r="H37" s="2" t="s">
        <v>55</v>
      </c>
      <c r="I37" s="2" t="s">
        <v>80</v>
      </c>
      <c r="J37" s="2"/>
      <c r="K37" s="2"/>
      <c r="L37" s="2">
        <v>2626.4502983413522</v>
      </c>
      <c r="M37" s="2"/>
      <c r="N37" s="2"/>
      <c r="P37" s="2" t="s">
        <v>97</v>
      </c>
      <c r="Q37" s="2">
        <f>Q33</f>
        <v>177.48500000000001</v>
      </c>
      <c r="R37" s="2"/>
      <c r="S37" s="2">
        <f t="shared" si="4"/>
        <v>177.48500000000001</v>
      </c>
      <c r="U37" s="1" t="s">
        <v>35</v>
      </c>
      <c r="V37" s="2">
        <f t="shared" si="3"/>
        <v>0</v>
      </c>
      <c r="W37" s="2">
        <f t="shared" si="3"/>
        <v>0</v>
      </c>
      <c r="X37" s="2">
        <f t="shared" si="3"/>
        <v>14.798153637441766</v>
      </c>
      <c r="Y37" s="2">
        <f t="shared" si="3"/>
        <v>0</v>
      </c>
    </row>
    <row r="38" spans="1:25">
      <c r="A38" s="1" t="s">
        <v>36</v>
      </c>
      <c r="B38" s="2">
        <f t="shared" si="2"/>
        <v>0</v>
      </c>
      <c r="C38" s="2">
        <f t="shared" si="2"/>
        <v>0</v>
      </c>
      <c r="D38" s="2">
        <f t="shared" si="2"/>
        <v>0</v>
      </c>
      <c r="E38" s="2">
        <f t="shared" si="2"/>
        <v>0</v>
      </c>
      <c r="G38" s="2" t="s">
        <v>36</v>
      </c>
      <c r="H38" s="2" t="s">
        <v>55</v>
      </c>
      <c r="I38" s="2" t="s">
        <v>81</v>
      </c>
      <c r="J38" s="2"/>
      <c r="K38" s="2"/>
      <c r="L38" s="2"/>
      <c r="M38" s="2"/>
      <c r="N38" s="2"/>
      <c r="P38" s="2" t="s">
        <v>97</v>
      </c>
      <c r="Q38" s="2">
        <f>Q33</f>
        <v>177.48500000000001</v>
      </c>
      <c r="R38" s="2"/>
      <c r="S38" s="2">
        <f t="shared" si="4"/>
        <v>177.48500000000001</v>
      </c>
      <c r="U38" s="1" t="s">
        <v>36</v>
      </c>
      <c r="V38" s="2">
        <f t="shared" si="3"/>
        <v>0</v>
      </c>
      <c r="W38" s="2">
        <f t="shared" si="3"/>
        <v>0</v>
      </c>
      <c r="X38" s="2">
        <f t="shared" si="3"/>
        <v>0</v>
      </c>
      <c r="Y38" s="2">
        <f t="shared" si="3"/>
        <v>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38"/>
  <sheetViews>
    <sheetView zoomScale="70" zoomScaleNormal="70" workbookViewId="0">
      <selection activeCell="Q33" sqref="Q33"/>
    </sheetView>
  </sheetViews>
  <sheetFormatPr defaultRowHeight="14.4"/>
  <cols>
    <col min="1" max="1" width="13.33203125" bestFit="1" customWidth="1"/>
    <col min="7" max="7" width="32.33203125" bestFit="1" customWidth="1"/>
    <col min="8" max="8" width="15" bestFit="1" customWidth="1"/>
    <col min="9" max="9" width="33.44140625" bestFit="1" customWidth="1"/>
    <col min="10" max="14" width="12.33203125" bestFit="1" customWidth="1"/>
    <col min="16" max="16" width="73.109375" bestFit="1" customWidth="1"/>
  </cols>
  <sheetData>
    <row r="1" spans="1:25">
      <c r="A1" s="2"/>
      <c r="B1" s="3" t="s">
        <v>37</v>
      </c>
      <c r="C1" s="3" t="s">
        <v>38</v>
      </c>
      <c r="D1" s="3" t="s">
        <v>39</v>
      </c>
      <c r="E1" s="3" t="s">
        <v>40</v>
      </c>
      <c r="G1" s="7" t="s">
        <v>84</v>
      </c>
      <c r="H1" s="7" t="s">
        <v>85</v>
      </c>
      <c r="I1" s="7" t="s">
        <v>86</v>
      </c>
      <c r="J1" s="7" t="s">
        <v>37</v>
      </c>
      <c r="K1" s="7" t="s">
        <v>38</v>
      </c>
      <c r="L1" s="7" t="s">
        <v>39</v>
      </c>
      <c r="M1" s="7" t="s">
        <v>83</v>
      </c>
      <c r="N1" s="7" t="s">
        <v>82</v>
      </c>
      <c r="P1" s="8" t="s">
        <v>98</v>
      </c>
      <c r="Q1" s="10" t="s">
        <v>100</v>
      </c>
      <c r="R1" s="10" t="s">
        <v>101</v>
      </c>
      <c r="S1" s="10" t="s">
        <v>102</v>
      </c>
      <c r="U1" s="2"/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1" t="s">
        <v>0</v>
      </c>
      <c r="B2" s="6"/>
      <c r="C2" s="6"/>
      <c r="D2" s="6"/>
      <c r="E2" s="6"/>
      <c r="G2" s="2" t="s">
        <v>0</v>
      </c>
      <c r="H2" s="2" t="s">
        <v>41</v>
      </c>
      <c r="I2" s="2" t="s">
        <v>42</v>
      </c>
      <c r="J2" s="2">
        <v>292682.08452034986</v>
      </c>
      <c r="K2" s="2">
        <v>197.778175897887</v>
      </c>
      <c r="L2" s="2">
        <v>739.16237965983157</v>
      </c>
      <c r="M2" s="2"/>
      <c r="N2" s="2">
        <v>8242.6247265706788</v>
      </c>
      <c r="P2" s="2"/>
      <c r="Q2" s="2"/>
      <c r="R2" s="2"/>
      <c r="S2" s="2"/>
      <c r="U2" s="1" t="s">
        <v>0</v>
      </c>
      <c r="V2" s="6"/>
      <c r="W2" s="6"/>
      <c r="X2" s="6"/>
      <c r="Y2" s="6"/>
    </row>
    <row r="3" spans="1:25">
      <c r="A3" s="1" t="s">
        <v>1</v>
      </c>
      <c r="B3" s="6"/>
      <c r="C3" s="6"/>
      <c r="D3" s="6"/>
      <c r="E3" s="6"/>
      <c r="G3" s="2" t="s">
        <v>1</v>
      </c>
      <c r="H3" s="2" t="s">
        <v>41</v>
      </c>
      <c r="I3" s="2" t="s">
        <v>43</v>
      </c>
      <c r="J3" s="2">
        <v>40128.31191754475</v>
      </c>
      <c r="K3" s="2">
        <v>49.593547301563966</v>
      </c>
      <c r="L3" s="2">
        <v>32.279833885882994</v>
      </c>
      <c r="M3" s="2"/>
      <c r="N3" s="2">
        <v>179.62339796447128</v>
      </c>
      <c r="P3" s="2"/>
      <c r="Q3" s="2"/>
      <c r="R3" s="2"/>
      <c r="S3" s="2"/>
      <c r="U3" s="1" t="s">
        <v>1</v>
      </c>
      <c r="V3" s="6"/>
      <c r="W3" s="6"/>
      <c r="X3" s="6"/>
      <c r="Y3" s="6"/>
    </row>
    <row r="4" spans="1:25">
      <c r="A4" s="1" t="s">
        <v>2</v>
      </c>
      <c r="B4" s="6"/>
      <c r="C4" s="6"/>
      <c r="D4" s="6"/>
      <c r="E4" s="6"/>
      <c r="G4" s="2" t="s">
        <v>2</v>
      </c>
      <c r="H4" s="2" t="s">
        <v>44</v>
      </c>
      <c r="I4" s="2" t="s">
        <v>45</v>
      </c>
      <c r="J4" s="2">
        <v>89789.484810979266</v>
      </c>
      <c r="K4" s="2">
        <v>134.01960453462294</v>
      </c>
      <c r="L4" s="2">
        <v>190.34407520941605</v>
      </c>
      <c r="M4" s="2"/>
      <c r="N4" s="2">
        <v>1172.3399246427937</v>
      </c>
      <c r="P4" s="2"/>
      <c r="Q4" s="2"/>
      <c r="R4" s="2"/>
      <c r="S4" s="2"/>
      <c r="U4" s="1" t="s">
        <v>2</v>
      </c>
      <c r="V4" s="6"/>
      <c r="W4" s="6"/>
      <c r="X4" s="6"/>
      <c r="Y4" s="6"/>
    </row>
    <row r="5" spans="1:25">
      <c r="A5" s="1" t="s">
        <v>3</v>
      </c>
      <c r="B5" s="6"/>
      <c r="C5" s="6"/>
      <c r="D5" s="6"/>
      <c r="E5" s="6"/>
      <c r="G5" s="2" t="s">
        <v>3</v>
      </c>
      <c r="H5" s="2" t="s">
        <v>46</v>
      </c>
      <c r="I5" s="2" t="s">
        <v>47</v>
      </c>
      <c r="J5" s="2">
        <v>2425.91209377328</v>
      </c>
      <c r="K5" s="2">
        <v>0.47237766975021289</v>
      </c>
      <c r="L5" s="2">
        <v>15.048428926258076</v>
      </c>
      <c r="M5" s="2"/>
      <c r="N5" s="2"/>
      <c r="P5" s="2"/>
      <c r="Q5" s="2"/>
      <c r="R5" s="2"/>
      <c r="S5" s="2"/>
      <c r="U5" s="1" t="s">
        <v>3</v>
      </c>
      <c r="V5" s="6"/>
      <c r="W5" s="6"/>
      <c r="X5" s="6"/>
      <c r="Y5" s="6"/>
    </row>
    <row r="6" spans="1:25">
      <c r="A6" s="1" t="s">
        <v>4</v>
      </c>
      <c r="B6" s="6"/>
      <c r="C6" s="6"/>
      <c r="D6" s="6"/>
      <c r="E6" s="6"/>
      <c r="G6" s="2" t="s">
        <v>4</v>
      </c>
      <c r="H6" s="2" t="s">
        <v>46</v>
      </c>
      <c r="I6" s="2" t="s">
        <v>48</v>
      </c>
      <c r="J6" s="2">
        <v>86952.35789162002</v>
      </c>
      <c r="K6" s="2">
        <v>488.20438590121455</v>
      </c>
      <c r="L6" s="2">
        <v>1141.1359810453059</v>
      </c>
      <c r="M6" s="2"/>
      <c r="N6" s="2">
        <v>266.95740929260506</v>
      </c>
      <c r="P6" s="2"/>
      <c r="Q6" s="2"/>
      <c r="R6" s="2"/>
      <c r="S6" s="2"/>
      <c r="U6" s="1" t="s">
        <v>4</v>
      </c>
      <c r="V6" s="6"/>
      <c r="W6" s="6"/>
      <c r="X6" s="6"/>
      <c r="Y6" s="6"/>
    </row>
    <row r="7" spans="1:25">
      <c r="A7" s="1" t="s">
        <v>5</v>
      </c>
      <c r="B7" s="6"/>
      <c r="C7" s="6"/>
      <c r="D7" s="6"/>
      <c r="E7" s="6"/>
      <c r="G7" s="2" t="s">
        <v>5</v>
      </c>
      <c r="H7" s="2" t="s">
        <v>46</v>
      </c>
      <c r="I7" s="2" t="s">
        <v>49</v>
      </c>
      <c r="J7" s="2">
        <v>1093.5046927491578</v>
      </c>
      <c r="K7" s="2">
        <v>1.6024960905611549</v>
      </c>
      <c r="L7" s="2">
        <v>99.98414675918454</v>
      </c>
      <c r="M7" s="2"/>
      <c r="N7" s="2">
        <v>0.21017999649048</v>
      </c>
      <c r="P7" s="2"/>
      <c r="Q7" s="2"/>
      <c r="R7" s="2"/>
      <c r="S7" s="2"/>
      <c r="U7" s="1" t="s">
        <v>5</v>
      </c>
      <c r="V7" s="6"/>
      <c r="W7" s="6"/>
      <c r="X7" s="6"/>
      <c r="Y7" s="6"/>
    </row>
    <row r="8" spans="1:25">
      <c r="A8" s="1" t="s">
        <v>6</v>
      </c>
      <c r="B8" s="6"/>
      <c r="C8" s="6"/>
      <c r="D8" s="6"/>
      <c r="E8" s="6"/>
      <c r="G8" s="2" t="s">
        <v>6</v>
      </c>
      <c r="H8" s="2" t="s">
        <v>46</v>
      </c>
      <c r="I8" s="2" t="s">
        <v>50</v>
      </c>
      <c r="J8" s="2">
        <v>518.91856071223515</v>
      </c>
      <c r="K8" s="2">
        <v>1.3725781093063174</v>
      </c>
      <c r="L8" s="2">
        <v>3.7115632547568018</v>
      </c>
      <c r="M8" s="2"/>
      <c r="N8" s="2"/>
      <c r="P8" s="2"/>
      <c r="Q8" s="2"/>
      <c r="R8" s="2"/>
      <c r="S8" s="2"/>
      <c r="U8" s="1" t="s">
        <v>6</v>
      </c>
      <c r="V8" s="6"/>
      <c r="W8" s="6"/>
      <c r="X8" s="6"/>
      <c r="Y8" s="6"/>
    </row>
    <row r="9" spans="1:25">
      <c r="A9" s="1" t="s">
        <v>7</v>
      </c>
      <c r="B9" s="6"/>
      <c r="C9" s="6"/>
      <c r="D9" s="6"/>
      <c r="E9" s="6"/>
      <c r="G9" s="2" t="s">
        <v>7</v>
      </c>
      <c r="H9" s="2" t="s">
        <v>46</v>
      </c>
      <c r="I9" s="2" t="s">
        <v>51</v>
      </c>
      <c r="J9" s="2">
        <v>9945.6429056546258</v>
      </c>
      <c r="K9" s="2">
        <v>4.9908665275993442</v>
      </c>
      <c r="L9" s="2">
        <v>4.7688085665445215</v>
      </c>
      <c r="M9" s="2"/>
      <c r="N9" s="2"/>
      <c r="P9" s="2"/>
      <c r="Q9" s="2"/>
      <c r="R9" s="2"/>
      <c r="S9" s="2"/>
      <c r="U9" s="1" t="s">
        <v>7</v>
      </c>
      <c r="V9" s="6"/>
      <c r="W9" s="6"/>
      <c r="X9" s="6"/>
      <c r="Y9" s="6"/>
    </row>
    <row r="10" spans="1:25">
      <c r="A10" s="1" t="s">
        <v>8</v>
      </c>
      <c r="B10" s="6"/>
      <c r="C10" s="6"/>
      <c r="D10" s="6"/>
      <c r="E10" s="6"/>
      <c r="G10" s="2" t="s">
        <v>8</v>
      </c>
      <c r="H10" s="2" t="s">
        <v>52</v>
      </c>
      <c r="I10" s="2" t="s">
        <v>53</v>
      </c>
      <c r="J10" s="2">
        <v>130550.0022702358</v>
      </c>
      <c r="K10" s="2">
        <v>3422.8225297545978</v>
      </c>
      <c r="L10" s="2">
        <v>1227.8475820384515</v>
      </c>
      <c r="M10" s="2"/>
      <c r="N10" s="2">
        <v>15085.884211203267</v>
      </c>
      <c r="P10" s="2"/>
      <c r="Q10" s="2"/>
      <c r="R10" s="2"/>
      <c r="S10" s="2"/>
      <c r="U10" s="1" t="s">
        <v>8</v>
      </c>
      <c r="V10" s="6"/>
      <c r="W10" s="6"/>
      <c r="X10" s="6"/>
      <c r="Y10" s="6"/>
    </row>
    <row r="11" spans="1:25">
      <c r="A11" s="1" t="s">
        <v>9</v>
      </c>
      <c r="B11" s="6"/>
      <c r="C11" s="6"/>
      <c r="D11" s="6"/>
      <c r="E11" s="6"/>
      <c r="G11" s="2" t="s">
        <v>9</v>
      </c>
      <c r="H11" s="2" t="s">
        <v>54</v>
      </c>
      <c r="I11" s="2" t="s">
        <v>55</v>
      </c>
      <c r="J11" s="2">
        <v>14886.686500567668</v>
      </c>
      <c r="K11" s="2">
        <v>124.63437613206295</v>
      </c>
      <c r="L11" s="2">
        <v>23.868756726310654</v>
      </c>
      <c r="M11" s="2"/>
      <c r="N11" s="2">
        <v>43.220100000500679</v>
      </c>
      <c r="P11" s="2"/>
      <c r="Q11" s="2"/>
      <c r="R11" s="2"/>
      <c r="S11" s="2"/>
      <c r="U11" s="1" t="s">
        <v>9</v>
      </c>
      <c r="V11" s="6"/>
      <c r="W11" s="6"/>
      <c r="X11" s="6"/>
      <c r="Y11" s="6"/>
    </row>
    <row r="12" spans="1:25">
      <c r="A12" s="1" t="s">
        <v>10</v>
      </c>
      <c r="B12" s="2">
        <f>V12</f>
        <v>4999.2567050451971</v>
      </c>
      <c r="C12" s="2">
        <f t="shared" ref="C12:E27" si="0">W12</f>
        <v>15490.563643361644</v>
      </c>
      <c r="D12" s="2">
        <f t="shared" si="0"/>
        <v>3.9789721546056063</v>
      </c>
      <c r="E12" s="2">
        <f t="shared" si="0"/>
        <v>0</v>
      </c>
      <c r="G12" s="2" t="s">
        <v>10</v>
      </c>
      <c r="H12" s="2" t="s">
        <v>56</v>
      </c>
      <c r="I12" s="2" t="s">
        <v>57</v>
      </c>
      <c r="J12" s="2">
        <v>8665.6615799582942</v>
      </c>
      <c r="K12" s="2">
        <v>26851.188113766639</v>
      </c>
      <c r="L12" s="2">
        <v>6.897110543071812</v>
      </c>
      <c r="M12" s="2"/>
      <c r="N12" s="2">
        <v>8.3999801635742006</v>
      </c>
      <c r="P12" s="2" t="s">
        <v>88</v>
      </c>
      <c r="Q12" s="2">
        <v>1.73339</v>
      </c>
      <c r="R12" s="2"/>
      <c r="S12" s="2">
        <f>SUM(Q12:R12)</f>
        <v>1.73339</v>
      </c>
      <c r="U12" s="1" t="s">
        <v>10</v>
      </c>
      <c r="V12" s="2">
        <f>J12/$S12</f>
        <v>4999.2567050451971</v>
      </c>
      <c r="W12" s="2">
        <f t="shared" ref="W12:Y27" si="1">K12/$S12</f>
        <v>15490.563643361644</v>
      </c>
      <c r="X12" s="2">
        <f t="shared" si="1"/>
        <v>3.9789721546056063</v>
      </c>
      <c r="Y12" s="2">
        <f t="shared" si="1"/>
        <v>0</v>
      </c>
    </row>
    <row r="13" spans="1:25">
      <c r="A13" s="1" t="s">
        <v>11</v>
      </c>
      <c r="B13" s="2">
        <f t="shared" ref="B13:E38" si="2">V13</f>
        <v>1510.3868859785184</v>
      </c>
      <c r="C13" s="2">
        <f t="shared" si="0"/>
        <v>24232.127804564752</v>
      </c>
      <c r="D13" s="2">
        <f t="shared" si="0"/>
        <v>5.7902774503755099</v>
      </c>
      <c r="E13" s="2">
        <f t="shared" si="0"/>
        <v>0</v>
      </c>
      <c r="G13" s="2" t="s">
        <v>11</v>
      </c>
      <c r="H13" s="2" t="s">
        <v>56</v>
      </c>
      <c r="I13" s="2" t="s">
        <v>58</v>
      </c>
      <c r="J13" s="2">
        <v>8021.6194398253319</v>
      </c>
      <c r="K13" s="2">
        <v>128696.10380620927</v>
      </c>
      <c r="L13" s="2">
        <v>30.751989830620822</v>
      </c>
      <c r="M13" s="2"/>
      <c r="N13" s="2">
        <v>178.70723813782115</v>
      </c>
      <c r="P13" s="2" t="s">
        <v>99</v>
      </c>
      <c r="Q13">
        <v>2.6898200000000001</v>
      </c>
      <c r="R13">
        <v>2.6211500000000001</v>
      </c>
      <c r="S13" s="2">
        <f>SUM(Q13:R13)</f>
        <v>5.3109700000000002</v>
      </c>
      <c r="U13" s="1" t="s">
        <v>11</v>
      </c>
      <c r="V13" s="2">
        <f t="shared" ref="V13:Y38" si="3">J13/$S13</f>
        <v>1510.3868859785184</v>
      </c>
      <c r="W13" s="2">
        <f t="shared" si="1"/>
        <v>24232.127804564752</v>
      </c>
      <c r="X13" s="2">
        <f t="shared" si="1"/>
        <v>5.7902774503755099</v>
      </c>
      <c r="Y13" s="2">
        <f t="shared" si="1"/>
        <v>0</v>
      </c>
    </row>
    <row r="14" spans="1:25">
      <c r="A14" s="1" t="s">
        <v>12</v>
      </c>
      <c r="B14" s="2">
        <f t="shared" si="2"/>
        <v>18063.605622957744</v>
      </c>
      <c r="C14" s="2">
        <f t="shared" si="0"/>
        <v>0</v>
      </c>
      <c r="D14" s="2">
        <f t="shared" si="0"/>
        <v>0</v>
      </c>
      <c r="E14" s="2">
        <f t="shared" si="0"/>
        <v>0</v>
      </c>
      <c r="G14" s="2" t="s">
        <v>12</v>
      </c>
      <c r="H14" s="2" t="s">
        <v>44</v>
      </c>
      <c r="I14" s="2" t="s">
        <v>59</v>
      </c>
      <c r="J14" s="2">
        <v>21777.121666925399</v>
      </c>
      <c r="K14" s="2"/>
      <c r="L14" s="2"/>
      <c r="M14" s="2"/>
      <c r="N14" s="2"/>
      <c r="P14" s="2" t="s">
        <v>89</v>
      </c>
      <c r="Q14" s="2">
        <v>1.2055800000000001</v>
      </c>
      <c r="R14" s="2"/>
      <c r="S14" s="2">
        <f t="shared" ref="S14:S38" si="4">SUM(Q14:R14)</f>
        <v>1.2055800000000001</v>
      </c>
      <c r="U14" s="1" t="s">
        <v>12</v>
      </c>
      <c r="V14" s="2">
        <f t="shared" si="3"/>
        <v>18063.605622957744</v>
      </c>
      <c r="W14" s="2">
        <f t="shared" si="1"/>
        <v>0</v>
      </c>
      <c r="X14" s="2">
        <f t="shared" si="1"/>
        <v>0</v>
      </c>
      <c r="Y14" s="2">
        <f t="shared" si="1"/>
        <v>0</v>
      </c>
    </row>
    <row r="15" spans="1:25">
      <c r="A15" s="1" t="s">
        <v>13</v>
      </c>
      <c r="B15" s="2">
        <f t="shared" si="2"/>
        <v>2478.475090827651</v>
      </c>
      <c r="C15" s="2">
        <f t="shared" si="0"/>
        <v>0</v>
      </c>
      <c r="D15" s="2">
        <f t="shared" si="0"/>
        <v>0</v>
      </c>
      <c r="E15" s="2">
        <f t="shared" si="0"/>
        <v>0</v>
      </c>
      <c r="G15" s="2" t="s">
        <v>13</v>
      </c>
      <c r="H15" s="2" t="s">
        <v>44</v>
      </c>
      <c r="I15" s="2" t="s">
        <v>59</v>
      </c>
      <c r="J15" s="2">
        <v>2988</v>
      </c>
      <c r="K15" s="2"/>
      <c r="L15" s="2"/>
      <c r="M15" s="2"/>
      <c r="N15" s="2"/>
      <c r="P15" s="2" t="s">
        <v>89</v>
      </c>
      <c r="Q15" s="2">
        <f>Q14</f>
        <v>1.2055800000000001</v>
      </c>
      <c r="R15" s="2"/>
      <c r="S15" s="2">
        <f t="shared" si="4"/>
        <v>1.2055800000000001</v>
      </c>
      <c r="U15" s="1" t="s">
        <v>13</v>
      </c>
      <c r="V15" s="2">
        <f t="shared" si="3"/>
        <v>2478.475090827651</v>
      </c>
      <c r="W15" s="2">
        <f t="shared" si="1"/>
        <v>0</v>
      </c>
      <c r="X15" s="2">
        <f t="shared" si="1"/>
        <v>0</v>
      </c>
      <c r="Y15" s="2">
        <f t="shared" si="1"/>
        <v>0</v>
      </c>
    </row>
    <row r="16" spans="1:25">
      <c r="A16" s="1" t="s">
        <v>14</v>
      </c>
      <c r="B16" s="2">
        <f t="shared" si="2"/>
        <v>275.3547352190771</v>
      </c>
      <c r="C16" s="2">
        <f t="shared" si="0"/>
        <v>0</v>
      </c>
      <c r="D16" s="2">
        <f t="shared" si="0"/>
        <v>0</v>
      </c>
      <c r="E16" s="2">
        <f t="shared" si="0"/>
        <v>0</v>
      </c>
      <c r="G16" s="2" t="s">
        <v>14</v>
      </c>
      <c r="H16" s="2" t="s">
        <v>44</v>
      </c>
      <c r="I16" s="2" t="s">
        <v>59</v>
      </c>
      <c r="J16" s="2">
        <v>331.96216168541497</v>
      </c>
      <c r="K16" s="2"/>
      <c r="L16" s="2"/>
      <c r="M16" s="2"/>
      <c r="N16" s="2"/>
      <c r="P16" s="2" t="s">
        <v>89</v>
      </c>
      <c r="Q16" s="2">
        <f>Q15</f>
        <v>1.2055800000000001</v>
      </c>
      <c r="R16" s="2"/>
      <c r="S16" s="2">
        <f t="shared" si="4"/>
        <v>1.2055800000000001</v>
      </c>
      <c r="U16" s="1" t="s">
        <v>14</v>
      </c>
      <c r="V16" s="2">
        <f t="shared" si="3"/>
        <v>275.3547352190771</v>
      </c>
      <c r="W16" s="2">
        <f t="shared" si="1"/>
        <v>0</v>
      </c>
      <c r="X16" s="2">
        <f t="shared" si="1"/>
        <v>0</v>
      </c>
      <c r="Y16" s="2">
        <f t="shared" si="1"/>
        <v>0</v>
      </c>
    </row>
    <row r="17" spans="1:25">
      <c r="A17" s="1" t="s">
        <v>15</v>
      </c>
      <c r="B17" s="2">
        <f t="shared" si="2"/>
        <v>2963.4895235472213</v>
      </c>
      <c r="C17" s="2">
        <f t="shared" si="0"/>
        <v>0</v>
      </c>
      <c r="D17" s="2">
        <f t="shared" si="0"/>
        <v>0</v>
      </c>
      <c r="E17" s="2">
        <f t="shared" si="0"/>
        <v>0</v>
      </c>
      <c r="G17" s="2" t="s">
        <v>15</v>
      </c>
      <c r="H17" s="2" t="s">
        <v>44</v>
      </c>
      <c r="I17" s="2" t="s">
        <v>60</v>
      </c>
      <c r="J17" s="2">
        <v>7380.2743094420002</v>
      </c>
      <c r="K17" s="2"/>
      <c r="L17" s="2"/>
      <c r="M17" s="2"/>
      <c r="N17" s="2"/>
      <c r="P17" s="2" t="s">
        <v>90</v>
      </c>
      <c r="Q17" s="2">
        <v>2.4904000000000002</v>
      </c>
      <c r="R17" s="2"/>
      <c r="S17" s="2">
        <f t="shared" si="4"/>
        <v>2.4904000000000002</v>
      </c>
      <c r="U17" s="1" t="s">
        <v>15</v>
      </c>
      <c r="V17" s="2">
        <f t="shared" si="3"/>
        <v>2963.4895235472213</v>
      </c>
      <c r="W17" s="2">
        <f t="shared" si="1"/>
        <v>0</v>
      </c>
      <c r="X17" s="2">
        <f t="shared" si="1"/>
        <v>0</v>
      </c>
      <c r="Y17" s="2">
        <f t="shared" si="1"/>
        <v>0</v>
      </c>
    </row>
    <row r="18" spans="1:25">
      <c r="A18" s="1" t="s">
        <v>16</v>
      </c>
      <c r="B18" s="2">
        <f t="shared" si="2"/>
        <v>4878.0530319315085</v>
      </c>
      <c r="C18" s="2">
        <f t="shared" si="0"/>
        <v>9.0280805403862185</v>
      </c>
      <c r="D18" s="2">
        <f t="shared" si="0"/>
        <v>7484.3227331843636</v>
      </c>
      <c r="E18" s="2">
        <f t="shared" si="0"/>
        <v>0</v>
      </c>
      <c r="G18" s="2" t="s">
        <v>16</v>
      </c>
      <c r="H18" s="2" t="s">
        <v>44</v>
      </c>
      <c r="I18" s="2" t="s">
        <v>61</v>
      </c>
      <c r="J18" s="2">
        <v>12148.30327072223</v>
      </c>
      <c r="K18" s="2">
        <v>22.483531777777841</v>
      </c>
      <c r="L18" s="2">
        <v>18638.957334722341</v>
      </c>
      <c r="M18" s="2"/>
      <c r="N18" s="2"/>
      <c r="P18" s="2" t="s">
        <v>90</v>
      </c>
      <c r="Q18" s="2">
        <f>Q17</f>
        <v>2.4904000000000002</v>
      </c>
      <c r="R18" s="2"/>
      <c r="S18" s="2">
        <f t="shared" si="4"/>
        <v>2.4904000000000002</v>
      </c>
      <c r="U18" s="1" t="s">
        <v>16</v>
      </c>
      <c r="V18" s="2">
        <f t="shared" si="3"/>
        <v>4878.0530319315085</v>
      </c>
      <c r="W18" s="2">
        <f t="shared" si="1"/>
        <v>9.0280805403862185</v>
      </c>
      <c r="X18" s="2">
        <f t="shared" si="1"/>
        <v>7484.3227331843636</v>
      </c>
      <c r="Y18" s="2">
        <f t="shared" si="1"/>
        <v>0</v>
      </c>
    </row>
    <row r="19" spans="1:25">
      <c r="A19" s="1" t="s">
        <v>17</v>
      </c>
      <c r="B19" s="2">
        <f t="shared" si="2"/>
        <v>3205.3094280755622</v>
      </c>
      <c r="C19" s="2">
        <f t="shared" si="0"/>
        <v>57.172334625657477</v>
      </c>
      <c r="D19" s="2">
        <f t="shared" si="0"/>
        <v>0</v>
      </c>
      <c r="E19" s="2">
        <f t="shared" si="0"/>
        <v>283.01589946866216</v>
      </c>
      <c r="G19" s="2" t="s">
        <v>17</v>
      </c>
      <c r="H19" s="2" t="s">
        <v>44</v>
      </c>
      <c r="I19" s="2" t="s">
        <v>62</v>
      </c>
      <c r="J19" s="2">
        <v>10152.561188675098</v>
      </c>
      <c r="K19" s="2">
        <v>181.08879614</v>
      </c>
      <c r="L19" s="2"/>
      <c r="M19" s="2">
        <v>896.43022029502993</v>
      </c>
      <c r="N19" s="2"/>
      <c r="P19" s="2" t="s">
        <v>92</v>
      </c>
      <c r="Q19" s="2">
        <v>3.1674199999999999</v>
      </c>
      <c r="R19" s="2"/>
      <c r="S19" s="2">
        <f t="shared" si="4"/>
        <v>3.1674199999999999</v>
      </c>
      <c r="U19" s="1" t="s">
        <v>17</v>
      </c>
      <c r="V19" s="2">
        <f t="shared" si="3"/>
        <v>3205.3094280755622</v>
      </c>
      <c r="W19" s="2">
        <f t="shared" si="1"/>
        <v>57.172334625657477</v>
      </c>
      <c r="X19" s="2">
        <f t="shared" si="1"/>
        <v>0</v>
      </c>
      <c r="Y19" s="2">
        <f t="shared" si="1"/>
        <v>283.01589946866216</v>
      </c>
    </row>
    <row r="20" spans="1:25">
      <c r="A20" s="1" t="s">
        <v>18</v>
      </c>
      <c r="B20" s="2">
        <f t="shared" si="2"/>
        <v>603.3703779291659</v>
      </c>
      <c r="C20" s="2">
        <f t="shared" si="0"/>
        <v>0</v>
      </c>
      <c r="D20" s="2">
        <f t="shared" si="0"/>
        <v>0</v>
      </c>
      <c r="E20" s="2">
        <f t="shared" si="0"/>
        <v>0</v>
      </c>
      <c r="G20" s="2" t="s">
        <v>18</v>
      </c>
      <c r="H20" s="2" t="s">
        <v>56</v>
      </c>
      <c r="I20" s="2" t="s">
        <v>63</v>
      </c>
      <c r="J20" s="2">
        <v>1502.6335891947949</v>
      </c>
      <c r="K20" s="2"/>
      <c r="L20" s="2"/>
      <c r="M20" s="2"/>
      <c r="N20" s="2"/>
      <c r="P20" s="2" t="s">
        <v>90</v>
      </c>
      <c r="Q20" s="2">
        <f>Q18</f>
        <v>2.4904000000000002</v>
      </c>
      <c r="R20" s="2"/>
      <c r="S20" s="2">
        <f t="shared" si="4"/>
        <v>2.4904000000000002</v>
      </c>
      <c r="U20" s="1" t="s">
        <v>18</v>
      </c>
      <c r="V20" s="2">
        <f t="shared" si="3"/>
        <v>603.3703779291659</v>
      </c>
      <c r="W20" s="2">
        <f t="shared" si="1"/>
        <v>0</v>
      </c>
      <c r="X20" s="2">
        <f t="shared" si="1"/>
        <v>0</v>
      </c>
      <c r="Y20" s="2">
        <f t="shared" si="1"/>
        <v>0</v>
      </c>
    </row>
    <row r="21" spans="1:25">
      <c r="A21" s="1" t="s">
        <v>19</v>
      </c>
      <c r="B21" s="2">
        <f t="shared" si="2"/>
        <v>0</v>
      </c>
      <c r="C21" s="2">
        <f t="shared" si="0"/>
        <v>0</v>
      </c>
      <c r="D21" s="2">
        <f t="shared" si="0"/>
        <v>0</v>
      </c>
      <c r="E21" s="2">
        <f t="shared" si="0"/>
        <v>0</v>
      </c>
      <c r="G21" s="2" t="s">
        <v>19</v>
      </c>
      <c r="H21" s="2" t="s">
        <v>44</v>
      </c>
      <c r="I21" s="2" t="s">
        <v>64</v>
      </c>
      <c r="J21" s="2"/>
      <c r="K21" s="2"/>
      <c r="L21" s="2"/>
      <c r="M21" s="2"/>
      <c r="N21" s="2"/>
      <c r="P21" s="2" t="s">
        <v>94</v>
      </c>
      <c r="Q21" s="2">
        <v>3.2426499999999998</v>
      </c>
      <c r="R21" s="2"/>
      <c r="S21" s="2">
        <f t="shared" si="4"/>
        <v>3.2426499999999998</v>
      </c>
      <c r="U21" s="1" t="s">
        <v>19</v>
      </c>
      <c r="V21" s="2">
        <f t="shared" si="3"/>
        <v>0</v>
      </c>
      <c r="W21" s="2">
        <f t="shared" si="1"/>
        <v>0</v>
      </c>
      <c r="X21" s="2">
        <f t="shared" si="1"/>
        <v>0</v>
      </c>
      <c r="Y21" s="2">
        <f t="shared" si="1"/>
        <v>0</v>
      </c>
    </row>
    <row r="22" spans="1:25">
      <c r="A22" s="1" t="s">
        <v>20</v>
      </c>
      <c r="B22" s="2">
        <f t="shared" si="2"/>
        <v>0</v>
      </c>
      <c r="C22" s="2">
        <f t="shared" si="0"/>
        <v>0</v>
      </c>
      <c r="D22" s="2">
        <f t="shared" si="0"/>
        <v>0</v>
      </c>
      <c r="E22" s="2">
        <f t="shared" si="0"/>
        <v>1572.239022672916</v>
      </c>
      <c r="G22" s="2" t="s">
        <v>20</v>
      </c>
      <c r="H22" s="2" t="s">
        <v>44</v>
      </c>
      <c r="I22" s="2" t="s">
        <v>65</v>
      </c>
      <c r="J22" s="2"/>
      <c r="K22" s="2"/>
      <c r="L22" s="2"/>
      <c r="M22" s="2">
        <v>5098.2208668703306</v>
      </c>
      <c r="N22" s="2"/>
      <c r="P22" s="2" t="s">
        <v>94</v>
      </c>
      <c r="Q22" s="2">
        <f>Q21</f>
        <v>3.2426499999999998</v>
      </c>
      <c r="R22" s="2"/>
      <c r="S22" s="2">
        <f t="shared" si="4"/>
        <v>3.2426499999999998</v>
      </c>
      <c r="U22" s="1" t="s">
        <v>20</v>
      </c>
      <c r="V22" s="2">
        <f t="shared" si="3"/>
        <v>0</v>
      </c>
      <c r="W22" s="2">
        <f t="shared" si="1"/>
        <v>0</v>
      </c>
      <c r="X22" s="2">
        <f t="shared" si="1"/>
        <v>0</v>
      </c>
      <c r="Y22" s="2">
        <f t="shared" si="1"/>
        <v>1572.239022672916</v>
      </c>
    </row>
    <row r="23" spans="1:25">
      <c r="A23" s="1" t="s">
        <v>21</v>
      </c>
      <c r="B23" s="2">
        <f t="shared" si="2"/>
        <v>0</v>
      </c>
      <c r="C23" s="2">
        <f t="shared" si="0"/>
        <v>0</v>
      </c>
      <c r="D23" s="2">
        <f t="shared" si="0"/>
        <v>80.689340448465472</v>
      </c>
      <c r="E23" s="2">
        <f t="shared" si="0"/>
        <v>119.58095102075596</v>
      </c>
      <c r="G23" s="2" t="s">
        <v>21</v>
      </c>
      <c r="H23" s="2" t="s">
        <v>44</v>
      </c>
      <c r="I23" s="2" t="s">
        <v>60</v>
      </c>
      <c r="J23" s="2"/>
      <c r="K23" s="2"/>
      <c r="L23" s="2">
        <v>261.64728980521653</v>
      </c>
      <c r="M23" s="2">
        <v>387.75917082745428</v>
      </c>
      <c r="N23" s="2"/>
      <c r="P23" s="2" t="s">
        <v>94</v>
      </c>
      <c r="Q23" s="2">
        <f>Q22</f>
        <v>3.2426499999999998</v>
      </c>
      <c r="R23" s="2"/>
      <c r="S23" s="2">
        <f t="shared" si="4"/>
        <v>3.2426499999999998</v>
      </c>
      <c r="U23" s="1" t="s">
        <v>21</v>
      </c>
      <c r="V23" s="2">
        <f t="shared" si="3"/>
        <v>0</v>
      </c>
      <c r="W23" s="2">
        <f t="shared" si="1"/>
        <v>0</v>
      </c>
      <c r="X23" s="2">
        <f t="shared" si="1"/>
        <v>80.689340448465472</v>
      </c>
      <c r="Y23" s="2">
        <f t="shared" si="1"/>
        <v>119.58095102075596</v>
      </c>
    </row>
    <row r="24" spans="1:25">
      <c r="A24" s="1" t="s">
        <v>22</v>
      </c>
      <c r="B24" s="2">
        <f t="shared" si="2"/>
        <v>0</v>
      </c>
      <c r="C24" s="2">
        <f t="shared" si="0"/>
        <v>9288.8976027459776</v>
      </c>
      <c r="D24" s="2">
        <f t="shared" si="0"/>
        <v>0</v>
      </c>
      <c r="E24" s="2">
        <f t="shared" si="0"/>
        <v>0</v>
      </c>
      <c r="G24" s="2" t="s">
        <v>22</v>
      </c>
      <c r="H24" s="2" t="s">
        <v>66</v>
      </c>
      <c r="I24" s="2" t="s">
        <v>67</v>
      </c>
      <c r="J24" s="2"/>
      <c r="K24" s="2">
        <v>101752.44211999999</v>
      </c>
      <c r="L24" s="2"/>
      <c r="M24" s="2"/>
      <c r="N24" s="2"/>
      <c r="P24" s="2" t="s">
        <v>96</v>
      </c>
      <c r="Q24" s="2">
        <v>10.9542</v>
      </c>
      <c r="R24" s="2"/>
      <c r="S24" s="2">
        <f t="shared" si="4"/>
        <v>10.9542</v>
      </c>
      <c r="U24" s="1" t="s">
        <v>22</v>
      </c>
      <c r="V24" s="2">
        <f t="shared" si="3"/>
        <v>0</v>
      </c>
      <c r="W24" s="2">
        <f t="shared" si="1"/>
        <v>9288.8976027459776</v>
      </c>
      <c r="X24" s="2">
        <f t="shared" si="1"/>
        <v>0</v>
      </c>
      <c r="Y24" s="2">
        <f t="shared" si="1"/>
        <v>0</v>
      </c>
    </row>
    <row r="25" spans="1:25">
      <c r="A25" s="1" t="s">
        <v>23</v>
      </c>
      <c r="B25" s="2">
        <f t="shared" si="2"/>
        <v>0</v>
      </c>
      <c r="C25" s="2">
        <f t="shared" si="0"/>
        <v>1100.6669590635754</v>
      </c>
      <c r="D25" s="2">
        <f t="shared" si="0"/>
        <v>497.36045499671491</v>
      </c>
      <c r="E25" s="2">
        <f t="shared" si="0"/>
        <v>0</v>
      </c>
      <c r="G25" s="2" t="s">
        <v>23</v>
      </c>
      <c r="H25" s="2" t="s">
        <v>66</v>
      </c>
      <c r="I25" s="2" t="s">
        <v>68</v>
      </c>
      <c r="J25" s="2"/>
      <c r="K25" s="2">
        <v>12056.926002974218</v>
      </c>
      <c r="L25" s="2">
        <v>5448.1858961250146</v>
      </c>
      <c r="M25" s="2"/>
      <c r="N25" s="2"/>
      <c r="P25" s="2" t="s">
        <v>96</v>
      </c>
      <c r="Q25" s="2">
        <f>Q24</f>
        <v>10.9542</v>
      </c>
      <c r="R25" s="2"/>
      <c r="S25" s="2">
        <f t="shared" si="4"/>
        <v>10.9542</v>
      </c>
      <c r="U25" s="1" t="s">
        <v>23</v>
      </c>
      <c r="V25" s="2">
        <f t="shared" si="3"/>
        <v>0</v>
      </c>
      <c r="W25" s="2">
        <f t="shared" si="1"/>
        <v>1100.6669590635754</v>
      </c>
      <c r="X25" s="2">
        <f t="shared" si="1"/>
        <v>497.36045499671491</v>
      </c>
      <c r="Y25" s="2">
        <f t="shared" si="1"/>
        <v>0</v>
      </c>
    </row>
    <row r="26" spans="1:25">
      <c r="A26" s="1" t="s">
        <v>24</v>
      </c>
      <c r="B26" s="2">
        <f t="shared" si="2"/>
        <v>0</v>
      </c>
      <c r="C26" s="2">
        <f t="shared" si="0"/>
        <v>91.745412699757082</v>
      </c>
      <c r="D26" s="2">
        <f t="shared" si="0"/>
        <v>22.511605893921214</v>
      </c>
      <c r="E26" s="2">
        <f t="shared" si="0"/>
        <v>0</v>
      </c>
      <c r="G26" s="2" t="s">
        <v>24</v>
      </c>
      <c r="H26" s="2" t="s">
        <v>66</v>
      </c>
      <c r="I26" s="2" t="s">
        <v>69</v>
      </c>
      <c r="J26" s="2"/>
      <c r="K26" s="2">
        <v>1004.997599795679</v>
      </c>
      <c r="L26" s="2">
        <v>246.59663328319175</v>
      </c>
      <c r="M26" s="2"/>
      <c r="N26" s="2">
        <v>20139.832853048207</v>
      </c>
      <c r="P26" s="2" t="s">
        <v>96</v>
      </c>
      <c r="Q26" s="2">
        <f>Q25</f>
        <v>10.9542</v>
      </c>
      <c r="R26" s="2"/>
      <c r="S26" s="2">
        <f t="shared" si="4"/>
        <v>10.9542</v>
      </c>
      <c r="U26" s="1" t="s">
        <v>24</v>
      </c>
      <c r="V26" s="2">
        <f t="shared" si="3"/>
        <v>0</v>
      </c>
      <c r="W26" s="2">
        <f t="shared" si="1"/>
        <v>91.745412699757082</v>
      </c>
      <c r="X26" s="2">
        <f t="shared" si="1"/>
        <v>22.511605893921214</v>
      </c>
      <c r="Y26" s="2">
        <f t="shared" si="1"/>
        <v>0</v>
      </c>
    </row>
    <row r="27" spans="1:25">
      <c r="A27" s="1" t="s">
        <v>25</v>
      </c>
      <c r="B27" s="2">
        <f t="shared" si="2"/>
        <v>519.91712684748063</v>
      </c>
      <c r="C27" s="2">
        <f t="shared" si="0"/>
        <v>0</v>
      </c>
      <c r="D27" s="2">
        <f t="shared" si="0"/>
        <v>0</v>
      </c>
      <c r="E27" s="2">
        <f t="shared" si="0"/>
        <v>0</v>
      </c>
      <c r="G27" s="2" t="s">
        <v>25</v>
      </c>
      <c r="H27" s="2" t="s">
        <v>66</v>
      </c>
      <c r="I27" s="2" t="s">
        <v>70</v>
      </c>
      <c r="J27" s="2">
        <v>5695.2761909126721</v>
      </c>
      <c r="K27" s="2"/>
      <c r="L27" s="2"/>
      <c r="M27" s="2"/>
      <c r="N27" s="2"/>
      <c r="P27" s="2" t="s">
        <v>96</v>
      </c>
      <c r="Q27" s="2">
        <f>Q26</f>
        <v>10.9542</v>
      </c>
      <c r="R27" s="2"/>
      <c r="S27" s="2">
        <f t="shared" si="4"/>
        <v>10.9542</v>
      </c>
      <c r="U27" s="1" t="s">
        <v>25</v>
      </c>
      <c r="V27" s="2">
        <f t="shared" si="3"/>
        <v>519.91712684748063</v>
      </c>
      <c r="W27" s="2">
        <f t="shared" si="1"/>
        <v>0</v>
      </c>
      <c r="X27" s="2">
        <f t="shared" si="1"/>
        <v>0</v>
      </c>
      <c r="Y27" s="2">
        <f t="shared" si="1"/>
        <v>0</v>
      </c>
    </row>
    <row r="28" spans="1:25">
      <c r="A28" s="1" t="s">
        <v>26</v>
      </c>
      <c r="B28" s="2">
        <f t="shared" si="2"/>
        <v>141.74730141080829</v>
      </c>
      <c r="C28" s="2">
        <f t="shared" si="2"/>
        <v>0</v>
      </c>
      <c r="D28" s="2">
        <f t="shared" si="2"/>
        <v>0</v>
      </c>
      <c r="E28" s="2">
        <f t="shared" si="2"/>
        <v>0</v>
      </c>
      <c r="G28" s="2" t="s">
        <v>26</v>
      </c>
      <c r="H28" s="2" t="s">
        <v>66</v>
      </c>
      <c r="I28" s="2" t="s">
        <v>71</v>
      </c>
      <c r="J28" s="2">
        <v>1552.7282891142763</v>
      </c>
      <c r="K28" s="2"/>
      <c r="L28" s="2"/>
      <c r="M28" s="2"/>
      <c r="N28" s="2"/>
      <c r="P28" s="2" t="s">
        <v>96</v>
      </c>
      <c r="Q28" s="2">
        <f>Q27</f>
        <v>10.9542</v>
      </c>
      <c r="R28" s="2"/>
      <c r="S28" s="2">
        <f t="shared" si="4"/>
        <v>10.9542</v>
      </c>
      <c r="U28" s="1" t="s">
        <v>26</v>
      </c>
      <c r="V28" s="2">
        <f t="shared" si="3"/>
        <v>141.74730141080829</v>
      </c>
      <c r="W28" s="2">
        <f t="shared" si="3"/>
        <v>0</v>
      </c>
      <c r="X28" s="2">
        <f t="shared" si="3"/>
        <v>0</v>
      </c>
      <c r="Y28" s="2">
        <f t="shared" si="3"/>
        <v>0</v>
      </c>
    </row>
    <row r="29" spans="1:25">
      <c r="A29" s="1" t="s">
        <v>27</v>
      </c>
      <c r="B29" s="2">
        <f t="shared" si="2"/>
        <v>0</v>
      </c>
      <c r="C29" s="2">
        <f t="shared" si="2"/>
        <v>0</v>
      </c>
      <c r="D29" s="2">
        <f t="shared" si="2"/>
        <v>4186.0680934357333</v>
      </c>
      <c r="E29" s="2">
        <f t="shared" si="2"/>
        <v>0</v>
      </c>
      <c r="G29" s="2" t="s">
        <v>27</v>
      </c>
      <c r="H29" s="2" t="s">
        <v>55</v>
      </c>
      <c r="I29" s="2" t="s">
        <v>72</v>
      </c>
      <c r="J29" s="2"/>
      <c r="K29" s="2"/>
      <c r="L29" s="2">
        <v>45855.027109113711</v>
      </c>
      <c r="M29" s="2"/>
      <c r="N29" s="2"/>
      <c r="P29" s="2" t="s">
        <v>96</v>
      </c>
      <c r="Q29" s="2">
        <f>Q28</f>
        <v>10.9542</v>
      </c>
      <c r="R29" s="2"/>
      <c r="S29" s="2">
        <f t="shared" si="4"/>
        <v>10.9542</v>
      </c>
      <c r="U29" s="1" t="s">
        <v>27</v>
      </c>
      <c r="V29" s="2">
        <f t="shared" si="3"/>
        <v>0</v>
      </c>
      <c r="W29" s="2">
        <f t="shared" si="3"/>
        <v>0</v>
      </c>
      <c r="X29" s="2">
        <f t="shared" si="3"/>
        <v>4186.0680934357333</v>
      </c>
      <c r="Y29" s="2">
        <f t="shared" si="3"/>
        <v>0</v>
      </c>
    </row>
    <row r="30" spans="1:25">
      <c r="A30" s="1" t="s">
        <v>28</v>
      </c>
      <c r="B30" s="2">
        <f t="shared" si="2"/>
        <v>0</v>
      </c>
      <c r="C30" s="2">
        <f t="shared" si="2"/>
        <v>0</v>
      </c>
      <c r="D30" s="2">
        <f t="shared" si="2"/>
        <v>704.4477981432151</v>
      </c>
      <c r="E30" s="2">
        <f t="shared" si="2"/>
        <v>0</v>
      </c>
      <c r="G30" s="2" t="s">
        <v>28</v>
      </c>
      <c r="H30" s="2" t="s">
        <v>66</v>
      </c>
      <c r="I30" s="2" t="s">
        <v>73</v>
      </c>
      <c r="J30" s="2"/>
      <c r="K30" s="2"/>
      <c r="L30" s="2">
        <v>7716.662070420407</v>
      </c>
      <c r="M30" s="2"/>
      <c r="N30" s="2"/>
      <c r="P30" s="2" t="s">
        <v>96</v>
      </c>
      <c r="Q30" s="2">
        <f>Q29</f>
        <v>10.9542</v>
      </c>
      <c r="R30" s="2"/>
      <c r="S30" s="2">
        <f t="shared" si="4"/>
        <v>10.9542</v>
      </c>
      <c r="U30" s="1" t="s">
        <v>28</v>
      </c>
      <c r="V30" s="2">
        <f t="shared" si="3"/>
        <v>0</v>
      </c>
      <c r="W30" s="2">
        <f t="shared" si="3"/>
        <v>0</v>
      </c>
      <c r="X30" s="2">
        <f t="shared" si="3"/>
        <v>704.4477981432151</v>
      </c>
      <c r="Y30" s="2">
        <f t="shared" si="3"/>
        <v>0</v>
      </c>
    </row>
    <row r="31" spans="1:25">
      <c r="A31" s="1" t="s">
        <v>29</v>
      </c>
      <c r="B31" s="2">
        <f t="shared" si="2"/>
        <v>0</v>
      </c>
      <c r="C31" s="2">
        <f t="shared" si="2"/>
        <v>0</v>
      </c>
      <c r="D31" s="2">
        <f t="shared" si="2"/>
        <v>50.007873856864144</v>
      </c>
      <c r="E31" s="2">
        <f t="shared" si="2"/>
        <v>0</v>
      </c>
      <c r="G31" s="2" t="s">
        <v>29</v>
      </c>
      <c r="H31" s="2" t="s">
        <v>66</v>
      </c>
      <c r="I31" s="2" t="s">
        <v>74</v>
      </c>
      <c r="J31" s="2"/>
      <c r="K31" s="2"/>
      <c r="L31" s="2">
        <v>547.79625180286121</v>
      </c>
      <c r="M31" s="2"/>
      <c r="N31" s="2"/>
      <c r="P31" s="2" t="s">
        <v>96</v>
      </c>
      <c r="Q31" s="2">
        <f>Q30</f>
        <v>10.9542</v>
      </c>
      <c r="R31" s="2"/>
      <c r="S31" s="2">
        <f t="shared" si="4"/>
        <v>10.9542</v>
      </c>
      <c r="U31" s="1" t="s">
        <v>29</v>
      </c>
      <c r="V31" s="2">
        <f t="shared" si="3"/>
        <v>0</v>
      </c>
      <c r="W31" s="2">
        <f t="shared" si="3"/>
        <v>0</v>
      </c>
      <c r="X31" s="2">
        <f t="shared" si="3"/>
        <v>50.007873856864144</v>
      </c>
      <c r="Y31" s="2">
        <f t="shared" si="3"/>
        <v>0</v>
      </c>
    </row>
    <row r="32" spans="1:25">
      <c r="A32" s="1" t="s">
        <v>30</v>
      </c>
      <c r="B32" s="2">
        <f t="shared" si="2"/>
        <v>0</v>
      </c>
      <c r="C32" s="2">
        <f t="shared" si="2"/>
        <v>140.3663870080517</v>
      </c>
      <c r="D32" s="2">
        <f t="shared" si="2"/>
        <v>0</v>
      </c>
      <c r="E32" s="2">
        <f t="shared" si="2"/>
        <v>0</v>
      </c>
      <c r="G32" s="2" t="s">
        <v>30</v>
      </c>
      <c r="H32" s="2" t="s">
        <v>66</v>
      </c>
      <c r="I32" s="2" t="s">
        <v>75</v>
      </c>
      <c r="J32" s="2"/>
      <c r="K32" s="2">
        <v>1537.6014765636</v>
      </c>
      <c r="L32" s="2"/>
      <c r="M32" s="2"/>
      <c r="N32" s="2"/>
      <c r="P32" s="2" t="s">
        <v>96</v>
      </c>
      <c r="Q32" s="2">
        <f>Q31</f>
        <v>10.9542</v>
      </c>
      <c r="R32" s="2"/>
      <c r="S32" s="2">
        <f t="shared" si="4"/>
        <v>10.9542</v>
      </c>
      <c r="U32" s="1" t="s">
        <v>30</v>
      </c>
      <c r="V32" s="2">
        <f t="shared" si="3"/>
        <v>0</v>
      </c>
      <c r="W32" s="2">
        <f t="shared" si="3"/>
        <v>140.3663870080517</v>
      </c>
      <c r="X32" s="2">
        <f t="shared" si="3"/>
        <v>0</v>
      </c>
      <c r="Y32" s="2">
        <f t="shared" si="3"/>
        <v>0</v>
      </c>
    </row>
    <row r="33" spans="1:25">
      <c r="A33" s="1" t="s">
        <v>31</v>
      </c>
      <c r="B33" s="2">
        <f t="shared" si="2"/>
        <v>0</v>
      </c>
      <c r="C33" s="2">
        <f t="shared" si="2"/>
        <v>442.69532681238513</v>
      </c>
      <c r="D33" s="2">
        <f t="shared" si="2"/>
        <v>0</v>
      </c>
      <c r="E33" s="2">
        <f t="shared" si="2"/>
        <v>0</v>
      </c>
      <c r="G33" s="2" t="s">
        <v>31</v>
      </c>
      <c r="H33" s="2" t="s">
        <v>76</v>
      </c>
      <c r="I33" s="2" t="s">
        <v>77</v>
      </c>
      <c r="J33" s="2"/>
      <c r="K33" s="2">
        <v>27044.877288426145</v>
      </c>
      <c r="L33" s="2"/>
      <c r="M33" s="2"/>
      <c r="N33" s="2"/>
      <c r="P33" s="2" t="s">
        <v>97</v>
      </c>
      <c r="Q33" s="2">
        <v>61.0914</v>
      </c>
      <c r="R33" s="2"/>
      <c r="S33" s="2">
        <f t="shared" si="4"/>
        <v>61.0914</v>
      </c>
      <c r="U33" s="1" t="s">
        <v>31</v>
      </c>
      <c r="V33" s="2">
        <f t="shared" si="3"/>
        <v>0</v>
      </c>
      <c r="W33" s="2">
        <f t="shared" si="3"/>
        <v>442.69532681238513</v>
      </c>
      <c r="X33" s="2">
        <f t="shared" si="3"/>
        <v>0</v>
      </c>
      <c r="Y33" s="2">
        <f t="shared" si="3"/>
        <v>0</v>
      </c>
    </row>
    <row r="34" spans="1:25">
      <c r="A34" s="1" t="s">
        <v>32</v>
      </c>
      <c r="B34" s="2">
        <f t="shared" si="2"/>
        <v>0</v>
      </c>
      <c r="C34" s="2">
        <f t="shared" si="2"/>
        <v>0.14546835385186918</v>
      </c>
      <c r="D34" s="2">
        <f t="shared" si="2"/>
        <v>0.10325655474306784</v>
      </c>
      <c r="E34" s="2">
        <f t="shared" si="2"/>
        <v>0</v>
      </c>
      <c r="G34" s="2" t="s">
        <v>32</v>
      </c>
      <c r="H34" s="2" t="s">
        <v>76</v>
      </c>
      <c r="I34" s="2" t="s">
        <v>78</v>
      </c>
      <c r="J34" s="2"/>
      <c r="K34" s="2">
        <v>8.8868653925060812</v>
      </c>
      <c r="L34" s="2">
        <v>6.3080874884306546</v>
      </c>
      <c r="M34" s="2"/>
      <c r="N34" s="2"/>
      <c r="P34" s="2" t="s">
        <v>97</v>
      </c>
      <c r="Q34" s="2">
        <f>Q33</f>
        <v>61.0914</v>
      </c>
      <c r="R34" s="2"/>
      <c r="S34" s="2">
        <f t="shared" si="4"/>
        <v>61.0914</v>
      </c>
      <c r="U34" s="1" t="s">
        <v>32</v>
      </c>
      <c r="V34" s="2">
        <f t="shared" si="3"/>
        <v>0</v>
      </c>
      <c r="W34" s="2">
        <f t="shared" si="3"/>
        <v>0.14546835385186918</v>
      </c>
      <c r="X34" s="2">
        <f t="shared" si="3"/>
        <v>0.10325655474306784</v>
      </c>
      <c r="Y34" s="2">
        <f t="shared" si="3"/>
        <v>0</v>
      </c>
    </row>
    <row r="35" spans="1:25">
      <c r="A35" s="1" t="s">
        <v>33</v>
      </c>
      <c r="B35" s="2">
        <f t="shared" si="2"/>
        <v>2.7420872228554636</v>
      </c>
      <c r="C35" s="2">
        <f t="shared" si="2"/>
        <v>31.296434938278434</v>
      </c>
      <c r="D35" s="2">
        <f t="shared" si="2"/>
        <v>9.8634024297609812E-2</v>
      </c>
      <c r="E35" s="2">
        <f t="shared" si="2"/>
        <v>0</v>
      </c>
      <c r="G35" s="2" t="s">
        <v>33</v>
      </c>
      <c r="H35" s="2" t="s">
        <v>76</v>
      </c>
      <c r="I35" s="2" t="s">
        <v>57</v>
      </c>
      <c r="J35" s="2">
        <v>167.51794736635227</v>
      </c>
      <c r="K35" s="2">
        <v>1911.9430253883431</v>
      </c>
      <c r="L35" s="2">
        <v>6.0256906319750003</v>
      </c>
      <c r="M35" s="2"/>
      <c r="N35" s="2">
        <v>56.20122585</v>
      </c>
      <c r="P35" s="2" t="s">
        <v>97</v>
      </c>
      <c r="Q35" s="2">
        <f>Q33</f>
        <v>61.0914</v>
      </c>
      <c r="R35" s="2"/>
      <c r="S35" s="2">
        <f t="shared" si="4"/>
        <v>61.0914</v>
      </c>
      <c r="U35" s="1" t="s">
        <v>33</v>
      </c>
      <c r="V35" s="2">
        <f t="shared" si="3"/>
        <v>2.7420872228554636</v>
      </c>
      <c r="W35" s="2">
        <f t="shared" si="3"/>
        <v>31.296434938278434</v>
      </c>
      <c r="X35" s="2">
        <f t="shared" si="3"/>
        <v>9.8634024297609812E-2</v>
      </c>
      <c r="Y35" s="2">
        <f t="shared" si="3"/>
        <v>0</v>
      </c>
    </row>
    <row r="36" spans="1:25">
      <c r="A36" s="1" t="s">
        <v>34</v>
      </c>
      <c r="B36" s="2">
        <f t="shared" si="2"/>
        <v>0</v>
      </c>
      <c r="C36" s="2">
        <f t="shared" si="2"/>
        <v>221.97985088095598</v>
      </c>
      <c r="D36" s="2">
        <f t="shared" si="2"/>
        <v>36.692333049508072</v>
      </c>
      <c r="E36" s="2">
        <f t="shared" si="2"/>
        <v>0</v>
      </c>
      <c r="G36" s="2" t="s">
        <v>34</v>
      </c>
      <c r="H36" s="2" t="s">
        <v>76</v>
      </c>
      <c r="I36" s="2" t="s">
        <v>79</v>
      </c>
      <c r="J36" s="2"/>
      <c r="K36" s="2">
        <v>13561.059862108834</v>
      </c>
      <c r="L36" s="2">
        <v>2241.5859952607175</v>
      </c>
      <c r="M36" s="2"/>
      <c r="N36" s="2"/>
      <c r="P36" s="2" t="s">
        <v>97</v>
      </c>
      <c r="Q36" s="2">
        <f>Q33</f>
        <v>61.0914</v>
      </c>
      <c r="R36" s="2"/>
      <c r="S36" s="2">
        <f t="shared" si="4"/>
        <v>61.0914</v>
      </c>
      <c r="U36" s="1" t="s">
        <v>34</v>
      </c>
      <c r="V36" s="2">
        <f t="shared" si="3"/>
        <v>0</v>
      </c>
      <c r="W36" s="2">
        <f t="shared" si="3"/>
        <v>221.97985088095598</v>
      </c>
      <c r="X36" s="2">
        <f t="shared" si="3"/>
        <v>36.692333049508072</v>
      </c>
      <c r="Y36" s="2">
        <f t="shared" si="3"/>
        <v>0</v>
      </c>
    </row>
    <row r="37" spans="1:25">
      <c r="A37" s="1" t="s">
        <v>35</v>
      </c>
      <c r="B37" s="2">
        <f t="shared" si="2"/>
        <v>0</v>
      </c>
      <c r="C37" s="2">
        <f t="shared" si="2"/>
        <v>0</v>
      </c>
      <c r="D37" s="2">
        <f t="shared" si="2"/>
        <v>48.399198110191136</v>
      </c>
      <c r="E37" s="2">
        <f t="shared" si="2"/>
        <v>0</v>
      </c>
      <c r="G37" s="2" t="s">
        <v>35</v>
      </c>
      <c r="H37" s="2" t="s">
        <v>55</v>
      </c>
      <c r="I37" s="2" t="s">
        <v>80</v>
      </c>
      <c r="J37" s="2"/>
      <c r="K37" s="2"/>
      <c r="L37" s="2">
        <v>2956.7747714289308</v>
      </c>
      <c r="M37" s="2"/>
      <c r="N37" s="2"/>
      <c r="P37" s="2" t="s">
        <v>97</v>
      </c>
      <c r="Q37" s="2">
        <f>Q33</f>
        <v>61.0914</v>
      </c>
      <c r="R37" s="2"/>
      <c r="S37" s="2">
        <f t="shared" si="4"/>
        <v>61.0914</v>
      </c>
      <c r="U37" s="1" t="s">
        <v>35</v>
      </c>
      <c r="V37" s="2">
        <f t="shared" si="3"/>
        <v>0</v>
      </c>
      <c r="W37" s="2">
        <f t="shared" si="3"/>
        <v>0</v>
      </c>
      <c r="X37" s="2">
        <f t="shared" si="3"/>
        <v>48.399198110191136</v>
      </c>
      <c r="Y37" s="2">
        <f t="shared" si="3"/>
        <v>0</v>
      </c>
    </row>
    <row r="38" spans="1:25">
      <c r="A38" s="1" t="s">
        <v>36</v>
      </c>
      <c r="B38" s="2">
        <f t="shared" si="2"/>
        <v>0</v>
      </c>
      <c r="C38" s="2">
        <f t="shared" si="2"/>
        <v>0</v>
      </c>
      <c r="D38" s="2">
        <f t="shared" si="2"/>
        <v>0</v>
      </c>
      <c r="E38" s="2">
        <f t="shared" si="2"/>
        <v>0</v>
      </c>
      <c r="G38" s="2" t="s">
        <v>36</v>
      </c>
      <c r="H38" s="2" t="s">
        <v>55</v>
      </c>
      <c r="I38" s="2" t="s">
        <v>81</v>
      </c>
      <c r="J38" s="2"/>
      <c r="K38" s="2"/>
      <c r="L38" s="2"/>
      <c r="M38" s="2"/>
      <c r="N38" s="2"/>
      <c r="P38" s="2" t="s">
        <v>97</v>
      </c>
      <c r="Q38" s="2">
        <f>Q33</f>
        <v>61.0914</v>
      </c>
      <c r="R38" s="2"/>
      <c r="S38" s="2">
        <f t="shared" si="4"/>
        <v>61.0914</v>
      </c>
      <c r="U38" s="1" t="s">
        <v>36</v>
      </c>
      <c r="V38" s="2">
        <f t="shared" si="3"/>
        <v>0</v>
      </c>
      <c r="W38" s="2">
        <f t="shared" si="3"/>
        <v>0</v>
      </c>
      <c r="X38" s="2">
        <f t="shared" si="3"/>
        <v>0</v>
      </c>
      <c r="Y38" s="2">
        <f t="shared" si="3"/>
        <v>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38"/>
  <sheetViews>
    <sheetView zoomScale="70" zoomScaleNormal="70" workbookViewId="0">
      <selection activeCell="Q33" sqref="Q33"/>
    </sheetView>
  </sheetViews>
  <sheetFormatPr defaultRowHeight="14.4"/>
  <cols>
    <col min="1" max="1" width="13.33203125" bestFit="1" customWidth="1"/>
    <col min="7" max="7" width="32.33203125" bestFit="1" customWidth="1"/>
    <col min="8" max="8" width="15" bestFit="1" customWidth="1"/>
    <col min="9" max="9" width="33.44140625" bestFit="1" customWidth="1"/>
    <col min="10" max="14" width="12.33203125" bestFit="1" customWidth="1"/>
    <col min="16" max="16" width="73.109375" bestFit="1" customWidth="1"/>
  </cols>
  <sheetData>
    <row r="1" spans="1:25">
      <c r="A1" s="2"/>
      <c r="B1" s="3" t="s">
        <v>37</v>
      </c>
      <c r="C1" s="3" t="s">
        <v>38</v>
      </c>
      <c r="D1" s="3" t="s">
        <v>39</v>
      </c>
      <c r="E1" s="3" t="s">
        <v>40</v>
      </c>
      <c r="G1" s="7" t="s">
        <v>84</v>
      </c>
      <c r="H1" s="7" t="s">
        <v>85</v>
      </c>
      <c r="I1" s="7" t="s">
        <v>86</v>
      </c>
      <c r="J1" s="7" t="s">
        <v>37</v>
      </c>
      <c r="K1" s="7" t="s">
        <v>38</v>
      </c>
      <c r="L1" s="7" t="s">
        <v>39</v>
      </c>
      <c r="M1" s="7" t="s">
        <v>83</v>
      </c>
      <c r="N1" s="7" t="s">
        <v>82</v>
      </c>
      <c r="P1" s="8" t="s">
        <v>98</v>
      </c>
      <c r="Q1" s="10" t="s">
        <v>100</v>
      </c>
      <c r="R1" s="10" t="s">
        <v>101</v>
      </c>
      <c r="S1" s="10" t="s">
        <v>102</v>
      </c>
      <c r="U1" s="2"/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1" t="s">
        <v>0</v>
      </c>
      <c r="B2" s="6"/>
      <c r="C2" s="6"/>
      <c r="D2" s="6"/>
      <c r="E2" s="6"/>
      <c r="G2" s="2" t="s">
        <v>0</v>
      </c>
      <c r="H2" s="2" t="s">
        <v>41</v>
      </c>
      <c r="I2" s="2" t="s">
        <v>42</v>
      </c>
      <c r="J2" s="2">
        <v>896368.60208459257</v>
      </c>
      <c r="K2" s="2">
        <v>1102.1957780559812</v>
      </c>
      <c r="L2" s="2">
        <v>923.58677120387483</v>
      </c>
      <c r="M2" s="2"/>
      <c r="N2" s="2">
        <v>86.801208956909591</v>
      </c>
      <c r="P2" s="2"/>
      <c r="Q2" s="2"/>
      <c r="R2" s="2"/>
      <c r="S2" s="2"/>
      <c r="U2" s="1" t="s">
        <v>0</v>
      </c>
      <c r="V2" s="6"/>
      <c r="W2" s="6"/>
      <c r="X2" s="6"/>
      <c r="Y2" s="6"/>
    </row>
    <row r="3" spans="1:25">
      <c r="A3" s="1" t="s">
        <v>1</v>
      </c>
      <c r="B3" s="6"/>
      <c r="C3" s="6"/>
      <c r="D3" s="6"/>
      <c r="E3" s="6"/>
      <c r="G3" s="2" t="s">
        <v>1</v>
      </c>
      <c r="H3" s="2" t="s">
        <v>41</v>
      </c>
      <c r="I3" s="2" t="s">
        <v>43</v>
      </c>
      <c r="J3" s="2">
        <v>177116.1448845627</v>
      </c>
      <c r="K3" s="2">
        <v>224.99534742011068</v>
      </c>
      <c r="L3" s="2">
        <v>127.6797781588121</v>
      </c>
      <c r="M3" s="2"/>
      <c r="N3" s="2">
        <v>2.8219999313353998</v>
      </c>
      <c r="P3" s="2"/>
      <c r="Q3" s="2"/>
      <c r="R3" s="2"/>
      <c r="S3" s="2"/>
      <c r="U3" s="1" t="s">
        <v>1</v>
      </c>
      <c r="V3" s="6"/>
      <c r="W3" s="6"/>
      <c r="X3" s="6"/>
      <c r="Y3" s="6"/>
    </row>
    <row r="4" spans="1:25">
      <c r="A4" s="1" t="s">
        <v>2</v>
      </c>
      <c r="B4" s="6"/>
      <c r="C4" s="6"/>
      <c r="D4" s="6"/>
      <c r="E4" s="6"/>
      <c r="G4" s="2" t="s">
        <v>2</v>
      </c>
      <c r="H4" s="2" t="s">
        <v>44</v>
      </c>
      <c r="I4" s="2" t="s">
        <v>45</v>
      </c>
      <c r="J4" s="2">
        <v>394008.54743957752</v>
      </c>
      <c r="K4" s="2">
        <v>336.48942895004438</v>
      </c>
      <c r="L4" s="2">
        <v>473.68076820317043</v>
      </c>
      <c r="M4" s="2"/>
      <c r="N4" s="2">
        <v>16824.047417028803</v>
      </c>
      <c r="P4" s="2"/>
      <c r="Q4" s="2"/>
      <c r="R4" s="2"/>
      <c r="S4" s="2"/>
      <c r="U4" s="1" t="s">
        <v>2</v>
      </c>
      <c r="V4" s="6"/>
      <c r="W4" s="6"/>
      <c r="X4" s="6"/>
      <c r="Y4" s="6"/>
    </row>
    <row r="5" spans="1:25">
      <c r="A5" s="1" t="s">
        <v>3</v>
      </c>
      <c r="B5" s="6"/>
      <c r="C5" s="6"/>
      <c r="D5" s="6"/>
      <c r="E5" s="6"/>
      <c r="G5" s="2" t="s">
        <v>3</v>
      </c>
      <c r="H5" s="2" t="s">
        <v>46</v>
      </c>
      <c r="I5" s="2" t="s">
        <v>47</v>
      </c>
      <c r="J5" s="2">
        <v>9413.6973574170806</v>
      </c>
      <c r="K5" s="2">
        <v>1.8433486493816971</v>
      </c>
      <c r="L5" s="2">
        <v>69.779461377712238</v>
      </c>
      <c r="M5" s="2"/>
      <c r="N5" s="2"/>
      <c r="P5" s="2"/>
      <c r="Q5" s="2"/>
      <c r="R5" s="2"/>
      <c r="S5" s="2"/>
      <c r="U5" s="1" t="s">
        <v>3</v>
      </c>
      <c r="V5" s="6"/>
      <c r="W5" s="6"/>
      <c r="X5" s="6"/>
      <c r="Y5" s="6"/>
    </row>
    <row r="6" spans="1:25">
      <c r="A6" s="1" t="s">
        <v>4</v>
      </c>
      <c r="B6" s="6"/>
      <c r="C6" s="6"/>
      <c r="D6" s="6"/>
      <c r="E6" s="6"/>
      <c r="G6" s="2" t="s">
        <v>4</v>
      </c>
      <c r="H6" s="2" t="s">
        <v>46</v>
      </c>
      <c r="I6" s="2" t="s">
        <v>48</v>
      </c>
      <c r="J6" s="2">
        <v>572263.91926957504</v>
      </c>
      <c r="K6" s="2">
        <v>4319.1168600679075</v>
      </c>
      <c r="L6" s="2">
        <v>8994.113043132329</v>
      </c>
      <c r="M6" s="2"/>
      <c r="N6" s="2"/>
      <c r="P6" s="2"/>
      <c r="Q6" s="2"/>
      <c r="R6" s="2"/>
      <c r="S6" s="2"/>
      <c r="U6" s="1" t="s">
        <v>4</v>
      </c>
      <c r="V6" s="6"/>
      <c r="W6" s="6"/>
      <c r="X6" s="6"/>
      <c r="Y6" s="6"/>
    </row>
    <row r="7" spans="1:25">
      <c r="A7" s="1" t="s">
        <v>5</v>
      </c>
      <c r="B7" s="6"/>
      <c r="C7" s="6"/>
      <c r="D7" s="6"/>
      <c r="E7" s="6"/>
      <c r="G7" s="2" t="s">
        <v>5</v>
      </c>
      <c r="H7" s="2" t="s">
        <v>46</v>
      </c>
      <c r="I7" s="2" t="s">
        <v>49</v>
      </c>
      <c r="J7" s="2">
        <v>843.98467335755083</v>
      </c>
      <c r="K7" s="2">
        <v>1.3288147041878533</v>
      </c>
      <c r="L7" s="2">
        <v>86.670280921165954</v>
      </c>
      <c r="M7" s="2"/>
      <c r="N7" s="2"/>
      <c r="P7" s="2"/>
      <c r="Q7" s="2"/>
      <c r="R7" s="2"/>
      <c r="S7" s="2"/>
      <c r="U7" s="1" t="s">
        <v>5</v>
      </c>
      <c r="V7" s="6"/>
      <c r="W7" s="6"/>
      <c r="X7" s="6"/>
      <c r="Y7" s="6"/>
    </row>
    <row r="8" spans="1:25">
      <c r="A8" s="1" t="s">
        <v>6</v>
      </c>
      <c r="B8" s="6"/>
      <c r="C8" s="6"/>
      <c r="D8" s="6"/>
      <c r="E8" s="6"/>
      <c r="G8" s="2" t="s">
        <v>6</v>
      </c>
      <c r="H8" s="2" t="s">
        <v>46</v>
      </c>
      <c r="I8" s="2" t="s">
        <v>50</v>
      </c>
      <c r="J8" s="2">
        <v>936.46151252874586</v>
      </c>
      <c r="K8" s="2">
        <v>2.3916302115828767</v>
      </c>
      <c r="L8" s="2">
        <v>6.4671633272394384</v>
      </c>
      <c r="M8" s="2"/>
      <c r="N8" s="2"/>
      <c r="P8" s="2"/>
      <c r="Q8" s="2"/>
      <c r="R8" s="2"/>
      <c r="S8" s="2"/>
      <c r="U8" s="1" t="s">
        <v>6</v>
      </c>
      <c r="V8" s="6"/>
      <c r="W8" s="6"/>
      <c r="X8" s="6"/>
      <c r="Y8" s="6"/>
    </row>
    <row r="9" spans="1:25">
      <c r="A9" s="1" t="s">
        <v>7</v>
      </c>
      <c r="B9" s="6"/>
      <c r="C9" s="6"/>
      <c r="D9" s="6"/>
      <c r="E9" s="6"/>
      <c r="G9" s="2" t="s">
        <v>7</v>
      </c>
      <c r="H9" s="2" t="s">
        <v>46</v>
      </c>
      <c r="I9" s="2" t="s">
        <v>51</v>
      </c>
      <c r="J9" s="2">
        <v>2586.524243449398</v>
      </c>
      <c r="K9" s="2">
        <v>1.3689530128784</v>
      </c>
      <c r="L9" s="2">
        <v>1.4260224552154748</v>
      </c>
      <c r="M9" s="2"/>
      <c r="N9" s="2"/>
      <c r="P9" s="2"/>
      <c r="Q9" s="2"/>
      <c r="R9" s="2"/>
      <c r="S9" s="2"/>
      <c r="U9" s="1" t="s">
        <v>7</v>
      </c>
      <c r="V9" s="6"/>
      <c r="W9" s="6"/>
      <c r="X9" s="6"/>
      <c r="Y9" s="6"/>
    </row>
    <row r="10" spans="1:25">
      <c r="A10" s="1" t="s">
        <v>8</v>
      </c>
      <c r="B10" s="6"/>
      <c r="C10" s="6"/>
      <c r="D10" s="6"/>
      <c r="E10" s="6"/>
      <c r="G10" s="2" t="s">
        <v>8</v>
      </c>
      <c r="H10" s="2" t="s">
        <v>52</v>
      </c>
      <c r="I10" s="2" t="s">
        <v>53</v>
      </c>
      <c r="J10" s="2">
        <v>245006.52062869136</v>
      </c>
      <c r="K10" s="2">
        <v>4225.6093631175809</v>
      </c>
      <c r="L10" s="2">
        <v>2143.8490071311867</v>
      </c>
      <c r="M10" s="2"/>
      <c r="N10" s="2">
        <v>48565.111237292593</v>
      </c>
      <c r="P10" s="2"/>
      <c r="Q10" s="2"/>
      <c r="R10" s="2"/>
      <c r="S10" s="2"/>
      <c r="U10" s="1" t="s">
        <v>8</v>
      </c>
      <c r="V10" s="6"/>
      <c r="W10" s="6"/>
      <c r="X10" s="6"/>
      <c r="Y10" s="6"/>
    </row>
    <row r="11" spans="1:25">
      <c r="A11" s="1" t="s">
        <v>9</v>
      </c>
      <c r="B11" s="6"/>
      <c r="C11" s="6"/>
      <c r="D11" s="6"/>
      <c r="E11" s="6"/>
      <c r="G11" s="2" t="s">
        <v>9</v>
      </c>
      <c r="H11" s="2" t="s">
        <v>54</v>
      </c>
      <c r="I11" s="2" t="s">
        <v>55</v>
      </c>
      <c r="J11" s="2">
        <v>10327.307007148727</v>
      </c>
      <c r="K11" s="2">
        <v>75.58277700146941</v>
      </c>
      <c r="L11" s="2">
        <v>25.36881543212834</v>
      </c>
      <c r="M11" s="2"/>
      <c r="N11" s="2">
        <v>771.40335668944999</v>
      </c>
      <c r="P11" s="2"/>
      <c r="Q11" s="2"/>
      <c r="R11" s="2"/>
      <c r="S11" s="2"/>
      <c r="U11" s="1" t="s">
        <v>9</v>
      </c>
      <c r="V11" s="6"/>
      <c r="W11" s="6"/>
      <c r="X11" s="6"/>
      <c r="Y11" s="6"/>
    </row>
    <row r="12" spans="1:25">
      <c r="A12" s="1" t="s">
        <v>10</v>
      </c>
      <c r="B12" s="2">
        <f>V12</f>
        <v>519.66230097843413</v>
      </c>
      <c r="C12" s="2">
        <f t="shared" ref="C12:E27" si="0">W12</f>
        <v>42457.507325356317</v>
      </c>
      <c r="D12" s="2">
        <f t="shared" si="0"/>
        <v>508.54202214513731</v>
      </c>
      <c r="E12" s="2">
        <f t="shared" si="0"/>
        <v>0</v>
      </c>
      <c r="G12" s="2" t="s">
        <v>10</v>
      </c>
      <c r="H12" s="2" t="s">
        <v>56</v>
      </c>
      <c r="I12" s="2" t="s">
        <v>57</v>
      </c>
      <c r="J12" s="2">
        <v>139.62390635148762</v>
      </c>
      <c r="K12" s="2">
        <v>11407.567983191386</v>
      </c>
      <c r="L12" s="2">
        <v>136.63608759399978</v>
      </c>
      <c r="M12" s="2"/>
      <c r="N12" s="2"/>
      <c r="P12" s="2" t="s">
        <v>88</v>
      </c>
      <c r="Q12" s="2">
        <v>0.26868199999999998</v>
      </c>
      <c r="R12" s="2"/>
      <c r="S12" s="2">
        <f>SUM(Q12:R12)</f>
        <v>0.26868199999999998</v>
      </c>
      <c r="U12" s="1" t="s">
        <v>10</v>
      </c>
      <c r="V12" s="2">
        <f>J12/$S12</f>
        <v>519.66230097843413</v>
      </c>
      <c r="W12" s="2">
        <f t="shared" ref="W12:Y27" si="1">K12/$S12</f>
        <v>42457.507325356317</v>
      </c>
      <c r="X12" s="2">
        <f t="shared" si="1"/>
        <v>508.54202214513731</v>
      </c>
      <c r="Y12" s="2">
        <f t="shared" si="1"/>
        <v>0</v>
      </c>
    </row>
    <row r="13" spans="1:25">
      <c r="A13" s="1" t="s">
        <v>11</v>
      </c>
      <c r="B13" s="2">
        <f t="shared" ref="B13:E38" si="2">V13</f>
        <v>3370.0735783802975</v>
      </c>
      <c r="C13" s="2">
        <f t="shared" si="0"/>
        <v>19976.936839098027</v>
      </c>
      <c r="D13" s="2">
        <f t="shared" si="0"/>
        <v>12.757655320730359</v>
      </c>
      <c r="E13" s="2">
        <f t="shared" si="0"/>
        <v>0</v>
      </c>
      <c r="G13" s="2" t="s">
        <v>11</v>
      </c>
      <c r="H13" s="2" t="s">
        <v>56</v>
      </c>
      <c r="I13" s="2" t="s">
        <v>58</v>
      </c>
      <c r="J13" s="2">
        <v>118712.18982787733</v>
      </c>
      <c r="K13" s="2">
        <v>703695.59093196364</v>
      </c>
      <c r="L13" s="2">
        <v>449.39351173485522</v>
      </c>
      <c r="M13" s="2"/>
      <c r="N13" s="2"/>
      <c r="P13" s="2" t="s">
        <v>99</v>
      </c>
      <c r="Q13">
        <v>18.4847</v>
      </c>
      <c r="R13">
        <v>16.7407</v>
      </c>
      <c r="S13" s="2">
        <f>SUM(Q13:R13)</f>
        <v>35.2254</v>
      </c>
      <c r="U13" s="1" t="s">
        <v>11</v>
      </c>
      <c r="V13" s="2">
        <f t="shared" ref="V13:Y38" si="3">J13/$S13</f>
        <v>3370.0735783802975</v>
      </c>
      <c r="W13" s="2">
        <f t="shared" si="1"/>
        <v>19976.936839098027</v>
      </c>
      <c r="X13" s="2">
        <f t="shared" si="1"/>
        <v>12.757655320730359</v>
      </c>
      <c r="Y13" s="2">
        <f t="shared" si="1"/>
        <v>0</v>
      </c>
    </row>
    <row r="14" spans="1:25">
      <c r="A14" s="1" t="s">
        <v>12</v>
      </c>
      <c r="B14" s="2">
        <f t="shared" si="2"/>
        <v>12392.933477850056</v>
      </c>
      <c r="C14" s="2">
        <f t="shared" si="0"/>
        <v>0</v>
      </c>
      <c r="D14" s="2">
        <f t="shared" si="0"/>
        <v>0</v>
      </c>
      <c r="E14" s="2">
        <f t="shared" si="0"/>
        <v>0</v>
      </c>
      <c r="G14" s="2" t="s">
        <v>12</v>
      </c>
      <c r="H14" s="2" t="s">
        <v>44</v>
      </c>
      <c r="I14" s="2" t="s">
        <v>59</v>
      </c>
      <c r="J14" s="2">
        <v>119223.11829028701</v>
      </c>
      <c r="K14" s="2"/>
      <c r="L14" s="2"/>
      <c r="M14" s="2"/>
      <c r="N14" s="2"/>
      <c r="P14" s="2" t="s">
        <v>89</v>
      </c>
      <c r="Q14" s="2">
        <v>9.6202500000000004</v>
      </c>
      <c r="R14" s="2"/>
      <c r="S14" s="2">
        <f t="shared" ref="S14:S38" si="4">SUM(Q14:R14)</f>
        <v>9.6202500000000004</v>
      </c>
      <c r="U14" s="1" t="s">
        <v>12</v>
      </c>
      <c r="V14" s="2">
        <f t="shared" si="3"/>
        <v>12392.933477850056</v>
      </c>
      <c r="W14" s="2">
        <f t="shared" si="1"/>
        <v>0</v>
      </c>
      <c r="X14" s="2">
        <f t="shared" si="1"/>
        <v>0</v>
      </c>
      <c r="Y14" s="2">
        <f t="shared" si="1"/>
        <v>0</v>
      </c>
    </row>
    <row r="15" spans="1:25">
      <c r="A15" s="1" t="s">
        <v>13</v>
      </c>
      <c r="B15" s="2">
        <f t="shared" si="2"/>
        <v>493.33437280735944</v>
      </c>
      <c r="C15" s="2">
        <f t="shared" si="0"/>
        <v>0</v>
      </c>
      <c r="D15" s="2">
        <f t="shared" si="0"/>
        <v>0</v>
      </c>
      <c r="E15" s="2">
        <f t="shared" si="0"/>
        <v>0</v>
      </c>
      <c r="G15" s="2" t="s">
        <v>13</v>
      </c>
      <c r="H15" s="2" t="s">
        <v>44</v>
      </c>
      <c r="I15" s="2" t="s">
        <v>59</v>
      </c>
      <c r="J15" s="2">
        <v>4746</v>
      </c>
      <c r="K15" s="2"/>
      <c r="L15" s="2"/>
      <c r="M15" s="2"/>
      <c r="N15" s="2"/>
      <c r="P15" s="2" t="s">
        <v>89</v>
      </c>
      <c r="Q15" s="2">
        <f>Q14</f>
        <v>9.6202500000000004</v>
      </c>
      <c r="R15" s="2"/>
      <c r="S15" s="2">
        <f t="shared" si="4"/>
        <v>9.6202500000000004</v>
      </c>
      <c r="U15" s="1" t="s">
        <v>13</v>
      </c>
      <c r="V15" s="2">
        <f t="shared" si="3"/>
        <v>493.33437280735944</v>
      </c>
      <c r="W15" s="2">
        <f t="shared" si="1"/>
        <v>0</v>
      </c>
      <c r="X15" s="2">
        <f t="shared" si="1"/>
        <v>0</v>
      </c>
      <c r="Y15" s="2">
        <f t="shared" si="1"/>
        <v>0</v>
      </c>
    </row>
    <row r="16" spans="1:25">
      <c r="A16" s="1" t="s">
        <v>14</v>
      </c>
      <c r="B16" s="2">
        <f t="shared" si="2"/>
        <v>2.5908019983559916</v>
      </c>
      <c r="C16" s="2">
        <f t="shared" si="0"/>
        <v>0</v>
      </c>
      <c r="D16" s="2">
        <f t="shared" si="0"/>
        <v>0</v>
      </c>
      <c r="E16" s="2">
        <f t="shared" si="0"/>
        <v>0</v>
      </c>
      <c r="G16" s="2" t="s">
        <v>14</v>
      </c>
      <c r="H16" s="2" t="s">
        <v>44</v>
      </c>
      <c r="I16" s="2" t="s">
        <v>59</v>
      </c>
      <c r="J16" s="2">
        <v>24.924162924684229</v>
      </c>
      <c r="K16" s="2"/>
      <c r="L16" s="2"/>
      <c r="M16" s="2"/>
      <c r="N16" s="2"/>
      <c r="P16" s="2" t="s">
        <v>89</v>
      </c>
      <c r="Q16" s="2">
        <f>Q15</f>
        <v>9.6202500000000004</v>
      </c>
      <c r="R16" s="2"/>
      <c r="S16" s="2">
        <f t="shared" si="4"/>
        <v>9.6202500000000004</v>
      </c>
      <c r="U16" s="1" t="s">
        <v>14</v>
      </c>
      <c r="V16" s="2">
        <f t="shared" si="3"/>
        <v>2.5908019983559916</v>
      </c>
      <c r="W16" s="2">
        <f t="shared" si="1"/>
        <v>0</v>
      </c>
      <c r="X16" s="2">
        <f t="shared" si="1"/>
        <v>0</v>
      </c>
      <c r="Y16" s="2">
        <f t="shared" si="1"/>
        <v>0</v>
      </c>
    </row>
    <row r="17" spans="1:25">
      <c r="A17" s="1" t="s">
        <v>15</v>
      </c>
      <c r="B17" s="2">
        <f t="shared" si="2"/>
        <v>42.367782301013548</v>
      </c>
      <c r="C17" s="2">
        <f t="shared" si="0"/>
        <v>0</v>
      </c>
      <c r="D17" s="2">
        <f t="shared" si="0"/>
        <v>0</v>
      </c>
      <c r="E17" s="2">
        <f t="shared" si="0"/>
        <v>0</v>
      </c>
      <c r="G17" s="2" t="s">
        <v>15</v>
      </c>
      <c r="H17" s="2" t="s">
        <v>44</v>
      </c>
      <c r="I17" s="2" t="s">
        <v>60</v>
      </c>
      <c r="J17" s="2">
        <v>887.02460058870997</v>
      </c>
      <c r="K17" s="2"/>
      <c r="L17" s="2"/>
      <c r="M17" s="2"/>
      <c r="N17" s="2"/>
      <c r="P17" s="2" t="s">
        <v>90</v>
      </c>
      <c r="Q17" s="2">
        <v>20.936299999999999</v>
      </c>
      <c r="R17" s="2"/>
      <c r="S17" s="2">
        <f t="shared" si="4"/>
        <v>20.936299999999999</v>
      </c>
      <c r="U17" s="1" t="s">
        <v>15</v>
      </c>
      <c r="V17" s="2">
        <f t="shared" si="3"/>
        <v>42.367782301013548</v>
      </c>
      <c r="W17" s="2">
        <f t="shared" si="1"/>
        <v>0</v>
      </c>
      <c r="X17" s="2">
        <f t="shared" si="1"/>
        <v>0</v>
      </c>
      <c r="Y17" s="2">
        <f t="shared" si="1"/>
        <v>0</v>
      </c>
    </row>
    <row r="18" spans="1:25">
      <c r="A18" s="1" t="s">
        <v>16</v>
      </c>
      <c r="B18" s="2">
        <f t="shared" si="2"/>
        <v>6081.1764863362541</v>
      </c>
      <c r="C18" s="2">
        <f t="shared" si="0"/>
        <v>87.526089350741714</v>
      </c>
      <c r="D18" s="2">
        <f t="shared" si="0"/>
        <v>352.40244092795768</v>
      </c>
      <c r="E18" s="2">
        <f t="shared" si="0"/>
        <v>0</v>
      </c>
      <c r="G18" s="2" t="s">
        <v>16</v>
      </c>
      <c r="H18" s="2" t="s">
        <v>44</v>
      </c>
      <c r="I18" s="2" t="s">
        <v>61</v>
      </c>
      <c r="J18" s="2">
        <v>127317.33527088171</v>
      </c>
      <c r="K18" s="2">
        <v>1832.4724644739335</v>
      </c>
      <c r="L18" s="2">
        <v>7378.003224</v>
      </c>
      <c r="M18" s="2"/>
      <c r="N18" s="2"/>
      <c r="P18" s="2" t="s">
        <v>90</v>
      </c>
      <c r="Q18" s="2">
        <f>Q17</f>
        <v>20.936299999999999</v>
      </c>
      <c r="R18" s="2"/>
      <c r="S18" s="2">
        <f t="shared" si="4"/>
        <v>20.936299999999999</v>
      </c>
      <c r="U18" s="1" t="s">
        <v>16</v>
      </c>
      <c r="V18" s="2">
        <f t="shared" si="3"/>
        <v>6081.1764863362541</v>
      </c>
      <c r="W18" s="2">
        <f t="shared" si="1"/>
        <v>87.526089350741714</v>
      </c>
      <c r="X18" s="2">
        <f t="shared" si="1"/>
        <v>352.40244092795768</v>
      </c>
      <c r="Y18" s="2">
        <f t="shared" si="1"/>
        <v>0</v>
      </c>
    </row>
    <row r="19" spans="1:25">
      <c r="A19" s="1" t="s">
        <v>17</v>
      </c>
      <c r="B19" s="2">
        <f t="shared" si="2"/>
        <v>1520.5405059615193</v>
      </c>
      <c r="C19" s="2">
        <f t="shared" si="0"/>
        <v>2.5396501077965423</v>
      </c>
      <c r="D19" s="2">
        <f t="shared" si="0"/>
        <v>0</v>
      </c>
      <c r="E19" s="2">
        <f t="shared" si="0"/>
        <v>178.14565679014146</v>
      </c>
      <c r="G19" s="2" t="s">
        <v>17</v>
      </c>
      <c r="H19" s="2" t="s">
        <v>44</v>
      </c>
      <c r="I19" s="2" t="s">
        <v>62</v>
      </c>
      <c r="J19" s="2">
        <v>13582.957928944134</v>
      </c>
      <c r="K19" s="2">
        <v>22.686643619944359</v>
      </c>
      <c r="L19" s="2"/>
      <c r="M19" s="2">
        <v>1591.3715891931979</v>
      </c>
      <c r="N19" s="2"/>
      <c r="P19" s="2" t="s">
        <v>92</v>
      </c>
      <c r="Q19" s="2">
        <v>8.9329800000000006</v>
      </c>
      <c r="R19" s="2"/>
      <c r="S19" s="2">
        <f t="shared" si="4"/>
        <v>8.9329800000000006</v>
      </c>
      <c r="U19" s="1" t="s">
        <v>17</v>
      </c>
      <c r="V19" s="2">
        <f t="shared" si="3"/>
        <v>1520.5405059615193</v>
      </c>
      <c r="W19" s="2">
        <f t="shared" si="1"/>
        <v>2.5396501077965423</v>
      </c>
      <c r="X19" s="2">
        <f t="shared" si="1"/>
        <v>0</v>
      </c>
      <c r="Y19" s="2">
        <f t="shared" si="1"/>
        <v>178.14565679014146</v>
      </c>
    </row>
    <row r="20" spans="1:25">
      <c r="A20" s="1" t="s">
        <v>18</v>
      </c>
      <c r="B20" s="2">
        <f t="shared" si="2"/>
        <v>173.58886007986223</v>
      </c>
      <c r="C20" s="2">
        <f t="shared" si="0"/>
        <v>0</v>
      </c>
      <c r="D20" s="2">
        <f t="shared" si="0"/>
        <v>0</v>
      </c>
      <c r="E20" s="2">
        <f t="shared" si="0"/>
        <v>0</v>
      </c>
      <c r="G20" s="2" t="s">
        <v>18</v>
      </c>
      <c r="H20" s="2" t="s">
        <v>56</v>
      </c>
      <c r="I20" s="2" t="s">
        <v>63</v>
      </c>
      <c r="J20" s="2">
        <v>3634.3084512900195</v>
      </c>
      <c r="K20" s="2"/>
      <c r="L20" s="2"/>
      <c r="M20" s="2"/>
      <c r="N20" s="2"/>
      <c r="P20" s="2" t="s">
        <v>90</v>
      </c>
      <c r="Q20" s="2">
        <f>Q18</f>
        <v>20.936299999999999</v>
      </c>
      <c r="R20" s="2"/>
      <c r="S20" s="2">
        <f t="shared" si="4"/>
        <v>20.936299999999999</v>
      </c>
      <c r="U20" s="1" t="s">
        <v>18</v>
      </c>
      <c r="V20" s="2">
        <f t="shared" si="3"/>
        <v>173.58886007986223</v>
      </c>
      <c r="W20" s="2">
        <f t="shared" si="1"/>
        <v>0</v>
      </c>
      <c r="X20" s="2">
        <f t="shared" si="1"/>
        <v>0</v>
      </c>
      <c r="Y20" s="2">
        <f t="shared" si="1"/>
        <v>0</v>
      </c>
    </row>
    <row r="21" spans="1:25">
      <c r="A21" s="1" t="s">
        <v>19</v>
      </c>
      <c r="B21" s="2">
        <f t="shared" si="2"/>
        <v>0</v>
      </c>
      <c r="C21" s="2">
        <f t="shared" si="0"/>
        <v>0</v>
      </c>
      <c r="D21" s="2">
        <f t="shared" si="0"/>
        <v>0</v>
      </c>
      <c r="E21" s="2">
        <f t="shared" si="0"/>
        <v>0</v>
      </c>
      <c r="G21" s="2" t="s">
        <v>19</v>
      </c>
      <c r="H21" s="2" t="s">
        <v>44</v>
      </c>
      <c r="I21" s="2" t="s">
        <v>64</v>
      </c>
      <c r="J21" s="2"/>
      <c r="K21" s="2"/>
      <c r="L21" s="2"/>
      <c r="M21" s="2"/>
      <c r="N21" s="2"/>
      <c r="P21" s="2" t="s">
        <v>94</v>
      </c>
      <c r="Q21" s="2">
        <v>20.3794</v>
      </c>
      <c r="R21" s="2"/>
      <c r="S21" s="2">
        <f t="shared" si="4"/>
        <v>20.3794</v>
      </c>
      <c r="U21" s="1" t="s">
        <v>19</v>
      </c>
      <c r="V21" s="2">
        <f t="shared" si="3"/>
        <v>0</v>
      </c>
      <c r="W21" s="2">
        <f t="shared" si="1"/>
        <v>0</v>
      </c>
      <c r="X21" s="2">
        <f t="shared" si="1"/>
        <v>0</v>
      </c>
      <c r="Y21" s="2">
        <f t="shared" si="1"/>
        <v>0</v>
      </c>
    </row>
    <row r="22" spans="1:25">
      <c r="A22" s="1" t="s">
        <v>20</v>
      </c>
      <c r="B22" s="2">
        <f t="shared" si="2"/>
        <v>0</v>
      </c>
      <c r="C22" s="2">
        <f t="shared" si="0"/>
        <v>0</v>
      </c>
      <c r="D22" s="2">
        <f t="shared" si="0"/>
        <v>0</v>
      </c>
      <c r="E22" s="2">
        <f t="shared" si="0"/>
        <v>5862.0475076017583</v>
      </c>
      <c r="G22" s="2" t="s">
        <v>20</v>
      </c>
      <c r="H22" s="2" t="s">
        <v>44</v>
      </c>
      <c r="I22" s="2" t="s">
        <v>65</v>
      </c>
      <c r="J22" s="2"/>
      <c r="K22" s="2"/>
      <c r="L22" s="2"/>
      <c r="M22" s="2">
        <v>119465.01097641927</v>
      </c>
      <c r="N22" s="2"/>
      <c r="P22" s="2" t="s">
        <v>94</v>
      </c>
      <c r="Q22" s="2">
        <f>Q21</f>
        <v>20.3794</v>
      </c>
      <c r="R22" s="2"/>
      <c r="S22" s="2">
        <f t="shared" si="4"/>
        <v>20.3794</v>
      </c>
      <c r="U22" s="1" t="s">
        <v>20</v>
      </c>
      <c r="V22" s="2">
        <f t="shared" si="3"/>
        <v>0</v>
      </c>
      <c r="W22" s="2">
        <f t="shared" si="1"/>
        <v>0</v>
      </c>
      <c r="X22" s="2">
        <f t="shared" si="1"/>
        <v>0</v>
      </c>
      <c r="Y22" s="2">
        <f t="shared" si="1"/>
        <v>5862.0475076017583</v>
      </c>
    </row>
    <row r="23" spans="1:25">
      <c r="A23" s="1" t="s">
        <v>21</v>
      </c>
      <c r="B23" s="2">
        <f t="shared" si="2"/>
        <v>0</v>
      </c>
      <c r="C23" s="2">
        <f t="shared" si="0"/>
        <v>0</v>
      </c>
      <c r="D23" s="2">
        <f t="shared" si="0"/>
        <v>503.94715612064431</v>
      </c>
      <c r="E23" s="2">
        <f t="shared" si="0"/>
        <v>664.0403188651353</v>
      </c>
      <c r="G23" s="2" t="s">
        <v>21</v>
      </c>
      <c r="H23" s="2" t="s">
        <v>44</v>
      </c>
      <c r="I23" s="2" t="s">
        <v>60</v>
      </c>
      <c r="J23" s="2"/>
      <c r="K23" s="2"/>
      <c r="L23" s="2">
        <v>10270.140673445059</v>
      </c>
      <c r="M23" s="2">
        <v>13532.743274280139</v>
      </c>
      <c r="N23" s="2"/>
      <c r="P23" s="2" t="s">
        <v>94</v>
      </c>
      <c r="Q23" s="2">
        <f>Q22</f>
        <v>20.3794</v>
      </c>
      <c r="R23" s="2"/>
      <c r="S23" s="2">
        <f t="shared" si="4"/>
        <v>20.3794</v>
      </c>
      <c r="U23" s="1" t="s">
        <v>21</v>
      </c>
      <c r="V23" s="2">
        <f t="shared" si="3"/>
        <v>0</v>
      </c>
      <c r="W23" s="2">
        <f t="shared" si="1"/>
        <v>0</v>
      </c>
      <c r="X23" s="2">
        <f t="shared" si="1"/>
        <v>503.94715612064431</v>
      </c>
      <c r="Y23" s="2">
        <f t="shared" si="1"/>
        <v>664.0403188651353</v>
      </c>
    </row>
    <row r="24" spans="1:25">
      <c r="A24" s="1" t="s">
        <v>22</v>
      </c>
      <c r="B24" s="2">
        <f t="shared" si="2"/>
        <v>0</v>
      </c>
      <c r="C24" s="2">
        <f t="shared" si="0"/>
        <v>5290.1668727340611</v>
      </c>
      <c r="D24" s="2">
        <f t="shared" si="0"/>
        <v>0</v>
      </c>
      <c r="E24" s="2">
        <f t="shared" si="0"/>
        <v>0</v>
      </c>
      <c r="G24" s="2" t="s">
        <v>22</v>
      </c>
      <c r="H24" s="2" t="s">
        <v>66</v>
      </c>
      <c r="I24" s="2" t="s">
        <v>67</v>
      </c>
      <c r="J24" s="2"/>
      <c r="K24" s="2">
        <v>130331.72517679998</v>
      </c>
      <c r="L24" s="2"/>
      <c r="M24" s="2"/>
      <c r="N24" s="2"/>
      <c r="P24" s="2" t="s">
        <v>96</v>
      </c>
      <c r="Q24" s="2">
        <v>24.636600000000001</v>
      </c>
      <c r="R24" s="2"/>
      <c r="S24" s="2">
        <f t="shared" si="4"/>
        <v>24.636600000000001</v>
      </c>
      <c r="U24" s="1" t="s">
        <v>22</v>
      </c>
      <c r="V24" s="2">
        <f t="shared" si="3"/>
        <v>0</v>
      </c>
      <c r="W24" s="2">
        <f t="shared" si="1"/>
        <v>5290.1668727340611</v>
      </c>
      <c r="X24" s="2">
        <f t="shared" si="1"/>
        <v>0</v>
      </c>
      <c r="Y24" s="2">
        <f t="shared" si="1"/>
        <v>0</v>
      </c>
    </row>
    <row r="25" spans="1:25">
      <c r="A25" s="1" t="s">
        <v>23</v>
      </c>
      <c r="B25" s="2">
        <f t="shared" si="2"/>
        <v>0</v>
      </c>
      <c r="C25" s="2">
        <f t="shared" si="0"/>
        <v>228.0146723870501</v>
      </c>
      <c r="D25" s="2">
        <f t="shared" si="0"/>
        <v>33.73917714760465</v>
      </c>
      <c r="E25" s="2">
        <f t="shared" si="0"/>
        <v>0</v>
      </c>
      <c r="G25" s="2" t="s">
        <v>23</v>
      </c>
      <c r="H25" s="2" t="s">
        <v>66</v>
      </c>
      <c r="I25" s="2" t="s">
        <v>68</v>
      </c>
      <c r="J25" s="2"/>
      <c r="K25" s="2">
        <v>5617.5062777307985</v>
      </c>
      <c r="L25" s="2">
        <v>831.21861171467674</v>
      </c>
      <c r="M25" s="2"/>
      <c r="N25" s="2"/>
      <c r="P25" s="2" t="s">
        <v>96</v>
      </c>
      <c r="Q25" s="2">
        <f>Q24</f>
        <v>24.636600000000001</v>
      </c>
      <c r="R25" s="2"/>
      <c r="S25" s="2">
        <f t="shared" si="4"/>
        <v>24.636600000000001</v>
      </c>
      <c r="U25" s="1" t="s">
        <v>23</v>
      </c>
      <c r="V25" s="2">
        <f t="shared" si="3"/>
        <v>0</v>
      </c>
      <c r="W25" s="2">
        <f t="shared" si="1"/>
        <v>228.0146723870501</v>
      </c>
      <c r="X25" s="2">
        <f t="shared" si="1"/>
        <v>33.73917714760465</v>
      </c>
      <c r="Y25" s="2">
        <f t="shared" si="1"/>
        <v>0</v>
      </c>
    </row>
    <row r="26" spans="1:25">
      <c r="A26" s="1" t="s">
        <v>24</v>
      </c>
      <c r="B26" s="2">
        <f t="shared" si="2"/>
        <v>0</v>
      </c>
      <c r="C26" s="2">
        <f t="shared" si="0"/>
        <v>25.877585997658485</v>
      </c>
      <c r="D26" s="2">
        <f t="shared" si="0"/>
        <v>6.3495928605364531</v>
      </c>
      <c r="E26" s="2">
        <f t="shared" si="0"/>
        <v>0</v>
      </c>
      <c r="G26" s="2" t="s">
        <v>24</v>
      </c>
      <c r="H26" s="2" t="s">
        <v>66</v>
      </c>
      <c r="I26" s="2" t="s">
        <v>69</v>
      </c>
      <c r="J26" s="2"/>
      <c r="K26" s="2">
        <v>637.53573518991311</v>
      </c>
      <c r="L26" s="2">
        <v>156.43237946789239</v>
      </c>
      <c r="M26" s="2"/>
      <c r="N26" s="2">
        <v>12776.013740908658</v>
      </c>
      <c r="P26" s="2" t="s">
        <v>96</v>
      </c>
      <c r="Q26" s="2">
        <f>Q25</f>
        <v>24.636600000000001</v>
      </c>
      <c r="R26" s="2"/>
      <c r="S26" s="2">
        <f t="shared" si="4"/>
        <v>24.636600000000001</v>
      </c>
      <c r="U26" s="1" t="s">
        <v>24</v>
      </c>
      <c r="V26" s="2">
        <f t="shared" si="3"/>
        <v>0</v>
      </c>
      <c r="W26" s="2">
        <f t="shared" si="1"/>
        <v>25.877585997658485</v>
      </c>
      <c r="X26" s="2">
        <f t="shared" si="1"/>
        <v>6.3495928605364531</v>
      </c>
      <c r="Y26" s="2">
        <f t="shared" si="1"/>
        <v>0</v>
      </c>
    </row>
    <row r="27" spans="1:25">
      <c r="A27" s="1" t="s">
        <v>25</v>
      </c>
      <c r="B27" s="2">
        <f t="shared" si="2"/>
        <v>108.30576112499239</v>
      </c>
      <c r="C27" s="2">
        <f t="shared" si="0"/>
        <v>0</v>
      </c>
      <c r="D27" s="2">
        <f t="shared" si="0"/>
        <v>0</v>
      </c>
      <c r="E27" s="2">
        <f t="shared" si="0"/>
        <v>0</v>
      </c>
      <c r="G27" s="2" t="s">
        <v>25</v>
      </c>
      <c r="H27" s="2" t="s">
        <v>66</v>
      </c>
      <c r="I27" s="2" t="s">
        <v>70</v>
      </c>
      <c r="J27" s="2">
        <v>2668.2857145319877</v>
      </c>
      <c r="K27" s="2"/>
      <c r="L27" s="2"/>
      <c r="M27" s="2"/>
      <c r="N27" s="2"/>
      <c r="P27" s="2" t="s">
        <v>96</v>
      </c>
      <c r="Q27" s="2">
        <f>Q26</f>
        <v>24.636600000000001</v>
      </c>
      <c r="R27" s="2"/>
      <c r="S27" s="2">
        <f t="shared" si="4"/>
        <v>24.636600000000001</v>
      </c>
      <c r="U27" s="1" t="s">
        <v>25</v>
      </c>
      <c r="V27" s="2">
        <f t="shared" si="3"/>
        <v>108.30576112499239</v>
      </c>
      <c r="W27" s="2">
        <f t="shared" si="1"/>
        <v>0</v>
      </c>
      <c r="X27" s="2">
        <f t="shared" si="1"/>
        <v>0</v>
      </c>
      <c r="Y27" s="2">
        <f t="shared" si="1"/>
        <v>0</v>
      </c>
    </row>
    <row r="28" spans="1:25">
      <c r="A28" s="1" t="s">
        <v>26</v>
      </c>
      <c r="B28" s="2">
        <f t="shared" si="2"/>
        <v>146.97178409126249</v>
      </c>
      <c r="C28" s="2">
        <f t="shared" si="2"/>
        <v>0</v>
      </c>
      <c r="D28" s="2">
        <f t="shared" si="2"/>
        <v>0</v>
      </c>
      <c r="E28" s="2">
        <f t="shared" si="2"/>
        <v>0</v>
      </c>
      <c r="G28" s="2" t="s">
        <v>26</v>
      </c>
      <c r="H28" s="2" t="s">
        <v>66</v>
      </c>
      <c r="I28" s="2" t="s">
        <v>71</v>
      </c>
      <c r="J28" s="2">
        <v>3620.8850559427974</v>
      </c>
      <c r="K28" s="2"/>
      <c r="L28" s="2"/>
      <c r="M28" s="2"/>
      <c r="N28" s="2"/>
      <c r="P28" s="2" t="s">
        <v>96</v>
      </c>
      <c r="Q28" s="2">
        <f>Q27</f>
        <v>24.636600000000001</v>
      </c>
      <c r="R28" s="2"/>
      <c r="S28" s="2">
        <f t="shared" si="4"/>
        <v>24.636600000000001</v>
      </c>
      <c r="U28" s="1" t="s">
        <v>26</v>
      </c>
      <c r="V28" s="2">
        <f t="shared" si="3"/>
        <v>146.97178409126249</v>
      </c>
      <c r="W28" s="2">
        <f t="shared" si="3"/>
        <v>0</v>
      </c>
      <c r="X28" s="2">
        <f t="shared" si="3"/>
        <v>0</v>
      </c>
      <c r="Y28" s="2">
        <f t="shared" si="3"/>
        <v>0</v>
      </c>
    </row>
    <row r="29" spans="1:25">
      <c r="A29" s="1" t="s">
        <v>27</v>
      </c>
      <c r="B29" s="2">
        <f t="shared" si="2"/>
        <v>0</v>
      </c>
      <c r="C29" s="2">
        <f t="shared" si="2"/>
        <v>0</v>
      </c>
      <c r="D29" s="2">
        <f t="shared" si="2"/>
        <v>2567.1982393136282</v>
      </c>
      <c r="E29" s="2">
        <f t="shared" si="2"/>
        <v>0</v>
      </c>
      <c r="G29" s="2" t="s">
        <v>27</v>
      </c>
      <c r="H29" s="2" t="s">
        <v>55</v>
      </c>
      <c r="I29" s="2" t="s">
        <v>72</v>
      </c>
      <c r="J29" s="2"/>
      <c r="K29" s="2"/>
      <c r="L29" s="2">
        <v>63247.036142674136</v>
      </c>
      <c r="M29" s="2"/>
      <c r="N29" s="2"/>
      <c r="P29" s="2" t="s">
        <v>96</v>
      </c>
      <c r="Q29" s="2">
        <f>Q28</f>
        <v>24.636600000000001</v>
      </c>
      <c r="R29" s="2"/>
      <c r="S29" s="2">
        <f t="shared" si="4"/>
        <v>24.636600000000001</v>
      </c>
      <c r="U29" s="1" t="s">
        <v>27</v>
      </c>
      <c r="V29" s="2">
        <f t="shared" si="3"/>
        <v>0</v>
      </c>
      <c r="W29" s="2">
        <f t="shared" si="3"/>
        <v>0</v>
      </c>
      <c r="X29" s="2">
        <f t="shared" si="3"/>
        <v>2567.1982393136282</v>
      </c>
      <c r="Y29" s="2">
        <f t="shared" si="3"/>
        <v>0</v>
      </c>
    </row>
    <row r="30" spans="1:25">
      <c r="A30" s="1" t="s">
        <v>28</v>
      </c>
      <c r="B30" s="2">
        <f t="shared" si="2"/>
        <v>0</v>
      </c>
      <c r="C30" s="2">
        <f t="shared" si="2"/>
        <v>0</v>
      </c>
      <c r="D30" s="2">
        <f t="shared" si="2"/>
        <v>327.02581953985691</v>
      </c>
      <c r="E30" s="2">
        <f t="shared" si="2"/>
        <v>0</v>
      </c>
      <c r="G30" s="2" t="s">
        <v>28</v>
      </c>
      <c r="H30" s="2" t="s">
        <v>66</v>
      </c>
      <c r="I30" s="2" t="s">
        <v>73</v>
      </c>
      <c r="J30" s="2"/>
      <c r="K30" s="2"/>
      <c r="L30" s="2">
        <v>8056.8043056756396</v>
      </c>
      <c r="M30" s="2"/>
      <c r="N30" s="2"/>
      <c r="P30" s="2" t="s">
        <v>96</v>
      </c>
      <c r="Q30" s="2">
        <f>Q29</f>
        <v>24.636600000000001</v>
      </c>
      <c r="R30" s="2"/>
      <c r="S30" s="2">
        <f t="shared" si="4"/>
        <v>24.636600000000001</v>
      </c>
      <c r="U30" s="1" t="s">
        <v>28</v>
      </c>
      <c r="V30" s="2">
        <f t="shared" si="3"/>
        <v>0</v>
      </c>
      <c r="W30" s="2">
        <f t="shared" si="3"/>
        <v>0</v>
      </c>
      <c r="X30" s="2">
        <f t="shared" si="3"/>
        <v>327.02581953985691</v>
      </c>
      <c r="Y30" s="2">
        <f t="shared" si="3"/>
        <v>0</v>
      </c>
    </row>
    <row r="31" spans="1:25">
      <c r="A31" s="1" t="s">
        <v>29</v>
      </c>
      <c r="B31" s="2">
        <f t="shared" si="2"/>
        <v>0</v>
      </c>
      <c r="C31" s="2">
        <f t="shared" si="2"/>
        <v>0</v>
      </c>
      <c r="D31" s="2">
        <f t="shared" si="2"/>
        <v>9.242266265773571</v>
      </c>
      <c r="E31" s="2">
        <f t="shared" si="2"/>
        <v>0</v>
      </c>
      <c r="G31" s="2" t="s">
        <v>29</v>
      </c>
      <c r="H31" s="2" t="s">
        <v>66</v>
      </c>
      <c r="I31" s="2" t="s">
        <v>74</v>
      </c>
      <c r="J31" s="2"/>
      <c r="K31" s="2"/>
      <c r="L31" s="2">
        <v>227.69801708335717</v>
      </c>
      <c r="M31" s="2"/>
      <c r="N31" s="2"/>
      <c r="P31" s="2" t="s">
        <v>96</v>
      </c>
      <c r="Q31" s="2">
        <f>Q30</f>
        <v>24.636600000000001</v>
      </c>
      <c r="R31" s="2"/>
      <c r="S31" s="2">
        <f t="shared" si="4"/>
        <v>24.636600000000001</v>
      </c>
      <c r="U31" s="1" t="s">
        <v>29</v>
      </c>
      <c r="V31" s="2">
        <f t="shared" si="3"/>
        <v>0</v>
      </c>
      <c r="W31" s="2">
        <f t="shared" si="3"/>
        <v>0</v>
      </c>
      <c r="X31" s="2">
        <f t="shared" si="3"/>
        <v>9.242266265773571</v>
      </c>
      <c r="Y31" s="2">
        <f t="shared" si="3"/>
        <v>0</v>
      </c>
    </row>
    <row r="32" spans="1:25">
      <c r="A32" s="1" t="s">
        <v>30</v>
      </c>
      <c r="B32" s="2">
        <f t="shared" si="2"/>
        <v>0</v>
      </c>
      <c r="C32" s="2">
        <f t="shared" si="2"/>
        <v>382.72037600403951</v>
      </c>
      <c r="D32" s="2">
        <f t="shared" si="2"/>
        <v>0</v>
      </c>
      <c r="E32" s="2">
        <f t="shared" si="2"/>
        <v>0</v>
      </c>
      <c r="G32" s="2" t="s">
        <v>30</v>
      </c>
      <c r="H32" s="2" t="s">
        <v>66</v>
      </c>
      <c r="I32" s="2" t="s">
        <v>75</v>
      </c>
      <c r="J32" s="2"/>
      <c r="K32" s="2">
        <v>9428.9288154611204</v>
      </c>
      <c r="L32" s="2"/>
      <c r="M32" s="2"/>
      <c r="N32" s="2"/>
      <c r="P32" s="2" t="s">
        <v>96</v>
      </c>
      <c r="Q32" s="2">
        <f>Q31</f>
        <v>24.636600000000001</v>
      </c>
      <c r="R32" s="2"/>
      <c r="S32" s="2">
        <f t="shared" si="4"/>
        <v>24.636600000000001</v>
      </c>
      <c r="U32" s="1" t="s">
        <v>30</v>
      </c>
      <c r="V32" s="2">
        <f t="shared" si="3"/>
        <v>0</v>
      </c>
      <c r="W32" s="2">
        <f t="shared" si="3"/>
        <v>382.72037600403951</v>
      </c>
      <c r="X32" s="2">
        <f t="shared" si="3"/>
        <v>0</v>
      </c>
      <c r="Y32" s="2">
        <f t="shared" si="3"/>
        <v>0</v>
      </c>
    </row>
    <row r="33" spans="1:25">
      <c r="A33" s="1" t="s">
        <v>31</v>
      </c>
      <c r="B33" s="2">
        <f t="shared" si="2"/>
        <v>0</v>
      </c>
      <c r="C33" s="2">
        <f t="shared" si="2"/>
        <v>310.8737735664119</v>
      </c>
      <c r="D33" s="2">
        <f t="shared" si="2"/>
        <v>0</v>
      </c>
      <c r="E33" s="2">
        <f t="shared" si="2"/>
        <v>0</v>
      </c>
      <c r="G33" s="2" t="s">
        <v>31</v>
      </c>
      <c r="H33" s="2" t="s">
        <v>76</v>
      </c>
      <c r="I33" s="2" t="s">
        <v>77</v>
      </c>
      <c r="J33" s="2"/>
      <c r="K33" s="2">
        <v>109344.87587160832</v>
      </c>
      <c r="L33" s="2"/>
      <c r="M33" s="2"/>
      <c r="N33" s="2"/>
      <c r="P33" s="2" t="s">
        <v>97</v>
      </c>
      <c r="Q33" s="2">
        <v>351.73399999999998</v>
      </c>
      <c r="R33" s="2"/>
      <c r="S33" s="2">
        <f t="shared" si="4"/>
        <v>351.73399999999998</v>
      </c>
      <c r="U33" s="1" t="s">
        <v>31</v>
      </c>
      <c r="V33" s="2">
        <f t="shared" si="3"/>
        <v>0</v>
      </c>
      <c r="W33" s="2">
        <f t="shared" si="3"/>
        <v>310.8737735664119</v>
      </c>
      <c r="X33" s="2">
        <f t="shared" si="3"/>
        <v>0</v>
      </c>
      <c r="Y33" s="2">
        <f t="shared" si="3"/>
        <v>0</v>
      </c>
    </row>
    <row r="34" spans="1:25">
      <c r="A34" s="1" t="s">
        <v>32</v>
      </c>
      <c r="B34" s="2">
        <f t="shared" si="2"/>
        <v>0</v>
      </c>
      <c r="C34" s="2">
        <f t="shared" si="2"/>
        <v>2.5137780034887101</v>
      </c>
      <c r="D34" s="2">
        <f t="shared" si="2"/>
        <v>1.7843334935477706</v>
      </c>
      <c r="E34" s="2">
        <f t="shared" si="2"/>
        <v>0</v>
      </c>
      <c r="G34" s="2" t="s">
        <v>32</v>
      </c>
      <c r="H34" s="2" t="s">
        <v>76</v>
      </c>
      <c r="I34" s="2" t="s">
        <v>78</v>
      </c>
      <c r="J34" s="2"/>
      <c r="K34" s="2">
        <v>884.1811922790979</v>
      </c>
      <c r="L34" s="2">
        <v>627.61075701953155</v>
      </c>
      <c r="M34" s="2"/>
      <c r="N34" s="2"/>
      <c r="P34" s="2" t="s">
        <v>97</v>
      </c>
      <c r="Q34" s="2">
        <f>Q33</f>
        <v>351.73399999999998</v>
      </c>
      <c r="R34" s="2"/>
      <c r="S34" s="2">
        <f t="shared" si="4"/>
        <v>351.73399999999998</v>
      </c>
      <c r="U34" s="1" t="s">
        <v>32</v>
      </c>
      <c r="V34" s="2">
        <f t="shared" si="3"/>
        <v>0</v>
      </c>
      <c r="W34" s="2">
        <f t="shared" si="3"/>
        <v>2.5137780034887101</v>
      </c>
      <c r="X34" s="2">
        <f t="shared" si="3"/>
        <v>1.7843334935477706</v>
      </c>
      <c r="Y34" s="2">
        <f t="shared" si="3"/>
        <v>0</v>
      </c>
    </row>
    <row r="35" spans="1:25">
      <c r="A35" s="1" t="s">
        <v>33</v>
      </c>
      <c r="B35" s="2">
        <f t="shared" si="2"/>
        <v>9.1857258508723158E-3</v>
      </c>
      <c r="C35" s="2">
        <f t="shared" si="2"/>
        <v>1.9767708560788475</v>
      </c>
      <c r="D35" s="2">
        <f t="shared" si="2"/>
        <v>4.6868742198213718E-3</v>
      </c>
      <c r="E35" s="2">
        <f t="shared" si="2"/>
        <v>0</v>
      </c>
      <c r="G35" s="2" t="s">
        <v>33</v>
      </c>
      <c r="H35" s="2" t="s">
        <v>76</v>
      </c>
      <c r="I35" s="2" t="s">
        <v>57</v>
      </c>
      <c r="J35" s="2">
        <v>3.2309320964307227</v>
      </c>
      <c r="K35" s="2">
        <v>695.29752029203735</v>
      </c>
      <c r="L35" s="2">
        <v>1.6485330168346501</v>
      </c>
      <c r="M35" s="2"/>
      <c r="N35" s="2"/>
      <c r="P35" s="2" t="s">
        <v>97</v>
      </c>
      <c r="Q35" s="2">
        <f>Q33</f>
        <v>351.73399999999998</v>
      </c>
      <c r="R35" s="2"/>
      <c r="S35" s="2">
        <f t="shared" si="4"/>
        <v>351.73399999999998</v>
      </c>
      <c r="U35" s="1" t="s">
        <v>33</v>
      </c>
      <c r="V35" s="2">
        <f t="shared" si="3"/>
        <v>9.1857258508723158E-3</v>
      </c>
      <c r="W35" s="2">
        <f t="shared" si="3"/>
        <v>1.9767708560788475</v>
      </c>
      <c r="X35" s="2">
        <f t="shared" si="3"/>
        <v>4.6868742198213718E-3</v>
      </c>
      <c r="Y35" s="2">
        <f t="shared" si="3"/>
        <v>0</v>
      </c>
    </row>
    <row r="36" spans="1:25">
      <c r="A36" s="1" t="s">
        <v>34</v>
      </c>
      <c r="B36" s="2">
        <f t="shared" si="2"/>
        <v>0</v>
      </c>
      <c r="C36" s="2">
        <f t="shared" si="2"/>
        <v>251.58162118333777</v>
      </c>
      <c r="D36" s="2">
        <f t="shared" si="2"/>
        <v>20.723578697855835</v>
      </c>
      <c r="E36" s="2">
        <f t="shared" si="2"/>
        <v>0</v>
      </c>
      <c r="G36" s="2" t="s">
        <v>34</v>
      </c>
      <c r="H36" s="2" t="s">
        <v>76</v>
      </c>
      <c r="I36" s="2" t="s">
        <v>79</v>
      </c>
      <c r="J36" s="2"/>
      <c r="K36" s="2">
        <v>88489.80994530012</v>
      </c>
      <c r="L36" s="2">
        <v>7289.1872297116242</v>
      </c>
      <c r="M36" s="2"/>
      <c r="N36" s="2"/>
      <c r="P36" s="2" t="s">
        <v>97</v>
      </c>
      <c r="Q36" s="2">
        <f>Q33</f>
        <v>351.73399999999998</v>
      </c>
      <c r="R36" s="2"/>
      <c r="S36" s="2">
        <f t="shared" si="4"/>
        <v>351.73399999999998</v>
      </c>
      <c r="U36" s="1" t="s">
        <v>34</v>
      </c>
      <c r="V36" s="2">
        <f t="shared" si="3"/>
        <v>0</v>
      </c>
      <c r="W36" s="2">
        <f t="shared" si="3"/>
        <v>251.58162118333777</v>
      </c>
      <c r="X36" s="2">
        <f t="shared" si="3"/>
        <v>20.723578697855835</v>
      </c>
      <c r="Y36" s="2">
        <f t="shared" si="3"/>
        <v>0</v>
      </c>
    </row>
    <row r="37" spans="1:25">
      <c r="A37" s="1" t="s">
        <v>35</v>
      </c>
      <c r="B37" s="2">
        <f t="shared" si="2"/>
        <v>0</v>
      </c>
      <c r="C37" s="2">
        <f t="shared" si="2"/>
        <v>0</v>
      </c>
      <c r="D37" s="2">
        <f t="shared" si="2"/>
        <v>37.279436871482609</v>
      </c>
      <c r="E37" s="2">
        <f t="shared" si="2"/>
        <v>0</v>
      </c>
      <c r="G37" s="2" t="s">
        <v>35</v>
      </c>
      <c r="H37" s="2" t="s">
        <v>55</v>
      </c>
      <c r="I37" s="2" t="s">
        <v>80</v>
      </c>
      <c r="J37" s="2"/>
      <c r="K37" s="2"/>
      <c r="L37" s="2">
        <v>13112.445448554063</v>
      </c>
      <c r="M37" s="2"/>
      <c r="N37" s="2"/>
      <c r="P37" s="2" t="s">
        <v>97</v>
      </c>
      <c r="Q37" s="2">
        <f>Q33</f>
        <v>351.73399999999998</v>
      </c>
      <c r="R37" s="2"/>
      <c r="S37" s="2">
        <f t="shared" si="4"/>
        <v>351.73399999999998</v>
      </c>
      <c r="U37" s="1" t="s">
        <v>35</v>
      </c>
      <c r="V37" s="2">
        <f t="shared" si="3"/>
        <v>0</v>
      </c>
      <c r="W37" s="2">
        <f t="shared" si="3"/>
        <v>0</v>
      </c>
      <c r="X37" s="2">
        <f t="shared" si="3"/>
        <v>37.279436871482609</v>
      </c>
      <c r="Y37" s="2">
        <f t="shared" si="3"/>
        <v>0</v>
      </c>
    </row>
    <row r="38" spans="1:25">
      <c r="A38" s="1" t="s">
        <v>36</v>
      </c>
      <c r="B38" s="2">
        <f t="shared" si="2"/>
        <v>0</v>
      </c>
      <c r="C38" s="2">
        <f t="shared" si="2"/>
        <v>0</v>
      </c>
      <c r="D38" s="2">
        <f t="shared" si="2"/>
        <v>0</v>
      </c>
      <c r="E38" s="2">
        <f t="shared" si="2"/>
        <v>0</v>
      </c>
      <c r="G38" s="2" t="s">
        <v>36</v>
      </c>
      <c r="H38" s="2" t="s">
        <v>55</v>
      </c>
      <c r="I38" s="2" t="s">
        <v>81</v>
      </c>
      <c r="J38" s="2"/>
      <c r="K38" s="2">
        <v>0</v>
      </c>
      <c r="L38" s="2">
        <v>0</v>
      </c>
      <c r="M38" s="2"/>
      <c r="N38" s="2"/>
      <c r="P38" s="2" t="s">
        <v>97</v>
      </c>
      <c r="Q38" s="2">
        <f>Q33</f>
        <v>351.73399999999998</v>
      </c>
      <c r="R38" s="2"/>
      <c r="S38" s="2">
        <f t="shared" si="4"/>
        <v>351.73399999999998</v>
      </c>
      <c r="U38" s="1" t="s">
        <v>36</v>
      </c>
      <c r="V38" s="2">
        <f t="shared" si="3"/>
        <v>0</v>
      </c>
      <c r="W38" s="2">
        <f t="shared" si="3"/>
        <v>0</v>
      </c>
      <c r="X38" s="2">
        <f t="shared" si="3"/>
        <v>0</v>
      </c>
      <c r="Y38" s="2">
        <f t="shared" si="3"/>
        <v>0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38"/>
  <sheetViews>
    <sheetView zoomScale="70" zoomScaleNormal="70" workbookViewId="0">
      <selection activeCell="Q33" sqref="Q33"/>
    </sheetView>
  </sheetViews>
  <sheetFormatPr defaultRowHeight="14.4"/>
  <cols>
    <col min="1" max="1" width="13.33203125" bestFit="1" customWidth="1"/>
    <col min="7" max="7" width="32.33203125" bestFit="1" customWidth="1"/>
    <col min="8" max="8" width="15" bestFit="1" customWidth="1"/>
    <col min="9" max="9" width="33.44140625" bestFit="1" customWidth="1"/>
    <col min="10" max="13" width="12.33203125" bestFit="1" customWidth="1"/>
    <col min="16" max="16" width="73.109375" bestFit="1" customWidth="1"/>
  </cols>
  <sheetData>
    <row r="1" spans="1:25">
      <c r="A1" s="2"/>
      <c r="B1" s="3" t="s">
        <v>37</v>
      </c>
      <c r="C1" s="3" t="s">
        <v>38</v>
      </c>
      <c r="D1" s="3" t="s">
        <v>39</v>
      </c>
      <c r="E1" s="3" t="s">
        <v>40</v>
      </c>
      <c r="G1" s="7" t="s">
        <v>84</v>
      </c>
      <c r="H1" s="7" t="s">
        <v>85</v>
      </c>
      <c r="I1" s="7" t="s">
        <v>86</v>
      </c>
      <c r="J1" s="7" t="s">
        <v>37</v>
      </c>
      <c r="K1" s="7" t="s">
        <v>38</v>
      </c>
      <c r="L1" s="7" t="s">
        <v>39</v>
      </c>
      <c r="M1" s="7" t="s">
        <v>83</v>
      </c>
      <c r="N1" s="7" t="s">
        <v>82</v>
      </c>
      <c r="P1" s="8" t="s">
        <v>98</v>
      </c>
      <c r="Q1" s="10" t="s">
        <v>100</v>
      </c>
      <c r="R1" s="10" t="s">
        <v>101</v>
      </c>
      <c r="S1" s="10" t="s">
        <v>102</v>
      </c>
      <c r="U1" s="2"/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1" t="s">
        <v>0</v>
      </c>
      <c r="B2" s="6"/>
      <c r="C2" s="6"/>
      <c r="D2" s="6"/>
      <c r="E2" s="6"/>
      <c r="G2" s="2" t="s">
        <v>0</v>
      </c>
      <c r="H2" s="2" t="s">
        <v>41</v>
      </c>
      <c r="I2" s="2" t="s">
        <v>42</v>
      </c>
      <c r="J2" s="2">
        <v>323584.92918274261</v>
      </c>
      <c r="K2" s="2">
        <v>254.65474500027284</v>
      </c>
      <c r="L2" s="2">
        <v>1274.8558053984852</v>
      </c>
      <c r="M2" s="2"/>
      <c r="N2" s="2">
        <v>14947.45475848398</v>
      </c>
      <c r="P2" s="2"/>
      <c r="Q2" s="2"/>
      <c r="R2" s="2"/>
      <c r="S2" s="2"/>
      <c r="U2" s="1" t="s">
        <v>0</v>
      </c>
      <c r="V2" s="6"/>
      <c r="W2" s="6"/>
      <c r="X2" s="6"/>
      <c r="Y2" s="6"/>
    </row>
    <row r="3" spans="1:25">
      <c r="A3" s="1" t="s">
        <v>1</v>
      </c>
      <c r="B3" s="6"/>
      <c r="C3" s="6"/>
      <c r="D3" s="6"/>
      <c r="E3" s="6"/>
      <c r="G3" s="2" t="s">
        <v>1</v>
      </c>
      <c r="H3" s="2" t="s">
        <v>41</v>
      </c>
      <c r="I3" s="2" t="s">
        <v>43</v>
      </c>
      <c r="J3" s="2">
        <v>73319.829870665708</v>
      </c>
      <c r="K3" s="2">
        <v>39.856567832673768</v>
      </c>
      <c r="L3" s="2">
        <v>243.09766513149196</v>
      </c>
      <c r="M3" s="2"/>
      <c r="N3" s="2"/>
      <c r="P3" s="2"/>
      <c r="Q3" s="2"/>
      <c r="R3" s="2"/>
      <c r="S3" s="2"/>
      <c r="U3" s="1" t="s">
        <v>1</v>
      </c>
      <c r="V3" s="6"/>
      <c r="W3" s="6"/>
      <c r="X3" s="6"/>
      <c r="Y3" s="6"/>
    </row>
    <row r="4" spans="1:25">
      <c r="A4" s="1" t="s">
        <v>2</v>
      </c>
      <c r="B4" s="6"/>
      <c r="C4" s="6"/>
      <c r="D4" s="6"/>
      <c r="E4" s="6"/>
      <c r="G4" s="2" t="s">
        <v>2</v>
      </c>
      <c r="H4" s="2" t="s">
        <v>44</v>
      </c>
      <c r="I4" s="2" t="s">
        <v>45</v>
      </c>
      <c r="J4" s="2">
        <v>93319.692686546419</v>
      </c>
      <c r="K4" s="2">
        <v>849.72710583238393</v>
      </c>
      <c r="L4" s="2">
        <v>994.48710364088606</v>
      </c>
      <c r="M4" s="2"/>
      <c r="N4" s="2">
        <v>123221.44117576325</v>
      </c>
      <c r="P4" s="2"/>
      <c r="Q4" s="2"/>
      <c r="R4" s="2"/>
      <c r="S4" s="2"/>
      <c r="U4" s="1" t="s">
        <v>2</v>
      </c>
      <c r="V4" s="6"/>
      <c r="W4" s="6"/>
      <c r="X4" s="6"/>
      <c r="Y4" s="6"/>
    </row>
    <row r="5" spans="1:25">
      <c r="A5" s="1" t="s">
        <v>3</v>
      </c>
      <c r="B5" s="6"/>
      <c r="C5" s="6"/>
      <c r="D5" s="6"/>
      <c r="E5" s="6"/>
      <c r="G5" s="2" t="s">
        <v>3</v>
      </c>
      <c r="H5" s="2" t="s">
        <v>46</v>
      </c>
      <c r="I5" s="2" t="s">
        <v>47</v>
      </c>
      <c r="J5" s="2">
        <v>5409.0226826758435</v>
      </c>
      <c r="K5" s="2">
        <v>1.0593059993242044</v>
      </c>
      <c r="L5" s="2">
        <v>40.102298545844391</v>
      </c>
      <c r="M5" s="2"/>
      <c r="N5" s="2"/>
      <c r="P5" s="2"/>
      <c r="Q5" s="2"/>
      <c r="R5" s="2"/>
      <c r="S5" s="2"/>
      <c r="U5" s="1" t="s">
        <v>3</v>
      </c>
      <c r="V5" s="6"/>
      <c r="W5" s="6"/>
      <c r="X5" s="6"/>
      <c r="Y5" s="6"/>
    </row>
    <row r="6" spans="1:25">
      <c r="A6" s="1" t="s">
        <v>4</v>
      </c>
      <c r="B6" s="6"/>
      <c r="C6" s="6"/>
      <c r="D6" s="6"/>
      <c r="E6" s="6"/>
      <c r="G6" s="2" t="s">
        <v>4</v>
      </c>
      <c r="H6" s="2" t="s">
        <v>46</v>
      </c>
      <c r="I6" s="2" t="s">
        <v>48</v>
      </c>
      <c r="J6" s="2">
        <v>202268.19641596553</v>
      </c>
      <c r="K6" s="2">
        <v>1370.6473639588819</v>
      </c>
      <c r="L6" s="2">
        <v>2357.4705211932401</v>
      </c>
      <c r="M6" s="2"/>
      <c r="N6" s="2">
        <v>136.08771397704899</v>
      </c>
      <c r="P6" s="2"/>
      <c r="Q6" s="2"/>
      <c r="R6" s="2"/>
      <c r="S6" s="2"/>
      <c r="U6" s="1" t="s">
        <v>4</v>
      </c>
      <c r="V6" s="6"/>
      <c r="W6" s="6"/>
      <c r="X6" s="6"/>
      <c r="Y6" s="6"/>
    </row>
    <row r="7" spans="1:25">
      <c r="A7" s="1" t="s">
        <v>5</v>
      </c>
      <c r="B7" s="6"/>
      <c r="C7" s="6"/>
      <c r="D7" s="6"/>
      <c r="E7" s="6"/>
      <c r="G7" s="2" t="s">
        <v>5</v>
      </c>
      <c r="H7" s="2" t="s">
        <v>46</v>
      </c>
      <c r="I7" s="2" t="s">
        <v>49</v>
      </c>
      <c r="J7" s="2">
        <v>1876.1089730952501</v>
      </c>
      <c r="K7" s="2">
        <v>2.9227573593879783</v>
      </c>
      <c r="L7" s="2">
        <v>180.15710676789612</v>
      </c>
      <c r="M7" s="2"/>
      <c r="N7" s="2"/>
      <c r="P7" s="2"/>
      <c r="Q7" s="2"/>
      <c r="R7" s="2"/>
      <c r="S7" s="2"/>
      <c r="U7" s="1" t="s">
        <v>5</v>
      </c>
      <c r="V7" s="6"/>
      <c r="W7" s="6"/>
      <c r="X7" s="6"/>
      <c r="Y7" s="6"/>
    </row>
    <row r="8" spans="1:25">
      <c r="A8" s="1" t="s">
        <v>6</v>
      </c>
      <c r="B8" s="6"/>
      <c r="C8" s="6"/>
      <c r="D8" s="6"/>
      <c r="E8" s="6"/>
      <c r="G8" s="2" t="s">
        <v>6</v>
      </c>
      <c r="H8" s="2" t="s">
        <v>46</v>
      </c>
      <c r="I8" s="2" t="s">
        <v>50</v>
      </c>
      <c r="J8" s="2">
        <v>2744.5990890511398</v>
      </c>
      <c r="K8" s="2">
        <v>7.3142987234387959</v>
      </c>
      <c r="L8" s="2">
        <v>19.778460833788539</v>
      </c>
      <c r="M8" s="2"/>
      <c r="N8" s="2"/>
      <c r="P8" s="2"/>
      <c r="Q8" s="2"/>
      <c r="R8" s="2"/>
      <c r="S8" s="2"/>
      <c r="U8" s="1" t="s">
        <v>6</v>
      </c>
      <c r="V8" s="6"/>
      <c r="W8" s="6"/>
      <c r="X8" s="6"/>
      <c r="Y8" s="6"/>
    </row>
    <row r="9" spans="1:25">
      <c r="A9" s="1" t="s">
        <v>7</v>
      </c>
      <c r="B9" s="6"/>
      <c r="C9" s="6"/>
      <c r="D9" s="6"/>
      <c r="E9" s="6"/>
      <c r="G9" s="2" t="s">
        <v>7</v>
      </c>
      <c r="H9" s="2" t="s">
        <v>46</v>
      </c>
      <c r="I9" s="2" t="s">
        <v>51</v>
      </c>
      <c r="J9" s="2">
        <v>237.39599377196242</v>
      </c>
      <c r="K9" s="2">
        <v>0.25299381944888921</v>
      </c>
      <c r="L9" s="2">
        <v>0.75525389914830188</v>
      </c>
      <c r="M9" s="2"/>
      <c r="N9" s="2"/>
      <c r="P9" s="2"/>
      <c r="Q9" s="2"/>
      <c r="R9" s="2"/>
      <c r="S9" s="2"/>
      <c r="U9" s="1" t="s">
        <v>7</v>
      </c>
      <c r="V9" s="6"/>
      <c r="W9" s="6"/>
      <c r="X9" s="6"/>
      <c r="Y9" s="6"/>
    </row>
    <row r="10" spans="1:25">
      <c r="A10" s="1" t="s">
        <v>8</v>
      </c>
      <c r="B10" s="6"/>
      <c r="C10" s="6"/>
      <c r="D10" s="6"/>
      <c r="E10" s="6"/>
      <c r="G10" s="2" t="s">
        <v>8</v>
      </c>
      <c r="H10" s="2" t="s">
        <v>52</v>
      </c>
      <c r="I10" s="2" t="s">
        <v>53</v>
      </c>
      <c r="J10" s="2">
        <v>41962.827446560565</v>
      </c>
      <c r="K10" s="2">
        <v>101554.89354536879</v>
      </c>
      <c r="L10" s="2">
        <v>14017.926676299989</v>
      </c>
      <c r="M10" s="2"/>
      <c r="N10" s="2">
        <v>1241473.4104671187</v>
      </c>
      <c r="P10" s="2"/>
      <c r="Q10" s="2"/>
      <c r="R10" s="2"/>
      <c r="S10" s="2"/>
      <c r="U10" s="1" t="s">
        <v>8</v>
      </c>
      <c r="V10" s="6"/>
      <c r="W10" s="6"/>
      <c r="X10" s="6"/>
      <c r="Y10" s="6"/>
    </row>
    <row r="11" spans="1:25">
      <c r="A11" s="1" t="s">
        <v>9</v>
      </c>
      <c r="B11" s="6"/>
      <c r="C11" s="6"/>
      <c r="D11" s="6"/>
      <c r="E11" s="6"/>
      <c r="G11" s="2" t="s">
        <v>9</v>
      </c>
      <c r="H11" s="2" t="s">
        <v>54</v>
      </c>
      <c r="I11" s="2" t="s">
        <v>55</v>
      </c>
      <c r="J11" s="2">
        <v>5653.0323515357513</v>
      </c>
      <c r="K11" s="2">
        <v>210.03747224140179</v>
      </c>
      <c r="L11" s="2">
        <v>33.321993678159565</v>
      </c>
      <c r="M11" s="2"/>
      <c r="N11" s="2">
        <v>1980.0837218073848</v>
      </c>
      <c r="P11" s="2"/>
      <c r="Q11" s="2"/>
      <c r="R11" s="2"/>
      <c r="S11" s="2"/>
      <c r="U11" s="1" t="s">
        <v>9</v>
      </c>
      <c r="V11" s="6"/>
      <c r="W11" s="6"/>
      <c r="X11" s="6"/>
      <c r="Y11" s="6"/>
    </row>
    <row r="12" spans="1:25">
      <c r="A12" s="1" t="s">
        <v>10</v>
      </c>
      <c r="B12" s="2">
        <f>V12</f>
        <v>10659.801058484019</v>
      </c>
      <c r="C12" s="2">
        <f t="shared" ref="C12:E27" si="0">W12</f>
        <v>72608.61220895288</v>
      </c>
      <c r="D12" s="2">
        <f t="shared" si="0"/>
        <v>602.67186887130151</v>
      </c>
      <c r="E12" s="2">
        <f t="shared" si="0"/>
        <v>0</v>
      </c>
      <c r="G12" s="2" t="s">
        <v>10</v>
      </c>
      <c r="H12" s="2" t="s">
        <v>56</v>
      </c>
      <c r="I12" s="2" t="s">
        <v>57</v>
      </c>
      <c r="J12" s="2">
        <v>19296.798268110113</v>
      </c>
      <c r="K12" s="2">
        <v>131439.01416513487</v>
      </c>
      <c r="L12" s="2">
        <v>1090.9807239055849</v>
      </c>
      <c r="M12" s="2"/>
      <c r="N12" s="2"/>
      <c r="P12" s="2" t="s">
        <v>88</v>
      </c>
      <c r="Q12" s="2">
        <v>1.8102400000000001</v>
      </c>
      <c r="R12" s="2"/>
      <c r="S12" s="2">
        <f>SUM(Q12:R12)</f>
        <v>1.8102400000000001</v>
      </c>
      <c r="U12" s="1" t="s">
        <v>10</v>
      </c>
      <c r="V12" s="2">
        <f>J12/$S12</f>
        <v>10659.801058484019</v>
      </c>
      <c r="W12" s="2">
        <f t="shared" ref="W12:Y27" si="1">K12/$S12</f>
        <v>72608.61220895288</v>
      </c>
      <c r="X12" s="2">
        <f t="shared" si="1"/>
        <v>602.67186887130151</v>
      </c>
      <c r="Y12" s="2">
        <f t="shared" si="1"/>
        <v>0</v>
      </c>
    </row>
    <row r="13" spans="1:25">
      <c r="A13" s="1" t="s">
        <v>11</v>
      </c>
      <c r="B13" s="2">
        <f t="shared" ref="B13:E38" si="2">V13</f>
        <v>12986.388663063561</v>
      </c>
      <c r="C13" s="2">
        <f t="shared" si="0"/>
        <v>82998.253421405083</v>
      </c>
      <c r="D13" s="2">
        <f t="shared" si="0"/>
        <v>48.381367258627478</v>
      </c>
      <c r="E13" s="2">
        <f t="shared" si="0"/>
        <v>0</v>
      </c>
      <c r="G13" s="2" t="s">
        <v>11</v>
      </c>
      <c r="H13" s="2" t="s">
        <v>56</v>
      </c>
      <c r="I13" s="2" t="s">
        <v>58</v>
      </c>
      <c r="J13" s="2">
        <v>30412.797637251228</v>
      </c>
      <c r="K13" s="2">
        <v>194373.44369108172</v>
      </c>
      <c r="L13" s="2">
        <v>113.30422722024517</v>
      </c>
      <c r="M13" s="2"/>
      <c r="N13" s="2">
        <v>136.08771397704899</v>
      </c>
      <c r="P13" s="2" t="s">
        <v>99</v>
      </c>
      <c r="Q13">
        <v>1.6218300000000001</v>
      </c>
      <c r="R13">
        <v>0.72006800000000004</v>
      </c>
      <c r="S13" s="2">
        <f>SUM(Q13:R13)</f>
        <v>2.341898</v>
      </c>
      <c r="U13" s="1" t="s">
        <v>11</v>
      </c>
      <c r="V13" s="2">
        <f t="shared" ref="V13:Y38" si="3">J13/$S13</f>
        <v>12986.388663063561</v>
      </c>
      <c r="W13" s="2">
        <f t="shared" si="1"/>
        <v>82998.253421405083</v>
      </c>
      <c r="X13" s="2">
        <f t="shared" si="1"/>
        <v>48.381367258627478</v>
      </c>
      <c r="Y13" s="2">
        <f t="shared" si="1"/>
        <v>0</v>
      </c>
    </row>
    <row r="14" spans="1:25">
      <c r="A14" s="1" t="s">
        <v>12</v>
      </c>
      <c r="B14" s="2">
        <f t="shared" si="2"/>
        <v>18254.593081105359</v>
      </c>
      <c r="C14" s="2">
        <f t="shared" si="0"/>
        <v>0</v>
      </c>
      <c r="D14" s="2">
        <f t="shared" si="0"/>
        <v>0</v>
      </c>
      <c r="E14" s="2">
        <f t="shared" si="0"/>
        <v>0</v>
      </c>
      <c r="G14" s="2" t="s">
        <v>12</v>
      </c>
      <c r="H14" s="2" t="s">
        <v>44</v>
      </c>
      <c r="I14" s="2" t="s">
        <v>59</v>
      </c>
      <c r="J14" s="2">
        <v>41589.074324820715</v>
      </c>
      <c r="K14" s="2"/>
      <c r="L14" s="2"/>
      <c r="M14" s="2"/>
      <c r="N14" s="2"/>
      <c r="P14" s="2" t="s">
        <v>89</v>
      </c>
      <c r="Q14" s="2">
        <v>2.2782800000000001</v>
      </c>
      <c r="R14" s="2"/>
      <c r="S14" s="2">
        <f t="shared" ref="S14:S38" si="4">SUM(Q14:R14)</f>
        <v>2.2782800000000001</v>
      </c>
      <c r="U14" s="1" t="s">
        <v>12</v>
      </c>
      <c r="V14" s="2">
        <f t="shared" si="3"/>
        <v>18254.593081105359</v>
      </c>
      <c r="W14" s="2">
        <f t="shared" si="1"/>
        <v>0</v>
      </c>
      <c r="X14" s="2">
        <f t="shared" si="1"/>
        <v>0</v>
      </c>
      <c r="Y14" s="2">
        <f t="shared" si="1"/>
        <v>0</v>
      </c>
    </row>
    <row r="15" spans="1:25">
      <c r="A15" s="1" t="s">
        <v>13</v>
      </c>
      <c r="B15" s="2">
        <f t="shared" si="2"/>
        <v>809.49224853837097</v>
      </c>
      <c r="C15" s="2">
        <f t="shared" si="0"/>
        <v>0</v>
      </c>
      <c r="D15" s="2">
        <f t="shared" si="0"/>
        <v>0</v>
      </c>
      <c r="E15" s="2">
        <f t="shared" si="0"/>
        <v>0</v>
      </c>
      <c r="G15" s="2" t="s">
        <v>13</v>
      </c>
      <c r="H15" s="2" t="s">
        <v>44</v>
      </c>
      <c r="I15" s="2" t="s">
        <v>59</v>
      </c>
      <c r="J15" s="2">
        <v>1844.25</v>
      </c>
      <c r="K15" s="2"/>
      <c r="L15" s="2"/>
      <c r="M15" s="2"/>
      <c r="N15" s="2"/>
      <c r="P15" s="2" t="s">
        <v>89</v>
      </c>
      <c r="Q15" s="2">
        <f>Q14</f>
        <v>2.2782800000000001</v>
      </c>
      <c r="R15" s="2"/>
      <c r="S15" s="2">
        <f t="shared" si="4"/>
        <v>2.2782800000000001</v>
      </c>
      <c r="U15" s="1" t="s">
        <v>13</v>
      </c>
      <c r="V15" s="2">
        <f t="shared" si="3"/>
        <v>809.49224853837097</v>
      </c>
      <c r="W15" s="2">
        <f t="shared" si="1"/>
        <v>0</v>
      </c>
      <c r="X15" s="2">
        <f t="shared" si="1"/>
        <v>0</v>
      </c>
      <c r="Y15" s="2">
        <f t="shared" si="1"/>
        <v>0</v>
      </c>
    </row>
    <row r="16" spans="1:25">
      <c r="A16" s="1" t="s">
        <v>14</v>
      </c>
      <c r="B16" s="2">
        <f t="shared" si="2"/>
        <v>22.049617876650029</v>
      </c>
      <c r="C16" s="2">
        <f t="shared" si="0"/>
        <v>0</v>
      </c>
      <c r="D16" s="2">
        <f t="shared" si="0"/>
        <v>0</v>
      </c>
      <c r="E16" s="2">
        <f t="shared" si="0"/>
        <v>0</v>
      </c>
      <c r="G16" s="2" t="s">
        <v>14</v>
      </c>
      <c r="H16" s="2" t="s">
        <v>44</v>
      </c>
      <c r="I16" s="2" t="s">
        <v>59</v>
      </c>
      <c r="J16" s="2">
        <v>50.23520341601423</v>
      </c>
      <c r="K16" s="2"/>
      <c r="L16" s="2"/>
      <c r="M16" s="2"/>
      <c r="N16" s="2"/>
      <c r="P16" s="2" t="s">
        <v>89</v>
      </c>
      <c r="Q16" s="2">
        <f>Q15</f>
        <v>2.2782800000000001</v>
      </c>
      <c r="R16" s="2"/>
      <c r="S16" s="2">
        <f t="shared" si="4"/>
        <v>2.2782800000000001</v>
      </c>
      <c r="U16" s="1" t="s">
        <v>14</v>
      </c>
      <c r="V16" s="2">
        <f t="shared" si="3"/>
        <v>22.049617876650029</v>
      </c>
      <c r="W16" s="2">
        <f t="shared" si="1"/>
        <v>0</v>
      </c>
      <c r="X16" s="2">
        <f t="shared" si="1"/>
        <v>0</v>
      </c>
      <c r="Y16" s="2">
        <f t="shared" si="1"/>
        <v>0</v>
      </c>
    </row>
    <row r="17" spans="1:25">
      <c r="A17" s="1" t="s">
        <v>15</v>
      </c>
      <c r="B17" s="2">
        <f t="shared" si="2"/>
        <v>86.974595530222601</v>
      </c>
      <c r="C17" s="2">
        <f t="shared" si="0"/>
        <v>0</v>
      </c>
      <c r="D17" s="2">
        <f t="shared" si="0"/>
        <v>0</v>
      </c>
      <c r="E17" s="2">
        <f t="shared" si="0"/>
        <v>0</v>
      </c>
      <c r="G17" s="2" t="s">
        <v>15</v>
      </c>
      <c r="H17" s="2" t="s">
        <v>44</v>
      </c>
      <c r="I17" s="2" t="s">
        <v>60</v>
      </c>
      <c r="J17" s="2">
        <v>544.95237448393925</v>
      </c>
      <c r="K17" s="2"/>
      <c r="L17" s="2"/>
      <c r="M17" s="2"/>
      <c r="N17" s="2"/>
      <c r="P17" s="2" t="s">
        <v>90</v>
      </c>
      <c r="Q17" s="2">
        <v>6.2656499999999999</v>
      </c>
      <c r="R17" s="2"/>
      <c r="S17" s="2">
        <f t="shared" si="4"/>
        <v>6.2656499999999999</v>
      </c>
      <c r="U17" s="1" t="s">
        <v>15</v>
      </c>
      <c r="V17" s="2">
        <f t="shared" si="3"/>
        <v>86.974595530222601</v>
      </c>
      <c r="W17" s="2">
        <f t="shared" si="1"/>
        <v>0</v>
      </c>
      <c r="X17" s="2">
        <f t="shared" si="1"/>
        <v>0</v>
      </c>
      <c r="Y17" s="2">
        <f t="shared" si="1"/>
        <v>0</v>
      </c>
    </row>
    <row r="18" spans="1:25">
      <c r="A18" s="1" t="s">
        <v>16</v>
      </c>
      <c r="B18" s="2">
        <f t="shared" si="2"/>
        <v>926.14975793413294</v>
      </c>
      <c r="C18" s="2">
        <f t="shared" si="0"/>
        <v>15.868163718050004</v>
      </c>
      <c r="D18" s="2">
        <f t="shared" si="0"/>
        <v>47.181178329463023</v>
      </c>
      <c r="E18" s="2">
        <f t="shared" si="0"/>
        <v>0</v>
      </c>
      <c r="G18" s="2" t="s">
        <v>16</v>
      </c>
      <c r="H18" s="2" t="s">
        <v>44</v>
      </c>
      <c r="I18" s="2" t="s">
        <v>61</v>
      </c>
      <c r="J18" s="2">
        <v>5802.9302307999997</v>
      </c>
      <c r="K18" s="2">
        <v>99.424360000000007</v>
      </c>
      <c r="L18" s="2">
        <v>295.62074999999999</v>
      </c>
      <c r="M18" s="2"/>
      <c r="N18" s="2"/>
      <c r="P18" s="2" t="s">
        <v>90</v>
      </c>
      <c r="Q18" s="2">
        <f>Q17</f>
        <v>6.2656499999999999</v>
      </c>
      <c r="R18" s="2"/>
      <c r="S18" s="2">
        <f t="shared" si="4"/>
        <v>6.2656499999999999</v>
      </c>
      <c r="U18" s="1" t="s">
        <v>16</v>
      </c>
      <c r="V18" s="2">
        <f t="shared" si="3"/>
        <v>926.14975793413294</v>
      </c>
      <c r="W18" s="2">
        <f t="shared" si="1"/>
        <v>15.868163718050004</v>
      </c>
      <c r="X18" s="2">
        <f t="shared" si="1"/>
        <v>47.181178329463023</v>
      </c>
      <c r="Y18" s="2">
        <f t="shared" si="1"/>
        <v>0</v>
      </c>
    </row>
    <row r="19" spans="1:25">
      <c r="A19" s="1" t="s">
        <v>17</v>
      </c>
      <c r="B19" s="2">
        <f t="shared" si="2"/>
        <v>4022.4839303788972</v>
      </c>
      <c r="C19" s="2">
        <f t="shared" si="0"/>
        <v>62.486458238825527</v>
      </c>
      <c r="D19" s="2">
        <f t="shared" si="0"/>
        <v>0</v>
      </c>
      <c r="E19" s="2">
        <f t="shared" si="0"/>
        <v>166.31808466860988</v>
      </c>
      <c r="G19" s="2" t="s">
        <v>17</v>
      </c>
      <c r="H19" s="2" t="s">
        <v>44</v>
      </c>
      <c r="I19" s="2" t="s">
        <v>62</v>
      </c>
      <c r="J19" s="2">
        <v>9325.3647206367004</v>
      </c>
      <c r="K19" s="2">
        <v>144.8629809996516</v>
      </c>
      <c r="L19" s="2"/>
      <c r="M19" s="2">
        <v>385.57687886808498</v>
      </c>
      <c r="N19" s="2"/>
      <c r="P19" s="2" t="s">
        <v>92</v>
      </c>
      <c r="Q19" s="2">
        <v>2.3183099999999999</v>
      </c>
      <c r="R19" s="2"/>
      <c r="S19" s="2">
        <f t="shared" si="4"/>
        <v>2.3183099999999999</v>
      </c>
      <c r="U19" s="1" t="s">
        <v>17</v>
      </c>
      <c r="V19" s="2">
        <f t="shared" si="3"/>
        <v>4022.4839303788972</v>
      </c>
      <c r="W19" s="2">
        <f t="shared" si="1"/>
        <v>62.486458238825527</v>
      </c>
      <c r="X19" s="2">
        <f t="shared" si="1"/>
        <v>0</v>
      </c>
      <c r="Y19" s="2">
        <f t="shared" si="1"/>
        <v>166.31808466860988</v>
      </c>
    </row>
    <row r="20" spans="1:25">
      <c r="A20" s="1" t="s">
        <v>18</v>
      </c>
      <c r="B20" s="2">
        <f t="shared" si="2"/>
        <v>614.6269576961289</v>
      </c>
      <c r="C20" s="2">
        <f t="shared" si="0"/>
        <v>0</v>
      </c>
      <c r="D20" s="2">
        <f t="shared" si="0"/>
        <v>0</v>
      </c>
      <c r="E20" s="2">
        <f t="shared" si="0"/>
        <v>0</v>
      </c>
      <c r="G20" s="2" t="s">
        <v>18</v>
      </c>
      <c r="H20" s="2" t="s">
        <v>56</v>
      </c>
      <c r="I20" s="2" t="s">
        <v>63</v>
      </c>
      <c r="J20" s="2">
        <v>3851.0373974887498</v>
      </c>
      <c r="K20" s="2"/>
      <c r="L20" s="2"/>
      <c r="M20" s="2"/>
      <c r="N20" s="2"/>
      <c r="P20" s="2" t="s">
        <v>90</v>
      </c>
      <c r="Q20" s="2">
        <f>Q18</f>
        <v>6.2656499999999999</v>
      </c>
      <c r="R20" s="2"/>
      <c r="S20" s="2">
        <f t="shared" si="4"/>
        <v>6.2656499999999999</v>
      </c>
      <c r="U20" s="1" t="s">
        <v>18</v>
      </c>
      <c r="V20" s="2">
        <f t="shared" si="3"/>
        <v>614.6269576961289</v>
      </c>
      <c r="W20" s="2">
        <f t="shared" si="1"/>
        <v>0</v>
      </c>
      <c r="X20" s="2">
        <f t="shared" si="1"/>
        <v>0</v>
      </c>
      <c r="Y20" s="2">
        <f t="shared" si="1"/>
        <v>0</v>
      </c>
    </row>
    <row r="21" spans="1:25">
      <c r="A21" s="1" t="s">
        <v>19</v>
      </c>
      <c r="B21" s="2">
        <f t="shared" si="2"/>
        <v>0</v>
      </c>
      <c r="C21" s="2">
        <f t="shared" si="0"/>
        <v>0</v>
      </c>
      <c r="D21" s="2">
        <f t="shared" si="0"/>
        <v>0</v>
      </c>
      <c r="E21" s="2">
        <f t="shared" si="0"/>
        <v>0</v>
      </c>
      <c r="G21" s="2" t="s">
        <v>19</v>
      </c>
      <c r="H21" s="2" t="s">
        <v>44</v>
      </c>
      <c r="I21" s="2" t="s">
        <v>64</v>
      </c>
      <c r="J21" s="2"/>
      <c r="K21" s="2"/>
      <c r="L21" s="2"/>
      <c r="M21" s="2"/>
      <c r="N21" s="2"/>
      <c r="P21" s="2" t="s">
        <v>94</v>
      </c>
      <c r="Q21" s="2">
        <v>8.43825</v>
      </c>
      <c r="R21" s="2"/>
      <c r="S21" s="2">
        <f t="shared" si="4"/>
        <v>8.43825</v>
      </c>
      <c r="U21" s="1" t="s">
        <v>19</v>
      </c>
      <c r="V21" s="2">
        <f t="shared" si="3"/>
        <v>0</v>
      </c>
      <c r="W21" s="2">
        <f t="shared" si="1"/>
        <v>0</v>
      </c>
      <c r="X21" s="2">
        <f t="shared" si="1"/>
        <v>0</v>
      </c>
      <c r="Y21" s="2">
        <f t="shared" si="1"/>
        <v>0</v>
      </c>
    </row>
    <row r="22" spans="1:25">
      <c r="A22" s="1" t="s">
        <v>20</v>
      </c>
      <c r="B22" s="2">
        <f t="shared" si="2"/>
        <v>0</v>
      </c>
      <c r="C22" s="2">
        <f t="shared" si="0"/>
        <v>0</v>
      </c>
      <c r="D22" s="2">
        <f t="shared" si="0"/>
        <v>0</v>
      </c>
      <c r="E22" s="2">
        <f t="shared" si="0"/>
        <v>4600.0236347519558</v>
      </c>
      <c r="G22" s="2" t="s">
        <v>20</v>
      </c>
      <c r="H22" s="2" t="s">
        <v>44</v>
      </c>
      <c r="I22" s="2" t="s">
        <v>65</v>
      </c>
      <c r="J22" s="2"/>
      <c r="K22" s="2"/>
      <c r="L22" s="2"/>
      <c r="M22" s="2">
        <v>38816.149435945692</v>
      </c>
      <c r="N22" s="2"/>
      <c r="P22" s="2" t="s">
        <v>94</v>
      </c>
      <c r="Q22" s="2">
        <f>Q21</f>
        <v>8.43825</v>
      </c>
      <c r="R22" s="2"/>
      <c r="S22" s="2">
        <f t="shared" si="4"/>
        <v>8.43825</v>
      </c>
      <c r="U22" s="1" t="s">
        <v>20</v>
      </c>
      <c r="V22" s="2">
        <f t="shared" si="3"/>
        <v>0</v>
      </c>
      <c r="W22" s="2">
        <f t="shared" si="1"/>
        <v>0</v>
      </c>
      <c r="X22" s="2">
        <f t="shared" si="1"/>
        <v>0</v>
      </c>
      <c r="Y22" s="2">
        <f t="shared" si="1"/>
        <v>4600.0236347519558</v>
      </c>
    </row>
    <row r="23" spans="1:25">
      <c r="A23" s="1" t="s">
        <v>21</v>
      </c>
      <c r="B23" s="2">
        <f t="shared" si="2"/>
        <v>0</v>
      </c>
      <c r="C23" s="2">
        <f t="shared" si="0"/>
        <v>0</v>
      </c>
      <c r="D23" s="2">
        <f t="shared" si="0"/>
        <v>156.02842933952203</v>
      </c>
      <c r="E23" s="2">
        <f t="shared" si="0"/>
        <v>340.75366554164663</v>
      </c>
      <c r="G23" s="2" t="s">
        <v>21</v>
      </c>
      <c r="H23" s="2" t="s">
        <v>44</v>
      </c>
      <c r="I23" s="2" t="s">
        <v>60</v>
      </c>
      <c r="J23" s="2"/>
      <c r="K23" s="2"/>
      <c r="L23" s="2">
        <v>1316.6068938742219</v>
      </c>
      <c r="M23" s="2">
        <v>2875.3646182567995</v>
      </c>
      <c r="N23" s="2"/>
      <c r="P23" s="2" t="s">
        <v>94</v>
      </c>
      <c r="Q23" s="2">
        <f>Q22</f>
        <v>8.43825</v>
      </c>
      <c r="R23" s="2"/>
      <c r="S23" s="2">
        <f t="shared" si="4"/>
        <v>8.43825</v>
      </c>
      <c r="U23" s="1" t="s">
        <v>21</v>
      </c>
      <c r="V23" s="2">
        <f t="shared" si="3"/>
        <v>0</v>
      </c>
      <c r="W23" s="2">
        <f t="shared" si="1"/>
        <v>0</v>
      </c>
      <c r="X23" s="2">
        <f t="shared" si="1"/>
        <v>156.02842933952203</v>
      </c>
      <c r="Y23" s="2">
        <f t="shared" si="1"/>
        <v>340.75366554164663</v>
      </c>
    </row>
    <row r="24" spans="1:25">
      <c r="A24" s="1" t="s">
        <v>22</v>
      </c>
      <c r="B24" s="2">
        <f t="shared" si="2"/>
        <v>0</v>
      </c>
      <c r="C24" s="2">
        <f t="shared" si="0"/>
        <v>11236.107445835036</v>
      </c>
      <c r="D24" s="2">
        <f t="shared" si="0"/>
        <v>0</v>
      </c>
      <c r="E24" s="2">
        <f t="shared" si="0"/>
        <v>0</v>
      </c>
      <c r="G24" s="2" t="s">
        <v>22</v>
      </c>
      <c r="H24" s="2" t="s">
        <v>66</v>
      </c>
      <c r="I24" s="2" t="s">
        <v>67</v>
      </c>
      <c r="J24" s="2"/>
      <c r="K24" s="2">
        <v>450689.25853839994</v>
      </c>
      <c r="L24" s="2"/>
      <c r="M24" s="2"/>
      <c r="N24" s="2"/>
      <c r="P24" s="2" t="s">
        <v>96</v>
      </c>
      <c r="Q24" s="2">
        <v>40.110799999999998</v>
      </c>
      <c r="R24" s="2"/>
      <c r="S24" s="2">
        <f t="shared" si="4"/>
        <v>40.110799999999998</v>
      </c>
      <c r="U24" s="1" t="s">
        <v>22</v>
      </c>
      <c r="V24" s="2">
        <f t="shared" si="3"/>
        <v>0</v>
      </c>
      <c r="W24" s="2">
        <f t="shared" si="1"/>
        <v>11236.107445835036</v>
      </c>
      <c r="X24" s="2">
        <f t="shared" si="1"/>
        <v>0</v>
      </c>
      <c r="Y24" s="2">
        <f t="shared" si="1"/>
        <v>0</v>
      </c>
    </row>
    <row r="25" spans="1:25">
      <c r="A25" s="1" t="s">
        <v>23</v>
      </c>
      <c r="B25" s="2">
        <f t="shared" si="2"/>
        <v>0</v>
      </c>
      <c r="C25" s="2">
        <f t="shared" si="0"/>
        <v>433.45430846946812</v>
      </c>
      <c r="D25" s="2">
        <f t="shared" si="0"/>
        <v>123.8108672183841</v>
      </c>
      <c r="E25" s="2">
        <f t="shared" si="0"/>
        <v>0</v>
      </c>
      <c r="G25" s="2" t="s">
        <v>23</v>
      </c>
      <c r="H25" s="2" t="s">
        <v>66</v>
      </c>
      <c r="I25" s="2" t="s">
        <v>68</v>
      </c>
      <c r="J25" s="2"/>
      <c r="K25" s="2">
        <v>17386.19907615714</v>
      </c>
      <c r="L25" s="2">
        <v>4966.1529328231609</v>
      </c>
      <c r="M25" s="2"/>
      <c r="N25" s="2"/>
      <c r="P25" s="2" t="s">
        <v>96</v>
      </c>
      <c r="Q25" s="2">
        <f>Q24</f>
        <v>40.110799999999998</v>
      </c>
      <c r="R25" s="2"/>
      <c r="S25" s="2">
        <f t="shared" si="4"/>
        <v>40.110799999999998</v>
      </c>
      <c r="U25" s="1" t="s">
        <v>23</v>
      </c>
      <c r="V25" s="2">
        <f t="shared" si="3"/>
        <v>0</v>
      </c>
      <c r="W25" s="2">
        <f t="shared" si="1"/>
        <v>433.45430846946812</v>
      </c>
      <c r="X25" s="2">
        <f t="shared" si="1"/>
        <v>123.8108672183841</v>
      </c>
      <c r="Y25" s="2">
        <f t="shared" si="1"/>
        <v>0</v>
      </c>
    </row>
    <row r="26" spans="1:25">
      <c r="A26" s="1" t="s">
        <v>24</v>
      </c>
      <c r="B26" s="2">
        <f t="shared" si="2"/>
        <v>0</v>
      </c>
      <c r="C26" s="2">
        <f t="shared" si="0"/>
        <v>134.34735281749485</v>
      </c>
      <c r="D26" s="2">
        <f t="shared" si="0"/>
        <v>32.964859719107423</v>
      </c>
      <c r="E26" s="2">
        <f t="shared" si="0"/>
        <v>0</v>
      </c>
      <c r="G26" s="2" t="s">
        <v>24</v>
      </c>
      <c r="H26" s="2" t="s">
        <v>66</v>
      </c>
      <c r="I26" s="2" t="s">
        <v>69</v>
      </c>
      <c r="J26" s="2"/>
      <c r="K26" s="2">
        <v>5388.7797993919721</v>
      </c>
      <c r="L26" s="2">
        <v>1322.2468952211739</v>
      </c>
      <c r="M26" s="2"/>
      <c r="N26" s="2">
        <v>107989.4364560689</v>
      </c>
      <c r="P26" s="2" t="s">
        <v>96</v>
      </c>
      <c r="Q26" s="2">
        <f>Q25</f>
        <v>40.110799999999998</v>
      </c>
      <c r="R26" s="2"/>
      <c r="S26" s="2">
        <f t="shared" si="4"/>
        <v>40.110799999999998</v>
      </c>
      <c r="U26" s="1" t="s">
        <v>24</v>
      </c>
      <c r="V26" s="2">
        <f t="shared" si="3"/>
        <v>0</v>
      </c>
      <c r="W26" s="2">
        <f t="shared" si="1"/>
        <v>134.34735281749485</v>
      </c>
      <c r="X26" s="2">
        <f t="shared" si="1"/>
        <v>32.964859719107423</v>
      </c>
      <c r="Y26" s="2">
        <f t="shared" si="1"/>
        <v>0</v>
      </c>
    </row>
    <row r="27" spans="1:25">
      <c r="A27" s="1" t="s">
        <v>25</v>
      </c>
      <c r="B27" s="2">
        <f t="shared" si="2"/>
        <v>28.500102340584288</v>
      </c>
      <c r="C27" s="2">
        <f t="shared" si="0"/>
        <v>0</v>
      </c>
      <c r="D27" s="2">
        <f t="shared" si="0"/>
        <v>0</v>
      </c>
      <c r="E27" s="2">
        <f t="shared" si="0"/>
        <v>0</v>
      </c>
      <c r="G27" s="2" t="s">
        <v>25</v>
      </c>
      <c r="H27" s="2" t="s">
        <v>66</v>
      </c>
      <c r="I27" s="2" t="s">
        <v>70</v>
      </c>
      <c r="J27" s="2">
        <v>1143.1619049627081</v>
      </c>
      <c r="K27" s="2"/>
      <c r="L27" s="2"/>
      <c r="M27" s="2"/>
      <c r="N27" s="2"/>
      <c r="P27" s="2" t="s">
        <v>96</v>
      </c>
      <c r="Q27" s="2">
        <f>Q26</f>
        <v>40.110799999999998</v>
      </c>
      <c r="R27" s="2"/>
      <c r="S27" s="2">
        <f t="shared" si="4"/>
        <v>40.110799999999998</v>
      </c>
      <c r="U27" s="1" t="s">
        <v>25</v>
      </c>
      <c r="V27" s="2">
        <f t="shared" si="3"/>
        <v>28.500102340584288</v>
      </c>
      <c r="W27" s="2">
        <f t="shared" si="1"/>
        <v>0</v>
      </c>
      <c r="X27" s="2">
        <f t="shared" si="1"/>
        <v>0</v>
      </c>
      <c r="Y27" s="2">
        <f t="shared" si="1"/>
        <v>0</v>
      </c>
    </row>
    <row r="28" spans="1:25">
      <c r="A28" s="1" t="s">
        <v>26</v>
      </c>
      <c r="B28" s="2">
        <f t="shared" si="2"/>
        <v>44.466106492159568</v>
      </c>
      <c r="C28" s="2">
        <f t="shared" si="2"/>
        <v>0</v>
      </c>
      <c r="D28" s="2">
        <f t="shared" si="2"/>
        <v>0</v>
      </c>
      <c r="E28" s="2">
        <f t="shared" si="2"/>
        <v>0</v>
      </c>
      <c r="G28" s="2" t="s">
        <v>26</v>
      </c>
      <c r="H28" s="2" t="s">
        <v>66</v>
      </c>
      <c r="I28" s="2" t="s">
        <v>71</v>
      </c>
      <c r="J28" s="2">
        <v>1783.5711042857138</v>
      </c>
      <c r="K28" s="2"/>
      <c r="L28" s="2"/>
      <c r="M28" s="2"/>
      <c r="N28" s="2"/>
      <c r="P28" s="2" t="s">
        <v>96</v>
      </c>
      <c r="Q28" s="2">
        <f>Q27</f>
        <v>40.110799999999998</v>
      </c>
      <c r="R28" s="2"/>
      <c r="S28" s="2">
        <f t="shared" si="4"/>
        <v>40.110799999999998</v>
      </c>
      <c r="U28" s="1" t="s">
        <v>26</v>
      </c>
      <c r="V28" s="2">
        <f t="shared" si="3"/>
        <v>44.466106492159568</v>
      </c>
      <c r="W28" s="2">
        <f t="shared" si="3"/>
        <v>0</v>
      </c>
      <c r="X28" s="2">
        <f t="shared" si="3"/>
        <v>0</v>
      </c>
      <c r="Y28" s="2">
        <f t="shared" si="3"/>
        <v>0</v>
      </c>
    </row>
    <row r="29" spans="1:25">
      <c r="A29" s="1" t="s">
        <v>27</v>
      </c>
      <c r="B29" s="2">
        <f t="shared" si="2"/>
        <v>0</v>
      </c>
      <c r="C29" s="2">
        <f t="shared" si="2"/>
        <v>0</v>
      </c>
      <c r="D29" s="2">
        <f t="shared" si="2"/>
        <v>4310.7335106087739</v>
      </c>
      <c r="E29" s="2">
        <f t="shared" si="2"/>
        <v>0</v>
      </c>
      <c r="G29" s="2" t="s">
        <v>27</v>
      </c>
      <c r="H29" s="2" t="s">
        <v>55</v>
      </c>
      <c r="I29" s="2" t="s">
        <v>72</v>
      </c>
      <c r="J29" s="2"/>
      <c r="K29" s="2"/>
      <c r="L29" s="2">
        <v>172906.96969732639</v>
      </c>
      <c r="M29" s="2"/>
      <c r="N29" s="2"/>
      <c r="P29" s="2" t="s">
        <v>96</v>
      </c>
      <c r="Q29" s="2">
        <f>Q28</f>
        <v>40.110799999999998</v>
      </c>
      <c r="R29" s="2"/>
      <c r="S29" s="2">
        <f t="shared" si="4"/>
        <v>40.110799999999998</v>
      </c>
      <c r="U29" s="1" t="s">
        <v>27</v>
      </c>
      <c r="V29" s="2">
        <f t="shared" si="3"/>
        <v>0</v>
      </c>
      <c r="W29" s="2">
        <f t="shared" si="3"/>
        <v>0</v>
      </c>
      <c r="X29" s="2">
        <f t="shared" si="3"/>
        <v>4310.7335106087739</v>
      </c>
      <c r="Y29" s="2">
        <f t="shared" si="3"/>
        <v>0</v>
      </c>
    </row>
    <row r="30" spans="1:25">
      <c r="A30" s="1" t="s">
        <v>28</v>
      </c>
      <c r="B30" s="2">
        <f t="shared" si="2"/>
        <v>0</v>
      </c>
      <c r="C30" s="2">
        <f t="shared" si="2"/>
        <v>0</v>
      </c>
      <c r="D30" s="2">
        <f t="shared" si="2"/>
        <v>309.99229491879277</v>
      </c>
      <c r="E30" s="2">
        <f t="shared" si="2"/>
        <v>0</v>
      </c>
      <c r="G30" s="2" t="s">
        <v>28</v>
      </c>
      <c r="H30" s="2" t="s">
        <v>66</v>
      </c>
      <c r="I30" s="2" t="s">
        <v>73</v>
      </c>
      <c r="J30" s="2"/>
      <c r="K30" s="2"/>
      <c r="L30" s="2">
        <v>12434.038943028712</v>
      </c>
      <c r="M30" s="2"/>
      <c r="N30" s="2"/>
      <c r="P30" s="2" t="s">
        <v>96</v>
      </c>
      <c r="Q30" s="2">
        <f>Q29</f>
        <v>40.110799999999998</v>
      </c>
      <c r="R30" s="2"/>
      <c r="S30" s="2">
        <f t="shared" si="4"/>
        <v>40.110799999999998</v>
      </c>
      <c r="U30" s="1" t="s">
        <v>28</v>
      </c>
      <c r="V30" s="2">
        <f t="shared" si="3"/>
        <v>0</v>
      </c>
      <c r="W30" s="2">
        <f t="shared" si="3"/>
        <v>0</v>
      </c>
      <c r="X30" s="2">
        <f t="shared" si="3"/>
        <v>309.99229491879277</v>
      </c>
      <c r="Y30" s="2">
        <f t="shared" si="3"/>
        <v>0</v>
      </c>
    </row>
    <row r="31" spans="1:25">
      <c r="A31" s="1" t="s">
        <v>29</v>
      </c>
      <c r="B31" s="2">
        <f t="shared" si="2"/>
        <v>0</v>
      </c>
      <c r="C31" s="2">
        <f t="shared" si="2"/>
        <v>0</v>
      </c>
      <c r="D31" s="2">
        <f t="shared" si="2"/>
        <v>7.5553199947346865</v>
      </c>
      <c r="E31" s="2">
        <f t="shared" si="2"/>
        <v>0</v>
      </c>
      <c r="G31" s="2" t="s">
        <v>29</v>
      </c>
      <c r="H31" s="2" t="s">
        <v>66</v>
      </c>
      <c r="I31" s="2" t="s">
        <v>74</v>
      </c>
      <c r="J31" s="2"/>
      <c r="K31" s="2"/>
      <c r="L31" s="2">
        <v>303.04992924480405</v>
      </c>
      <c r="M31" s="2"/>
      <c r="N31" s="2"/>
      <c r="P31" s="2" t="s">
        <v>96</v>
      </c>
      <c r="Q31" s="2">
        <f>Q30</f>
        <v>40.110799999999998</v>
      </c>
      <c r="R31" s="2"/>
      <c r="S31" s="2">
        <f t="shared" si="4"/>
        <v>40.110799999999998</v>
      </c>
      <c r="U31" s="1" t="s">
        <v>29</v>
      </c>
      <c r="V31" s="2">
        <f t="shared" si="3"/>
        <v>0</v>
      </c>
      <c r="W31" s="2">
        <f t="shared" si="3"/>
        <v>0</v>
      </c>
      <c r="X31" s="2">
        <f t="shared" si="3"/>
        <v>7.5553199947346865</v>
      </c>
      <c r="Y31" s="2">
        <f t="shared" si="3"/>
        <v>0</v>
      </c>
    </row>
    <row r="32" spans="1:25">
      <c r="A32" s="1" t="s">
        <v>30</v>
      </c>
      <c r="B32" s="2">
        <f t="shared" si="2"/>
        <v>0</v>
      </c>
      <c r="C32" s="2">
        <f t="shared" si="2"/>
        <v>1222.5607866272051</v>
      </c>
      <c r="D32" s="2">
        <f t="shared" si="2"/>
        <v>0</v>
      </c>
      <c r="E32" s="2">
        <f t="shared" si="2"/>
        <v>0</v>
      </c>
      <c r="G32" s="2" t="s">
        <v>30</v>
      </c>
      <c r="H32" s="2" t="s">
        <v>66</v>
      </c>
      <c r="I32" s="2" t="s">
        <v>75</v>
      </c>
      <c r="J32" s="2"/>
      <c r="K32" s="2">
        <v>49037.891200246493</v>
      </c>
      <c r="L32" s="2"/>
      <c r="M32" s="2"/>
      <c r="N32" s="2"/>
      <c r="P32" s="2" t="s">
        <v>96</v>
      </c>
      <c r="Q32" s="2">
        <f>Q31</f>
        <v>40.110799999999998</v>
      </c>
      <c r="R32" s="2"/>
      <c r="S32" s="2">
        <f t="shared" si="4"/>
        <v>40.110799999999998</v>
      </c>
      <c r="U32" s="1" t="s">
        <v>30</v>
      </c>
      <c r="V32" s="2">
        <f t="shared" si="3"/>
        <v>0</v>
      </c>
      <c r="W32" s="2">
        <f t="shared" si="3"/>
        <v>1222.5607866272051</v>
      </c>
      <c r="X32" s="2">
        <f t="shared" si="3"/>
        <v>0</v>
      </c>
      <c r="Y32" s="2">
        <f t="shared" si="3"/>
        <v>0</v>
      </c>
    </row>
    <row r="33" spans="1:25">
      <c r="A33" s="1" t="s">
        <v>31</v>
      </c>
      <c r="B33" s="2">
        <f t="shared" si="2"/>
        <v>0</v>
      </c>
      <c r="C33" s="2">
        <f t="shared" si="2"/>
        <v>314.33399127807081</v>
      </c>
      <c r="D33" s="2">
        <f t="shared" si="2"/>
        <v>0</v>
      </c>
      <c r="E33" s="2">
        <f t="shared" si="2"/>
        <v>0</v>
      </c>
      <c r="G33" s="2" t="s">
        <v>31</v>
      </c>
      <c r="H33" s="2" t="s">
        <v>76</v>
      </c>
      <c r="I33" s="2" t="s">
        <v>77</v>
      </c>
      <c r="J33" s="2"/>
      <c r="K33" s="2">
        <v>56388.060361381846</v>
      </c>
      <c r="L33" s="2"/>
      <c r="M33" s="2"/>
      <c r="N33" s="2"/>
      <c r="P33" s="2" t="s">
        <v>97</v>
      </c>
      <c r="Q33" s="2">
        <v>179.38900000000001</v>
      </c>
      <c r="R33" s="2"/>
      <c r="S33" s="2">
        <f t="shared" si="4"/>
        <v>179.38900000000001</v>
      </c>
      <c r="U33" s="1" t="s">
        <v>31</v>
      </c>
      <c r="V33" s="2">
        <f t="shared" si="3"/>
        <v>0</v>
      </c>
      <c r="W33" s="2">
        <f t="shared" si="3"/>
        <v>314.33399127807081</v>
      </c>
      <c r="X33" s="2">
        <f t="shared" si="3"/>
        <v>0</v>
      </c>
      <c r="Y33" s="2">
        <f t="shared" si="3"/>
        <v>0</v>
      </c>
    </row>
    <row r="34" spans="1:25">
      <c r="A34" s="1" t="s">
        <v>32</v>
      </c>
      <c r="B34" s="2">
        <f t="shared" si="2"/>
        <v>0</v>
      </c>
      <c r="C34" s="2">
        <f t="shared" si="2"/>
        <v>0.69247878415608088</v>
      </c>
      <c r="D34" s="2">
        <f t="shared" si="2"/>
        <v>0.49153627982506348</v>
      </c>
      <c r="E34" s="2">
        <f t="shared" si="2"/>
        <v>0</v>
      </c>
      <c r="G34" s="2" t="s">
        <v>32</v>
      </c>
      <c r="H34" s="2" t="s">
        <v>76</v>
      </c>
      <c r="I34" s="2" t="s">
        <v>78</v>
      </c>
      <c r="J34" s="2"/>
      <c r="K34" s="2">
        <v>124.2230766109752</v>
      </c>
      <c r="L34" s="2">
        <v>88.176201701538318</v>
      </c>
      <c r="M34" s="2"/>
      <c r="N34" s="2"/>
      <c r="P34" s="2" t="s">
        <v>97</v>
      </c>
      <c r="Q34" s="2">
        <f>Q33</f>
        <v>179.38900000000001</v>
      </c>
      <c r="R34" s="2"/>
      <c r="S34" s="2">
        <f t="shared" si="4"/>
        <v>179.38900000000001</v>
      </c>
      <c r="U34" s="1" t="s">
        <v>32</v>
      </c>
      <c r="V34" s="2">
        <f t="shared" si="3"/>
        <v>0</v>
      </c>
      <c r="W34" s="2">
        <f t="shared" si="3"/>
        <v>0.69247878415608088</v>
      </c>
      <c r="X34" s="2">
        <f t="shared" si="3"/>
        <v>0.49153627982506348</v>
      </c>
      <c r="Y34" s="2">
        <f t="shared" si="3"/>
        <v>0</v>
      </c>
    </row>
    <row r="35" spans="1:25">
      <c r="A35" s="1" t="s">
        <v>33</v>
      </c>
      <c r="B35" s="2">
        <f t="shared" si="2"/>
        <v>7.137809336236646E-2</v>
      </c>
      <c r="C35" s="2">
        <f t="shared" si="2"/>
        <v>10.457829736222758</v>
      </c>
      <c r="D35" s="2">
        <f t="shared" si="2"/>
        <v>2.6315214910815253E-2</v>
      </c>
      <c r="E35" s="2">
        <f t="shared" si="2"/>
        <v>0</v>
      </c>
      <c r="G35" s="2" t="s">
        <v>33</v>
      </c>
      <c r="H35" s="2" t="s">
        <v>76</v>
      </c>
      <c r="I35" s="2" t="s">
        <v>57</v>
      </c>
      <c r="J35" s="2">
        <v>12.804444790181558</v>
      </c>
      <c r="K35" s="2">
        <v>1876.0196185512643</v>
      </c>
      <c r="L35" s="2">
        <v>4.7206600876362375</v>
      </c>
      <c r="M35" s="2"/>
      <c r="N35" s="2">
        <v>0.18978685000000001</v>
      </c>
      <c r="P35" s="2" t="s">
        <v>97</v>
      </c>
      <c r="Q35" s="2">
        <f>Q33</f>
        <v>179.38900000000001</v>
      </c>
      <c r="R35" s="2"/>
      <c r="S35" s="2">
        <f t="shared" si="4"/>
        <v>179.38900000000001</v>
      </c>
      <c r="U35" s="1" t="s">
        <v>33</v>
      </c>
      <c r="V35" s="2">
        <f t="shared" si="3"/>
        <v>7.137809336236646E-2</v>
      </c>
      <c r="W35" s="2">
        <f t="shared" si="3"/>
        <v>10.457829736222758</v>
      </c>
      <c r="X35" s="2">
        <f t="shared" si="3"/>
        <v>2.6315214910815253E-2</v>
      </c>
      <c r="Y35" s="2">
        <f t="shared" si="3"/>
        <v>0</v>
      </c>
    </row>
    <row r="36" spans="1:25">
      <c r="A36" s="1" t="s">
        <v>34</v>
      </c>
      <c r="B36" s="2">
        <f t="shared" si="2"/>
        <v>0</v>
      </c>
      <c r="C36" s="2">
        <f t="shared" si="2"/>
        <v>822.35020195543586</v>
      </c>
      <c r="D36" s="2">
        <f t="shared" si="2"/>
        <v>59.314261965003702</v>
      </c>
      <c r="E36" s="2">
        <f t="shared" si="2"/>
        <v>0</v>
      </c>
      <c r="G36" s="2" t="s">
        <v>34</v>
      </c>
      <c r="H36" s="2" t="s">
        <v>76</v>
      </c>
      <c r="I36" s="2" t="s">
        <v>79</v>
      </c>
      <c r="J36" s="2"/>
      <c r="K36" s="2">
        <v>147520.58037858369</v>
      </c>
      <c r="L36" s="2">
        <v>10640.32613964005</v>
      </c>
      <c r="M36" s="2"/>
      <c r="N36" s="2"/>
      <c r="P36" s="2" t="s">
        <v>97</v>
      </c>
      <c r="Q36" s="2">
        <f>Q33</f>
        <v>179.38900000000001</v>
      </c>
      <c r="R36" s="2"/>
      <c r="S36" s="2">
        <f t="shared" si="4"/>
        <v>179.38900000000001</v>
      </c>
      <c r="U36" s="1" t="s">
        <v>34</v>
      </c>
      <c r="V36" s="2">
        <f t="shared" si="3"/>
        <v>0</v>
      </c>
      <c r="W36" s="2">
        <f t="shared" si="3"/>
        <v>822.35020195543586</v>
      </c>
      <c r="X36" s="2">
        <f t="shared" si="3"/>
        <v>59.314261965003702</v>
      </c>
      <c r="Y36" s="2">
        <f t="shared" si="3"/>
        <v>0</v>
      </c>
    </row>
    <row r="37" spans="1:25">
      <c r="A37" s="1" t="s">
        <v>35</v>
      </c>
      <c r="B37" s="2">
        <f t="shared" si="2"/>
        <v>0</v>
      </c>
      <c r="C37" s="2">
        <f t="shared" si="2"/>
        <v>0</v>
      </c>
      <c r="D37" s="2">
        <f t="shared" si="2"/>
        <v>129.99845173652588</v>
      </c>
      <c r="E37" s="2">
        <f t="shared" si="2"/>
        <v>0</v>
      </c>
      <c r="G37" s="2" t="s">
        <v>35</v>
      </c>
      <c r="H37" s="2" t="s">
        <v>55</v>
      </c>
      <c r="I37" s="2" t="s">
        <v>80</v>
      </c>
      <c r="J37" s="2"/>
      <c r="K37" s="2"/>
      <c r="L37" s="2">
        <v>23320.292258563644</v>
      </c>
      <c r="M37" s="2"/>
      <c r="N37" s="2"/>
      <c r="P37" s="2" t="s">
        <v>97</v>
      </c>
      <c r="Q37" s="2">
        <f>Q33</f>
        <v>179.38900000000001</v>
      </c>
      <c r="R37" s="2"/>
      <c r="S37" s="2">
        <f t="shared" si="4"/>
        <v>179.38900000000001</v>
      </c>
      <c r="U37" s="1" t="s">
        <v>35</v>
      </c>
      <c r="V37" s="2">
        <f t="shared" si="3"/>
        <v>0</v>
      </c>
      <c r="W37" s="2">
        <f t="shared" si="3"/>
        <v>0</v>
      </c>
      <c r="X37" s="2">
        <f t="shared" si="3"/>
        <v>129.99845173652588</v>
      </c>
      <c r="Y37" s="2">
        <f t="shared" si="3"/>
        <v>0</v>
      </c>
    </row>
    <row r="38" spans="1:25">
      <c r="A38" s="1" t="s">
        <v>36</v>
      </c>
      <c r="B38" s="2">
        <f t="shared" si="2"/>
        <v>0</v>
      </c>
      <c r="C38" s="2">
        <f t="shared" si="2"/>
        <v>0</v>
      </c>
      <c r="D38" s="2">
        <f t="shared" si="2"/>
        <v>0</v>
      </c>
      <c r="E38" s="2">
        <f t="shared" si="2"/>
        <v>0</v>
      </c>
      <c r="G38" s="2" t="s">
        <v>36</v>
      </c>
      <c r="H38" s="2" t="s">
        <v>55</v>
      </c>
      <c r="I38" s="2" t="s">
        <v>81</v>
      </c>
      <c r="J38" s="2"/>
      <c r="K38" s="2"/>
      <c r="L38" s="2"/>
      <c r="M38" s="2"/>
      <c r="N38" s="2"/>
      <c r="P38" s="2" t="s">
        <v>97</v>
      </c>
      <c r="Q38" s="2">
        <f>Q33</f>
        <v>179.38900000000001</v>
      </c>
      <c r="R38" s="2"/>
      <c r="S38" s="2">
        <f t="shared" si="4"/>
        <v>179.38900000000001</v>
      </c>
      <c r="U38" s="1" t="s">
        <v>36</v>
      </c>
      <c r="V38" s="2">
        <f t="shared" si="3"/>
        <v>0</v>
      </c>
      <c r="W38" s="2">
        <f t="shared" si="3"/>
        <v>0</v>
      </c>
      <c r="X38" s="2">
        <f t="shared" si="3"/>
        <v>0</v>
      </c>
      <c r="Y38" s="2">
        <f t="shared" si="3"/>
        <v>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8"/>
  <sheetViews>
    <sheetView zoomScale="70" zoomScaleNormal="70" workbookViewId="0">
      <selection activeCell="Q33" sqref="Q33"/>
    </sheetView>
  </sheetViews>
  <sheetFormatPr defaultRowHeight="14.4"/>
  <cols>
    <col min="1" max="1" width="13.33203125" bestFit="1" customWidth="1"/>
    <col min="7" max="7" width="32.33203125" bestFit="1" customWidth="1"/>
    <col min="8" max="8" width="15" bestFit="1" customWidth="1"/>
    <col min="9" max="9" width="33.44140625" bestFit="1" customWidth="1"/>
    <col min="10" max="14" width="12.33203125" bestFit="1" customWidth="1"/>
    <col min="16" max="16" width="73.109375" bestFit="1" customWidth="1"/>
  </cols>
  <sheetData>
    <row r="1" spans="1:25">
      <c r="A1" s="2"/>
      <c r="B1" s="3" t="s">
        <v>37</v>
      </c>
      <c r="C1" s="3" t="s">
        <v>38</v>
      </c>
      <c r="D1" s="3" t="s">
        <v>39</v>
      </c>
      <c r="E1" s="3" t="s">
        <v>40</v>
      </c>
      <c r="G1" s="7" t="s">
        <v>84</v>
      </c>
      <c r="H1" s="7" t="s">
        <v>85</v>
      </c>
      <c r="I1" s="7" t="s">
        <v>86</v>
      </c>
      <c r="J1" s="7" t="s">
        <v>37</v>
      </c>
      <c r="K1" s="7" t="s">
        <v>38</v>
      </c>
      <c r="L1" s="7" t="s">
        <v>39</v>
      </c>
      <c r="M1" s="7" t="s">
        <v>83</v>
      </c>
      <c r="N1" s="7" t="s">
        <v>82</v>
      </c>
      <c r="P1" s="8" t="s">
        <v>98</v>
      </c>
      <c r="Q1" s="10" t="s">
        <v>100</v>
      </c>
      <c r="R1" s="10" t="s">
        <v>101</v>
      </c>
      <c r="S1" s="10" t="s">
        <v>102</v>
      </c>
      <c r="U1" s="2"/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1" t="s">
        <v>0</v>
      </c>
      <c r="B2" s="6"/>
      <c r="C2" s="6"/>
      <c r="D2" s="6"/>
      <c r="E2" s="6"/>
      <c r="G2" s="2" t="s">
        <v>0</v>
      </c>
      <c r="H2" s="2" t="s">
        <v>41</v>
      </c>
      <c r="I2" s="2" t="s">
        <v>42</v>
      </c>
      <c r="J2" s="2">
        <v>172380.34661699951</v>
      </c>
      <c r="K2" s="2">
        <v>100.41274981220853</v>
      </c>
      <c r="L2" s="2">
        <v>634.73329364495305</v>
      </c>
      <c r="M2" s="2"/>
      <c r="N2" s="2">
        <v>4037.7355148315164</v>
      </c>
      <c r="P2" s="2"/>
      <c r="Q2" s="2"/>
      <c r="R2" s="2"/>
      <c r="S2" s="2"/>
      <c r="U2" s="1" t="s">
        <v>0</v>
      </c>
      <c r="V2" s="6"/>
      <c r="W2" s="6"/>
      <c r="X2" s="6"/>
      <c r="Y2" s="6"/>
    </row>
    <row r="3" spans="1:25">
      <c r="A3" s="1" t="s">
        <v>1</v>
      </c>
      <c r="B3" s="6"/>
      <c r="C3" s="6"/>
      <c r="D3" s="6"/>
      <c r="E3" s="6"/>
      <c r="G3" s="2" t="s">
        <v>1</v>
      </c>
      <c r="H3" s="2" t="s">
        <v>41</v>
      </c>
      <c r="I3" s="2" t="s">
        <v>43</v>
      </c>
      <c r="J3" s="2"/>
      <c r="K3" s="2"/>
      <c r="L3" s="2"/>
      <c r="M3" s="2"/>
      <c r="N3" s="2"/>
      <c r="P3" s="2"/>
      <c r="Q3" s="2"/>
      <c r="R3" s="2"/>
      <c r="S3" s="2"/>
      <c r="U3" s="1" t="s">
        <v>1</v>
      </c>
      <c r="V3" s="6"/>
      <c r="W3" s="6"/>
      <c r="X3" s="6"/>
      <c r="Y3" s="6"/>
    </row>
    <row r="4" spans="1:25">
      <c r="A4" s="1" t="s">
        <v>2</v>
      </c>
      <c r="B4" s="6"/>
      <c r="C4" s="6"/>
      <c r="D4" s="6"/>
      <c r="E4" s="6"/>
      <c r="G4" s="2" t="s">
        <v>2</v>
      </c>
      <c r="H4" s="2" t="s">
        <v>44</v>
      </c>
      <c r="I4" s="2" t="s">
        <v>45</v>
      </c>
      <c r="J4" s="2">
        <v>72728.798555108413</v>
      </c>
      <c r="K4" s="2">
        <v>387.6221919525475</v>
      </c>
      <c r="L4" s="2">
        <v>551.99791197636057</v>
      </c>
      <c r="M4" s="2"/>
      <c r="N4" s="2">
        <v>50345.076537023597</v>
      </c>
      <c r="P4" s="2"/>
      <c r="Q4" s="2"/>
      <c r="R4" s="2"/>
      <c r="S4" s="2"/>
      <c r="U4" s="1" t="s">
        <v>2</v>
      </c>
      <c r="V4" s="6"/>
      <c r="W4" s="6"/>
      <c r="X4" s="6"/>
      <c r="Y4" s="6"/>
    </row>
    <row r="5" spans="1:25">
      <c r="A5" s="1" t="s">
        <v>3</v>
      </c>
      <c r="B5" s="6"/>
      <c r="C5" s="6"/>
      <c r="D5" s="6"/>
      <c r="E5" s="6"/>
      <c r="G5" s="2" t="s">
        <v>3</v>
      </c>
      <c r="H5" s="2" t="s">
        <v>46</v>
      </c>
      <c r="I5" s="2" t="s">
        <v>47</v>
      </c>
      <c r="J5" s="2">
        <v>3086.9417767944101</v>
      </c>
      <c r="K5" s="2">
        <v>0.60443615209961044</v>
      </c>
      <c r="L5" s="2">
        <v>22.882225758056919</v>
      </c>
      <c r="M5" s="2"/>
      <c r="N5" s="2"/>
      <c r="P5" s="2"/>
      <c r="Q5" s="2"/>
      <c r="R5" s="2"/>
      <c r="S5" s="2"/>
      <c r="U5" s="1" t="s">
        <v>3</v>
      </c>
      <c r="V5" s="6"/>
      <c r="W5" s="6"/>
      <c r="X5" s="6"/>
      <c r="Y5" s="6"/>
    </row>
    <row r="6" spans="1:25">
      <c r="A6" s="1" t="s">
        <v>4</v>
      </c>
      <c r="B6" s="6"/>
      <c r="C6" s="6"/>
      <c r="D6" s="6"/>
      <c r="E6" s="6"/>
      <c r="G6" s="2" t="s">
        <v>4</v>
      </c>
      <c r="H6" s="2" t="s">
        <v>46</v>
      </c>
      <c r="I6" s="2" t="s">
        <v>48</v>
      </c>
      <c r="J6" s="2">
        <v>44953.829998462003</v>
      </c>
      <c r="K6" s="2">
        <v>240.22878551417219</v>
      </c>
      <c r="L6" s="2">
        <v>448.89965948134289</v>
      </c>
      <c r="M6" s="2"/>
      <c r="N6" s="2">
        <v>231.48768691405999</v>
      </c>
      <c r="P6" s="2"/>
      <c r="Q6" s="2"/>
      <c r="R6" s="2"/>
      <c r="S6" s="2"/>
      <c r="U6" s="1" t="s">
        <v>4</v>
      </c>
      <c r="V6" s="6"/>
      <c r="W6" s="6"/>
      <c r="X6" s="6"/>
      <c r="Y6" s="6"/>
    </row>
    <row r="7" spans="1:25">
      <c r="A7" s="1" t="s">
        <v>5</v>
      </c>
      <c r="B7" s="6"/>
      <c r="C7" s="6"/>
      <c r="D7" s="6"/>
      <c r="E7" s="6"/>
      <c r="G7" s="2" t="s">
        <v>5</v>
      </c>
      <c r="H7" s="2" t="s">
        <v>46</v>
      </c>
      <c r="I7" s="2" t="s">
        <v>49</v>
      </c>
      <c r="J7" s="2">
        <v>855.00559075927004</v>
      </c>
      <c r="K7" s="2">
        <v>1.340777997924792</v>
      </c>
      <c r="L7" s="2">
        <v>87.450571826782209</v>
      </c>
      <c r="M7" s="2"/>
      <c r="N7" s="2"/>
      <c r="P7" s="2"/>
      <c r="Q7" s="2"/>
      <c r="R7" s="2"/>
      <c r="S7" s="2"/>
      <c r="U7" s="1" t="s">
        <v>5</v>
      </c>
      <c r="V7" s="6"/>
      <c r="W7" s="6"/>
      <c r="X7" s="6"/>
      <c r="Y7" s="6"/>
    </row>
    <row r="8" spans="1:25">
      <c r="A8" s="1" t="s">
        <v>6</v>
      </c>
      <c r="B8" s="6"/>
      <c r="C8" s="6"/>
      <c r="D8" s="6"/>
      <c r="E8" s="6"/>
      <c r="G8" s="2" t="s">
        <v>6</v>
      </c>
      <c r="H8" s="2" t="s">
        <v>46</v>
      </c>
      <c r="I8" s="2" t="s">
        <v>50</v>
      </c>
      <c r="J8" s="2">
        <v>3448.2952853758902</v>
      </c>
      <c r="K8" s="2">
        <v>9.1044098291016358</v>
      </c>
      <c r="L8" s="2">
        <v>24.61906739501951</v>
      </c>
      <c r="M8" s="2"/>
      <c r="N8" s="2"/>
      <c r="P8" s="2"/>
      <c r="Q8" s="2"/>
      <c r="R8" s="2"/>
      <c r="S8" s="2"/>
      <c r="U8" s="1" t="s">
        <v>6</v>
      </c>
      <c r="V8" s="6"/>
      <c r="W8" s="6"/>
      <c r="X8" s="6"/>
      <c r="Y8" s="6"/>
    </row>
    <row r="9" spans="1:25">
      <c r="A9" s="1" t="s">
        <v>7</v>
      </c>
      <c r="B9" s="6"/>
      <c r="C9" s="6"/>
      <c r="D9" s="6"/>
      <c r="E9" s="6"/>
      <c r="G9" s="2" t="s">
        <v>7</v>
      </c>
      <c r="H9" s="2" t="s">
        <v>46</v>
      </c>
      <c r="I9" s="2" t="s">
        <v>51</v>
      </c>
      <c r="J9" s="2"/>
      <c r="K9" s="2">
        <v>0</v>
      </c>
      <c r="L9" s="2">
        <v>0</v>
      </c>
      <c r="M9" s="2"/>
      <c r="N9" s="2"/>
      <c r="P9" s="2"/>
      <c r="Q9" s="2"/>
      <c r="R9" s="2"/>
      <c r="S9" s="2"/>
      <c r="U9" s="1" t="s">
        <v>7</v>
      </c>
      <c r="V9" s="6"/>
      <c r="W9" s="6"/>
      <c r="X9" s="6"/>
      <c r="Y9" s="6"/>
    </row>
    <row r="10" spans="1:25">
      <c r="A10" s="1" t="s">
        <v>8</v>
      </c>
      <c r="B10" s="6"/>
      <c r="C10" s="6"/>
      <c r="D10" s="6"/>
      <c r="E10" s="6"/>
      <c r="G10" s="2" t="s">
        <v>8</v>
      </c>
      <c r="H10" s="2" t="s">
        <v>52</v>
      </c>
      <c r="I10" s="2" t="s">
        <v>53</v>
      </c>
      <c r="J10" s="2">
        <v>16055.200368517661</v>
      </c>
      <c r="K10" s="2">
        <v>2461.4442301046292</v>
      </c>
      <c r="L10" s="2">
        <v>1000.0820338374006</v>
      </c>
      <c r="M10" s="2"/>
      <c r="N10" s="2">
        <v>28184.919582030998</v>
      </c>
      <c r="P10" s="2"/>
      <c r="Q10" s="2"/>
      <c r="R10" s="2"/>
      <c r="S10" s="2"/>
      <c r="U10" s="1" t="s">
        <v>8</v>
      </c>
      <c r="V10" s="6"/>
      <c r="W10" s="6"/>
      <c r="X10" s="6"/>
      <c r="Y10" s="6"/>
    </row>
    <row r="11" spans="1:25">
      <c r="A11" s="1" t="s">
        <v>9</v>
      </c>
      <c r="B11" s="6"/>
      <c r="C11" s="6"/>
      <c r="D11" s="6"/>
      <c r="E11" s="6"/>
      <c r="G11" s="2" t="s">
        <v>9</v>
      </c>
      <c r="H11" s="2" t="s">
        <v>54</v>
      </c>
      <c r="I11" s="2" t="s">
        <v>55</v>
      </c>
      <c r="J11" s="2">
        <v>255.84065222167999</v>
      </c>
      <c r="K11" s="2">
        <v>0.96673930664063201</v>
      </c>
      <c r="L11" s="2">
        <v>0.54896982055663401</v>
      </c>
      <c r="M11" s="2"/>
      <c r="N11" s="2"/>
      <c r="P11" s="2"/>
      <c r="Q11" s="2"/>
      <c r="R11" s="2"/>
      <c r="S11" s="2"/>
      <c r="U11" s="1" t="s">
        <v>9</v>
      </c>
      <c r="V11" s="6"/>
      <c r="W11" s="6"/>
      <c r="X11" s="6"/>
      <c r="Y11" s="6"/>
    </row>
    <row r="12" spans="1:25">
      <c r="A12" s="1" t="s">
        <v>10</v>
      </c>
      <c r="B12" s="2">
        <f>V12</f>
        <v>484.25852121059609</v>
      </c>
      <c r="C12" s="2">
        <f t="shared" ref="C12:E27" si="0">W12</f>
        <v>21969.837311782172</v>
      </c>
      <c r="D12" s="2">
        <f t="shared" si="0"/>
        <v>31.837242208788854</v>
      </c>
      <c r="E12" s="2">
        <f t="shared" si="0"/>
        <v>0</v>
      </c>
      <c r="G12" s="2" t="s">
        <v>10</v>
      </c>
      <c r="H12" s="2" t="s">
        <v>56</v>
      </c>
      <c r="I12" s="2" t="s">
        <v>57</v>
      </c>
      <c r="J12" s="2">
        <v>486.48611040816479</v>
      </c>
      <c r="K12" s="2">
        <v>22070.898563416369</v>
      </c>
      <c r="L12" s="2">
        <v>31.983693522949281</v>
      </c>
      <c r="M12" s="2"/>
      <c r="N12" s="2"/>
      <c r="P12" s="2" t="s">
        <v>88</v>
      </c>
      <c r="Q12" s="2">
        <v>1.0045999999999999</v>
      </c>
      <c r="R12" s="2"/>
      <c r="S12" s="2">
        <f>SUM(Q12:R12)</f>
        <v>1.0045999999999999</v>
      </c>
      <c r="U12" s="1" t="s">
        <v>10</v>
      </c>
      <c r="V12" s="2">
        <f>J12/$S12</f>
        <v>484.25852121059609</v>
      </c>
      <c r="W12" s="2">
        <f t="shared" ref="W12:Y27" si="1">K12/$S12</f>
        <v>21969.837311782172</v>
      </c>
      <c r="X12" s="2">
        <f t="shared" si="1"/>
        <v>31.837242208788854</v>
      </c>
      <c r="Y12" s="2">
        <f t="shared" si="1"/>
        <v>0</v>
      </c>
    </row>
    <row r="13" spans="1:25">
      <c r="A13" s="1" t="s">
        <v>11</v>
      </c>
      <c r="B13" s="2">
        <f t="shared" ref="B13:E38" si="2">V13</f>
        <v>965.07758995283154</v>
      </c>
      <c r="C13" s="2">
        <f t="shared" si="0"/>
        <v>4190.2324182549282</v>
      </c>
      <c r="D13" s="2">
        <f t="shared" si="0"/>
        <v>3.5947930453045709</v>
      </c>
      <c r="E13" s="2">
        <f t="shared" si="0"/>
        <v>0</v>
      </c>
      <c r="G13" s="2" t="s">
        <v>11</v>
      </c>
      <c r="H13" s="2" t="s">
        <v>56</v>
      </c>
      <c r="I13" s="2" t="s">
        <v>58</v>
      </c>
      <c r="J13" s="2">
        <v>1534.9250243371</v>
      </c>
      <c r="K13" s="2">
        <v>6664.430573797079</v>
      </c>
      <c r="L13" s="2">
        <v>5.7174033051794702</v>
      </c>
      <c r="M13" s="2"/>
      <c r="N13" s="2">
        <v>237.18</v>
      </c>
      <c r="P13" s="2" t="s">
        <v>99</v>
      </c>
      <c r="Q13">
        <v>0.45463799999999999</v>
      </c>
      <c r="R13">
        <v>1.1358299999999999</v>
      </c>
      <c r="S13" s="2">
        <f>SUM(Q13:R13)</f>
        <v>1.590468</v>
      </c>
      <c r="U13" s="1" t="s">
        <v>11</v>
      </c>
      <c r="V13" s="2">
        <f t="shared" ref="V13:Y38" si="3">J13/$S13</f>
        <v>965.07758995283154</v>
      </c>
      <c r="W13" s="2">
        <f t="shared" si="1"/>
        <v>4190.2324182549282</v>
      </c>
      <c r="X13" s="2">
        <f t="shared" si="1"/>
        <v>3.5947930453045709</v>
      </c>
      <c r="Y13" s="2">
        <f t="shared" si="1"/>
        <v>0</v>
      </c>
    </row>
    <row r="14" spans="1:25">
      <c r="A14" s="1" t="s">
        <v>12</v>
      </c>
      <c r="B14" s="2">
        <f t="shared" si="2"/>
        <v>17300.35435117322</v>
      </c>
      <c r="C14" s="2">
        <f t="shared" si="0"/>
        <v>0</v>
      </c>
      <c r="D14" s="2">
        <f t="shared" si="0"/>
        <v>0</v>
      </c>
      <c r="E14" s="2">
        <f t="shared" si="0"/>
        <v>0</v>
      </c>
      <c r="G14" s="2" t="s">
        <v>12</v>
      </c>
      <c r="H14" s="2" t="s">
        <v>44</v>
      </c>
      <c r="I14" s="2" t="s">
        <v>59</v>
      </c>
      <c r="J14" s="2">
        <v>44945.974597261004</v>
      </c>
      <c r="K14" s="2"/>
      <c r="L14" s="2"/>
      <c r="M14" s="2"/>
      <c r="N14" s="2"/>
      <c r="P14" s="2" t="s">
        <v>89</v>
      </c>
      <c r="Q14" s="2">
        <v>2.5979800000000002</v>
      </c>
      <c r="R14" s="2"/>
      <c r="S14" s="2">
        <f t="shared" ref="S14:S38" si="4">SUM(Q14:R14)</f>
        <v>2.5979800000000002</v>
      </c>
      <c r="U14" s="1" t="s">
        <v>12</v>
      </c>
      <c r="V14" s="2">
        <f t="shared" si="3"/>
        <v>17300.35435117322</v>
      </c>
      <c r="W14" s="2">
        <f t="shared" si="1"/>
        <v>0</v>
      </c>
      <c r="X14" s="2">
        <f t="shared" si="1"/>
        <v>0</v>
      </c>
      <c r="Y14" s="2">
        <f t="shared" si="1"/>
        <v>0</v>
      </c>
    </row>
    <row r="15" spans="1:25">
      <c r="A15" s="1" t="s">
        <v>13</v>
      </c>
      <c r="B15" s="2">
        <f t="shared" si="2"/>
        <v>242.49609311849974</v>
      </c>
      <c r="C15" s="2">
        <f t="shared" si="0"/>
        <v>0</v>
      </c>
      <c r="D15" s="2">
        <f t="shared" si="0"/>
        <v>0</v>
      </c>
      <c r="E15" s="2">
        <f t="shared" si="0"/>
        <v>0</v>
      </c>
      <c r="G15" s="2" t="s">
        <v>13</v>
      </c>
      <c r="H15" s="2" t="s">
        <v>44</v>
      </c>
      <c r="I15" s="2" t="s">
        <v>59</v>
      </c>
      <c r="J15" s="2">
        <v>630</v>
      </c>
      <c r="K15" s="2"/>
      <c r="L15" s="2"/>
      <c r="M15" s="2"/>
      <c r="N15" s="2"/>
      <c r="P15" s="2" t="s">
        <v>89</v>
      </c>
      <c r="Q15" s="2">
        <f>Q14</f>
        <v>2.5979800000000002</v>
      </c>
      <c r="R15" s="2"/>
      <c r="S15" s="2">
        <f t="shared" si="4"/>
        <v>2.5979800000000002</v>
      </c>
      <c r="U15" s="1" t="s">
        <v>13</v>
      </c>
      <c r="V15" s="2">
        <f t="shared" si="3"/>
        <v>242.49609311849974</v>
      </c>
      <c r="W15" s="2">
        <f t="shared" si="1"/>
        <v>0</v>
      </c>
      <c r="X15" s="2">
        <f t="shared" si="1"/>
        <v>0</v>
      </c>
      <c r="Y15" s="2">
        <f t="shared" si="1"/>
        <v>0</v>
      </c>
    </row>
    <row r="16" spans="1:25">
      <c r="A16" s="1" t="s">
        <v>14</v>
      </c>
      <c r="B16" s="2">
        <f t="shared" si="2"/>
        <v>2.2903353923063876</v>
      </c>
      <c r="C16" s="2">
        <f t="shared" si="0"/>
        <v>0</v>
      </c>
      <c r="D16" s="2">
        <f t="shared" si="0"/>
        <v>0</v>
      </c>
      <c r="E16" s="2">
        <f t="shared" si="0"/>
        <v>0</v>
      </c>
      <c r="G16" s="2" t="s">
        <v>14</v>
      </c>
      <c r="H16" s="2" t="s">
        <v>44</v>
      </c>
      <c r="I16" s="2" t="s">
        <v>59</v>
      </c>
      <c r="J16" s="2">
        <v>5.9502455425041498</v>
      </c>
      <c r="K16" s="2"/>
      <c r="L16" s="2"/>
      <c r="M16" s="2"/>
      <c r="N16" s="2"/>
      <c r="P16" s="2" t="s">
        <v>89</v>
      </c>
      <c r="Q16" s="2">
        <f>Q15</f>
        <v>2.5979800000000002</v>
      </c>
      <c r="R16" s="2"/>
      <c r="S16" s="2">
        <f t="shared" si="4"/>
        <v>2.5979800000000002</v>
      </c>
      <c r="U16" s="1" t="s">
        <v>14</v>
      </c>
      <c r="V16" s="2">
        <f t="shared" si="3"/>
        <v>2.2903353923063876</v>
      </c>
      <c r="W16" s="2">
        <f t="shared" si="1"/>
        <v>0</v>
      </c>
      <c r="X16" s="2">
        <f t="shared" si="1"/>
        <v>0</v>
      </c>
      <c r="Y16" s="2">
        <f t="shared" si="1"/>
        <v>0</v>
      </c>
    </row>
    <row r="17" spans="1:25">
      <c r="A17" s="1" t="s">
        <v>15</v>
      </c>
      <c r="B17" s="2">
        <f t="shared" si="2"/>
        <v>32.96572473810054</v>
      </c>
      <c r="C17" s="2">
        <f t="shared" si="0"/>
        <v>0</v>
      </c>
      <c r="D17" s="2">
        <f t="shared" si="0"/>
        <v>0</v>
      </c>
      <c r="E17" s="2">
        <f t="shared" si="0"/>
        <v>0</v>
      </c>
      <c r="G17" s="2" t="s">
        <v>15</v>
      </c>
      <c r="H17" s="2" t="s">
        <v>44</v>
      </c>
      <c r="I17" s="2" t="s">
        <v>60</v>
      </c>
      <c r="J17" s="2">
        <v>264.99135207749998</v>
      </c>
      <c r="K17" s="2"/>
      <c r="L17" s="2"/>
      <c r="M17" s="2"/>
      <c r="N17" s="2"/>
      <c r="P17" s="2" t="s">
        <v>90</v>
      </c>
      <c r="Q17" s="2">
        <v>8.0383899999999997</v>
      </c>
      <c r="R17" s="2"/>
      <c r="S17" s="2">
        <f t="shared" si="4"/>
        <v>8.0383899999999997</v>
      </c>
      <c r="U17" s="1" t="s">
        <v>15</v>
      </c>
      <c r="V17" s="2">
        <f t="shared" si="3"/>
        <v>32.96572473810054</v>
      </c>
      <c r="W17" s="2">
        <f t="shared" si="1"/>
        <v>0</v>
      </c>
      <c r="X17" s="2">
        <f t="shared" si="1"/>
        <v>0</v>
      </c>
      <c r="Y17" s="2">
        <f t="shared" si="1"/>
        <v>0</v>
      </c>
    </row>
    <row r="18" spans="1:25">
      <c r="A18" s="1" t="s">
        <v>16</v>
      </c>
      <c r="B18" s="2">
        <f t="shared" si="2"/>
        <v>364.81185909118619</v>
      </c>
      <c r="C18" s="2">
        <f t="shared" si="0"/>
        <v>0</v>
      </c>
      <c r="D18" s="2">
        <f t="shared" si="0"/>
        <v>0</v>
      </c>
      <c r="E18" s="2">
        <f t="shared" si="0"/>
        <v>0</v>
      </c>
      <c r="G18" s="2" t="s">
        <v>16</v>
      </c>
      <c r="H18" s="2" t="s">
        <v>44</v>
      </c>
      <c r="I18" s="2" t="s">
        <v>61</v>
      </c>
      <c r="J18" s="2">
        <v>2932.5</v>
      </c>
      <c r="K18" s="2"/>
      <c r="L18" s="2"/>
      <c r="M18" s="2"/>
      <c r="N18" s="2"/>
      <c r="P18" s="2" t="s">
        <v>90</v>
      </c>
      <c r="Q18" s="2">
        <f>Q17</f>
        <v>8.0383899999999997</v>
      </c>
      <c r="R18" s="2"/>
      <c r="S18" s="2">
        <f t="shared" si="4"/>
        <v>8.0383899999999997</v>
      </c>
      <c r="U18" s="1" t="s">
        <v>16</v>
      </c>
      <c r="V18" s="2">
        <f t="shared" si="3"/>
        <v>364.81185909118619</v>
      </c>
      <c r="W18" s="2">
        <f t="shared" si="1"/>
        <v>0</v>
      </c>
      <c r="X18" s="2">
        <f t="shared" si="1"/>
        <v>0</v>
      </c>
      <c r="Y18" s="2">
        <f t="shared" si="1"/>
        <v>0</v>
      </c>
    </row>
    <row r="19" spans="1:25">
      <c r="A19" s="1" t="s">
        <v>17</v>
      </c>
      <c r="B19" s="2">
        <f t="shared" si="2"/>
        <v>387.53661267344444</v>
      </c>
      <c r="C19" s="2">
        <f t="shared" si="0"/>
        <v>0</v>
      </c>
      <c r="D19" s="2">
        <f t="shared" si="0"/>
        <v>0</v>
      </c>
      <c r="E19" s="2">
        <f t="shared" si="0"/>
        <v>0</v>
      </c>
      <c r="G19" s="2" t="s">
        <v>17</v>
      </c>
      <c r="H19" s="2" t="s">
        <v>44</v>
      </c>
      <c r="I19" s="2" t="s">
        <v>62</v>
      </c>
      <c r="J19" s="2">
        <v>1118.0160000000001</v>
      </c>
      <c r="K19" s="2">
        <v>0</v>
      </c>
      <c r="L19" s="2"/>
      <c r="M19" s="2"/>
      <c r="N19" s="2"/>
      <c r="P19" s="2" t="s">
        <v>92</v>
      </c>
      <c r="Q19" s="2">
        <v>2.8849300000000002</v>
      </c>
      <c r="R19" s="2"/>
      <c r="S19" s="2">
        <f t="shared" si="4"/>
        <v>2.8849300000000002</v>
      </c>
      <c r="U19" s="1" t="s">
        <v>17</v>
      </c>
      <c r="V19" s="2">
        <f t="shared" si="3"/>
        <v>387.53661267344444</v>
      </c>
      <c r="W19" s="2">
        <f t="shared" si="1"/>
        <v>0</v>
      </c>
      <c r="X19" s="2">
        <f t="shared" si="1"/>
        <v>0</v>
      </c>
      <c r="Y19" s="2">
        <f t="shared" si="1"/>
        <v>0</v>
      </c>
    </row>
    <row r="20" spans="1:25">
      <c r="A20" s="1" t="s">
        <v>18</v>
      </c>
      <c r="B20" s="2">
        <f t="shared" si="2"/>
        <v>45.086979541163224</v>
      </c>
      <c r="C20" s="2">
        <f t="shared" si="0"/>
        <v>0</v>
      </c>
      <c r="D20" s="2">
        <f t="shared" si="0"/>
        <v>0</v>
      </c>
      <c r="E20" s="2">
        <f t="shared" si="0"/>
        <v>0</v>
      </c>
      <c r="G20" s="2" t="s">
        <v>18</v>
      </c>
      <c r="H20" s="2" t="s">
        <v>56</v>
      </c>
      <c r="I20" s="2" t="s">
        <v>63</v>
      </c>
      <c r="J20" s="2">
        <v>362.42672547389105</v>
      </c>
      <c r="K20" s="2"/>
      <c r="L20" s="2"/>
      <c r="M20" s="2"/>
      <c r="N20" s="2"/>
      <c r="P20" s="2" t="s">
        <v>90</v>
      </c>
      <c r="Q20" s="2">
        <f>Q18</f>
        <v>8.0383899999999997</v>
      </c>
      <c r="R20" s="2"/>
      <c r="S20" s="2">
        <f t="shared" si="4"/>
        <v>8.0383899999999997</v>
      </c>
      <c r="U20" s="1" t="s">
        <v>18</v>
      </c>
      <c r="V20" s="2">
        <f t="shared" si="3"/>
        <v>45.086979541163224</v>
      </c>
      <c r="W20" s="2">
        <f t="shared" si="1"/>
        <v>0</v>
      </c>
      <c r="X20" s="2">
        <f t="shared" si="1"/>
        <v>0</v>
      </c>
      <c r="Y20" s="2">
        <f t="shared" si="1"/>
        <v>0</v>
      </c>
    </row>
    <row r="21" spans="1:25">
      <c r="A21" s="1" t="s">
        <v>19</v>
      </c>
      <c r="B21" s="2">
        <f t="shared" si="2"/>
        <v>0</v>
      </c>
      <c r="C21" s="2">
        <f t="shared" si="0"/>
        <v>0</v>
      </c>
      <c r="D21" s="2">
        <f t="shared" si="0"/>
        <v>0</v>
      </c>
      <c r="E21" s="2">
        <f t="shared" si="0"/>
        <v>32.555701558348588</v>
      </c>
      <c r="G21" s="2" t="s">
        <v>19</v>
      </c>
      <c r="H21" s="2" t="s">
        <v>44</v>
      </c>
      <c r="I21" s="2" t="s">
        <v>64</v>
      </c>
      <c r="J21" s="2"/>
      <c r="K21" s="2"/>
      <c r="L21" s="2"/>
      <c r="M21" s="2">
        <v>945.95148675999997</v>
      </c>
      <c r="N21" s="2"/>
      <c r="P21" s="2" t="s">
        <v>94</v>
      </c>
      <c r="Q21" s="2">
        <v>29.0564</v>
      </c>
      <c r="R21" s="2"/>
      <c r="S21" s="2">
        <f t="shared" si="4"/>
        <v>29.0564</v>
      </c>
      <c r="U21" s="1" t="s">
        <v>19</v>
      </c>
      <c r="V21" s="2">
        <f t="shared" si="3"/>
        <v>0</v>
      </c>
      <c r="W21" s="2">
        <f t="shared" si="1"/>
        <v>0</v>
      </c>
      <c r="X21" s="2">
        <f t="shared" si="1"/>
        <v>0</v>
      </c>
      <c r="Y21" s="2">
        <f t="shared" si="1"/>
        <v>32.555701558348588</v>
      </c>
    </row>
    <row r="22" spans="1:25">
      <c r="A22" s="1" t="s">
        <v>20</v>
      </c>
      <c r="B22" s="2">
        <f t="shared" si="2"/>
        <v>0</v>
      </c>
      <c r="C22" s="2">
        <f t="shared" si="0"/>
        <v>0</v>
      </c>
      <c r="D22" s="2">
        <f t="shared" si="0"/>
        <v>0</v>
      </c>
      <c r="E22" s="2">
        <f t="shared" si="0"/>
        <v>218.9284015505923</v>
      </c>
      <c r="G22" s="2" t="s">
        <v>20</v>
      </c>
      <c r="H22" s="2" t="s">
        <v>44</v>
      </c>
      <c r="I22" s="2" t="s">
        <v>65</v>
      </c>
      <c r="J22" s="2"/>
      <c r="K22" s="2"/>
      <c r="L22" s="2"/>
      <c r="M22" s="2">
        <v>6361.2712068146302</v>
      </c>
      <c r="N22" s="2"/>
      <c r="P22" s="2" t="s">
        <v>94</v>
      </c>
      <c r="Q22" s="2">
        <f>Q21</f>
        <v>29.0564</v>
      </c>
      <c r="R22" s="2"/>
      <c r="S22" s="2">
        <f t="shared" si="4"/>
        <v>29.0564</v>
      </c>
      <c r="U22" s="1" t="s">
        <v>20</v>
      </c>
      <c r="V22" s="2">
        <f t="shared" si="3"/>
        <v>0</v>
      </c>
      <c r="W22" s="2">
        <f t="shared" si="1"/>
        <v>0</v>
      </c>
      <c r="X22" s="2">
        <f t="shared" si="1"/>
        <v>0</v>
      </c>
      <c r="Y22" s="2">
        <f t="shared" si="1"/>
        <v>218.9284015505923</v>
      </c>
    </row>
    <row r="23" spans="1:25">
      <c r="A23" s="1" t="s">
        <v>21</v>
      </c>
      <c r="B23" s="2">
        <f t="shared" si="2"/>
        <v>0</v>
      </c>
      <c r="C23" s="2">
        <f t="shared" si="0"/>
        <v>0</v>
      </c>
      <c r="D23" s="2">
        <f t="shared" si="0"/>
        <v>8.8265928291915031E-3</v>
      </c>
      <c r="E23" s="2">
        <f t="shared" si="0"/>
        <v>0</v>
      </c>
      <c r="G23" s="2" t="s">
        <v>21</v>
      </c>
      <c r="H23" s="2" t="s">
        <v>44</v>
      </c>
      <c r="I23" s="2" t="s">
        <v>60</v>
      </c>
      <c r="J23" s="2"/>
      <c r="K23" s="2"/>
      <c r="L23" s="2">
        <v>0.25646901188212001</v>
      </c>
      <c r="M23" s="2"/>
      <c r="N23" s="2"/>
      <c r="P23" s="2" t="s">
        <v>94</v>
      </c>
      <c r="Q23" s="2">
        <f>Q22</f>
        <v>29.0564</v>
      </c>
      <c r="R23" s="2"/>
      <c r="S23" s="2">
        <f t="shared" si="4"/>
        <v>29.0564</v>
      </c>
      <c r="U23" s="1" t="s">
        <v>21</v>
      </c>
      <c r="V23" s="2">
        <f t="shared" si="3"/>
        <v>0</v>
      </c>
      <c r="W23" s="2">
        <f t="shared" si="1"/>
        <v>0</v>
      </c>
      <c r="X23" s="2">
        <f t="shared" si="1"/>
        <v>8.8265928291915031E-3</v>
      </c>
      <c r="Y23" s="2">
        <f t="shared" si="1"/>
        <v>0</v>
      </c>
    </row>
    <row r="24" spans="1:25">
      <c r="A24" s="1" t="s">
        <v>22</v>
      </c>
      <c r="B24" s="2">
        <f t="shared" si="2"/>
        <v>0</v>
      </c>
      <c r="C24" s="2">
        <f t="shared" si="0"/>
        <v>1512.5013981325233</v>
      </c>
      <c r="D24" s="2">
        <f t="shared" si="0"/>
        <v>0</v>
      </c>
      <c r="E24" s="2">
        <f t="shared" si="0"/>
        <v>0</v>
      </c>
      <c r="G24" s="2" t="s">
        <v>22</v>
      </c>
      <c r="H24" s="2" t="s">
        <v>66</v>
      </c>
      <c r="I24" s="2" t="s">
        <v>67</v>
      </c>
      <c r="J24" s="2"/>
      <c r="K24" s="2">
        <v>24200.3248704</v>
      </c>
      <c r="L24" s="2"/>
      <c r="M24" s="2"/>
      <c r="N24" s="2"/>
      <c r="P24" s="2" t="s">
        <v>96</v>
      </c>
      <c r="Q24" s="2">
        <v>16.0002</v>
      </c>
      <c r="R24" s="2"/>
      <c r="S24" s="2">
        <f t="shared" si="4"/>
        <v>16.0002</v>
      </c>
      <c r="U24" s="1" t="s">
        <v>22</v>
      </c>
      <c r="V24" s="2">
        <f t="shared" si="3"/>
        <v>0</v>
      </c>
      <c r="W24" s="2">
        <f t="shared" si="1"/>
        <v>1512.5013981325233</v>
      </c>
      <c r="X24" s="2">
        <f t="shared" si="1"/>
        <v>0</v>
      </c>
      <c r="Y24" s="2">
        <f t="shared" si="1"/>
        <v>0</v>
      </c>
    </row>
    <row r="25" spans="1:25">
      <c r="A25" s="1" t="s">
        <v>23</v>
      </c>
      <c r="B25" s="2">
        <f t="shared" si="2"/>
        <v>0</v>
      </c>
      <c r="C25" s="2">
        <f t="shared" si="0"/>
        <v>335.45370712179022</v>
      </c>
      <c r="D25" s="2">
        <f t="shared" si="0"/>
        <v>188.52014189107697</v>
      </c>
      <c r="E25" s="2">
        <f t="shared" si="0"/>
        <v>0</v>
      </c>
      <c r="G25" s="2" t="s">
        <v>23</v>
      </c>
      <c r="H25" s="2" t="s">
        <v>66</v>
      </c>
      <c r="I25" s="2" t="s">
        <v>68</v>
      </c>
      <c r="J25" s="2"/>
      <c r="K25" s="2">
        <v>5367.3264046900676</v>
      </c>
      <c r="L25" s="2">
        <v>3016.3599742856095</v>
      </c>
      <c r="M25" s="2"/>
      <c r="N25" s="2"/>
      <c r="P25" s="2" t="s">
        <v>96</v>
      </c>
      <c r="Q25" s="2">
        <f>Q24</f>
        <v>16.0002</v>
      </c>
      <c r="R25" s="2"/>
      <c r="S25" s="2">
        <f t="shared" si="4"/>
        <v>16.0002</v>
      </c>
      <c r="U25" s="1" t="s">
        <v>23</v>
      </c>
      <c r="V25" s="2">
        <f t="shared" si="3"/>
        <v>0</v>
      </c>
      <c r="W25" s="2">
        <f t="shared" si="1"/>
        <v>335.45370712179022</v>
      </c>
      <c r="X25" s="2">
        <f t="shared" si="1"/>
        <v>188.52014189107697</v>
      </c>
      <c r="Y25" s="2">
        <f t="shared" si="1"/>
        <v>0</v>
      </c>
    </row>
    <row r="26" spans="1:25">
      <c r="A26" s="1" t="s">
        <v>24</v>
      </c>
      <c r="B26" s="2">
        <f t="shared" si="2"/>
        <v>0</v>
      </c>
      <c r="C26" s="2">
        <f t="shared" si="0"/>
        <v>237.126466740909</v>
      </c>
      <c r="D26" s="2">
        <f t="shared" si="0"/>
        <v>58.183808968833375</v>
      </c>
      <c r="E26" s="2">
        <f t="shared" si="0"/>
        <v>0</v>
      </c>
      <c r="G26" s="2" t="s">
        <v>24</v>
      </c>
      <c r="H26" s="2" t="s">
        <v>66</v>
      </c>
      <c r="I26" s="2" t="s">
        <v>69</v>
      </c>
      <c r="J26" s="2"/>
      <c r="K26" s="2">
        <v>3794.0708931478921</v>
      </c>
      <c r="L26" s="2">
        <v>930.95258026312774</v>
      </c>
      <c r="M26" s="2"/>
      <c r="N26" s="2">
        <v>76031.976231733701</v>
      </c>
      <c r="P26" s="2" t="s">
        <v>96</v>
      </c>
      <c r="Q26" s="2">
        <f>Q25</f>
        <v>16.0002</v>
      </c>
      <c r="R26" s="2"/>
      <c r="S26" s="2">
        <f t="shared" si="4"/>
        <v>16.0002</v>
      </c>
      <c r="U26" s="1" t="s">
        <v>24</v>
      </c>
      <c r="V26" s="2">
        <f t="shared" si="3"/>
        <v>0</v>
      </c>
      <c r="W26" s="2">
        <f t="shared" si="1"/>
        <v>237.126466740909</v>
      </c>
      <c r="X26" s="2">
        <f t="shared" si="1"/>
        <v>58.183808968833375</v>
      </c>
      <c r="Y26" s="2">
        <f t="shared" si="1"/>
        <v>0</v>
      </c>
    </row>
    <row r="27" spans="1:25">
      <c r="A27" s="1" t="s">
        <v>25</v>
      </c>
      <c r="B27" s="2">
        <f t="shared" si="2"/>
        <v>96.052370797046294</v>
      </c>
      <c r="C27" s="2">
        <f t="shared" si="0"/>
        <v>0</v>
      </c>
      <c r="D27" s="2">
        <f t="shared" si="0"/>
        <v>0</v>
      </c>
      <c r="E27" s="2">
        <f t="shared" si="0"/>
        <v>0</v>
      </c>
      <c r="G27" s="2" t="s">
        <v>25</v>
      </c>
      <c r="H27" s="2" t="s">
        <v>66</v>
      </c>
      <c r="I27" s="2" t="s">
        <v>70</v>
      </c>
      <c r="J27" s="2">
        <v>1536.8571432269</v>
      </c>
      <c r="K27" s="2"/>
      <c r="L27" s="2"/>
      <c r="M27" s="2"/>
      <c r="N27" s="2"/>
      <c r="P27" s="2" t="s">
        <v>96</v>
      </c>
      <c r="Q27" s="2">
        <f>Q26</f>
        <v>16.0002</v>
      </c>
      <c r="R27" s="2"/>
      <c r="S27" s="2">
        <f t="shared" si="4"/>
        <v>16.0002</v>
      </c>
      <c r="U27" s="1" t="s">
        <v>25</v>
      </c>
      <c r="V27" s="2">
        <f t="shared" si="3"/>
        <v>96.052370797046294</v>
      </c>
      <c r="W27" s="2">
        <f t="shared" si="1"/>
        <v>0</v>
      </c>
      <c r="X27" s="2">
        <f t="shared" si="1"/>
        <v>0</v>
      </c>
      <c r="Y27" s="2">
        <f t="shared" si="1"/>
        <v>0</v>
      </c>
    </row>
    <row r="28" spans="1:25">
      <c r="A28" s="1" t="s">
        <v>26</v>
      </c>
      <c r="B28" s="2">
        <f t="shared" si="2"/>
        <v>84.89535194381321</v>
      </c>
      <c r="C28" s="2">
        <f t="shared" si="2"/>
        <v>0</v>
      </c>
      <c r="D28" s="2">
        <f t="shared" si="2"/>
        <v>0</v>
      </c>
      <c r="E28" s="2">
        <f t="shared" si="2"/>
        <v>0</v>
      </c>
      <c r="G28" s="2" t="s">
        <v>26</v>
      </c>
      <c r="H28" s="2" t="s">
        <v>66</v>
      </c>
      <c r="I28" s="2" t="s">
        <v>71</v>
      </c>
      <c r="J28" s="2">
        <v>1358.3426101714001</v>
      </c>
      <c r="K28" s="2"/>
      <c r="L28" s="2"/>
      <c r="M28" s="2"/>
      <c r="N28" s="2"/>
      <c r="P28" s="2" t="s">
        <v>96</v>
      </c>
      <c r="Q28" s="2">
        <f>Q27</f>
        <v>16.0002</v>
      </c>
      <c r="R28" s="2"/>
      <c r="S28" s="2">
        <f t="shared" si="4"/>
        <v>16.0002</v>
      </c>
      <c r="U28" s="1" t="s">
        <v>26</v>
      </c>
      <c r="V28" s="2">
        <f t="shared" si="3"/>
        <v>84.89535194381321</v>
      </c>
      <c r="W28" s="2">
        <f t="shared" si="3"/>
        <v>0</v>
      </c>
      <c r="X28" s="2">
        <f t="shared" si="3"/>
        <v>0</v>
      </c>
      <c r="Y28" s="2">
        <f t="shared" si="3"/>
        <v>0</v>
      </c>
    </row>
    <row r="29" spans="1:25">
      <c r="A29" s="1" t="s">
        <v>27</v>
      </c>
      <c r="B29" s="2">
        <f t="shared" si="2"/>
        <v>0</v>
      </c>
      <c r="C29" s="2">
        <f t="shared" si="2"/>
        <v>0</v>
      </c>
      <c r="D29" s="2">
        <f t="shared" si="2"/>
        <v>782.03662737184743</v>
      </c>
      <c r="E29" s="2">
        <f t="shared" si="2"/>
        <v>0</v>
      </c>
      <c r="G29" s="2" t="s">
        <v>27</v>
      </c>
      <c r="H29" s="2" t="s">
        <v>55</v>
      </c>
      <c r="I29" s="2" t="s">
        <v>72</v>
      </c>
      <c r="J29" s="2"/>
      <c r="K29" s="2"/>
      <c r="L29" s="2">
        <v>12512.742445275033</v>
      </c>
      <c r="M29" s="2"/>
      <c r="N29" s="2"/>
      <c r="P29" s="2" t="s">
        <v>96</v>
      </c>
      <c r="Q29" s="2">
        <f>Q28</f>
        <v>16.0002</v>
      </c>
      <c r="R29" s="2"/>
      <c r="S29" s="2">
        <f t="shared" si="4"/>
        <v>16.0002</v>
      </c>
      <c r="U29" s="1" t="s">
        <v>27</v>
      </c>
      <c r="V29" s="2">
        <f t="shared" si="3"/>
        <v>0</v>
      </c>
      <c r="W29" s="2">
        <f t="shared" si="3"/>
        <v>0</v>
      </c>
      <c r="X29" s="2">
        <f t="shared" si="3"/>
        <v>782.03662737184743</v>
      </c>
      <c r="Y29" s="2">
        <f t="shared" si="3"/>
        <v>0</v>
      </c>
    </row>
    <row r="30" spans="1:25">
      <c r="A30" s="1" t="s">
        <v>28</v>
      </c>
      <c r="B30" s="2">
        <f t="shared" si="2"/>
        <v>0</v>
      </c>
      <c r="C30" s="2">
        <f t="shared" si="2"/>
        <v>0</v>
      </c>
      <c r="D30" s="2">
        <f t="shared" si="2"/>
        <v>235.30573976441033</v>
      </c>
      <c r="E30" s="2">
        <f t="shared" si="2"/>
        <v>0</v>
      </c>
      <c r="G30" s="2" t="s">
        <v>28</v>
      </c>
      <c r="H30" s="2" t="s">
        <v>66</v>
      </c>
      <c r="I30" s="2" t="s">
        <v>73</v>
      </c>
      <c r="J30" s="2"/>
      <c r="K30" s="2"/>
      <c r="L30" s="2">
        <v>3764.938897378518</v>
      </c>
      <c r="M30" s="2"/>
      <c r="N30" s="2"/>
      <c r="P30" s="2" t="s">
        <v>96</v>
      </c>
      <c r="Q30" s="2">
        <f>Q29</f>
        <v>16.0002</v>
      </c>
      <c r="R30" s="2"/>
      <c r="S30" s="2">
        <f t="shared" si="4"/>
        <v>16.0002</v>
      </c>
      <c r="U30" s="1" t="s">
        <v>28</v>
      </c>
      <c r="V30" s="2">
        <f t="shared" si="3"/>
        <v>0</v>
      </c>
      <c r="W30" s="2">
        <f t="shared" si="3"/>
        <v>0</v>
      </c>
      <c r="X30" s="2">
        <f t="shared" si="3"/>
        <v>235.30573976441033</v>
      </c>
      <c r="Y30" s="2">
        <f t="shared" si="3"/>
        <v>0</v>
      </c>
    </row>
    <row r="31" spans="1:25">
      <c r="A31" s="1" t="s">
        <v>29</v>
      </c>
      <c r="B31" s="2">
        <f t="shared" si="2"/>
        <v>0</v>
      </c>
      <c r="C31" s="2">
        <f t="shared" si="2"/>
        <v>0</v>
      </c>
      <c r="D31" s="2">
        <f t="shared" si="2"/>
        <v>12.151140289711323</v>
      </c>
      <c r="E31" s="2">
        <f t="shared" si="2"/>
        <v>0</v>
      </c>
      <c r="G31" s="2" t="s">
        <v>29</v>
      </c>
      <c r="H31" s="2" t="s">
        <v>66</v>
      </c>
      <c r="I31" s="2" t="s">
        <v>74</v>
      </c>
      <c r="J31" s="2"/>
      <c r="K31" s="2"/>
      <c r="L31" s="2">
        <v>194.4206748634391</v>
      </c>
      <c r="M31" s="2"/>
      <c r="N31" s="2"/>
      <c r="P31" s="2" t="s">
        <v>96</v>
      </c>
      <c r="Q31" s="2">
        <f>Q30</f>
        <v>16.0002</v>
      </c>
      <c r="R31" s="2"/>
      <c r="S31" s="2">
        <f t="shared" si="4"/>
        <v>16.0002</v>
      </c>
      <c r="U31" s="1" t="s">
        <v>29</v>
      </c>
      <c r="V31" s="2">
        <f t="shared" si="3"/>
        <v>0</v>
      </c>
      <c r="W31" s="2">
        <f t="shared" si="3"/>
        <v>0</v>
      </c>
      <c r="X31" s="2">
        <f t="shared" si="3"/>
        <v>12.151140289711323</v>
      </c>
      <c r="Y31" s="2">
        <f t="shared" si="3"/>
        <v>0</v>
      </c>
    </row>
    <row r="32" spans="1:25">
      <c r="A32" s="1" t="s">
        <v>30</v>
      </c>
      <c r="B32" s="2">
        <f t="shared" si="2"/>
        <v>0</v>
      </c>
      <c r="C32" s="2">
        <f t="shared" si="2"/>
        <v>4633.6010643859481</v>
      </c>
      <c r="D32" s="2">
        <f t="shared" si="2"/>
        <v>0</v>
      </c>
      <c r="E32" s="2">
        <f t="shared" si="2"/>
        <v>0</v>
      </c>
      <c r="G32" s="2" t="s">
        <v>30</v>
      </c>
      <c r="H32" s="2" t="s">
        <v>66</v>
      </c>
      <c r="I32" s="2" t="s">
        <v>75</v>
      </c>
      <c r="J32" s="2"/>
      <c r="K32" s="2">
        <v>74138.543750388038</v>
      </c>
      <c r="L32" s="2"/>
      <c r="M32" s="2"/>
      <c r="N32" s="2"/>
      <c r="P32" s="2" t="s">
        <v>96</v>
      </c>
      <c r="Q32" s="2">
        <f>Q31</f>
        <v>16.0002</v>
      </c>
      <c r="R32" s="2"/>
      <c r="S32" s="2">
        <f t="shared" si="4"/>
        <v>16.0002</v>
      </c>
      <c r="U32" s="1" t="s">
        <v>30</v>
      </c>
      <c r="V32" s="2">
        <f t="shared" si="3"/>
        <v>0</v>
      </c>
      <c r="W32" s="2">
        <f t="shared" si="3"/>
        <v>4633.6010643859481</v>
      </c>
      <c r="X32" s="2">
        <f t="shared" si="3"/>
        <v>0</v>
      </c>
      <c r="Y32" s="2">
        <f t="shared" si="3"/>
        <v>0</v>
      </c>
    </row>
    <row r="33" spans="1:25">
      <c r="A33" s="1" t="s">
        <v>31</v>
      </c>
      <c r="B33" s="2">
        <f t="shared" si="2"/>
        <v>0</v>
      </c>
      <c r="C33" s="2">
        <f t="shared" si="2"/>
        <v>228.98219302287717</v>
      </c>
      <c r="D33" s="2">
        <f t="shared" si="2"/>
        <v>0</v>
      </c>
      <c r="E33" s="2">
        <f t="shared" si="2"/>
        <v>0</v>
      </c>
      <c r="G33" s="2" t="s">
        <v>31</v>
      </c>
      <c r="H33" s="2" t="s">
        <v>76</v>
      </c>
      <c r="I33" s="2" t="s">
        <v>77</v>
      </c>
      <c r="J33" s="2"/>
      <c r="K33" s="2">
        <v>8716.6193453632604</v>
      </c>
      <c r="L33" s="2"/>
      <c r="M33" s="2"/>
      <c r="N33" s="2"/>
      <c r="P33" s="2" t="s">
        <v>97</v>
      </c>
      <c r="Q33" s="2">
        <v>38.066800000000001</v>
      </c>
      <c r="R33" s="2"/>
      <c r="S33" s="2">
        <f t="shared" si="4"/>
        <v>38.066800000000001</v>
      </c>
      <c r="U33" s="1" t="s">
        <v>31</v>
      </c>
      <c r="V33" s="2">
        <f t="shared" si="3"/>
        <v>0</v>
      </c>
      <c r="W33" s="2">
        <f t="shared" si="3"/>
        <v>228.98219302287717</v>
      </c>
      <c r="X33" s="2">
        <f t="shared" si="3"/>
        <v>0</v>
      </c>
      <c r="Y33" s="2">
        <f t="shared" si="3"/>
        <v>0</v>
      </c>
    </row>
    <row r="34" spans="1:25">
      <c r="A34" s="1" t="s">
        <v>32</v>
      </c>
      <c r="B34" s="2">
        <f t="shared" si="2"/>
        <v>0</v>
      </c>
      <c r="C34" s="2">
        <f t="shared" si="2"/>
        <v>5.3048892434812062E-2</v>
      </c>
      <c r="D34" s="2">
        <f t="shared" si="2"/>
        <v>3.7655240612210351E-2</v>
      </c>
      <c r="E34" s="2">
        <f t="shared" si="2"/>
        <v>0</v>
      </c>
      <c r="G34" s="2" t="s">
        <v>32</v>
      </c>
      <c r="H34" s="2" t="s">
        <v>76</v>
      </c>
      <c r="I34" s="2" t="s">
        <v>78</v>
      </c>
      <c r="J34" s="2"/>
      <c r="K34" s="2">
        <v>2.0194015785375039</v>
      </c>
      <c r="L34" s="2">
        <v>1.433414513336889</v>
      </c>
      <c r="M34" s="2"/>
      <c r="N34" s="2"/>
      <c r="P34" s="2" t="s">
        <v>97</v>
      </c>
      <c r="Q34" s="2">
        <f>Q33</f>
        <v>38.066800000000001</v>
      </c>
      <c r="R34" s="2"/>
      <c r="S34" s="2">
        <f t="shared" si="4"/>
        <v>38.066800000000001</v>
      </c>
      <c r="U34" s="1" t="s">
        <v>32</v>
      </c>
      <c r="V34" s="2">
        <f t="shared" si="3"/>
        <v>0</v>
      </c>
      <c r="W34" s="2">
        <f t="shared" si="3"/>
        <v>5.3048892434812062E-2</v>
      </c>
      <c r="X34" s="2">
        <f t="shared" si="3"/>
        <v>3.7655240612210351E-2</v>
      </c>
      <c r="Y34" s="2">
        <f t="shared" si="3"/>
        <v>0</v>
      </c>
    </row>
    <row r="35" spans="1:25">
      <c r="A35" s="1" t="s">
        <v>33</v>
      </c>
      <c r="B35" s="2">
        <f t="shared" si="2"/>
        <v>1.8966868079740091</v>
      </c>
      <c r="C35" s="2">
        <f t="shared" si="2"/>
        <v>4.7848449822375017</v>
      </c>
      <c r="D35" s="2">
        <f t="shared" si="2"/>
        <v>0.34677857491648562</v>
      </c>
      <c r="E35" s="2">
        <f t="shared" si="2"/>
        <v>0</v>
      </c>
      <c r="G35" s="2" t="s">
        <v>33</v>
      </c>
      <c r="H35" s="2" t="s">
        <v>76</v>
      </c>
      <c r="I35" s="2" t="s">
        <v>57</v>
      </c>
      <c r="J35" s="2">
        <v>72.200797381785009</v>
      </c>
      <c r="K35" s="2">
        <v>182.14373696983853</v>
      </c>
      <c r="L35" s="2">
        <v>13.200750655630875</v>
      </c>
      <c r="M35" s="2"/>
      <c r="N35" s="2"/>
      <c r="P35" s="2" t="s">
        <v>97</v>
      </c>
      <c r="Q35" s="2">
        <f>Q33</f>
        <v>38.066800000000001</v>
      </c>
      <c r="R35" s="2"/>
      <c r="S35" s="2">
        <f t="shared" si="4"/>
        <v>38.066800000000001</v>
      </c>
      <c r="U35" s="1" t="s">
        <v>33</v>
      </c>
      <c r="V35" s="2">
        <f t="shared" si="3"/>
        <v>1.8966868079740091</v>
      </c>
      <c r="W35" s="2">
        <f t="shared" si="3"/>
        <v>4.7848449822375017</v>
      </c>
      <c r="X35" s="2">
        <f t="shared" si="3"/>
        <v>0.34677857491648562</v>
      </c>
      <c r="Y35" s="2">
        <f t="shared" si="3"/>
        <v>0</v>
      </c>
    </row>
    <row r="36" spans="1:25">
      <c r="A36" s="1" t="s">
        <v>34</v>
      </c>
      <c r="B36" s="2">
        <f t="shared" si="2"/>
        <v>0</v>
      </c>
      <c r="C36" s="2">
        <f t="shared" si="2"/>
        <v>511.36797301091826</v>
      </c>
      <c r="D36" s="2">
        <f t="shared" si="2"/>
        <v>44.541636594848846</v>
      </c>
      <c r="E36" s="2">
        <f t="shared" si="2"/>
        <v>0</v>
      </c>
      <c r="G36" s="2" t="s">
        <v>34</v>
      </c>
      <c r="H36" s="2" t="s">
        <v>76</v>
      </c>
      <c r="I36" s="2" t="s">
        <v>79</v>
      </c>
      <c r="J36" s="2"/>
      <c r="K36" s="2">
        <v>19466.142355012023</v>
      </c>
      <c r="L36" s="2">
        <v>1695.5575719287922</v>
      </c>
      <c r="M36" s="2"/>
      <c r="N36" s="2"/>
      <c r="P36" s="2" t="s">
        <v>97</v>
      </c>
      <c r="Q36" s="2">
        <f>Q33</f>
        <v>38.066800000000001</v>
      </c>
      <c r="R36" s="2"/>
      <c r="S36" s="2">
        <f t="shared" si="4"/>
        <v>38.066800000000001</v>
      </c>
      <c r="U36" s="1" t="s">
        <v>34</v>
      </c>
      <c r="V36" s="2">
        <f t="shared" si="3"/>
        <v>0</v>
      </c>
      <c r="W36" s="2">
        <f t="shared" si="3"/>
        <v>511.36797301091826</v>
      </c>
      <c r="X36" s="2">
        <f t="shared" si="3"/>
        <v>44.541636594848846</v>
      </c>
      <c r="Y36" s="2">
        <f t="shared" si="3"/>
        <v>0</v>
      </c>
    </row>
    <row r="37" spans="1:25">
      <c r="A37" s="1" t="s">
        <v>35</v>
      </c>
      <c r="B37" s="2">
        <f t="shared" si="2"/>
        <v>0</v>
      </c>
      <c r="C37" s="2">
        <f t="shared" si="2"/>
        <v>0</v>
      </c>
      <c r="D37" s="2">
        <f t="shared" si="2"/>
        <v>69.128760267112355</v>
      </c>
      <c r="E37" s="2">
        <f t="shared" si="2"/>
        <v>0</v>
      </c>
      <c r="G37" s="2" t="s">
        <v>35</v>
      </c>
      <c r="H37" s="2" t="s">
        <v>55</v>
      </c>
      <c r="I37" s="2" t="s">
        <v>80</v>
      </c>
      <c r="J37" s="2"/>
      <c r="K37" s="2"/>
      <c r="L37" s="2">
        <v>2631.5106913361128</v>
      </c>
      <c r="M37" s="2"/>
      <c r="N37" s="2"/>
      <c r="P37" s="2" t="s">
        <v>97</v>
      </c>
      <c r="Q37" s="2">
        <f>Q33</f>
        <v>38.066800000000001</v>
      </c>
      <c r="R37" s="2"/>
      <c r="S37" s="2">
        <f t="shared" si="4"/>
        <v>38.066800000000001</v>
      </c>
      <c r="U37" s="1" t="s">
        <v>35</v>
      </c>
      <c r="V37" s="2">
        <f t="shared" si="3"/>
        <v>0</v>
      </c>
      <c r="W37" s="2">
        <f t="shared" si="3"/>
        <v>0</v>
      </c>
      <c r="X37" s="2">
        <f t="shared" si="3"/>
        <v>69.128760267112355</v>
      </c>
      <c r="Y37" s="2">
        <f t="shared" si="3"/>
        <v>0</v>
      </c>
    </row>
    <row r="38" spans="1:25">
      <c r="A38" s="1" t="s">
        <v>36</v>
      </c>
      <c r="B38" s="2">
        <f t="shared" si="2"/>
        <v>0</v>
      </c>
      <c r="C38" s="2">
        <f t="shared" si="2"/>
        <v>0</v>
      </c>
      <c r="D38" s="2">
        <f t="shared" si="2"/>
        <v>0</v>
      </c>
      <c r="E38" s="2">
        <f t="shared" si="2"/>
        <v>0</v>
      </c>
      <c r="G38" s="2" t="s">
        <v>36</v>
      </c>
      <c r="H38" s="2" t="s">
        <v>55</v>
      </c>
      <c r="I38" s="2" t="s">
        <v>81</v>
      </c>
      <c r="J38" s="2"/>
      <c r="K38" s="2"/>
      <c r="L38" s="2"/>
      <c r="M38" s="2"/>
      <c r="N38" s="2"/>
      <c r="P38" s="2" t="s">
        <v>97</v>
      </c>
      <c r="Q38" s="2">
        <f>Q33</f>
        <v>38.066800000000001</v>
      </c>
      <c r="R38" s="2"/>
      <c r="S38" s="2">
        <f t="shared" si="4"/>
        <v>38.066800000000001</v>
      </c>
      <c r="U38" s="1" t="s">
        <v>36</v>
      </c>
      <c r="V38" s="2">
        <f t="shared" si="3"/>
        <v>0</v>
      </c>
      <c r="W38" s="2">
        <f t="shared" si="3"/>
        <v>0</v>
      </c>
      <c r="X38" s="2">
        <f t="shared" si="3"/>
        <v>0</v>
      </c>
      <c r="Y38" s="2">
        <f t="shared" si="3"/>
        <v>0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38"/>
  <sheetViews>
    <sheetView zoomScale="70" zoomScaleNormal="70" workbookViewId="0">
      <selection activeCell="Q33" sqref="Q33"/>
    </sheetView>
  </sheetViews>
  <sheetFormatPr defaultRowHeight="14.4"/>
  <cols>
    <col min="1" max="1" width="12.77734375" bestFit="1" customWidth="1"/>
    <col min="7" max="7" width="32.33203125" bestFit="1" customWidth="1"/>
    <col min="8" max="8" width="15" bestFit="1" customWidth="1"/>
    <col min="9" max="9" width="33.44140625" bestFit="1" customWidth="1"/>
    <col min="10" max="14" width="12.33203125" bestFit="1" customWidth="1"/>
    <col min="16" max="16" width="73.109375" bestFit="1" customWidth="1"/>
  </cols>
  <sheetData>
    <row r="1" spans="1:25">
      <c r="A1" s="2"/>
      <c r="B1" s="3" t="s">
        <v>37</v>
      </c>
      <c r="C1" s="3" t="s">
        <v>38</v>
      </c>
      <c r="D1" s="3" t="s">
        <v>39</v>
      </c>
      <c r="E1" s="3" t="s">
        <v>40</v>
      </c>
      <c r="G1" s="7" t="s">
        <v>84</v>
      </c>
      <c r="H1" s="7" t="s">
        <v>85</v>
      </c>
      <c r="I1" s="7" t="s">
        <v>86</v>
      </c>
      <c r="J1" s="7" t="s">
        <v>37</v>
      </c>
      <c r="K1" s="7" t="s">
        <v>38</v>
      </c>
      <c r="L1" s="7" t="s">
        <v>39</v>
      </c>
      <c r="M1" s="7" t="s">
        <v>83</v>
      </c>
      <c r="N1" s="7" t="s">
        <v>82</v>
      </c>
      <c r="P1" s="8" t="s">
        <v>98</v>
      </c>
      <c r="Q1" s="10" t="s">
        <v>100</v>
      </c>
      <c r="R1" s="10" t="s">
        <v>101</v>
      </c>
      <c r="S1" s="10" t="s">
        <v>102</v>
      </c>
      <c r="U1" s="2"/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1" t="s">
        <v>0</v>
      </c>
      <c r="B2" s="6"/>
      <c r="C2" s="6"/>
      <c r="D2" s="6"/>
      <c r="E2" s="6"/>
      <c r="G2" s="2" t="s">
        <v>0</v>
      </c>
      <c r="H2" s="2" t="s">
        <v>41</v>
      </c>
      <c r="I2" s="2" t="s">
        <v>42</v>
      </c>
      <c r="J2" s="2">
        <v>1279082.0456067838</v>
      </c>
      <c r="K2" s="2">
        <v>1003.9336230000426</v>
      </c>
      <c r="L2" s="2">
        <v>12432.696908027823</v>
      </c>
      <c r="M2" s="2"/>
      <c r="N2" s="2">
        <v>72420.298546006161</v>
      </c>
      <c r="P2" s="2"/>
      <c r="Q2" s="2"/>
      <c r="R2" s="2"/>
      <c r="S2" s="2"/>
      <c r="U2" s="1" t="s">
        <v>0</v>
      </c>
      <c r="V2" s="6"/>
      <c r="W2" s="6"/>
      <c r="X2" s="6"/>
      <c r="Y2" s="6"/>
    </row>
    <row r="3" spans="1:25">
      <c r="A3" s="1" t="s">
        <v>1</v>
      </c>
      <c r="B3" s="6"/>
      <c r="C3" s="6"/>
      <c r="D3" s="6"/>
      <c r="E3" s="6"/>
      <c r="G3" s="2" t="s">
        <v>1</v>
      </c>
      <c r="H3" s="2" t="s">
        <v>41</v>
      </c>
      <c r="I3" s="2" t="s">
        <v>43</v>
      </c>
      <c r="J3" s="2">
        <v>65779.491660583211</v>
      </c>
      <c r="K3" s="2">
        <v>34.910697306590606</v>
      </c>
      <c r="L3" s="2">
        <v>33.714915399970849</v>
      </c>
      <c r="M3" s="2"/>
      <c r="N3" s="2"/>
      <c r="P3" s="2"/>
      <c r="Q3" s="2"/>
      <c r="R3" s="2"/>
      <c r="S3" s="2"/>
      <c r="U3" s="1" t="s">
        <v>1</v>
      </c>
      <c r="V3" s="6"/>
      <c r="W3" s="6"/>
      <c r="X3" s="6"/>
      <c r="Y3" s="6"/>
    </row>
    <row r="4" spans="1:25">
      <c r="A4" s="1" t="s">
        <v>2</v>
      </c>
      <c r="B4" s="6"/>
      <c r="C4" s="6"/>
      <c r="D4" s="6"/>
      <c r="E4" s="6"/>
      <c r="G4" s="2" t="s">
        <v>2</v>
      </c>
      <c r="H4" s="2" t="s">
        <v>44</v>
      </c>
      <c r="I4" s="2" t="s">
        <v>45</v>
      </c>
      <c r="J4" s="2">
        <v>618716.85902686918</v>
      </c>
      <c r="K4" s="2">
        <v>3866.0635364299469</v>
      </c>
      <c r="L4" s="2">
        <v>5073.5799830193182</v>
      </c>
      <c r="M4" s="2"/>
      <c r="N4" s="2">
        <v>497071.56014956447</v>
      </c>
      <c r="P4" s="2"/>
      <c r="Q4" s="2"/>
      <c r="R4" s="2"/>
      <c r="S4" s="2"/>
      <c r="U4" s="1" t="s">
        <v>2</v>
      </c>
      <c r="V4" s="6"/>
      <c r="W4" s="6"/>
      <c r="X4" s="6"/>
      <c r="Y4" s="6"/>
    </row>
    <row r="5" spans="1:25">
      <c r="A5" s="1" t="s">
        <v>3</v>
      </c>
      <c r="B5" s="6"/>
      <c r="C5" s="6"/>
      <c r="D5" s="6"/>
      <c r="E5" s="6"/>
      <c r="G5" s="2" t="s">
        <v>3</v>
      </c>
      <c r="H5" s="2" t="s">
        <v>46</v>
      </c>
      <c r="I5" s="2" t="s">
        <v>47</v>
      </c>
      <c r="J5" s="2">
        <v>13306.971778229505</v>
      </c>
      <c r="K5" s="2">
        <v>2.6066172458285779</v>
      </c>
      <c r="L5" s="2">
        <v>98.679081449223176</v>
      </c>
      <c r="M5" s="2"/>
      <c r="N5" s="2"/>
      <c r="P5" s="2"/>
      <c r="Q5" s="2"/>
      <c r="R5" s="2"/>
      <c r="S5" s="2"/>
      <c r="U5" s="1" t="s">
        <v>3</v>
      </c>
      <c r="V5" s="6"/>
      <c r="W5" s="6"/>
      <c r="X5" s="6"/>
      <c r="Y5" s="6"/>
    </row>
    <row r="6" spans="1:25">
      <c r="A6" s="1" t="s">
        <v>4</v>
      </c>
      <c r="B6" s="6"/>
      <c r="C6" s="6"/>
      <c r="D6" s="6"/>
      <c r="E6" s="6"/>
      <c r="G6" s="2" t="s">
        <v>4</v>
      </c>
      <c r="H6" s="2" t="s">
        <v>46</v>
      </c>
      <c r="I6" s="2" t="s">
        <v>48</v>
      </c>
      <c r="J6" s="2">
        <v>351698.61560812121</v>
      </c>
      <c r="K6" s="2">
        <v>2526.3249141713172</v>
      </c>
      <c r="L6" s="2">
        <v>7735.6988207642198</v>
      </c>
      <c r="M6" s="2"/>
      <c r="N6" s="2">
        <v>2722.8090370606001</v>
      </c>
      <c r="P6" s="2"/>
      <c r="Q6" s="2"/>
      <c r="R6" s="2"/>
      <c r="S6" s="2"/>
      <c r="U6" s="1" t="s">
        <v>4</v>
      </c>
      <c r="V6" s="6"/>
      <c r="W6" s="6"/>
      <c r="X6" s="6"/>
      <c r="Y6" s="6"/>
    </row>
    <row r="7" spans="1:25">
      <c r="A7" s="1" t="s">
        <v>5</v>
      </c>
      <c r="B7" s="6"/>
      <c r="C7" s="6"/>
      <c r="D7" s="6"/>
      <c r="E7" s="6"/>
      <c r="G7" s="2" t="s">
        <v>5</v>
      </c>
      <c r="H7" s="2" t="s">
        <v>46</v>
      </c>
      <c r="I7" s="2" t="s">
        <v>49</v>
      </c>
      <c r="J7" s="2">
        <v>10247.168567521701</v>
      </c>
      <c r="K7" s="2">
        <v>16.069800741287676</v>
      </c>
      <c r="L7" s="2">
        <v>1047.811180177001</v>
      </c>
      <c r="M7" s="2"/>
      <c r="N7" s="2"/>
      <c r="P7" s="2"/>
      <c r="Q7" s="2"/>
      <c r="R7" s="2"/>
      <c r="S7" s="2"/>
      <c r="U7" s="1" t="s">
        <v>5</v>
      </c>
      <c r="V7" s="6"/>
      <c r="W7" s="6"/>
      <c r="X7" s="6"/>
      <c r="Y7" s="6"/>
    </row>
    <row r="8" spans="1:25">
      <c r="A8" s="1" t="s">
        <v>6</v>
      </c>
      <c r="B8" s="6"/>
      <c r="C8" s="6"/>
      <c r="D8" s="6"/>
      <c r="E8" s="6"/>
      <c r="G8" s="2" t="s">
        <v>6</v>
      </c>
      <c r="H8" s="2" t="s">
        <v>46</v>
      </c>
      <c r="I8" s="2" t="s">
        <v>50</v>
      </c>
      <c r="J8" s="2">
        <v>7038.8139508738514</v>
      </c>
      <c r="K8" s="2">
        <v>18.339084877259229</v>
      </c>
      <c r="L8" s="2">
        <v>49.590382576262549</v>
      </c>
      <c r="M8" s="2"/>
      <c r="N8" s="2"/>
      <c r="P8" s="2"/>
      <c r="Q8" s="2"/>
      <c r="R8" s="2"/>
      <c r="S8" s="2"/>
      <c r="U8" s="1" t="s">
        <v>6</v>
      </c>
      <c r="V8" s="6"/>
      <c r="W8" s="6"/>
      <c r="X8" s="6"/>
      <c r="Y8" s="6"/>
    </row>
    <row r="9" spans="1:25">
      <c r="A9" s="1" t="s">
        <v>7</v>
      </c>
      <c r="B9" s="6"/>
      <c r="C9" s="6"/>
      <c r="D9" s="6"/>
      <c r="E9" s="6"/>
      <c r="G9" s="2" t="s">
        <v>7</v>
      </c>
      <c r="H9" s="2" t="s">
        <v>46</v>
      </c>
      <c r="I9" s="2" t="s">
        <v>51</v>
      </c>
      <c r="J9" s="2">
        <v>1439.4825545774238</v>
      </c>
      <c r="K9" s="2">
        <v>0.95092688252015178</v>
      </c>
      <c r="L9" s="2">
        <v>1.2978415143740574</v>
      </c>
      <c r="M9" s="2"/>
      <c r="N9" s="2"/>
      <c r="P9" s="2"/>
      <c r="Q9" s="2"/>
      <c r="R9" s="2"/>
      <c r="S9" s="2"/>
      <c r="U9" s="1" t="s">
        <v>7</v>
      </c>
      <c r="V9" s="6"/>
      <c r="W9" s="6"/>
      <c r="X9" s="6"/>
      <c r="Y9" s="6"/>
    </row>
    <row r="10" spans="1:25">
      <c r="A10" s="1" t="s">
        <v>8</v>
      </c>
      <c r="B10" s="6"/>
      <c r="C10" s="6"/>
      <c r="D10" s="6"/>
      <c r="E10" s="6"/>
      <c r="G10" s="2" t="s">
        <v>8</v>
      </c>
      <c r="H10" s="2" t="s">
        <v>52</v>
      </c>
      <c r="I10" s="2" t="s">
        <v>53</v>
      </c>
      <c r="J10" s="2">
        <v>196512.15470684005</v>
      </c>
      <c r="K10" s="2">
        <v>56544.994429856612</v>
      </c>
      <c r="L10" s="2">
        <v>11711.33209713215</v>
      </c>
      <c r="M10" s="2"/>
      <c r="N10" s="2">
        <v>662063.03673194605</v>
      </c>
      <c r="P10" s="2"/>
      <c r="Q10" s="2"/>
      <c r="R10" s="2"/>
      <c r="S10" s="2"/>
      <c r="U10" s="1" t="s">
        <v>8</v>
      </c>
      <c r="V10" s="6"/>
      <c r="W10" s="6"/>
      <c r="X10" s="6"/>
      <c r="Y10" s="6"/>
    </row>
    <row r="11" spans="1:25">
      <c r="A11" s="1" t="s">
        <v>9</v>
      </c>
      <c r="B11" s="6"/>
      <c r="C11" s="6"/>
      <c r="D11" s="6"/>
      <c r="E11" s="6"/>
      <c r="G11" s="2" t="s">
        <v>9</v>
      </c>
      <c r="H11" s="2" t="s">
        <v>54</v>
      </c>
      <c r="I11" s="2" t="s">
        <v>55</v>
      </c>
      <c r="J11" s="2">
        <v>36368.491321094079</v>
      </c>
      <c r="K11" s="2">
        <v>1753.6616763278948</v>
      </c>
      <c r="L11" s="2">
        <v>114.53525016615413</v>
      </c>
      <c r="M11" s="2"/>
      <c r="N11" s="2">
        <v>7.2377816642011563</v>
      </c>
      <c r="P11" s="2"/>
      <c r="Q11" s="2"/>
      <c r="R11" s="2"/>
      <c r="S11" s="2"/>
      <c r="U11" s="1" t="s">
        <v>9</v>
      </c>
      <c r="V11" s="6"/>
      <c r="W11" s="6"/>
      <c r="X11" s="6"/>
      <c r="Y11" s="6"/>
    </row>
    <row r="12" spans="1:25">
      <c r="A12" s="1" t="s">
        <v>10</v>
      </c>
      <c r="B12" s="2">
        <f>V12</f>
        <v>2624.5514512650184</v>
      </c>
      <c r="C12" s="2">
        <f t="shared" ref="C12:E27" si="0">W12</f>
        <v>7788.3876005452612</v>
      </c>
      <c r="D12" s="2">
        <f t="shared" si="0"/>
        <v>14.34278217292252</v>
      </c>
      <c r="E12" s="2">
        <f t="shared" si="0"/>
        <v>0</v>
      </c>
      <c r="G12" s="2" t="s">
        <v>10</v>
      </c>
      <c r="H12" s="2" t="s">
        <v>56</v>
      </c>
      <c r="I12" s="2" t="s">
        <v>57</v>
      </c>
      <c r="J12" s="2">
        <v>20160.2032722326</v>
      </c>
      <c r="K12" s="2">
        <v>59825.642630952367</v>
      </c>
      <c r="L12" s="2">
        <v>110.17250355526532</v>
      </c>
      <c r="M12" s="2"/>
      <c r="N12" s="2"/>
      <c r="P12" s="2" t="s">
        <v>88</v>
      </c>
      <c r="Q12" s="2">
        <v>7.6813900000000004</v>
      </c>
      <c r="R12" s="2"/>
      <c r="S12" s="2">
        <f>SUM(Q12:R12)</f>
        <v>7.6813900000000004</v>
      </c>
      <c r="U12" s="1" t="s">
        <v>10</v>
      </c>
      <c r="V12" s="2">
        <f>J12/$S12</f>
        <v>2624.5514512650184</v>
      </c>
      <c r="W12" s="2">
        <f t="shared" ref="W12:Y27" si="1">K12/$S12</f>
        <v>7788.3876005452612</v>
      </c>
      <c r="X12" s="2">
        <f t="shared" si="1"/>
        <v>14.34278217292252</v>
      </c>
      <c r="Y12" s="2">
        <f t="shared" si="1"/>
        <v>0</v>
      </c>
    </row>
    <row r="13" spans="1:25">
      <c r="A13" s="1" t="s">
        <v>11</v>
      </c>
      <c r="B13" s="2">
        <f t="shared" ref="B13:E38" si="2">V13</f>
        <v>181.32274968602442</v>
      </c>
      <c r="C13" s="2">
        <f t="shared" si="0"/>
        <v>2714.9531428637633</v>
      </c>
      <c r="D13" s="2">
        <f t="shared" si="0"/>
        <v>0.68850059184925538</v>
      </c>
      <c r="E13" s="2">
        <f t="shared" si="0"/>
        <v>0</v>
      </c>
      <c r="G13" s="2" t="s">
        <v>11</v>
      </c>
      <c r="H13" s="2" t="s">
        <v>56</v>
      </c>
      <c r="I13" s="2" t="s">
        <v>58</v>
      </c>
      <c r="J13" s="2">
        <v>3095.1049948130658</v>
      </c>
      <c r="K13" s="2">
        <v>46343.137017895868</v>
      </c>
      <c r="L13" s="2">
        <v>11.752422817624133</v>
      </c>
      <c r="M13" s="2"/>
      <c r="N13" s="2">
        <v>3402.0146718750002</v>
      </c>
      <c r="P13" s="2" t="s">
        <v>99</v>
      </c>
      <c r="Q13">
        <v>13.1614</v>
      </c>
      <c r="R13">
        <v>3.9081899999999998</v>
      </c>
      <c r="S13" s="2">
        <f>SUM(Q13:R13)</f>
        <v>17.069590000000002</v>
      </c>
      <c r="U13" s="1" t="s">
        <v>11</v>
      </c>
      <c r="V13" s="2">
        <f t="shared" ref="V13:Y38" si="3">J13/$S13</f>
        <v>181.32274968602442</v>
      </c>
      <c r="W13" s="2">
        <f t="shared" si="1"/>
        <v>2714.9531428637633</v>
      </c>
      <c r="X13" s="2">
        <f t="shared" si="1"/>
        <v>0.68850059184925538</v>
      </c>
      <c r="Y13" s="2">
        <f t="shared" si="1"/>
        <v>0</v>
      </c>
    </row>
    <row r="14" spans="1:25">
      <c r="A14" s="1" t="s">
        <v>12</v>
      </c>
      <c r="B14" s="2">
        <f t="shared" si="2"/>
        <v>17663.302241295445</v>
      </c>
      <c r="C14" s="2">
        <f t="shared" si="0"/>
        <v>0</v>
      </c>
      <c r="D14" s="2">
        <f t="shared" si="0"/>
        <v>0</v>
      </c>
      <c r="E14" s="2">
        <f t="shared" si="0"/>
        <v>0</v>
      </c>
      <c r="G14" s="2" t="s">
        <v>12</v>
      </c>
      <c r="H14" s="2" t="s">
        <v>44</v>
      </c>
      <c r="I14" s="2" t="s">
        <v>59</v>
      </c>
      <c r="J14" s="2">
        <v>147366.69692935201</v>
      </c>
      <c r="K14" s="2"/>
      <c r="L14" s="2"/>
      <c r="M14" s="2"/>
      <c r="N14" s="2"/>
      <c r="P14" s="2" t="s">
        <v>89</v>
      </c>
      <c r="Q14" s="2">
        <v>8.3430999999999997</v>
      </c>
      <c r="R14" s="2"/>
      <c r="S14" s="2">
        <f t="shared" ref="S14:S38" si="4">SUM(Q14:R14)</f>
        <v>8.3430999999999997</v>
      </c>
      <c r="U14" s="1" t="s">
        <v>12</v>
      </c>
      <c r="V14" s="2">
        <f t="shared" si="3"/>
        <v>17663.302241295445</v>
      </c>
      <c r="W14" s="2">
        <f t="shared" si="1"/>
        <v>0</v>
      </c>
      <c r="X14" s="2">
        <f t="shared" si="1"/>
        <v>0</v>
      </c>
      <c r="Y14" s="2">
        <f t="shared" si="1"/>
        <v>0</v>
      </c>
    </row>
    <row r="15" spans="1:25">
      <c r="A15" s="1" t="s">
        <v>13</v>
      </c>
      <c r="B15" s="2">
        <f t="shared" si="2"/>
        <v>1438.3142956455035</v>
      </c>
      <c r="C15" s="2">
        <f t="shared" si="0"/>
        <v>0</v>
      </c>
      <c r="D15" s="2">
        <f t="shared" si="0"/>
        <v>0</v>
      </c>
      <c r="E15" s="2">
        <f t="shared" si="0"/>
        <v>0</v>
      </c>
      <c r="G15" s="2" t="s">
        <v>13</v>
      </c>
      <c r="H15" s="2" t="s">
        <v>44</v>
      </c>
      <c r="I15" s="2" t="s">
        <v>59</v>
      </c>
      <c r="J15" s="2">
        <v>12000</v>
      </c>
      <c r="K15" s="2"/>
      <c r="L15" s="2"/>
      <c r="M15" s="2"/>
      <c r="N15" s="2"/>
      <c r="P15" s="2" t="s">
        <v>89</v>
      </c>
      <c r="Q15" s="2">
        <f>Q14</f>
        <v>8.3430999999999997</v>
      </c>
      <c r="R15" s="2"/>
      <c r="S15" s="2">
        <f t="shared" si="4"/>
        <v>8.3430999999999997</v>
      </c>
      <c r="U15" s="1" t="s">
        <v>13</v>
      </c>
      <c r="V15" s="2">
        <f t="shared" si="3"/>
        <v>1438.3142956455035</v>
      </c>
      <c r="W15" s="2">
        <f t="shared" si="1"/>
        <v>0</v>
      </c>
      <c r="X15" s="2">
        <f t="shared" si="1"/>
        <v>0</v>
      </c>
      <c r="Y15" s="2">
        <f t="shared" si="1"/>
        <v>0</v>
      </c>
    </row>
    <row r="16" spans="1:25">
      <c r="A16" s="1" t="s">
        <v>14</v>
      </c>
      <c r="B16" s="2">
        <f t="shared" si="2"/>
        <v>10.779569212409529</v>
      </c>
      <c r="C16" s="2">
        <f t="shared" si="0"/>
        <v>0</v>
      </c>
      <c r="D16" s="2">
        <f t="shared" si="0"/>
        <v>0</v>
      </c>
      <c r="E16" s="2">
        <f t="shared" si="0"/>
        <v>0</v>
      </c>
      <c r="G16" s="2" t="s">
        <v>14</v>
      </c>
      <c r="H16" s="2" t="s">
        <v>44</v>
      </c>
      <c r="I16" s="2" t="s">
        <v>59</v>
      </c>
      <c r="J16" s="2">
        <v>89.935023896053934</v>
      </c>
      <c r="K16" s="2"/>
      <c r="L16" s="2"/>
      <c r="M16" s="2"/>
      <c r="N16" s="2"/>
      <c r="P16" s="2" t="s">
        <v>89</v>
      </c>
      <c r="Q16" s="2">
        <f>Q15</f>
        <v>8.3430999999999997</v>
      </c>
      <c r="R16" s="2"/>
      <c r="S16" s="2">
        <f t="shared" si="4"/>
        <v>8.3430999999999997</v>
      </c>
      <c r="U16" s="1" t="s">
        <v>14</v>
      </c>
      <c r="V16" s="2">
        <f t="shared" si="3"/>
        <v>10.779569212409529</v>
      </c>
      <c r="W16" s="2">
        <f t="shared" si="1"/>
        <v>0</v>
      </c>
      <c r="X16" s="2">
        <f t="shared" si="1"/>
        <v>0</v>
      </c>
      <c r="Y16" s="2">
        <f t="shared" si="1"/>
        <v>0</v>
      </c>
    </row>
    <row r="17" spans="1:25">
      <c r="A17" s="1" t="s">
        <v>15</v>
      </c>
      <c r="B17" s="2">
        <f t="shared" si="2"/>
        <v>75.47156635209079</v>
      </c>
      <c r="C17" s="2">
        <f t="shared" si="0"/>
        <v>0</v>
      </c>
      <c r="D17" s="2">
        <f t="shared" si="0"/>
        <v>0</v>
      </c>
      <c r="E17" s="2">
        <f t="shared" si="0"/>
        <v>0</v>
      </c>
      <c r="G17" s="2" t="s">
        <v>15</v>
      </c>
      <c r="H17" s="2" t="s">
        <v>44</v>
      </c>
      <c r="I17" s="2" t="s">
        <v>60</v>
      </c>
      <c r="J17" s="2">
        <v>2685.4519154099999</v>
      </c>
      <c r="K17" s="2"/>
      <c r="L17" s="2"/>
      <c r="M17" s="2"/>
      <c r="N17" s="2"/>
      <c r="P17" s="2" t="s">
        <v>90</v>
      </c>
      <c r="Q17" s="2">
        <v>35.582299999999996</v>
      </c>
      <c r="R17" s="2"/>
      <c r="S17" s="2">
        <f t="shared" si="4"/>
        <v>35.582299999999996</v>
      </c>
      <c r="U17" s="1" t="s">
        <v>15</v>
      </c>
      <c r="V17" s="2">
        <f t="shared" si="3"/>
        <v>75.47156635209079</v>
      </c>
      <c r="W17" s="2">
        <f t="shared" si="1"/>
        <v>0</v>
      </c>
      <c r="X17" s="2">
        <f t="shared" si="1"/>
        <v>0</v>
      </c>
      <c r="Y17" s="2">
        <f t="shared" si="1"/>
        <v>0</v>
      </c>
    </row>
    <row r="18" spans="1:25">
      <c r="A18" s="1" t="s">
        <v>16</v>
      </c>
      <c r="B18" s="2">
        <f t="shared" si="2"/>
        <v>1324.9073901146778</v>
      </c>
      <c r="C18" s="2">
        <f t="shared" si="0"/>
        <v>2.6156445692317813</v>
      </c>
      <c r="D18" s="2">
        <f t="shared" si="0"/>
        <v>6.8427351123002174</v>
      </c>
      <c r="E18" s="2">
        <f t="shared" si="0"/>
        <v>0</v>
      </c>
      <c r="G18" s="2" t="s">
        <v>16</v>
      </c>
      <c r="H18" s="2" t="s">
        <v>44</v>
      </c>
      <c r="I18" s="2" t="s">
        <v>61</v>
      </c>
      <c r="J18" s="2">
        <v>47143.252227277495</v>
      </c>
      <c r="K18" s="2">
        <v>93.070649755776003</v>
      </c>
      <c r="L18" s="2">
        <v>243.48025358640001</v>
      </c>
      <c r="M18" s="2">
        <v>0</v>
      </c>
      <c r="N18" s="2"/>
      <c r="P18" s="2" t="s">
        <v>90</v>
      </c>
      <c r="Q18" s="2">
        <f>Q17</f>
        <v>35.582299999999996</v>
      </c>
      <c r="R18" s="2"/>
      <c r="S18" s="2">
        <f t="shared" si="4"/>
        <v>35.582299999999996</v>
      </c>
      <c r="U18" s="1" t="s">
        <v>16</v>
      </c>
      <c r="V18" s="2">
        <f t="shared" si="3"/>
        <v>1324.9073901146778</v>
      </c>
      <c r="W18" s="2">
        <f t="shared" si="1"/>
        <v>2.6156445692317813</v>
      </c>
      <c r="X18" s="2">
        <f t="shared" si="1"/>
        <v>6.8427351123002174</v>
      </c>
      <c r="Y18" s="2">
        <f t="shared" si="1"/>
        <v>0</v>
      </c>
    </row>
    <row r="19" spans="1:25">
      <c r="A19" s="1" t="s">
        <v>17</v>
      </c>
      <c r="B19" s="2">
        <f t="shared" si="2"/>
        <v>2624.8009426355516</v>
      </c>
      <c r="C19" s="2">
        <f t="shared" si="0"/>
        <v>26.26577464758763</v>
      </c>
      <c r="D19" s="2">
        <f t="shared" si="0"/>
        <v>0</v>
      </c>
      <c r="E19" s="2">
        <f t="shared" si="0"/>
        <v>92.241965474687461</v>
      </c>
      <c r="G19" s="2" t="s">
        <v>17</v>
      </c>
      <c r="H19" s="2" t="s">
        <v>44</v>
      </c>
      <c r="I19" s="2" t="s">
        <v>62</v>
      </c>
      <c r="J19" s="2">
        <v>22675.130383240001</v>
      </c>
      <c r="K19" s="2">
        <v>226.90477402558002</v>
      </c>
      <c r="L19" s="2"/>
      <c r="M19" s="2">
        <v>796.85989134273007</v>
      </c>
      <c r="N19" s="2"/>
      <c r="P19" s="2" t="s">
        <v>92</v>
      </c>
      <c r="Q19" s="2">
        <v>8.6387999999999998</v>
      </c>
      <c r="R19" s="2"/>
      <c r="S19" s="2">
        <f t="shared" si="4"/>
        <v>8.6387999999999998</v>
      </c>
      <c r="U19" s="1" t="s">
        <v>17</v>
      </c>
      <c r="V19" s="2">
        <f t="shared" si="3"/>
        <v>2624.8009426355516</v>
      </c>
      <c r="W19" s="2">
        <f t="shared" si="1"/>
        <v>26.26577464758763</v>
      </c>
      <c r="X19" s="2">
        <f t="shared" si="1"/>
        <v>0</v>
      </c>
      <c r="Y19" s="2">
        <f t="shared" si="1"/>
        <v>92.241965474687461</v>
      </c>
    </row>
    <row r="20" spans="1:25">
      <c r="A20" s="1" t="s">
        <v>18</v>
      </c>
      <c r="B20" s="2">
        <f t="shared" si="2"/>
        <v>188.29005593638124</v>
      </c>
      <c r="C20" s="2">
        <f t="shared" si="0"/>
        <v>0</v>
      </c>
      <c r="D20" s="2">
        <f t="shared" si="0"/>
        <v>0</v>
      </c>
      <c r="E20" s="2">
        <f t="shared" si="0"/>
        <v>0</v>
      </c>
      <c r="G20" s="2" t="s">
        <v>18</v>
      </c>
      <c r="H20" s="2" t="s">
        <v>56</v>
      </c>
      <c r="I20" s="2" t="s">
        <v>63</v>
      </c>
      <c r="J20" s="2">
        <v>6699.7932573450971</v>
      </c>
      <c r="K20" s="2"/>
      <c r="L20" s="2"/>
      <c r="M20" s="2"/>
      <c r="N20" s="2"/>
      <c r="P20" s="2" t="s">
        <v>90</v>
      </c>
      <c r="Q20" s="2">
        <f>Q18</f>
        <v>35.582299999999996</v>
      </c>
      <c r="R20" s="2"/>
      <c r="S20" s="2">
        <f t="shared" si="4"/>
        <v>35.582299999999996</v>
      </c>
      <c r="U20" s="1" t="s">
        <v>18</v>
      </c>
      <c r="V20" s="2">
        <f t="shared" si="3"/>
        <v>188.29005593638124</v>
      </c>
      <c r="W20" s="2">
        <f t="shared" si="1"/>
        <v>0</v>
      </c>
      <c r="X20" s="2">
        <f t="shared" si="1"/>
        <v>0</v>
      </c>
      <c r="Y20" s="2">
        <f t="shared" si="1"/>
        <v>0</v>
      </c>
    </row>
    <row r="21" spans="1:25">
      <c r="A21" s="1" t="s">
        <v>19</v>
      </c>
      <c r="B21" s="2">
        <f t="shared" si="2"/>
        <v>0</v>
      </c>
      <c r="C21" s="2">
        <f t="shared" si="0"/>
        <v>0</v>
      </c>
      <c r="D21" s="2">
        <f t="shared" si="0"/>
        <v>0</v>
      </c>
      <c r="E21" s="2">
        <f t="shared" si="0"/>
        <v>0</v>
      </c>
      <c r="G21" s="2" t="s">
        <v>19</v>
      </c>
      <c r="H21" s="2" t="s">
        <v>44</v>
      </c>
      <c r="I21" s="2" t="s">
        <v>64</v>
      </c>
      <c r="J21" s="2"/>
      <c r="K21" s="2"/>
      <c r="L21" s="2"/>
      <c r="M21" s="2"/>
      <c r="N21" s="2"/>
      <c r="P21" s="2" t="s">
        <v>94</v>
      </c>
      <c r="Q21" s="2">
        <v>29.6739</v>
      </c>
      <c r="R21" s="2"/>
      <c r="S21" s="2">
        <f t="shared" si="4"/>
        <v>29.6739</v>
      </c>
      <c r="U21" s="1" t="s">
        <v>19</v>
      </c>
      <c r="V21" s="2">
        <f t="shared" si="3"/>
        <v>0</v>
      </c>
      <c r="W21" s="2">
        <f t="shared" si="1"/>
        <v>0</v>
      </c>
      <c r="X21" s="2">
        <f t="shared" si="1"/>
        <v>0</v>
      </c>
      <c r="Y21" s="2">
        <f t="shared" si="1"/>
        <v>0</v>
      </c>
    </row>
    <row r="22" spans="1:25">
      <c r="A22" s="1" t="s">
        <v>20</v>
      </c>
      <c r="B22" s="2">
        <f t="shared" si="2"/>
        <v>0</v>
      </c>
      <c r="C22" s="2">
        <f t="shared" si="0"/>
        <v>0</v>
      </c>
      <c r="D22" s="2">
        <f t="shared" si="0"/>
        <v>0</v>
      </c>
      <c r="E22" s="2">
        <f t="shared" si="0"/>
        <v>1886.0286708836286</v>
      </c>
      <c r="G22" s="2" t="s">
        <v>20</v>
      </c>
      <c r="H22" s="2" t="s">
        <v>44</v>
      </c>
      <c r="I22" s="2" t="s">
        <v>65</v>
      </c>
      <c r="J22" s="2"/>
      <c r="K22" s="2"/>
      <c r="L22" s="2"/>
      <c r="M22" s="2">
        <v>55965.826176933704</v>
      </c>
      <c r="N22" s="2"/>
      <c r="P22" s="2" t="s">
        <v>94</v>
      </c>
      <c r="Q22" s="2">
        <f>Q21</f>
        <v>29.6739</v>
      </c>
      <c r="R22" s="2"/>
      <c r="S22" s="2">
        <f t="shared" si="4"/>
        <v>29.6739</v>
      </c>
      <c r="U22" s="1" t="s">
        <v>20</v>
      </c>
      <c r="V22" s="2">
        <f t="shared" si="3"/>
        <v>0</v>
      </c>
      <c r="W22" s="2">
        <f t="shared" si="1"/>
        <v>0</v>
      </c>
      <c r="X22" s="2">
        <f t="shared" si="1"/>
        <v>0</v>
      </c>
      <c r="Y22" s="2">
        <f t="shared" si="1"/>
        <v>1886.0286708836286</v>
      </c>
    </row>
    <row r="23" spans="1:25">
      <c r="A23" s="1" t="s">
        <v>21</v>
      </c>
      <c r="B23" s="2">
        <f t="shared" si="2"/>
        <v>0</v>
      </c>
      <c r="C23" s="2">
        <f t="shared" si="0"/>
        <v>0</v>
      </c>
      <c r="D23" s="2">
        <f t="shared" si="0"/>
        <v>4.9268955794529159</v>
      </c>
      <c r="E23" s="2">
        <f t="shared" si="0"/>
        <v>309.63559323064038</v>
      </c>
      <c r="G23" s="2" t="s">
        <v>21</v>
      </c>
      <c r="H23" s="2" t="s">
        <v>44</v>
      </c>
      <c r="I23" s="2" t="s">
        <v>60</v>
      </c>
      <c r="J23" s="2"/>
      <c r="K23" s="2"/>
      <c r="L23" s="2">
        <v>146.20020673512789</v>
      </c>
      <c r="M23" s="2">
        <v>9188.0956299666996</v>
      </c>
      <c r="N23" s="2"/>
      <c r="P23" s="2" t="s">
        <v>94</v>
      </c>
      <c r="Q23" s="2">
        <f>Q22</f>
        <v>29.6739</v>
      </c>
      <c r="R23" s="2"/>
      <c r="S23" s="2">
        <f t="shared" si="4"/>
        <v>29.6739</v>
      </c>
      <c r="U23" s="1" t="s">
        <v>21</v>
      </c>
      <c r="V23" s="2">
        <f t="shared" si="3"/>
        <v>0</v>
      </c>
      <c r="W23" s="2">
        <f t="shared" si="1"/>
        <v>0</v>
      </c>
      <c r="X23" s="2">
        <f t="shared" si="1"/>
        <v>4.9268955794529159</v>
      </c>
      <c r="Y23" s="2">
        <f t="shared" si="1"/>
        <v>309.63559323064038</v>
      </c>
    </row>
    <row r="24" spans="1:25">
      <c r="A24" s="1" t="s">
        <v>22</v>
      </c>
      <c r="B24" s="2">
        <f t="shared" si="2"/>
        <v>0</v>
      </c>
      <c r="C24" s="2">
        <f t="shared" si="0"/>
        <v>8367.7732379378413</v>
      </c>
      <c r="D24" s="2">
        <f t="shared" si="0"/>
        <v>0</v>
      </c>
      <c r="E24" s="2">
        <f t="shared" si="0"/>
        <v>0</v>
      </c>
      <c r="G24" s="2" t="s">
        <v>22</v>
      </c>
      <c r="H24" s="2" t="s">
        <v>66</v>
      </c>
      <c r="I24" s="2" t="s">
        <v>67</v>
      </c>
      <c r="J24" s="2"/>
      <c r="K24" s="2">
        <v>598473.18330519984</v>
      </c>
      <c r="L24" s="2"/>
      <c r="M24" s="2"/>
      <c r="N24" s="2"/>
      <c r="P24" s="2" t="s">
        <v>96</v>
      </c>
      <c r="Q24" s="2">
        <v>71.521199999999993</v>
      </c>
      <c r="R24" s="2"/>
      <c r="S24" s="2">
        <f t="shared" si="4"/>
        <v>71.521199999999993</v>
      </c>
      <c r="U24" s="1" t="s">
        <v>22</v>
      </c>
      <c r="V24" s="2">
        <f t="shared" si="3"/>
        <v>0</v>
      </c>
      <c r="W24" s="2">
        <f t="shared" si="1"/>
        <v>8367.7732379378413</v>
      </c>
      <c r="X24" s="2">
        <f t="shared" si="1"/>
        <v>0</v>
      </c>
      <c r="Y24" s="2">
        <f t="shared" si="1"/>
        <v>0</v>
      </c>
    </row>
    <row r="25" spans="1:25">
      <c r="A25" s="1" t="s">
        <v>23</v>
      </c>
      <c r="B25" s="2">
        <f t="shared" si="2"/>
        <v>0</v>
      </c>
      <c r="C25" s="2">
        <f t="shared" si="0"/>
        <v>692.37171966984363</v>
      </c>
      <c r="D25" s="2">
        <f t="shared" si="0"/>
        <v>46.823394912143748</v>
      </c>
      <c r="E25" s="2">
        <f t="shared" si="0"/>
        <v>0</v>
      </c>
      <c r="G25" s="2" t="s">
        <v>23</v>
      </c>
      <c r="H25" s="2" t="s">
        <v>66</v>
      </c>
      <c r="I25" s="2" t="s">
        <v>68</v>
      </c>
      <c r="J25" s="2"/>
      <c r="K25" s="2">
        <v>49519.256236850815</v>
      </c>
      <c r="L25" s="2">
        <v>3348.8653921904152</v>
      </c>
      <c r="M25" s="2"/>
      <c r="N25" s="2"/>
      <c r="P25" s="2" t="s">
        <v>96</v>
      </c>
      <c r="Q25" s="2">
        <f>Q24</f>
        <v>71.521199999999993</v>
      </c>
      <c r="R25" s="2"/>
      <c r="S25" s="2">
        <f t="shared" si="4"/>
        <v>71.521199999999993</v>
      </c>
      <c r="U25" s="1" t="s">
        <v>23</v>
      </c>
      <c r="V25" s="2">
        <f t="shared" si="3"/>
        <v>0</v>
      </c>
      <c r="W25" s="2">
        <f t="shared" si="1"/>
        <v>692.37171966984363</v>
      </c>
      <c r="X25" s="2">
        <f t="shared" si="1"/>
        <v>46.823394912143748</v>
      </c>
      <c r="Y25" s="2">
        <f t="shared" si="1"/>
        <v>0</v>
      </c>
    </row>
    <row r="26" spans="1:25">
      <c r="A26" s="1" t="s">
        <v>24</v>
      </c>
      <c r="B26" s="2">
        <f t="shared" si="2"/>
        <v>0</v>
      </c>
      <c r="C26" s="2">
        <f t="shared" si="0"/>
        <v>180.19462787596402</v>
      </c>
      <c r="D26" s="2">
        <f t="shared" si="0"/>
        <v>44.21442258067561</v>
      </c>
      <c r="E26" s="2">
        <f t="shared" si="0"/>
        <v>0</v>
      </c>
      <c r="G26" s="2" t="s">
        <v>24</v>
      </c>
      <c r="H26" s="2" t="s">
        <v>66</v>
      </c>
      <c r="I26" s="2" t="s">
        <v>69</v>
      </c>
      <c r="J26" s="2"/>
      <c r="K26" s="2">
        <v>12887.736019242397</v>
      </c>
      <c r="L26" s="2">
        <v>3162.2685602770161</v>
      </c>
      <c r="M26" s="2"/>
      <c r="N26" s="2">
        <v>258266.13848084159</v>
      </c>
      <c r="P26" s="2" t="s">
        <v>96</v>
      </c>
      <c r="Q26" s="2">
        <f>Q25</f>
        <v>71.521199999999993</v>
      </c>
      <c r="R26" s="2"/>
      <c r="S26" s="2">
        <f t="shared" si="4"/>
        <v>71.521199999999993</v>
      </c>
      <c r="U26" s="1" t="s">
        <v>24</v>
      </c>
      <c r="V26" s="2">
        <f t="shared" si="3"/>
        <v>0</v>
      </c>
      <c r="W26" s="2">
        <f t="shared" si="1"/>
        <v>180.19462787596402</v>
      </c>
      <c r="X26" s="2">
        <f t="shared" si="1"/>
        <v>44.21442258067561</v>
      </c>
      <c r="Y26" s="2">
        <f t="shared" si="1"/>
        <v>0</v>
      </c>
    </row>
    <row r="27" spans="1:25">
      <c r="A27" s="1" t="s">
        <v>25</v>
      </c>
      <c r="B27" s="2">
        <f t="shared" si="2"/>
        <v>86.90463540866611</v>
      </c>
      <c r="C27" s="2">
        <f t="shared" si="0"/>
        <v>0</v>
      </c>
      <c r="D27" s="2">
        <f t="shared" si="0"/>
        <v>0</v>
      </c>
      <c r="E27" s="2">
        <f t="shared" si="0"/>
        <v>0</v>
      </c>
      <c r="G27" s="2" t="s">
        <v>25</v>
      </c>
      <c r="H27" s="2" t="s">
        <v>66</v>
      </c>
      <c r="I27" s="2" t="s">
        <v>70</v>
      </c>
      <c r="J27" s="2">
        <v>6215.5238099902899</v>
      </c>
      <c r="K27" s="2"/>
      <c r="L27" s="2"/>
      <c r="M27" s="2"/>
      <c r="N27" s="2"/>
      <c r="P27" s="2" t="s">
        <v>96</v>
      </c>
      <c r="Q27" s="2">
        <f>Q26</f>
        <v>71.521199999999993</v>
      </c>
      <c r="R27" s="2"/>
      <c r="S27" s="2">
        <f t="shared" si="4"/>
        <v>71.521199999999993</v>
      </c>
      <c r="U27" s="1" t="s">
        <v>25</v>
      </c>
      <c r="V27" s="2">
        <f t="shared" si="3"/>
        <v>86.90463540866611</v>
      </c>
      <c r="W27" s="2">
        <f t="shared" si="1"/>
        <v>0</v>
      </c>
      <c r="X27" s="2">
        <f t="shared" si="1"/>
        <v>0</v>
      </c>
      <c r="Y27" s="2">
        <f t="shared" si="1"/>
        <v>0</v>
      </c>
    </row>
    <row r="28" spans="1:25">
      <c r="A28" s="1" t="s">
        <v>26</v>
      </c>
      <c r="B28" s="2">
        <f t="shared" si="2"/>
        <v>433.11985132560255</v>
      </c>
      <c r="C28" s="2">
        <f t="shared" si="2"/>
        <v>0</v>
      </c>
      <c r="D28" s="2">
        <f t="shared" si="2"/>
        <v>0</v>
      </c>
      <c r="E28" s="2">
        <f t="shared" si="2"/>
        <v>0</v>
      </c>
      <c r="G28" s="2" t="s">
        <v>26</v>
      </c>
      <c r="H28" s="2" t="s">
        <v>66</v>
      </c>
      <c r="I28" s="2" t="s">
        <v>71</v>
      </c>
      <c r="J28" s="2">
        <v>30977.251510628681</v>
      </c>
      <c r="K28" s="2"/>
      <c r="L28" s="2"/>
      <c r="M28" s="2"/>
      <c r="N28" s="2"/>
      <c r="P28" s="2" t="s">
        <v>96</v>
      </c>
      <c r="Q28" s="2">
        <f>Q27</f>
        <v>71.521199999999993</v>
      </c>
      <c r="R28" s="2"/>
      <c r="S28" s="2">
        <f t="shared" si="4"/>
        <v>71.521199999999993</v>
      </c>
      <c r="U28" s="1" t="s">
        <v>26</v>
      </c>
      <c r="V28" s="2">
        <f t="shared" si="3"/>
        <v>433.11985132560255</v>
      </c>
      <c r="W28" s="2">
        <f t="shared" si="3"/>
        <v>0</v>
      </c>
      <c r="X28" s="2">
        <f t="shared" si="3"/>
        <v>0</v>
      </c>
      <c r="Y28" s="2">
        <f t="shared" si="3"/>
        <v>0</v>
      </c>
    </row>
    <row r="29" spans="1:25">
      <c r="A29" s="1" t="s">
        <v>27</v>
      </c>
      <c r="B29" s="2">
        <f t="shared" si="2"/>
        <v>0</v>
      </c>
      <c r="C29" s="2">
        <f t="shared" si="2"/>
        <v>0</v>
      </c>
      <c r="D29" s="2">
        <f t="shared" si="2"/>
        <v>2858.4016576669924</v>
      </c>
      <c r="E29" s="2">
        <f t="shared" si="2"/>
        <v>0</v>
      </c>
      <c r="G29" s="2" t="s">
        <v>27</v>
      </c>
      <c r="H29" s="2" t="s">
        <v>55</v>
      </c>
      <c r="I29" s="2" t="s">
        <v>72</v>
      </c>
      <c r="J29" s="2"/>
      <c r="K29" s="2"/>
      <c r="L29" s="2">
        <v>204436.31663833247</v>
      </c>
      <c r="M29" s="2"/>
      <c r="N29" s="2"/>
      <c r="P29" s="2" t="s">
        <v>96</v>
      </c>
      <c r="Q29" s="2">
        <f>Q28</f>
        <v>71.521199999999993</v>
      </c>
      <c r="R29" s="2"/>
      <c r="S29" s="2">
        <f t="shared" si="4"/>
        <v>71.521199999999993</v>
      </c>
      <c r="U29" s="1" t="s">
        <v>27</v>
      </c>
      <c r="V29" s="2">
        <f t="shared" si="3"/>
        <v>0</v>
      </c>
      <c r="W29" s="2">
        <f t="shared" si="3"/>
        <v>0</v>
      </c>
      <c r="X29" s="2">
        <f t="shared" si="3"/>
        <v>2858.4016576669924</v>
      </c>
      <c r="Y29" s="2">
        <f t="shared" si="3"/>
        <v>0</v>
      </c>
    </row>
    <row r="30" spans="1:25">
      <c r="A30" s="1" t="s">
        <v>28</v>
      </c>
      <c r="B30" s="2">
        <f t="shared" si="2"/>
        <v>0</v>
      </c>
      <c r="C30" s="2">
        <f t="shared" si="2"/>
        <v>0</v>
      </c>
      <c r="D30" s="2">
        <f t="shared" si="2"/>
        <v>589.74758642110851</v>
      </c>
      <c r="E30" s="2">
        <f t="shared" si="2"/>
        <v>0</v>
      </c>
      <c r="G30" s="2" t="s">
        <v>28</v>
      </c>
      <c r="H30" s="2" t="s">
        <v>66</v>
      </c>
      <c r="I30" s="2" t="s">
        <v>73</v>
      </c>
      <c r="J30" s="2"/>
      <c r="K30" s="2"/>
      <c r="L30" s="2">
        <v>42179.455077941384</v>
      </c>
      <c r="M30" s="2"/>
      <c r="N30" s="2"/>
      <c r="P30" s="2" t="s">
        <v>96</v>
      </c>
      <c r="Q30" s="2">
        <f>Q29</f>
        <v>71.521199999999993</v>
      </c>
      <c r="R30" s="2"/>
      <c r="S30" s="2">
        <f t="shared" si="4"/>
        <v>71.521199999999993</v>
      </c>
      <c r="U30" s="1" t="s">
        <v>28</v>
      </c>
      <c r="V30" s="2">
        <f t="shared" si="3"/>
        <v>0</v>
      </c>
      <c r="W30" s="2">
        <f t="shared" si="3"/>
        <v>0</v>
      </c>
      <c r="X30" s="2">
        <f t="shared" si="3"/>
        <v>589.74758642110851</v>
      </c>
      <c r="Y30" s="2">
        <f t="shared" si="3"/>
        <v>0</v>
      </c>
    </row>
    <row r="31" spans="1:25">
      <c r="A31" s="1" t="s">
        <v>29</v>
      </c>
      <c r="B31" s="2">
        <f t="shared" si="2"/>
        <v>0</v>
      </c>
      <c r="C31" s="2">
        <f t="shared" si="2"/>
        <v>0</v>
      </c>
      <c r="D31" s="2">
        <f t="shared" si="2"/>
        <v>18.283257739714102</v>
      </c>
      <c r="E31" s="2">
        <f t="shared" si="2"/>
        <v>0</v>
      </c>
      <c r="G31" s="2" t="s">
        <v>29</v>
      </c>
      <c r="H31" s="2" t="s">
        <v>66</v>
      </c>
      <c r="I31" s="2" t="s">
        <v>74</v>
      </c>
      <c r="J31" s="2"/>
      <c r="K31" s="2"/>
      <c r="L31" s="2">
        <v>1307.64053345364</v>
      </c>
      <c r="M31" s="2"/>
      <c r="N31" s="2"/>
      <c r="P31" s="2" t="s">
        <v>96</v>
      </c>
      <c r="Q31" s="2">
        <f>Q30</f>
        <v>71.521199999999993</v>
      </c>
      <c r="R31" s="2"/>
      <c r="S31" s="2">
        <f t="shared" si="4"/>
        <v>71.521199999999993</v>
      </c>
      <c r="U31" s="1" t="s">
        <v>29</v>
      </c>
      <c r="V31" s="2">
        <f t="shared" si="3"/>
        <v>0</v>
      </c>
      <c r="W31" s="2">
        <f t="shared" si="3"/>
        <v>0</v>
      </c>
      <c r="X31" s="2">
        <f t="shared" si="3"/>
        <v>18.283257739714102</v>
      </c>
      <c r="Y31" s="2">
        <f t="shared" si="3"/>
        <v>0</v>
      </c>
    </row>
    <row r="32" spans="1:25">
      <c r="A32" s="1" t="s">
        <v>30</v>
      </c>
      <c r="B32" s="2">
        <f t="shared" si="2"/>
        <v>0</v>
      </c>
      <c r="C32" s="2">
        <f t="shared" si="2"/>
        <v>3115.0986730603804</v>
      </c>
      <c r="D32" s="2">
        <f t="shared" si="2"/>
        <v>0</v>
      </c>
      <c r="E32" s="2">
        <f t="shared" si="2"/>
        <v>0</v>
      </c>
      <c r="G32" s="2" t="s">
        <v>30</v>
      </c>
      <c r="H32" s="2" t="s">
        <v>66</v>
      </c>
      <c r="I32" s="2" t="s">
        <v>75</v>
      </c>
      <c r="J32" s="2"/>
      <c r="K32" s="2">
        <v>222795.59521568607</v>
      </c>
      <c r="L32" s="2"/>
      <c r="M32" s="2"/>
      <c r="N32" s="2"/>
      <c r="P32" s="2" t="s">
        <v>96</v>
      </c>
      <c r="Q32" s="2">
        <f>Q31</f>
        <v>71.521199999999993</v>
      </c>
      <c r="R32" s="2"/>
      <c r="S32" s="2">
        <f t="shared" si="4"/>
        <v>71.521199999999993</v>
      </c>
      <c r="U32" s="1" t="s">
        <v>30</v>
      </c>
      <c r="V32" s="2">
        <f t="shared" si="3"/>
        <v>0</v>
      </c>
      <c r="W32" s="2">
        <f t="shared" si="3"/>
        <v>3115.0986730603804</v>
      </c>
      <c r="X32" s="2">
        <f t="shared" si="3"/>
        <v>0</v>
      </c>
      <c r="Y32" s="2">
        <f t="shared" si="3"/>
        <v>0</v>
      </c>
    </row>
    <row r="33" spans="1:25">
      <c r="A33" s="1" t="s">
        <v>31</v>
      </c>
      <c r="B33" s="2">
        <f t="shared" si="2"/>
        <v>0</v>
      </c>
      <c r="C33" s="2">
        <f t="shared" si="2"/>
        <v>106.93127544331666</v>
      </c>
      <c r="D33" s="2">
        <f t="shared" si="2"/>
        <v>0</v>
      </c>
      <c r="E33" s="2">
        <f t="shared" si="2"/>
        <v>0</v>
      </c>
      <c r="G33" s="2" t="s">
        <v>31</v>
      </c>
      <c r="H33" s="2" t="s">
        <v>76</v>
      </c>
      <c r="I33" s="2" t="s">
        <v>77</v>
      </c>
      <c r="J33" s="2"/>
      <c r="K33" s="2">
        <v>39118.882357979419</v>
      </c>
      <c r="L33" s="2"/>
      <c r="M33" s="2"/>
      <c r="N33" s="2"/>
      <c r="P33" s="2" t="s">
        <v>97</v>
      </c>
      <c r="Q33" s="2">
        <v>365.83199999999999</v>
      </c>
      <c r="R33" s="2"/>
      <c r="S33" s="2">
        <f t="shared" si="4"/>
        <v>365.83199999999999</v>
      </c>
      <c r="U33" s="1" t="s">
        <v>31</v>
      </c>
      <c r="V33" s="2">
        <f t="shared" si="3"/>
        <v>0</v>
      </c>
      <c r="W33" s="2">
        <f t="shared" si="3"/>
        <v>106.93127544331666</v>
      </c>
      <c r="X33" s="2">
        <f t="shared" si="3"/>
        <v>0</v>
      </c>
      <c r="Y33" s="2">
        <f t="shared" si="3"/>
        <v>0</v>
      </c>
    </row>
    <row r="34" spans="1:25">
      <c r="A34" s="1" t="s">
        <v>32</v>
      </c>
      <c r="B34" s="2">
        <f t="shared" si="2"/>
        <v>0</v>
      </c>
      <c r="C34" s="2">
        <f t="shared" si="2"/>
        <v>3.8089140340628731</v>
      </c>
      <c r="D34" s="2">
        <f t="shared" si="2"/>
        <v>2.7036488009642707</v>
      </c>
      <c r="E34" s="2">
        <f t="shared" si="2"/>
        <v>0</v>
      </c>
      <c r="G34" s="2" t="s">
        <v>32</v>
      </c>
      <c r="H34" s="2" t="s">
        <v>76</v>
      </c>
      <c r="I34" s="2" t="s">
        <v>78</v>
      </c>
      <c r="J34" s="2"/>
      <c r="K34" s="2">
        <v>1393.4226389092889</v>
      </c>
      <c r="L34" s="2">
        <v>989.08124815436111</v>
      </c>
      <c r="M34" s="2"/>
      <c r="N34" s="2"/>
      <c r="P34" s="2" t="s">
        <v>97</v>
      </c>
      <c r="Q34" s="2">
        <f>Q33</f>
        <v>365.83199999999999</v>
      </c>
      <c r="R34" s="2"/>
      <c r="S34" s="2">
        <f t="shared" si="4"/>
        <v>365.83199999999999</v>
      </c>
      <c r="U34" s="1" t="s">
        <v>32</v>
      </c>
      <c r="V34" s="2">
        <f t="shared" si="3"/>
        <v>0</v>
      </c>
      <c r="W34" s="2">
        <f t="shared" si="3"/>
        <v>3.8089140340628731</v>
      </c>
      <c r="X34" s="2">
        <f t="shared" si="3"/>
        <v>2.7036488009642707</v>
      </c>
      <c r="Y34" s="2">
        <f t="shared" si="3"/>
        <v>0</v>
      </c>
    </row>
    <row r="35" spans="1:25">
      <c r="A35" s="1" t="s">
        <v>33</v>
      </c>
      <c r="B35" s="2">
        <f t="shared" si="2"/>
        <v>9.4566107626987261E-3</v>
      </c>
      <c r="C35" s="2">
        <f t="shared" si="2"/>
        <v>3.1106273429500848</v>
      </c>
      <c r="D35" s="2">
        <f t="shared" si="2"/>
        <v>1.5044344996998622E-3</v>
      </c>
      <c r="E35" s="2">
        <f t="shared" si="2"/>
        <v>0</v>
      </c>
      <c r="G35" s="2" t="s">
        <v>33</v>
      </c>
      <c r="H35" s="2" t="s">
        <v>76</v>
      </c>
      <c r="I35" s="2" t="s">
        <v>57</v>
      </c>
      <c r="J35" s="2">
        <v>3.4595308285396</v>
      </c>
      <c r="K35" s="2">
        <v>1137.9670221261154</v>
      </c>
      <c r="L35" s="2">
        <v>0.55037028189420001</v>
      </c>
      <c r="M35" s="2"/>
      <c r="N35" s="2"/>
      <c r="P35" s="2" t="s">
        <v>97</v>
      </c>
      <c r="Q35" s="2">
        <f>Q33</f>
        <v>365.83199999999999</v>
      </c>
      <c r="R35" s="2"/>
      <c r="S35" s="2">
        <f t="shared" si="4"/>
        <v>365.83199999999999</v>
      </c>
      <c r="U35" s="1" t="s">
        <v>33</v>
      </c>
      <c r="V35" s="2">
        <f t="shared" si="3"/>
        <v>9.4566107626987261E-3</v>
      </c>
      <c r="W35" s="2">
        <f t="shared" si="3"/>
        <v>3.1106273429500848</v>
      </c>
      <c r="X35" s="2">
        <f t="shared" si="3"/>
        <v>1.5044344996998622E-3</v>
      </c>
      <c r="Y35" s="2">
        <f t="shared" si="3"/>
        <v>0</v>
      </c>
    </row>
    <row r="36" spans="1:25">
      <c r="A36" s="1" t="s">
        <v>34</v>
      </c>
      <c r="B36" s="2">
        <f t="shared" si="2"/>
        <v>0</v>
      </c>
      <c r="C36" s="2">
        <f t="shared" si="2"/>
        <v>650.22147744723361</v>
      </c>
      <c r="D36" s="2">
        <f t="shared" si="2"/>
        <v>54.14972855827088</v>
      </c>
      <c r="E36" s="2">
        <f t="shared" si="2"/>
        <v>0</v>
      </c>
      <c r="G36" s="2" t="s">
        <v>34</v>
      </c>
      <c r="H36" s="2" t="s">
        <v>76</v>
      </c>
      <c r="I36" s="2" t="s">
        <v>79</v>
      </c>
      <c r="J36" s="2"/>
      <c r="K36" s="2">
        <v>237871.82353747636</v>
      </c>
      <c r="L36" s="2">
        <v>19809.703497929353</v>
      </c>
      <c r="M36" s="2"/>
      <c r="N36" s="2"/>
      <c r="P36" s="2" t="s">
        <v>97</v>
      </c>
      <c r="Q36" s="2">
        <f>Q33</f>
        <v>365.83199999999999</v>
      </c>
      <c r="R36" s="2"/>
      <c r="S36" s="2">
        <f t="shared" si="4"/>
        <v>365.83199999999999</v>
      </c>
      <c r="U36" s="1" t="s">
        <v>34</v>
      </c>
      <c r="V36" s="2">
        <f t="shared" si="3"/>
        <v>0</v>
      </c>
      <c r="W36" s="2">
        <f t="shared" si="3"/>
        <v>650.22147744723361</v>
      </c>
      <c r="X36" s="2">
        <f t="shared" si="3"/>
        <v>54.14972855827088</v>
      </c>
      <c r="Y36" s="2">
        <f t="shared" si="3"/>
        <v>0</v>
      </c>
    </row>
    <row r="37" spans="1:25">
      <c r="A37" s="1" t="s">
        <v>35</v>
      </c>
      <c r="B37" s="2">
        <f t="shared" si="2"/>
        <v>0</v>
      </c>
      <c r="C37" s="2">
        <f t="shared" si="2"/>
        <v>0</v>
      </c>
      <c r="D37" s="2">
        <f t="shared" si="2"/>
        <v>49.995712097033838</v>
      </c>
      <c r="E37" s="2">
        <f t="shared" si="2"/>
        <v>0</v>
      </c>
      <c r="G37" s="2" t="s">
        <v>35</v>
      </c>
      <c r="H37" s="2" t="s">
        <v>55</v>
      </c>
      <c r="I37" s="2" t="s">
        <v>80</v>
      </c>
      <c r="J37" s="2"/>
      <c r="K37" s="2"/>
      <c r="L37" s="2">
        <v>18290.031347882083</v>
      </c>
      <c r="M37" s="2"/>
      <c r="N37" s="2"/>
      <c r="P37" s="2" t="s">
        <v>97</v>
      </c>
      <c r="Q37" s="2">
        <f>Q33</f>
        <v>365.83199999999999</v>
      </c>
      <c r="R37" s="2"/>
      <c r="S37" s="2">
        <f t="shared" si="4"/>
        <v>365.83199999999999</v>
      </c>
      <c r="U37" s="1" t="s">
        <v>35</v>
      </c>
      <c r="V37" s="2">
        <f t="shared" si="3"/>
        <v>0</v>
      </c>
      <c r="W37" s="2">
        <f t="shared" si="3"/>
        <v>0</v>
      </c>
      <c r="X37" s="2">
        <f t="shared" si="3"/>
        <v>49.995712097033838</v>
      </c>
      <c r="Y37" s="2">
        <f t="shared" si="3"/>
        <v>0</v>
      </c>
    </row>
    <row r="38" spans="1:25">
      <c r="A38" s="1" t="s">
        <v>36</v>
      </c>
      <c r="B38" s="2">
        <f t="shared" si="2"/>
        <v>38.788296267139017</v>
      </c>
      <c r="C38" s="2">
        <f t="shared" si="2"/>
        <v>3.4442038968706949</v>
      </c>
      <c r="D38" s="2">
        <f t="shared" si="2"/>
        <v>0.16298464869120252</v>
      </c>
      <c r="E38" s="2">
        <f t="shared" si="2"/>
        <v>0</v>
      </c>
      <c r="G38" s="2" t="s">
        <v>36</v>
      </c>
      <c r="H38" s="2" t="s">
        <v>55</v>
      </c>
      <c r="I38" s="2" t="s">
        <v>81</v>
      </c>
      <c r="J38" s="2">
        <v>14190</v>
      </c>
      <c r="K38" s="2">
        <v>1260</v>
      </c>
      <c r="L38" s="2">
        <v>59.625</v>
      </c>
      <c r="M38" s="2"/>
      <c r="N38" s="2"/>
      <c r="P38" s="2" t="s">
        <v>97</v>
      </c>
      <c r="Q38" s="2">
        <f>Q33</f>
        <v>365.83199999999999</v>
      </c>
      <c r="R38" s="2"/>
      <c r="S38" s="2">
        <f t="shared" si="4"/>
        <v>365.83199999999999</v>
      </c>
      <c r="U38" s="1" t="s">
        <v>36</v>
      </c>
      <c r="V38" s="2">
        <f t="shared" si="3"/>
        <v>38.788296267139017</v>
      </c>
      <c r="W38" s="2">
        <f t="shared" si="3"/>
        <v>3.4442038968706949</v>
      </c>
      <c r="X38" s="2">
        <f t="shared" si="3"/>
        <v>0.16298464869120252</v>
      </c>
      <c r="Y38" s="2">
        <f t="shared" si="3"/>
        <v>0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38"/>
  <sheetViews>
    <sheetView zoomScale="70" zoomScaleNormal="70" workbookViewId="0">
      <selection activeCell="Q33" sqref="Q33"/>
    </sheetView>
  </sheetViews>
  <sheetFormatPr defaultRowHeight="14.4"/>
  <cols>
    <col min="1" max="1" width="13.33203125" bestFit="1" customWidth="1"/>
    <col min="7" max="7" width="32.33203125" bestFit="1" customWidth="1"/>
    <col min="8" max="8" width="15" bestFit="1" customWidth="1"/>
    <col min="9" max="9" width="33.44140625" bestFit="1" customWidth="1"/>
    <col min="10" max="14" width="12.33203125" bestFit="1" customWidth="1"/>
    <col min="16" max="16" width="73.109375" bestFit="1" customWidth="1"/>
  </cols>
  <sheetData>
    <row r="1" spans="1:25">
      <c r="A1" s="2"/>
      <c r="B1" s="3" t="s">
        <v>37</v>
      </c>
      <c r="C1" s="3" t="s">
        <v>38</v>
      </c>
      <c r="D1" s="3" t="s">
        <v>39</v>
      </c>
      <c r="E1" s="3" t="s">
        <v>40</v>
      </c>
      <c r="G1" s="9" t="s">
        <v>84</v>
      </c>
      <c r="H1" s="9" t="s">
        <v>85</v>
      </c>
      <c r="I1" s="9" t="s">
        <v>86</v>
      </c>
      <c r="J1" s="9" t="s">
        <v>37</v>
      </c>
      <c r="K1" s="9" t="s">
        <v>38</v>
      </c>
      <c r="L1" s="9" t="s">
        <v>39</v>
      </c>
      <c r="M1" s="9" t="s">
        <v>83</v>
      </c>
      <c r="N1" s="9" t="s">
        <v>82</v>
      </c>
      <c r="P1" s="8" t="s">
        <v>98</v>
      </c>
      <c r="Q1" s="10" t="s">
        <v>100</v>
      </c>
      <c r="R1" s="10" t="s">
        <v>101</v>
      </c>
      <c r="S1" s="10" t="s">
        <v>102</v>
      </c>
      <c r="U1" s="2"/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1" t="s">
        <v>0</v>
      </c>
      <c r="B2" s="6"/>
      <c r="C2" s="6"/>
      <c r="D2" s="6"/>
      <c r="E2" s="6"/>
      <c r="G2" s="2" t="s">
        <v>0</v>
      </c>
      <c r="H2" s="2" t="s">
        <v>41</v>
      </c>
      <c r="I2" s="2" t="s">
        <v>42</v>
      </c>
      <c r="J2" s="2">
        <v>694218.2903621333</v>
      </c>
      <c r="K2" s="2">
        <v>1021.8703519548321</v>
      </c>
      <c r="L2" s="2">
        <v>5553.2068708602037</v>
      </c>
      <c r="M2" s="2"/>
      <c r="N2" s="2">
        <v>68377.528047628657</v>
      </c>
      <c r="P2" s="2"/>
      <c r="Q2" s="2"/>
      <c r="R2" s="2"/>
      <c r="S2" s="2"/>
      <c r="U2" s="1" t="s">
        <v>0</v>
      </c>
      <c r="V2" s="6"/>
      <c r="W2" s="6"/>
      <c r="X2" s="6"/>
      <c r="Y2" s="6"/>
    </row>
    <row r="3" spans="1:25">
      <c r="A3" s="1" t="s">
        <v>1</v>
      </c>
      <c r="B3" s="6"/>
      <c r="C3" s="6"/>
      <c r="D3" s="6"/>
      <c r="E3" s="6"/>
      <c r="G3" s="2" t="s">
        <v>1</v>
      </c>
      <c r="H3" s="2" t="s">
        <v>41</v>
      </c>
      <c r="I3" s="2" t="s">
        <v>43</v>
      </c>
      <c r="J3" s="2">
        <v>83636.263160880684</v>
      </c>
      <c r="K3" s="2">
        <v>89.71384572328563</v>
      </c>
      <c r="L3" s="2">
        <v>52.110859283117193</v>
      </c>
      <c r="M3" s="2"/>
      <c r="N3" s="2">
        <v>1.4328000569343999E-2</v>
      </c>
      <c r="P3" s="2"/>
      <c r="Q3" s="2"/>
      <c r="R3" s="2"/>
      <c r="S3" s="2"/>
      <c r="U3" s="1" t="s">
        <v>1</v>
      </c>
      <c r="V3" s="6"/>
      <c r="W3" s="6"/>
      <c r="X3" s="6"/>
      <c r="Y3" s="6"/>
    </row>
    <row r="4" spans="1:25">
      <c r="A4" s="1" t="s">
        <v>2</v>
      </c>
      <c r="B4" s="6"/>
      <c r="C4" s="6"/>
      <c r="D4" s="6"/>
      <c r="E4" s="6"/>
      <c r="G4" s="2" t="s">
        <v>2</v>
      </c>
      <c r="H4" s="2" t="s">
        <v>44</v>
      </c>
      <c r="I4" s="2" t="s">
        <v>45</v>
      </c>
      <c r="J4" s="2">
        <v>307407.97791303275</v>
      </c>
      <c r="K4" s="2">
        <v>1253.7510289023912</v>
      </c>
      <c r="L4" s="2">
        <v>1777.0779068472591</v>
      </c>
      <c r="M4" s="2"/>
      <c r="N4" s="2">
        <v>175056.70004209582</v>
      </c>
      <c r="P4" s="2"/>
      <c r="Q4" s="2"/>
      <c r="R4" s="2"/>
      <c r="S4" s="2"/>
      <c r="U4" s="1" t="s">
        <v>2</v>
      </c>
      <c r="V4" s="6"/>
      <c r="W4" s="6"/>
      <c r="X4" s="6"/>
      <c r="Y4" s="6"/>
    </row>
    <row r="5" spans="1:25">
      <c r="A5" s="1" t="s">
        <v>3</v>
      </c>
      <c r="B5" s="6"/>
      <c r="C5" s="6"/>
      <c r="D5" s="6"/>
      <c r="E5" s="6"/>
      <c r="G5" s="2" t="s">
        <v>3</v>
      </c>
      <c r="H5" s="2" t="s">
        <v>46</v>
      </c>
      <c r="I5" s="2" t="s">
        <v>47</v>
      </c>
      <c r="J5" s="2">
        <v>16324.470940975465</v>
      </c>
      <c r="K5" s="2">
        <v>3.1965398320929364</v>
      </c>
      <c r="L5" s="2">
        <v>121.01186507209103</v>
      </c>
      <c r="M5" s="2"/>
      <c r="N5" s="2"/>
      <c r="P5" s="2"/>
      <c r="Q5" s="2"/>
      <c r="R5" s="2"/>
      <c r="S5" s="2"/>
      <c r="U5" s="1" t="s">
        <v>3</v>
      </c>
      <c r="V5" s="6"/>
      <c r="W5" s="6"/>
      <c r="X5" s="6"/>
      <c r="Y5" s="6"/>
    </row>
    <row r="6" spans="1:25">
      <c r="A6" s="1" t="s">
        <v>4</v>
      </c>
      <c r="B6" s="6"/>
      <c r="C6" s="6"/>
      <c r="D6" s="6"/>
      <c r="E6" s="6"/>
      <c r="G6" s="2" t="s">
        <v>4</v>
      </c>
      <c r="H6" s="2" t="s">
        <v>46</v>
      </c>
      <c r="I6" s="2" t="s">
        <v>48</v>
      </c>
      <c r="J6" s="2">
        <v>351122.74199425057</v>
      </c>
      <c r="K6" s="2">
        <v>1992.0336318726754</v>
      </c>
      <c r="L6" s="2">
        <v>3783.6492310471563</v>
      </c>
      <c r="M6" s="2"/>
      <c r="N6" s="2">
        <v>21792.098943452729</v>
      </c>
      <c r="P6" s="2"/>
      <c r="Q6" s="2"/>
      <c r="R6" s="2"/>
      <c r="S6" s="2"/>
      <c r="U6" s="1" t="s">
        <v>4</v>
      </c>
      <c r="V6" s="6"/>
      <c r="W6" s="6"/>
      <c r="X6" s="6"/>
      <c r="Y6" s="6"/>
    </row>
    <row r="7" spans="1:25">
      <c r="A7" s="1" t="s">
        <v>5</v>
      </c>
      <c r="B7" s="6"/>
      <c r="C7" s="6"/>
      <c r="D7" s="6"/>
      <c r="E7" s="6"/>
      <c r="G7" s="2" t="s">
        <v>5</v>
      </c>
      <c r="H7" s="2" t="s">
        <v>46</v>
      </c>
      <c r="I7" s="2" t="s">
        <v>49</v>
      </c>
      <c r="J7" s="2">
        <v>1328.1224652872504</v>
      </c>
      <c r="K7" s="2">
        <v>2.0828026074266592</v>
      </c>
      <c r="L7" s="2">
        <v>135.84149810533989</v>
      </c>
      <c r="M7" s="2"/>
      <c r="N7" s="2">
        <v>8.9207999324802001E-2</v>
      </c>
      <c r="P7" s="2"/>
      <c r="Q7" s="2"/>
      <c r="R7" s="2"/>
      <c r="S7" s="2"/>
      <c r="U7" s="1" t="s">
        <v>5</v>
      </c>
      <c r="V7" s="6"/>
      <c r="W7" s="6"/>
      <c r="X7" s="6"/>
      <c r="Y7" s="6"/>
    </row>
    <row r="8" spans="1:25">
      <c r="A8" s="1" t="s">
        <v>6</v>
      </c>
      <c r="B8" s="6"/>
      <c r="C8" s="6"/>
      <c r="D8" s="6"/>
      <c r="E8" s="6"/>
      <c r="G8" s="2" t="s">
        <v>6</v>
      </c>
      <c r="H8" s="2" t="s">
        <v>46</v>
      </c>
      <c r="I8" s="2" t="s">
        <v>50</v>
      </c>
      <c r="J8" s="2">
        <v>13636.015982567811</v>
      </c>
      <c r="K8" s="2">
        <v>36.092646308272499</v>
      </c>
      <c r="L8" s="2">
        <v>97.579979224780729</v>
      </c>
      <c r="M8" s="2"/>
      <c r="N8" s="2">
        <v>18.164447827147999</v>
      </c>
      <c r="P8" s="2"/>
      <c r="Q8" s="2"/>
      <c r="R8" s="2"/>
      <c r="S8" s="2"/>
      <c r="U8" s="1" t="s">
        <v>6</v>
      </c>
      <c r="V8" s="6"/>
      <c r="W8" s="6"/>
      <c r="X8" s="6"/>
      <c r="Y8" s="6"/>
    </row>
    <row r="9" spans="1:25">
      <c r="A9" s="1" t="s">
        <v>7</v>
      </c>
      <c r="B9" s="6"/>
      <c r="C9" s="6"/>
      <c r="D9" s="6"/>
      <c r="E9" s="6"/>
      <c r="G9" s="2" t="s">
        <v>7</v>
      </c>
      <c r="H9" s="2" t="s">
        <v>46</v>
      </c>
      <c r="I9" s="2" t="s">
        <v>51</v>
      </c>
      <c r="J9" s="2">
        <v>551.33551052727842</v>
      </c>
      <c r="K9" s="2">
        <v>0.62637106013924326</v>
      </c>
      <c r="L9" s="2">
        <v>1.1856309352635774</v>
      </c>
      <c r="M9" s="2"/>
      <c r="N9" s="2"/>
      <c r="P9" s="2"/>
      <c r="Q9" s="2"/>
      <c r="R9" s="2"/>
      <c r="S9" s="2"/>
      <c r="U9" s="1" t="s">
        <v>7</v>
      </c>
      <c r="V9" s="6"/>
      <c r="W9" s="6"/>
      <c r="X9" s="6"/>
      <c r="Y9" s="6"/>
    </row>
    <row r="10" spans="1:25">
      <c r="A10" s="1" t="s">
        <v>8</v>
      </c>
      <c r="B10" s="6"/>
      <c r="C10" s="6"/>
      <c r="D10" s="6"/>
      <c r="E10" s="6"/>
      <c r="G10" s="2" t="s">
        <v>8</v>
      </c>
      <c r="H10" s="2" t="s">
        <v>52</v>
      </c>
      <c r="I10" s="2" t="s">
        <v>53</v>
      </c>
      <c r="J10" s="2">
        <v>78900.488473587495</v>
      </c>
      <c r="K10" s="2">
        <v>13250.097468889868</v>
      </c>
      <c r="L10" s="2">
        <v>3363.0006944008737</v>
      </c>
      <c r="M10" s="2"/>
      <c r="N10" s="2">
        <v>162826.67461603039</v>
      </c>
      <c r="P10" s="2"/>
      <c r="Q10" s="2"/>
      <c r="R10" s="2"/>
      <c r="S10" s="2"/>
      <c r="U10" s="1" t="s">
        <v>8</v>
      </c>
      <c r="V10" s="6"/>
      <c r="W10" s="6"/>
      <c r="X10" s="6"/>
      <c r="Y10" s="6"/>
    </row>
    <row r="11" spans="1:25">
      <c r="A11" s="1" t="s">
        <v>9</v>
      </c>
      <c r="B11" s="6"/>
      <c r="C11" s="6"/>
      <c r="D11" s="6"/>
      <c r="E11" s="6"/>
      <c r="G11" s="2" t="s">
        <v>9</v>
      </c>
      <c r="H11" s="2" t="s">
        <v>54</v>
      </c>
      <c r="I11" s="2" t="s">
        <v>55</v>
      </c>
      <c r="J11" s="2">
        <v>3004.0271854307416</v>
      </c>
      <c r="K11" s="2">
        <v>13.391681842057364</v>
      </c>
      <c r="L11" s="2">
        <v>7.2133340002341848</v>
      </c>
      <c r="M11" s="2"/>
      <c r="N11" s="2">
        <v>479.28618171134036</v>
      </c>
      <c r="P11" s="2"/>
      <c r="Q11" s="2"/>
      <c r="R11" s="2"/>
      <c r="S11" s="2"/>
      <c r="U11" s="1" t="s">
        <v>9</v>
      </c>
      <c r="V11" s="6"/>
      <c r="W11" s="6"/>
      <c r="X11" s="6"/>
      <c r="Y11" s="6"/>
    </row>
    <row r="12" spans="1:25">
      <c r="A12" s="1" t="s">
        <v>10</v>
      </c>
      <c r="B12" s="2">
        <f>V12</f>
        <v>1880.8495826258957</v>
      </c>
      <c r="C12" s="2">
        <f t="shared" ref="C12:E27" si="0">W12</f>
        <v>69893.783830409287</v>
      </c>
      <c r="D12" s="2">
        <f t="shared" si="0"/>
        <v>50.798144098544284</v>
      </c>
      <c r="E12" s="2">
        <f t="shared" si="0"/>
        <v>0</v>
      </c>
      <c r="G12" s="2" t="s">
        <v>10</v>
      </c>
      <c r="H12" s="2" t="s">
        <v>56</v>
      </c>
      <c r="I12" s="2" t="s">
        <v>57</v>
      </c>
      <c r="J12" s="2">
        <v>5289.7201746728952</v>
      </c>
      <c r="K12" s="2">
        <v>196569.97658248138</v>
      </c>
      <c r="L12" s="2">
        <v>142.86520844418692</v>
      </c>
      <c r="M12" s="2"/>
      <c r="N12" s="2"/>
      <c r="P12" s="2" t="s">
        <v>88</v>
      </c>
      <c r="Q12" s="2">
        <v>2.8124099999999999</v>
      </c>
      <c r="R12" s="2"/>
      <c r="S12" s="2">
        <f>SUM(Q12:R12)</f>
        <v>2.8124099999999999</v>
      </c>
      <c r="U12" s="1" t="s">
        <v>10</v>
      </c>
      <c r="V12" s="2">
        <f>J12/$S12</f>
        <v>1880.8495826258957</v>
      </c>
      <c r="W12" s="2">
        <f t="shared" ref="W12:Y27" si="1">K12/$S12</f>
        <v>69893.783830409287</v>
      </c>
      <c r="X12" s="2">
        <f t="shared" si="1"/>
        <v>50.798144098544284</v>
      </c>
      <c r="Y12" s="2">
        <f t="shared" si="1"/>
        <v>0</v>
      </c>
    </row>
    <row r="13" spans="1:25">
      <c r="A13" s="1" t="s">
        <v>11</v>
      </c>
      <c r="B13" s="2">
        <f t="shared" ref="B13:E38" si="2">V13</f>
        <v>640.67319569019401</v>
      </c>
      <c r="C13" s="2">
        <f t="shared" si="0"/>
        <v>6765.6144241638158</v>
      </c>
      <c r="D13" s="2">
        <f t="shared" si="0"/>
        <v>2.4040646975842792</v>
      </c>
      <c r="E13" s="2">
        <f t="shared" si="0"/>
        <v>0</v>
      </c>
      <c r="G13" s="2" t="s">
        <v>11</v>
      </c>
      <c r="H13" s="2" t="s">
        <v>56</v>
      </c>
      <c r="I13" s="2" t="s">
        <v>58</v>
      </c>
      <c r="J13" s="2">
        <v>10014.170519874717</v>
      </c>
      <c r="K13" s="2">
        <v>105751.28937977736</v>
      </c>
      <c r="L13" s="2">
        <v>37.577214068530594</v>
      </c>
      <c r="M13" s="2"/>
      <c r="N13" s="2">
        <v>29560.212820601228</v>
      </c>
      <c r="P13" s="2" t="s">
        <v>99</v>
      </c>
      <c r="Q13">
        <v>11.680400000000001</v>
      </c>
      <c r="R13">
        <v>3.9502999999999999</v>
      </c>
      <c r="S13" s="2">
        <f>SUM(Q13:R13)</f>
        <v>15.630700000000001</v>
      </c>
      <c r="U13" s="1" t="s">
        <v>11</v>
      </c>
      <c r="V13" s="2">
        <f t="shared" ref="V13:Y38" si="3">J13/$S13</f>
        <v>640.67319569019401</v>
      </c>
      <c r="W13" s="2">
        <f t="shared" si="1"/>
        <v>6765.6144241638158</v>
      </c>
      <c r="X13" s="2">
        <f t="shared" si="1"/>
        <v>2.4040646975842792</v>
      </c>
      <c r="Y13" s="2">
        <f t="shared" si="1"/>
        <v>0</v>
      </c>
    </row>
    <row r="14" spans="1:25">
      <c r="A14" s="1" t="s">
        <v>12</v>
      </c>
      <c r="B14" s="2">
        <f t="shared" si="2"/>
        <v>9341.5278802991725</v>
      </c>
      <c r="C14" s="2">
        <f t="shared" si="0"/>
        <v>0</v>
      </c>
      <c r="D14" s="2">
        <f t="shared" si="0"/>
        <v>0</v>
      </c>
      <c r="E14" s="2">
        <f t="shared" si="0"/>
        <v>0</v>
      </c>
      <c r="G14" s="2" t="s">
        <v>12</v>
      </c>
      <c r="H14" s="2" t="s">
        <v>44</v>
      </c>
      <c r="I14" s="2" t="s">
        <v>59</v>
      </c>
      <c r="J14" s="2">
        <v>70217.836278960007</v>
      </c>
      <c r="K14" s="2"/>
      <c r="L14" s="2"/>
      <c r="M14" s="2"/>
      <c r="N14" s="2"/>
      <c r="P14" s="2" t="s">
        <v>89</v>
      </c>
      <c r="Q14" s="2">
        <v>7.5167400000000004</v>
      </c>
      <c r="R14" s="2"/>
      <c r="S14" s="2">
        <f t="shared" ref="S14:S38" si="4">SUM(Q14:R14)</f>
        <v>7.5167400000000004</v>
      </c>
      <c r="U14" s="1" t="s">
        <v>12</v>
      </c>
      <c r="V14" s="2">
        <f t="shared" si="3"/>
        <v>9341.5278802991725</v>
      </c>
      <c r="W14" s="2">
        <f t="shared" si="1"/>
        <v>0</v>
      </c>
      <c r="X14" s="2">
        <f t="shared" si="1"/>
        <v>0</v>
      </c>
      <c r="Y14" s="2">
        <f t="shared" si="1"/>
        <v>0</v>
      </c>
    </row>
    <row r="15" spans="1:25">
      <c r="A15" s="1" t="s">
        <v>13</v>
      </c>
      <c r="B15" s="2">
        <f t="shared" si="2"/>
        <v>320.48467819826146</v>
      </c>
      <c r="C15" s="2">
        <f t="shared" si="0"/>
        <v>0</v>
      </c>
      <c r="D15" s="2">
        <f t="shared" si="0"/>
        <v>0</v>
      </c>
      <c r="E15" s="2">
        <f t="shared" si="0"/>
        <v>0</v>
      </c>
      <c r="G15" s="2" t="s">
        <v>13</v>
      </c>
      <c r="H15" s="2" t="s">
        <v>44</v>
      </c>
      <c r="I15" s="2" t="s">
        <v>59</v>
      </c>
      <c r="J15" s="2">
        <v>2409</v>
      </c>
      <c r="K15" s="2"/>
      <c r="L15" s="2"/>
      <c r="M15" s="2"/>
      <c r="N15" s="2"/>
      <c r="P15" s="2" t="s">
        <v>89</v>
      </c>
      <c r="Q15" s="2">
        <f>Q14</f>
        <v>7.5167400000000004</v>
      </c>
      <c r="R15" s="2"/>
      <c r="S15" s="2">
        <f t="shared" si="4"/>
        <v>7.5167400000000004</v>
      </c>
      <c r="U15" s="1" t="s">
        <v>13</v>
      </c>
      <c r="V15" s="2">
        <f t="shared" si="3"/>
        <v>320.48467819826146</v>
      </c>
      <c r="W15" s="2">
        <f t="shared" si="1"/>
        <v>0</v>
      </c>
      <c r="X15" s="2">
        <f t="shared" si="1"/>
        <v>0</v>
      </c>
      <c r="Y15" s="2">
        <f t="shared" si="1"/>
        <v>0</v>
      </c>
    </row>
    <row r="16" spans="1:25">
      <c r="A16" s="1" t="s">
        <v>14</v>
      </c>
      <c r="B16" s="2">
        <f t="shared" si="2"/>
        <v>3.7716105082428277</v>
      </c>
      <c r="C16" s="2">
        <f t="shared" si="0"/>
        <v>0</v>
      </c>
      <c r="D16" s="2">
        <f t="shared" si="0"/>
        <v>0</v>
      </c>
      <c r="E16" s="2">
        <f t="shared" si="0"/>
        <v>0</v>
      </c>
      <c r="G16" s="2" t="s">
        <v>14</v>
      </c>
      <c r="H16" s="2" t="s">
        <v>44</v>
      </c>
      <c r="I16" s="2" t="s">
        <v>59</v>
      </c>
      <c r="J16" s="2">
        <v>28.350215571729194</v>
      </c>
      <c r="K16" s="2"/>
      <c r="L16" s="2"/>
      <c r="M16" s="2"/>
      <c r="N16" s="2"/>
      <c r="P16" s="2" t="s">
        <v>89</v>
      </c>
      <c r="Q16" s="2">
        <f>Q15</f>
        <v>7.5167400000000004</v>
      </c>
      <c r="R16" s="2"/>
      <c r="S16" s="2">
        <f t="shared" si="4"/>
        <v>7.5167400000000004</v>
      </c>
      <c r="U16" s="1" t="s">
        <v>14</v>
      </c>
      <c r="V16" s="2">
        <f t="shared" si="3"/>
        <v>3.7716105082428277</v>
      </c>
      <c r="W16" s="2">
        <f t="shared" si="1"/>
        <v>0</v>
      </c>
      <c r="X16" s="2">
        <f t="shared" si="1"/>
        <v>0</v>
      </c>
      <c r="Y16" s="2">
        <f t="shared" si="1"/>
        <v>0</v>
      </c>
    </row>
    <row r="17" spans="1:25">
      <c r="A17" s="1" t="s">
        <v>15</v>
      </c>
      <c r="B17" s="2">
        <f t="shared" si="2"/>
        <v>24.94415059310996</v>
      </c>
      <c r="C17" s="2">
        <f t="shared" si="0"/>
        <v>0</v>
      </c>
      <c r="D17" s="2">
        <f t="shared" si="0"/>
        <v>0</v>
      </c>
      <c r="E17" s="2">
        <f t="shared" si="0"/>
        <v>0</v>
      </c>
      <c r="G17" s="2" t="s">
        <v>15</v>
      </c>
      <c r="H17" s="2" t="s">
        <v>44</v>
      </c>
      <c r="I17" s="2" t="s">
        <v>60</v>
      </c>
      <c r="J17" s="2">
        <v>1069.3033532103784</v>
      </c>
      <c r="K17" s="2"/>
      <c r="L17" s="2"/>
      <c r="M17" s="2"/>
      <c r="N17" s="2"/>
      <c r="P17" s="2" t="s">
        <v>90</v>
      </c>
      <c r="Q17" s="2">
        <v>42.867899999999999</v>
      </c>
      <c r="R17" s="2"/>
      <c r="S17" s="2">
        <f t="shared" si="4"/>
        <v>42.867899999999999</v>
      </c>
      <c r="U17" s="1" t="s">
        <v>15</v>
      </c>
      <c r="V17" s="2">
        <f t="shared" si="3"/>
        <v>24.94415059310996</v>
      </c>
      <c r="W17" s="2">
        <f t="shared" si="1"/>
        <v>0</v>
      </c>
      <c r="X17" s="2">
        <f t="shared" si="1"/>
        <v>0</v>
      </c>
      <c r="Y17" s="2">
        <f t="shared" si="1"/>
        <v>0</v>
      </c>
    </row>
    <row r="18" spans="1:25">
      <c r="A18" s="1" t="s">
        <v>16</v>
      </c>
      <c r="B18" s="2">
        <f t="shared" si="2"/>
        <v>1339.0026863344835</v>
      </c>
      <c r="C18" s="2">
        <f t="shared" si="0"/>
        <v>11.495584435674525</v>
      </c>
      <c r="D18" s="2">
        <f t="shared" si="0"/>
        <v>58.293095718229729</v>
      </c>
      <c r="E18" s="2">
        <f t="shared" si="0"/>
        <v>0</v>
      </c>
      <c r="G18" s="2" t="s">
        <v>16</v>
      </c>
      <c r="H18" s="2" t="s">
        <v>44</v>
      </c>
      <c r="I18" s="2" t="s">
        <v>61</v>
      </c>
      <c r="J18" s="2">
        <v>57400.233257518004</v>
      </c>
      <c r="K18" s="2">
        <v>492.79156403005197</v>
      </c>
      <c r="L18" s="2">
        <v>2498.9025979395001</v>
      </c>
      <c r="M18" s="2">
        <v>0</v>
      </c>
      <c r="N18" s="2"/>
      <c r="P18" s="2" t="s">
        <v>90</v>
      </c>
      <c r="Q18" s="2">
        <f>Q17</f>
        <v>42.867899999999999</v>
      </c>
      <c r="R18" s="2"/>
      <c r="S18" s="2">
        <f t="shared" si="4"/>
        <v>42.867899999999999</v>
      </c>
      <c r="U18" s="1" t="s">
        <v>16</v>
      </c>
      <c r="V18" s="2">
        <f t="shared" si="3"/>
        <v>1339.0026863344835</v>
      </c>
      <c r="W18" s="2">
        <f t="shared" si="1"/>
        <v>11.495584435674525</v>
      </c>
      <c r="X18" s="2">
        <f t="shared" si="1"/>
        <v>58.293095718229729</v>
      </c>
      <c r="Y18" s="2">
        <f t="shared" si="1"/>
        <v>0</v>
      </c>
    </row>
    <row r="19" spans="1:25">
      <c r="A19" s="1" t="s">
        <v>17</v>
      </c>
      <c r="B19" s="2">
        <f t="shared" si="2"/>
        <v>575.26634179353391</v>
      </c>
      <c r="C19" s="2">
        <f t="shared" si="0"/>
        <v>9.9757639584712621</v>
      </c>
      <c r="D19" s="2">
        <f t="shared" si="0"/>
        <v>0</v>
      </c>
      <c r="E19" s="2">
        <f t="shared" si="0"/>
        <v>11.668342117042402</v>
      </c>
      <c r="G19" s="2" t="s">
        <v>17</v>
      </c>
      <c r="H19" s="2" t="s">
        <v>44</v>
      </c>
      <c r="I19" s="2" t="s">
        <v>62</v>
      </c>
      <c r="J19" s="2">
        <v>6587.0872467068602</v>
      </c>
      <c r="K19" s="2">
        <v>114.22748520647519</v>
      </c>
      <c r="L19" s="2"/>
      <c r="M19" s="2">
        <v>133.60835141119401</v>
      </c>
      <c r="N19" s="2"/>
      <c r="P19" s="2" t="s">
        <v>92</v>
      </c>
      <c r="Q19" s="2">
        <v>11.4505</v>
      </c>
      <c r="R19" s="2"/>
      <c r="S19" s="2">
        <f t="shared" si="4"/>
        <v>11.4505</v>
      </c>
      <c r="U19" s="1" t="s">
        <v>17</v>
      </c>
      <c r="V19" s="2">
        <f t="shared" si="3"/>
        <v>575.26634179353391</v>
      </c>
      <c r="W19" s="2">
        <f t="shared" si="1"/>
        <v>9.9757639584712621</v>
      </c>
      <c r="X19" s="2">
        <f t="shared" si="1"/>
        <v>0</v>
      </c>
      <c r="Y19" s="2">
        <f t="shared" si="1"/>
        <v>11.668342117042402</v>
      </c>
    </row>
    <row r="20" spans="1:25">
      <c r="A20" s="1" t="s">
        <v>18</v>
      </c>
      <c r="B20" s="2">
        <f t="shared" si="2"/>
        <v>87.048223518261381</v>
      </c>
      <c r="C20" s="2">
        <f t="shared" si="0"/>
        <v>0</v>
      </c>
      <c r="D20" s="2">
        <f t="shared" si="0"/>
        <v>0</v>
      </c>
      <c r="E20" s="2">
        <f t="shared" si="0"/>
        <v>0</v>
      </c>
      <c r="G20" s="2" t="s">
        <v>18</v>
      </c>
      <c r="H20" s="2" t="s">
        <v>56</v>
      </c>
      <c r="I20" s="2" t="s">
        <v>63</v>
      </c>
      <c r="J20" s="2">
        <v>3731.574540958477</v>
      </c>
      <c r="K20" s="2"/>
      <c r="L20" s="2"/>
      <c r="M20" s="2"/>
      <c r="N20" s="2"/>
      <c r="P20" s="2" t="s">
        <v>90</v>
      </c>
      <c r="Q20" s="2">
        <f>Q18</f>
        <v>42.867899999999999</v>
      </c>
      <c r="R20" s="2"/>
      <c r="S20" s="2">
        <f t="shared" si="4"/>
        <v>42.867899999999999</v>
      </c>
      <c r="U20" s="1" t="s">
        <v>18</v>
      </c>
      <c r="V20" s="2">
        <f t="shared" si="3"/>
        <v>87.048223518261381</v>
      </c>
      <c r="W20" s="2">
        <f t="shared" si="1"/>
        <v>0</v>
      </c>
      <c r="X20" s="2">
        <f t="shared" si="1"/>
        <v>0</v>
      </c>
      <c r="Y20" s="2">
        <f t="shared" si="1"/>
        <v>0</v>
      </c>
    </row>
    <row r="21" spans="1:25">
      <c r="A21" s="1" t="s">
        <v>19</v>
      </c>
      <c r="B21" s="2">
        <f t="shared" si="2"/>
        <v>0</v>
      </c>
      <c r="C21" s="2">
        <f t="shared" si="0"/>
        <v>0</v>
      </c>
      <c r="D21" s="2">
        <f t="shared" si="0"/>
        <v>0</v>
      </c>
      <c r="E21" s="2">
        <f t="shared" si="0"/>
        <v>78.012985096732308</v>
      </c>
      <c r="G21" s="2" t="s">
        <v>19</v>
      </c>
      <c r="H21" s="2" t="s">
        <v>44</v>
      </c>
      <c r="I21" s="2" t="s">
        <v>64</v>
      </c>
      <c r="J21" s="2"/>
      <c r="K21" s="2"/>
      <c r="L21" s="2"/>
      <c r="M21" s="2">
        <v>7040.7577192636973</v>
      </c>
      <c r="N21" s="2"/>
      <c r="P21" s="2" t="s">
        <v>94</v>
      </c>
      <c r="Q21" s="2">
        <v>90.251099999999994</v>
      </c>
      <c r="R21" s="2"/>
      <c r="S21" s="2">
        <f t="shared" si="4"/>
        <v>90.251099999999994</v>
      </c>
      <c r="U21" s="1" t="s">
        <v>19</v>
      </c>
      <c r="V21" s="2">
        <f t="shared" si="3"/>
        <v>0</v>
      </c>
      <c r="W21" s="2">
        <f t="shared" si="1"/>
        <v>0</v>
      </c>
      <c r="X21" s="2">
        <f t="shared" si="1"/>
        <v>0</v>
      </c>
      <c r="Y21" s="2">
        <f t="shared" si="1"/>
        <v>78.012985096732308</v>
      </c>
    </row>
    <row r="22" spans="1:25">
      <c r="A22" s="1" t="s">
        <v>20</v>
      </c>
      <c r="B22" s="2">
        <f t="shared" si="2"/>
        <v>0</v>
      </c>
      <c r="C22" s="2">
        <f t="shared" si="0"/>
        <v>0</v>
      </c>
      <c r="D22" s="2">
        <f t="shared" si="0"/>
        <v>0</v>
      </c>
      <c r="E22" s="2">
        <f t="shared" si="0"/>
        <v>532.70775251858106</v>
      </c>
      <c r="G22" s="2" t="s">
        <v>20</v>
      </c>
      <c r="H22" s="2" t="s">
        <v>44</v>
      </c>
      <c r="I22" s="2" t="s">
        <v>65</v>
      </c>
      <c r="J22" s="2"/>
      <c r="K22" s="2"/>
      <c r="L22" s="2"/>
      <c r="M22" s="2">
        <v>48077.460643329709</v>
      </c>
      <c r="N22" s="2"/>
      <c r="P22" s="2" t="s">
        <v>94</v>
      </c>
      <c r="Q22" s="2">
        <f>Q21</f>
        <v>90.251099999999994</v>
      </c>
      <c r="R22" s="2"/>
      <c r="S22" s="2">
        <f t="shared" si="4"/>
        <v>90.251099999999994</v>
      </c>
      <c r="U22" s="1" t="s">
        <v>20</v>
      </c>
      <c r="V22" s="2">
        <f t="shared" si="3"/>
        <v>0</v>
      </c>
      <c r="W22" s="2">
        <f t="shared" si="1"/>
        <v>0</v>
      </c>
      <c r="X22" s="2">
        <f t="shared" si="1"/>
        <v>0</v>
      </c>
      <c r="Y22" s="2">
        <f t="shared" si="1"/>
        <v>532.70775251858106</v>
      </c>
    </row>
    <row r="23" spans="1:25">
      <c r="A23" s="1" t="s">
        <v>21</v>
      </c>
      <c r="B23" s="2">
        <f t="shared" si="2"/>
        <v>0</v>
      </c>
      <c r="C23" s="2">
        <f t="shared" si="0"/>
        <v>0</v>
      </c>
      <c r="D23" s="2">
        <f t="shared" si="0"/>
        <v>0.20644118355366112</v>
      </c>
      <c r="E23" s="2">
        <f t="shared" si="0"/>
        <v>89.42158528224698</v>
      </c>
      <c r="G23" s="2" t="s">
        <v>21</v>
      </c>
      <c r="H23" s="2" t="s">
        <v>44</v>
      </c>
      <c r="I23" s="2" t="s">
        <v>60</v>
      </c>
      <c r="J23" s="2"/>
      <c r="K23" s="2"/>
      <c r="L23" s="2">
        <v>18.631543901019825</v>
      </c>
      <c r="M23" s="2">
        <v>8070.3964354665995</v>
      </c>
      <c r="N23" s="2"/>
      <c r="P23" s="2" t="s">
        <v>94</v>
      </c>
      <c r="Q23" s="2">
        <f>Q22</f>
        <v>90.251099999999994</v>
      </c>
      <c r="R23" s="2"/>
      <c r="S23" s="2">
        <f t="shared" si="4"/>
        <v>90.251099999999994</v>
      </c>
      <c r="U23" s="1" t="s">
        <v>21</v>
      </c>
      <c r="V23" s="2">
        <f t="shared" si="3"/>
        <v>0</v>
      </c>
      <c r="W23" s="2">
        <f t="shared" si="1"/>
        <v>0</v>
      </c>
      <c r="X23" s="2">
        <f t="shared" si="1"/>
        <v>0.20644118355366112</v>
      </c>
      <c r="Y23" s="2">
        <f t="shared" si="1"/>
        <v>89.42158528224698</v>
      </c>
    </row>
    <row r="24" spans="1:25">
      <c r="A24" s="1" t="s">
        <v>22</v>
      </c>
      <c r="B24" s="2">
        <f t="shared" si="2"/>
        <v>0</v>
      </c>
      <c r="C24" s="2">
        <f t="shared" si="0"/>
        <v>2442.7800355198679</v>
      </c>
      <c r="D24" s="2">
        <f t="shared" si="0"/>
        <v>0</v>
      </c>
      <c r="E24" s="2">
        <f t="shared" si="0"/>
        <v>0</v>
      </c>
      <c r="G24" s="2" t="s">
        <v>22</v>
      </c>
      <c r="H24" s="2" t="s">
        <v>66</v>
      </c>
      <c r="I24" s="2" t="s">
        <v>67</v>
      </c>
      <c r="J24" s="2"/>
      <c r="K24" s="2">
        <v>93849.166184637797</v>
      </c>
      <c r="L24" s="2"/>
      <c r="M24" s="2"/>
      <c r="N24" s="2"/>
      <c r="P24" s="2" t="s">
        <v>96</v>
      </c>
      <c r="Q24" s="2">
        <v>38.418999999999997</v>
      </c>
      <c r="R24" s="2"/>
      <c r="S24" s="2">
        <f t="shared" si="4"/>
        <v>38.418999999999997</v>
      </c>
      <c r="U24" s="1" t="s">
        <v>22</v>
      </c>
      <c r="V24" s="2">
        <f t="shared" si="3"/>
        <v>0</v>
      </c>
      <c r="W24" s="2">
        <f t="shared" si="1"/>
        <v>2442.7800355198679</v>
      </c>
      <c r="X24" s="2">
        <f t="shared" si="1"/>
        <v>0</v>
      </c>
      <c r="Y24" s="2">
        <f t="shared" si="1"/>
        <v>0</v>
      </c>
    </row>
    <row r="25" spans="1:25">
      <c r="A25" s="1" t="s">
        <v>23</v>
      </c>
      <c r="B25" s="2">
        <f t="shared" si="2"/>
        <v>0</v>
      </c>
      <c r="C25" s="2">
        <f t="shared" si="0"/>
        <v>488.5215949618912</v>
      </c>
      <c r="D25" s="2">
        <f t="shared" si="0"/>
        <v>281.64810906034501</v>
      </c>
      <c r="E25" s="2">
        <f t="shared" si="0"/>
        <v>0</v>
      </c>
      <c r="G25" s="2" t="s">
        <v>23</v>
      </c>
      <c r="H25" s="2" t="s">
        <v>66</v>
      </c>
      <c r="I25" s="2" t="s">
        <v>68</v>
      </c>
      <c r="J25" s="2"/>
      <c r="K25" s="2">
        <v>18768.511156840897</v>
      </c>
      <c r="L25" s="2">
        <v>10820.638701989394</v>
      </c>
      <c r="M25" s="2"/>
      <c r="N25" s="2"/>
      <c r="P25" s="2" t="s">
        <v>96</v>
      </c>
      <c r="Q25" s="2">
        <f>Q24</f>
        <v>38.418999999999997</v>
      </c>
      <c r="R25" s="2"/>
      <c r="S25" s="2">
        <f t="shared" si="4"/>
        <v>38.418999999999997</v>
      </c>
      <c r="U25" s="1" t="s">
        <v>23</v>
      </c>
      <c r="V25" s="2">
        <f t="shared" si="3"/>
        <v>0</v>
      </c>
      <c r="W25" s="2">
        <f t="shared" si="1"/>
        <v>488.5215949618912</v>
      </c>
      <c r="X25" s="2">
        <f t="shared" si="1"/>
        <v>281.64810906034501</v>
      </c>
      <c r="Y25" s="2">
        <f t="shared" si="1"/>
        <v>0</v>
      </c>
    </row>
    <row r="26" spans="1:25">
      <c r="A26" s="1" t="s">
        <v>24</v>
      </c>
      <c r="B26" s="2">
        <f t="shared" si="2"/>
        <v>0</v>
      </c>
      <c r="C26" s="2">
        <f t="shared" si="0"/>
        <v>268.33110656698187</v>
      </c>
      <c r="D26" s="2">
        <f t="shared" si="0"/>
        <v>65.840503000232403</v>
      </c>
      <c r="E26" s="2">
        <f t="shared" si="0"/>
        <v>0</v>
      </c>
      <c r="G26" s="2" t="s">
        <v>24</v>
      </c>
      <c r="H26" s="2" t="s">
        <v>66</v>
      </c>
      <c r="I26" s="2" t="s">
        <v>69</v>
      </c>
      <c r="J26" s="2"/>
      <c r="K26" s="2">
        <v>10309.012783196875</v>
      </c>
      <c r="L26" s="2">
        <v>2529.5262847659287</v>
      </c>
      <c r="M26" s="2"/>
      <c r="N26" s="2">
        <v>206589.34347279501</v>
      </c>
      <c r="P26" s="2" t="s">
        <v>96</v>
      </c>
      <c r="Q26" s="2">
        <f>Q25</f>
        <v>38.418999999999997</v>
      </c>
      <c r="R26" s="2"/>
      <c r="S26" s="2">
        <f t="shared" si="4"/>
        <v>38.418999999999997</v>
      </c>
      <c r="U26" s="1" t="s">
        <v>24</v>
      </c>
      <c r="V26" s="2">
        <f t="shared" si="3"/>
        <v>0</v>
      </c>
      <c r="W26" s="2">
        <f t="shared" si="1"/>
        <v>268.33110656698187</v>
      </c>
      <c r="X26" s="2">
        <f t="shared" si="1"/>
        <v>65.840503000232403</v>
      </c>
      <c r="Y26" s="2">
        <f t="shared" si="1"/>
        <v>0</v>
      </c>
    </row>
    <row r="27" spans="1:25">
      <c r="A27" s="1" t="s">
        <v>25</v>
      </c>
      <c r="B27" s="2">
        <f t="shared" si="2"/>
        <v>150.09810378272809</v>
      </c>
      <c r="C27" s="2">
        <f t="shared" si="0"/>
        <v>0</v>
      </c>
      <c r="D27" s="2">
        <f t="shared" si="0"/>
        <v>0</v>
      </c>
      <c r="E27" s="2">
        <f t="shared" si="0"/>
        <v>0</v>
      </c>
      <c r="G27" s="2" t="s">
        <v>25</v>
      </c>
      <c r="H27" s="2" t="s">
        <v>66</v>
      </c>
      <c r="I27" s="2" t="s">
        <v>70</v>
      </c>
      <c r="J27" s="2">
        <v>5766.6190492286296</v>
      </c>
      <c r="K27" s="2"/>
      <c r="L27" s="2"/>
      <c r="M27" s="2"/>
      <c r="N27" s="2"/>
      <c r="P27" s="2" t="s">
        <v>96</v>
      </c>
      <c r="Q27" s="2">
        <f>Q26</f>
        <v>38.418999999999997</v>
      </c>
      <c r="R27" s="2"/>
      <c r="S27" s="2">
        <f t="shared" si="4"/>
        <v>38.418999999999997</v>
      </c>
      <c r="U27" s="1" t="s">
        <v>25</v>
      </c>
      <c r="V27" s="2">
        <f t="shared" si="3"/>
        <v>150.09810378272809</v>
      </c>
      <c r="W27" s="2">
        <f t="shared" si="1"/>
        <v>0</v>
      </c>
      <c r="X27" s="2">
        <f t="shared" si="1"/>
        <v>0</v>
      </c>
      <c r="Y27" s="2">
        <f t="shared" si="1"/>
        <v>0</v>
      </c>
    </row>
    <row r="28" spans="1:25">
      <c r="A28" s="1" t="s">
        <v>26</v>
      </c>
      <c r="B28" s="2">
        <f t="shared" si="2"/>
        <v>174.08050141857026</v>
      </c>
      <c r="C28" s="2">
        <f t="shared" si="2"/>
        <v>0</v>
      </c>
      <c r="D28" s="2">
        <f t="shared" si="2"/>
        <v>0</v>
      </c>
      <c r="E28" s="2">
        <f t="shared" si="2"/>
        <v>0</v>
      </c>
      <c r="G28" s="2" t="s">
        <v>26</v>
      </c>
      <c r="H28" s="2" t="s">
        <v>66</v>
      </c>
      <c r="I28" s="2" t="s">
        <v>71</v>
      </c>
      <c r="J28" s="2">
        <v>6687.9987840000504</v>
      </c>
      <c r="K28" s="2"/>
      <c r="L28" s="2"/>
      <c r="M28" s="2"/>
      <c r="N28" s="2"/>
      <c r="P28" s="2" t="s">
        <v>96</v>
      </c>
      <c r="Q28" s="2">
        <f>Q27</f>
        <v>38.418999999999997</v>
      </c>
      <c r="R28" s="2"/>
      <c r="S28" s="2">
        <f t="shared" si="4"/>
        <v>38.418999999999997</v>
      </c>
      <c r="U28" s="1" t="s">
        <v>26</v>
      </c>
      <c r="V28" s="2">
        <f t="shared" si="3"/>
        <v>174.08050141857026</v>
      </c>
      <c r="W28" s="2">
        <f t="shared" si="3"/>
        <v>0</v>
      </c>
      <c r="X28" s="2">
        <f t="shared" si="3"/>
        <v>0</v>
      </c>
      <c r="Y28" s="2">
        <f t="shared" si="3"/>
        <v>0</v>
      </c>
    </row>
    <row r="29" spans="1:25">
      <c r="A29" s="1" t="s">
        <v>27</v>
      </c>
      <c r="B29" s="2">
        <f t="shared" si="2"/>
        <v>0</v>
      </c>
      <c r="C29" s="2">
        <f t="shared" si="2"/>
        <v>0</v>
      </c>
      <c r="D29" s="2">
        <f t="shared" si="2"/>
        <v>2088.7915262741344</v>
      </c>
      <c r="E29" s="2">
        <f t="shared" si="2"/>
        <v>0</v>
      </c>
      <c r="G29" s="2" t="s">
        <v>27</v>
      </c>
      <c r="H29" s="2" t="s">
        <v>55</v>
      </c>
      <c r="I29" s="2" t="s">
        <v>72</v>
      </c>
      <c r="J29" s="2"/>
      <c r="K29" s="2"/>
      <c r="L29" s="2">
        <v>80249.281647925964</v>
      </c>
      <c r="M29" s="2"/>
      <c r="N29" s="2"/>
      <c r="P29" s="2" t="s">
        <v>96</v>
      </c>
      <c r="Q29" s="2">
        <f>Q28</f>
        <v>38.418999999999997</v>
      </c>
      <c r="R29" s="2"/>
      <c r="S29" s="2">
        <f t="shared" si="4"/>
        <v>38.418999999999997</v>
      </c>
      <c r="U29" s="1" t="s">
        <v>27</v>
      </c>
      <c r="V29" s="2">
        <f t="shared" si="3"/>
        <v>0</v>
      </c>
      <c r="W29" s="2">
        <f t="shared" si="3"/>
        <v>0</v>
      </c>
      <c r="X29" s="2">
        <f t="shared" si="3"/>
        <v>2088.7915262741344</v>
      </c>
      <c r="Y29" s="2">
        <f t="shared" si="3"/>
        <v>0</v>
      </c>
    </row>
    <row r="30" spans="1:25">
      <c r="A30" s="1" t="s">
        <v>28</v>
      </c>
      <c r="B30" s="2">
        <f t="shared" si="2"/>
        <v>0</v>
      </c>
      <c r="C30" s="2">
        <f t="shared" si="2"/>
        <v>0</v>
      </c>
      <c r="D30" s="2">
        <f t="shared" si="2"/>
        <v>439.78792266026113</v>
      </c>
      <c r="E30" s="2">
        <f t="shared" si="2"/>
        <v>0</v>
      </c>
      <c r="G30" s="2" t="s">
        <v>28</v>
      </c>
      <c r="H30" s="2" t="s">
        <v>66</v>
      </c>
      <c r="I30" s="2" t="s">
        <v>73</v>
      </c>
      <c r="J30" s="2"/>
      <c r="K30" s="2"/>
      <c r="L30" s="2">
        <v>16896.212200684571</v>
      </c>
      <c r="M30" s="2"/>
      <c r="N30" s="2"/>
      <c r="P30" s="2" t="s">
        <v>96</v>
      </c>
      <c r="Q30" s="2">
        <f>Q29</f>
        <v>38.418999999999997</v>
      </c>
      <c r="R30" s="2"/>
      <c r="S30" s="2">
        <f t="shared" si="4"/>
        <v>38.418999999999997</v>
      </c>
      <c r="U30" s="1" t="s">
        <v>28</v>
      </c>
      <c r="V30" s="2">
        <f t="shared" si="3"/>
        <v>0</v>
      </c>
      <c r="W30" s="2">
        <f t="shared" si="3"/>
        <v>0</v>
      </c>
      <c r="X30" s="2">
        <f t="shared" si="3"/>
        <v>439.78792266026113</v>
      </c>
      <c r="Y30" s="2">
        <f t="shared" si="3"/>
        <v>0</v>
      </c>
    </row>
    <row r="31" spans="1:25">
      <c r="A31" s="1" t="s">
        <v>29</v>
      </c>
      <c r="B31" s="2">
        <f t="shared" si="2"/>
        <v>0</v>
      </c>
      <c r="C31" s="2">
        <f t="shared" si="2"/>
        <v>0</v>
      </c>
      <c r="D31" s="2">
        <f t="shared" si="2"/>
        <v>25.461590854287049</v>
      </c>
      <c r="E31" s="2">
        <f t="shared" si="2"/>
        <v>0</v>
      </c>
      <c r="G31" s="2" t="s">
        <v>29</v>
      </c>
      <c r="H31" s="2" t="s">
        <v>66</v>
      </c>
      <c r="I31" s="2" t="s">
        <v>74</v>
      </c>
      <c r="J31" s="2"/>
      <c r="K31" s="2"/>
      <c r="L31" s="2">
        <v>978.20885903085411</v>
      </c>
      <c r="M31" s="2"/>
      <c r="N31" s="2"/>
      <c r="P31" s="2" t="s">
        <v>96</v>
      </c>
      <c r="Q31" s="2">
        <f>Q30</f>
        <v>38.418999999999997</v>
      </c>
      <c r="R31" s="2"/>
      <c r="S31" s="2">
        <f t="shared" si="4"/>
        <v>38.418999999999997</v>
      </c>
      <c r="U31" s="1" t="s">
        <v>29</v>
      </c>
      <c r="V31" s="2">
        <f t="shared" si="3"/>
        <v>0</v>
      </c>
      <c r="W31" s="2">
        <f t="shared" si="3"/>
        <v>0</v>
      </c>
      <c r="X31" s="2">
        <f t="shared" si="3"/>
        <v>25.461590854287049</v>
      </c>
      <c r="Y31" s="2">
        <f t="shared" si="3"/>
        <v>0</v>
      </c>
    </row>
    <row r="32" spans="1:25">
      <c r="A32" s="1" t="s">
        <v>30</v>
      </c>
      <c r="B32" s="2">
        <f t="shared" si="2"/>
        <v>0</v>
      </c>
      <c r="C32" s="2">
        <f t="shared" si="2"/>
        <v>5394.7190085992252</v>
      </c>
      <c r="D32" s="2">
        <f t="shared" si="2"/>
        <v>0</v>
      </c>
      <c r="E32" s="2">
        <f t="shared" si="2"/>
        <v>0</v>
      </c>
      <c r="G32" s="2" t="s">
        <v>30</v>
      </c>
      <c r="H32" s="2" t="s">
        <v>66</v>
      </c>
      <c r="I32" s="2" t="s">
        <v>75</v>
      </c>
      <c r="J32" s="2"/>
      <c r="K32" s="2">
        <v>207259.70959137363</v>
      </c>
      <c r="L32" s="2"/>
      <c r="M32" s="2"/>
      <c r="N32" s="2"/>
      <c r="P32" s="2" t="s">
        <v>96</v>
      </c>
      <c r="Q32" s="2">
        <f>Q31</f>
        <v>38.418999999999997</v>
      </c>
      <c r="R32" s="2"/>
      <c r="S32" s="2">
        <f t="shared" si="4"/>
        <v>38.418999999999997</v>
      </c>
      <c r="U32" s="1" t="s">
        <v>30</v>
      </c>
      <c r="V32" s="2">
        <f t="shared" si="3"/>
        <v>0</v>
      </c>
      <c r="W32" s="2">
        <f t="shared" si="3"/>
        <v>5394.7190085992252</v>
      </c>
      <c r="X32" s="2">
        <f t="shared" si="3"/>
        <v>0</v>
      </c>
      <c r="Y32" s="2">
        <f t="shared" si="3"/>
        <v>0</v>
      </c>
    </row>
    <row r="33" spans="1:25">
      <c r="A33" s="1" t="s">
        <v>31</v>
      </c>
      <c r="B33" s="2">
        <f t="shared" si="2"/>
        <v>0</v>
      </c>
      <c r="C33" s="2">
        <f t="shared" si="2"/>
        <v>129.39693770131129</v>
      </c>
      <c r="D33" s="2">
        <f t="shared" si="2"/>
        <v>0</v>
      </c>
      <c r="E33" s="2">
        <f t="shared" si="2"/>
        <v>0</v>
      </c>
      <c r="G33" s="2" t="s">
        <v>31</v>
      </c>
      <c r="H33" s="2" t="s">
        <v>76</v>
      </c>
      <c r="I33" s="2" t="s">
        <v>77</v>
      </c>
      <c r="J33" s="2"/>
      <c r="K33" s="2">
        <v>44374.221242848384</v>
      </c>
      <c r="L33" s="2"/>
      <c r="M33" s="2"/>
      <c r="N33" s="2"/>
      <c r="P33" s="2" t="s">
        <v>97</v>
      </c>
      <c r="Q33" s="2">
        <v>342.93099999999998</v>
      </c>
      <c r="R33" s="2"/>
      <c r="S33" s="2">
        <f t="shared" si="4"/>
        <v>342.93099999999998</v>
      </c>
      <c r="U33" s="1" t="s">
        <v>31</v>
      </c>
      <c r="V33" s="2">
        <f t="shared" si="3"/>
        <v>0</v>
      </c>
      <c r="W33" s="2">
        <f t="shared" si="3"/>
        <v>129.39693770131129</v>
      </c>
      <c r="X33" s="2">
        <f t="shared" si="3"/>
        <v>0</v>
      </c>
      <c r="Y33" s="2">
        <f t="shared" si="3"/>
        <v>0</v>
      </c>
    </row>
    <row r="34" spans="1:25">
      <c r="A34" s="1" t="s">
        <v>32</v>
      </c>
      <c r="B34" s="2">
        <f t="shared" si="2"/>
        <v>0</v>
      </c>
      <c r="C34" s="2">
        <f t="shared" si="2"/>
        <v>0.17148167881396878</v>
      </c>
      <c r="D34" s="2">
        <f t="shared" si="2"/>
        <v>0.12172137022955765</v>
      </c>
      <c r="E34" s="2">
        <f t="shared" si="2"/>
        <v>0</v>
      </c>
      <c r="G34" s="2" t="s">
        <v>32</v>
      </c>
      <c r="H34" s="2" t="s">
        <v>76</v>
      </c>
      <c r="I34" s="2" t="s">
        <v>78</v>
      </c>
      <c r="J34" s="2"/>
      <c r="K34" s="2">
        <v>58.806383597353125</v>
      </c>
      <c r="L34" s="2">
        <v>41.74203121419243</v>
      </c>
      <c r="M34" s="2"/>
      <c r="N34" s="2"/>
      <c r="P34" s="2" t="s">
        <v>97</v>
      </c>
      <c r="Q34" s="2">
        <f>Q33</f>
        <v>342.93099999999998</v>
      </c>
      <c r="R34" s="2"/>
      <c r="S34" s="2">
        <f t="shared" si="4"/>
        <v>342.93099999999998</v>
      </c>
      <c r="U34" s="1" t="s">
        <v>32</v>
      </c>
      <c r="V34" s="2">
        <f t="shared" si="3"/>
        <v>0</v>
      </c>
      <c r="W34" s="2">
        <f t="shared" si="3"/>
        <v>0.17148167881396878</v>
      </c>
      <c r="X34" s="2">
        <f t="shared" si="3"/>
        <v>0.12172137022955765</v>
      </c>
      <c r="Y34" s="2">
        <f t="shared" si="3"/>
        <v>0</v>
      </c>
    </row>
    <row r="35" spans="1:25">
      <c r="A35" s="1" t="s">
        <v>33</v>
      </c>
      <c r="B35" s="2">
        <f t="shared" si="2"/>
        <v>1.5094083545461114</v>
      </c>
      <c r="C35" s="2">
        <f t="shared" si="2"/>
        <v>7.081686856783052</v>
      </c>
      <c r="D35" s="2">
        <f t="shared" si="2"/>
        <v>0.41502011843555991</v>
      </c>
      <c r="E35" s="2">
        <f t="shared" si="2"/>
        <v>0</v>
      </c>
      <c r="G35" s="2" t="s">
        <v>33</v>
      </c>
      <c r="H35" s="2" t="s">
        <v>76</v>
      </c>
      <c r="I35" s="2" t="s">
        <v>57</v>
      </c>
      <c r="J35" s="2">
        <v>517.62291643285255</v>
      </c>
      <c r="K35" s="2">
        <v>2428.5299554834687</v>
      </c>
      <c r="L35" s="2">
        <v>142.323264235225</v>
      </c>
      <c r="M35" s="2"/>
      <c r="N35" s="2">
        <v>15.5469589</v>
      </c>
      <c r="P35" s="2" t="s">
        <v>97</v>
      </c>
      <c r="Q35" s="2">
        <f>Q33</f>
        <v>342.93099999999998</v>
      </c>
      <c r="R35" s="2"/>
      <c r="S35" s="2">
        <f t="shared" si="4"/>
        <v>342.93099999999998</v>
      </c>
      <c r="U35" s="1" t="s">
        <v>33</v>
      </c>
      <c r="V35" s="2">
        <f t="shared" si="3"/>
        <v>1.5094083545461114</v>
      </c>
      <c r="W35" s="2">
        <f t="shared" si="3"/>
        <v>7.081686856783052</v>
      </c>
      <c r="X35" s="2">
        <f t="shared" si="3"/>
        <v>0.41502011843555991</v>
      </c>
      <c r="Y35" s="2">
        <f t="shared" si="3"/>
        <v>0</v>
      </c>
    </row>
    <row r="36" spans="1:25">
      <c r="A36" s="1" t="s">
        <v>34</v>
      </c>
      <c r="B36" s="2">
        <f t="shared" si="2"/>
        <v>0</v>
      </c>
      <c r="C36" s="2">
        <f t="shared" si="2"/>
        <v>361.71843646967665</v>
      </c>
      <c r="D36" s="2">
        <f t="shared" si="2"/>
        <v>19.749250334761985</v>
      </c>
      <c r="E36" s="2">
        <f t="shared" si="2"/>
        <v>0</v>
      </c>
      <c r="G36" s="2" t="s">
        <v>34</v>
      </c>
      <c r="H36" s="2" t="s">
        <v>76</v>
      </c>
      <c r="I36" s="2" t="s">
        <v>79</v>
      </c>
      <c r="J36" s="2"/>
      <c r="K36" s="2">
        <v>124044.46513698268</v>
      </c>
      <c r="L36" s="2">
        <v>6772.6301665502615</v>
      </c>
      <c r="M36" s="2"/>
      <c r="N36" s="2"/>
      <c r="P36" s="2" t="s">
        <v>97</v>
      </c>
      <c r="Q36" s="2">
        <f>Q33</f>
        <v>342.93099999999998</v>
      </c>
      <c r="R36" s="2"/>
      <c r="S36" s="2">
        <f t="shared" si="4"/>
        <v>342.93099999999998</v>
      </c>
      <c r="U36" s="1" t="s">
        <v>34</v>
      </c>
      <c r="V36" s="2">
        <f t="shared" si="3"/>
        <v>0</v>
      </c>
      <c r="W36" s="2">
        <f t="shared" si="3"/>
        <v>361.71843646967665</v>
      </c>
      <c r="X36" s="2">
        <f t="shared" si="3"/>
        <v>19.749250334761985</v>
      </c>
      <c r="Y36" s="2">
        <f t="shared" si="3"/>
        <v>0</v>
      </c>
    </row>
    <row r="37" spans="1:25">
      <c r="A37" s="1" t="s">
        <v>35</v>
      </c>
      <c r="B37" s="2">
        <f t="shared" si="2"/>
        <v>0</v>
      </c>
      <c r="C37" s="2">
        <f t="shared" si="2"/>
        <v>0</v>
      </c>
      <c r="D37" s="2">
        <f t="shared" si="2"/>
        <v>32.739900646170682</v>
      </c>
      <c r="E37" s="2">
        <f t="shared" si="2"/>
        <v>0</v>
      </c>
      <c r="G37" s="2" t="s">
        <v>35</v>
      </c>
      <c r="H37" s="2" t="s">
        <v>55</v>
      </c>
      <c r="I37" s="2" t="s">
        <v>80</v>
      </c>
      <c r="J37" s="2"/>
      <c r="K37" s="2"/>
      <c r="L37" s="2">
        <v>11227.526868491957</v>
      </c>
      <c r="M37" s="2"/>
      <c r="N37" s="2"/>
      <c r="P37" s="2" t="s">
        <v>97</v>
      </c>
      <c r="Q37" s="2">
        <f>Q33</f>
        <v>342.93099999999998</v>
      </c>
      <c r="R37" s="2"/>
      <c r="S37" s="2">
        <f t="shared" si="4"/>
        <v>342.93099999999998</v>
      </c>
      <c r="U37" s="1" t="s">
        <v>35</v>
      </c>
      <c r="V37" s="2">
        <f t="shared" si="3"/>
        <v>0</v>
      </c>
      <c r="W37" s="2">
        <f t="shared" si="3"/>
        <v>0</v>
      </c>
      <c r="X37" s="2">
        <f t="shared" si="3"/>
        <v>32.739900646170682</v>
      </c>
      <c r="Y37" s="2">
        <f t="shared" si="3"/>
        <v>0</v>
      </c>
    </row>
    <row r="38" spans="1:25">
      <c r="A38" s="1" t="s">
        <v>36</v>
      </c>
      <c r="B38" s="2">
        <f t="shared" si="2"/>
        <v>0</v>
      </c>
      <c r="C38" s="2">
        <f t="shared" si="2"/>
        <v>0</v>
      </c>
      <c r="D38" s="2">
        <f t="shared" si="2"/>
        <v>0</v>
      </c>
      <c r="E38" s="2">
        <f t="shared" si="2"/>
        <v>0</v>
      </c>
      <c r="G38" s="2" t="s">
        <v>36</v>
      </c>
      <c r="H38" s="2" t="s">
        <v>55</v>
      </c>
      <c r="I38" s="2" t="s">
        <v>81</v>
      </c>
      <c r="J38" s="2"/>
      <c r="K38" s="2"/>
      <c r="L38" s="2"/>
      <c r="M38" s="2"/>
      <c r="N38" s="2"/>
      <c r="P38" s="2" t="s">
        <v>97</v>
      </c>
      <c r="Q38" s="2">
        <f>Q33</f>
        <v>342.93099999999998</v>
      </c>
      <c r="R38" s="2"/>
      <c r="S38" s="2">
        <f t="shared" si="4"/>
        <v>342.93099999999998</v>
      </c>
      <c r="U38" s="1" t="s">
        <v>36</v>
      </c>
      <c r="V38" s="2">
        <f t="shared" si="3"/>
        <v>0</v>
      </c>
      <c r="W38" s="2">
        <f t="shared" si="3"/>
        <v>0</v>
      </c>
      <c r="X38" s="2">
        <f t="shared" si="3"/>
        <v>0</v>
      </c>
      <c r="Y38" s="2">
        <f t="shared" si="3"/>
        <v>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38"/>
  <sheetViews>
    <sheetView zoomScale="70" zoomScaleNormal="70" workbookViewId="0">
      <selection activeCell="G31" sqref="G31"/>
    </sheetView>
  </sheetViews>
  <sheetFormatPr defaultRowHeight="14.4"/>
  <cols>
    <col min="1" max="1" width="13.33203125" bestFit="1" customWidth="1"/>
    <col min="2" max="5" width="7.5546875" bestFit="1" customWidth="1"/>
    <col min="7" max="7" width="32.44140625" bestFit="1" customWidth="1"/>
    <col min="8" max="8" width="14.6640625" bestFit="1" customWidth="1"/>
    <col min="9" max="9" width="32.109375" bestFit="1" customWidth="1"/>
    <col min="10" max="14" width="12" bestFit="1" customWidth="1"/>
    <col min="16" max="16" width="73.109375" bestFit="1" customWidth="1"/>
    <col min="21" max="21" width="13.109375" bestFit="1" customWidth="1"/>
  </cols>
  <sheetData>
    <row r="1" spans="1:25">
      <c r="A1" s="2"/>
      <c r="B1" s="3" t="s">
        <v>37</v>
      </c>
      <c r="C1" s="3" t="s">
        <v>38</v>
      </c>
      <c r="D1" s="3" t="s">
        <v>39</v>
      </c>
      <c r="E1" s="3" t="s">
        <v>40</v>
      </c>
      <c r="G1" s="7" t="s">
        <v>84</v>
      </c>
      <c r="H1" s="7" t="s">
        <v>85</v>
      </c>
      <c r="I1" s="7" t="s">
        <v>86</v>
      </c>
      <c r="J1" s="7" t="s">
        <v>37</v>
      </c>
      <c r="K1" s="7" t="s">
        <v>38</v>
      </c>
      <c r="L1" s="7" t="s">
        <v>39</v>
      </c>
      <c r="M1" s="7" t="s">
        <v>83</v>
      </c>
      <c r="N1" s="7" t="s">
        <v>82</v>
      </c>
      <c r="P1" s="8" t="s">
        <v>98</v>
      </c>
      <c r="Q1" s="10" t="s">
        <v>100</v>
      </c>
      <c r="R1" s="10" t="s">
        <v>101</v>
      </c>
      <c r="S1" s="10" t="s">
        <v>102</v>
      </c>
      <c r="U1" s="2"/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1" t="s">
        <v>0</v>
      </c>
      <c r="B2" s="6"/>
      <c r="C2" s="6"/>
      <c r="D2" s="6"/>
      <c r="E2" s="6"/>
      <c r="G2" s="2" t="s">
        <v>0</v>
      </c>
      <c r="H2" s="2" t="s">
        <v>41</v>
      </c>
      <c r="I2" s="2" t="s">
        <v>42</v>
      </c>
      <c r="J2" s="2">
        <v>193662.4965444417</v>
      </c>
      <c r="K2" s="2">
        <v>122.93833320734134</v>
      </c>
      <c r="L2" s="2">
        <v>795.65153981975095</v>
      </c>
      <c r="M2" s="2"/>
      <c r="N2" s="2">
        <v>5767.8397521973002</v>
      </c>
      <c r="P2" s="2"/>
      <c r="Q2" s="2"/>
      <c r="R2" s="2"/>
      <c r="S2" s="2"/>
      <c r="U2" s="1" t="s">
        <v>0</v>
      </c>
      <c r="V2" s="6"/>
      <c r="W2" s="6"/>
      <c r="X2" s="6"/>
      <c r="Y2" s="6"/>
    </row>
    <row r="3" spans="1:25">
      <c r="A3" s="1" t="s">
        <v>1</v>
      </c>
      <c r="B3" s="6"/>
      <c r="C3" s="6"/>
      <c r="D3" s="6"/>
      <c r="E3" s="6"/>
      <c r="G3" s="2" t="s">
        <v>1</v>
      </c>
      <c r="H3" s="2" t="s">
        <v>41</v>
      </c>
      <c r="I3" s="2" t="s">
        <v>43</v>
      </c>
      <c r="J3" s="2">
        <v>32579.324411432102</v>
      </c>
      <c r="K3" s="2">
        <v>37.104061888972751</v>
      </c>
      <c r="L3" s="2">
        <v>18.286523593266736</v>
      </c>
      <c r="M3" s="2"/>
      <c r="N3" s="2"/>
      <c r="P3" s="2"/>
      <c r="Q3" s="2"/>
      <c r="R3" s="2"/>
      <c r="S3" s="2"/>
      <c r="U3" s="1" t="s">
        <v>1</v>
      </c>
      <c r="V3" s="6"/>
      <c r="W3" s="6"/>
      <c r="X3" s="6"/>
      <c r="Y3" s="6"/>
    </row>
    <row r="4" spans="1:25">
      <c r="A4" s="1" t="s">
        <v>2</v>
      </c>
      <c r="B4" s="6"/>
      <c r="C4" s="6"/>
      <c r="D4" s="6"/>
      <c r="E4" s="6"/>
      <c r="G4" s="2" t="s">
        <v>2</v>
      </c>
      <c r="H4" s="2" t="s">
        <v>44</v>
      </c>
      <c r="I4" s="2" t="s">
        <v>45</v>
      </c>
      <c r="J4" s="2">
        <v>48340.408070009304</v>
      </c>
      <c r="K4" s="2">
        <v>183.04888764469075</v>
      </c>
      <c r="L4" s="2">
        <v>272.81307285653895</v>
      </c>
      <c r="M4" s="2"/>
      <c r="N4" s="2">
        <v>41401.668094446701</v>
      </c>
      <c r="P4" s="2"/>
      <c r="Q4" s="2"/>
      <c r="R4" s="2"/>
      <c r="S4" s="2"/>
      <c r="U4" s="1" t="s">
        <v>2</v>
      </c>
      <c r="V4" s="6"/>
      <c r="W4" s="6"/>
      <c r="X4" s="6"/>
      <c r="Y4" s="6"/>
    </row>
    <row r="5" spans="1:25">
      <c r="A5" s="1" t="s">
        <v>3</v>
      </c>
      <c r="B5" s="6"/>
      <c r="C5" s="6"/>
      <c r="D5" s="6"/>
      <c r="E5" s="6"/>
      <c r="G5" s="2" t="s">
        <v>3</v>
      </c>
      <c r="H5" s="2" t="s">
        <v>46</v>
      </c>
      <c r="I5" s="2" t="s">
        <v>47</v>
      </c>
      <c r="J5" s="2">
        <v>9862.3786839599998</v>
      </c>
      <c r="K5" s="2">
        <v>1.9318230936279353</v>
      </c>
      <c r="L5" s="2">
        <v>73.13330283019998</v>
      </c>
      <c r="M5" s="2"/>
      <c r="N5" s="2"/>
      <c r="P5" s="2"/>
      <c r="Q5" s="2"/>
      <c r="R5" s="2"/>
      <c r="S5" s="2"/>
      <c r="U5" s="1" t="s">
        <v>3</v>
      </c>
      <c r="V5" s="6"/>
      <c r="W5" s="6"/>
      <c r="X5" s="6"/>
      <c r="Y5" s="6"/>
    </row>
    <row r="6" spans="1:25">
      <c r="A6" s="1" t="s">
        <v>4</v>
      </c>
      <c r="B6" s="6"/>
      <c r="C6" s="6"/>
      <c r="D6" s="6"/>
      <c r="E6" s="6"/>
      <c r="G6" s="2" t="s">
        <v>4</v>
      </c>
      <c r="H6" s="2" t="s">
        <v>46</v>
      </c>
      <c r="I6" s="2" t="s">
        <v>48</v>
      </c>
      <c r="J6" s="2">
        <v>97923.621668830994</v>
      </c>
      <c r="K6" s="2">
        <v>283.46791880563171</v>
      </c>
      <c r="L6" s="2">
        <v>1283.004969387873</v>
      </c>
      <c r="M6" s="2"/>
      <c r="N6" s="2">
        <v>401.66059116669101</v>
      </c>
      <c r="P6" s="2"/>
      <c r="Q6" s="2"/>
      <c r="R6" s="2"/>
      <c r="S6" s="2"/>
      <c r="U6" s="1" t="s">
        <v>4</v>
      </c>
      <c r="V6" s="6"/>
      <c r="W6" s="6"/>
      <c r="X6" s="6"/>
      <c r="Y6" s="6"/>
    </row>
    <row r="7" spans="1:25">
      <c r="A7" s="1" t="s">
        <v>5</v>
      </c>
      <c r="B7" s="6"/>
      <c r="C7" s="6"/>
      <c r="D7" s="6"/>
      <c r="E7" s="6"/>
      <c r="G7" s="2" t="s">
        <v>5</v>
      </c>
      <c r="H7" s="2" t="s">
        <v>46</v>
      </c>
      <c r="I7" s="2" t="s">
        <v>49</v>
      </c>
      <c r="J7" s="2">
        <v>3658.2895772828101</v>
      </c>
      <c r="K7" s="2">
        <v>5.7378468538869996</v>
      </c>
      <c r="L7" s="2">
        <v>373.57647140512336</v>
      </c>
      <c r="M7" s="2"/>
      <c r="N7" s="2"/>
      <c r="P7" s="2"/>
      <c r="Q7" s="2"/>
      <c r="R7" s="2"/>
      <c r="S7" s="2"/>
      <c r="U7" s="1" t="s">
        <v>5</v>
      </c>
      <c r="V7" s="6"/>
      <c r="W7" s="6"/>
      <c r="X7" s="6"/>
      <c r="Y7" s="6"/>
    </row>
    <row r="8" spans="1:25">
      <c r="A8" s="1" t="s">
        <v>6</v>
      </c>
      <c r="B8" s="6"/>
      <c r="C8" s="6"/>
      <c r="D8" s="6"/>
      <c r="E8" s="6"/>
      <c r="G8" s="2" t="s">
        <v>6</v>
      </c>
      <c r="H8" s="2" t="s">
        <v>46</v>
      </c>
      <c r="I8" s="2" t="s">
        <v>50</v>
      </c>
      <c r="J8" s="2">
        <v>2461.7544032958499</v>
      </c>
      <c r="K8" s="2">
        <v>6.5866490258787964</v>
      </c>
      <c r="L8" s="2">
        <v>17.81083665161119</v>
      </c>
      <c r="M8" s="2"/>
      <c r="N8" s="2"/>
      <c r="P8" s="2"/>
      <c r="Q8" s="2"/>
      <c r="R8" s="2"/>
      <c r="S8" s="2"/>
      <c r="U8" s="1" t="s">
        <v>6</v>
      </c>
      <c r="V8" s="6"/>
      <c r="W8" s="6"/>
      <c r="X8" s="6"/>
      <c r="Y8" s="6"/>
    </row>
    <row r="9" spans="1:25">
      <c r="A9" s="1" t="s">
        <v>7</v>
      </c>
      <c r="B9" s="6"/>
      <c r="C9" s="6"/>
      <c r="D9" s="6"/>
      <c r="E9" s="6"/>
      <c r="G9" s="2" t="s">
        <v>7</v>
      </c>
      <c r="H9" s="2" t="s">
        <v>46</v>
      </c>
      <c r="I9" s="2" t="s">
        <v>51</v>
      </c>
      <c r="J9" s="2">
        <v>1507.8167146449</v>
      </c>
      <c r="K9" s="2">
        <v>1.1215313939740119</v>
      </c>
      <c r="L9" s="2">
        <v>1.877898278137452</v>
      </c>
      <c r="M9" s="2"/>
      <c r="N9" s="2"/>
      <c r="P9" s="2"/>
      <c r="Q9" s="2"/>
      <c r="R9" s="2"/>
      <c r="S9" s="2"/>
      <c r="U9" s="1" t="s">
        <v>7</v>
      </c>
      <c r="V9" s="6"/>
      <c r="W9" s="6"/>
      <c r="X9" s="6"/>
      <c r="Y9" s="6"/>
    </row>
    <row r="10" spans="1:25">
      <c r="A10" s="1" t="s">
        <v>8</v>
      </c>
      <c r="B10" s="6"/>
      <c r="C10" s="6"/>
      <c r="D10" s="6"/>
      <c r="E10" s="6"/>
      <c r="G10" s="2" t="s">
        <v>8</v>
      </c>
      <c r="H10" s="2" t="s">
        <v>52</v>
      </c>
      <c r="I10" s="2" t="s">
        <v>53</v>
      </c>
      <c r="J10" s="2">
        <v>23775.973045316801</v>
      </c>
      <c r="K10" s="2">
        <v>543.74032450472055</v>
      </c>
      <c r="L10" s="2">
        <v>736.25978330261444</v>
      </c>
      <c r="M10" s="2"/>
      <c r="N10" s="2">
        <v>5730.4660731719496</v>
      </c>
      <c r="P10" s="2"/>
      <c r="Q10" s="2"/>
      <c r="R10" s="2"/>
      <c r="S10" s="2"/>
      <c r="U10" s="1" t="s">
        <v>8</v>
      </c>
      <c r="V10" s="6"/>
      <c r="W10" s="6"/>
      <c r="X10" s="6"/>
      <c r="Y10" s="6"/>
    </row>
    <row r="11" spans="1:25">
      <c r="A11" s="1" t="s">
        <v>9</v>
      </c>
      <c r="B11" s="6"/>
      <c r="C11" s="6"/>
      <c r="D11" s="6"/>
      <c r="E11" s="6"/>
      <c r="G11" s="2" t="s">
        <v>9</v>
      </c>
      <c r="H11" s="2" t="s">
        <v>54</v>
      </c>
      <c r="I11" s="2" t="s">
        <v>55</v>
      </c>
      <c r="J11" s="2">
        <v>9129.3329884112009</v>
      </c>
      <c r="K11" s="2">
        <v>14.52221445307304</v>
      </c>
      <c r="L11" s="2">
        <v>924.28378250395394</v>
      </c>
      <c r="M11" s="2"/>
      <c r="N11" s="2"/>
      <c r="P11" s="2"/>
      <c r="Q11" s="2"/>
      <c r="R11" s="2"/>
      <c r="S11" s="2"/>
      <c r="U11" s="1" t="s">
        <v>9</v>
      </c>
      <c r="V11" s="6"/>
      <c r="W11" s="6"/>
      <c r="X11" s="6"/>
      <c r="Y11" s="6"/>
    </row>
    <row r="12" spans="1:25">
      <c r="A12" s="1" t="s">
        <v>10</v>
      </c>
      <c r="B12" s="2">
        <f>V12</f>
        <v>4577.7187722829694</v>
      </c>
      <c r="C12" s="2">
        <f t="shared" ref="C12:E27" si="0">W12</f>
        <v>30623.246544322577</v>
      </c>
      <c r="D12" s="2">
        <f t="shared" si="0"/>
        <v>0</v>
      </c>
      <c r="E12" s="2">
        <f t="shared" si="0"/>
        <v>0</v>
      </c>
      <c r="G12" s="2" t="s">
        <v>10</v>
      </c>
      <c r="H12" s="2" t="s">
        <v>56</v>
      </c>
      <c r="I12" s="2" t="s">
        <v>57</v>
      </c>
      <c r="J12" s="2">
        <v>4192.6685354711599</v>
      </c>
      <c r="K12" s="2">
        <v>28047.402784493428</v>
      </c>
      <c r="L12" s="2"/>
      <c r="M12" s="2"/>
      <c r="N12" s="2"/>
      <c r="P12" s="2" t="s">
        <v>88</v>
      </c>
      <c r="Q12" s="2">
        <v>0.91588599999999998</v>
      </c>
      <c r="R12" s="2"/>
      <c r="S12" s="2">
        <f>SUM(Q12:R12)</f>
        <v>0.91588599999999998</v>
      </c>
      <c r="U12" s="1" t="s">
        <v>10</v>
      </c>
      <c r="V12" s="2">
        <f>J12/$S12</f>
        <v>4577.7187722829694</v>
      </c>
      <c r="W12" s="2">
        <f t="shared" ref="W12:Y27" si="1">K12/$S12</f>
        <v>30623.246544322577</v>
      </c>
      <c r="X12" s="2">
        <f t="shared" si="1"/>
        <v>0</v>
      </c>
      <c r="Y12" s="2">
        <f t="shared" si="1"/>
        <v>0</v>
      </c>
    </row>
    <row r="13" spans="1:25">
      <c r="A13" s="1" t="s">
        <v>11</v>
      </c>
      <c r="B13" s="2">
        <f t="shared" ref="B13:E38" si="2">V13</f>
        <v>1222.3052935091532</v>
      </c>
      <c r="C13" s="2">
        <f t="shared" si="0"/>
        <v>4964.9159011162856</v>
      </c>
      <c r="D13" s="2">
        <f t="shared" si="0"/>
        <v>4.5749028049930365</v>
      </c>
      <c r="E13" s="2">
        <f t="shared" si="0"/>
        <v>0</v>
      </c>
      <c r="G13" s="2" t="s">
        <v>11</v>
      </c>
      <c r="H13" s="2" t="s">
        <v>56</v>
      </c>
      <c r="I13" s="2" t="s">
        <v>58</v>
      </c>
      <c r="J13" s="2">
        <v>2837.9973226812922</v>
      </c>
      <c r="K13" s="2">
        <v>11527.740335847835</v>
      </c>
      <c r="L13" s="2">
        <v>10.622192328745031</v>
      </c>
      <c r="M13" s="2"/>
      <c r="N13" s="2">
        <v>380.19615529632</v>
      </c>
      <c r="P13" s="2" t="s">
        <v>99</v>
      </c>
      <c r="Q13">
        <v>1.28617</v>
      </c>
      <c r="R13">
        <v>1.0356700000000001</v>
      </c>
      <c r="S13" s="2">
        <f>SUM(Q13:R13)</f>
        <v>2.3218399999999999</v>
      </c>
      <c r="U13" s="1" t="s">
        <v>11</v>
      </c>
      <c r="V13" s="2">
        <f t="shared" ref="V13:Y38" si="3">J13/$S13</f>
        <v>1222.3052935091532</v>
      </c>
      <c r="W13" s="2">
        <f t="shared" si="1"/>
        <v>4964.9159011162856</v>
      </c>
      <c r="X13" s="2">
        <f t="shared" si="1"/>
        <v>4.5749028049930365</v>
      </c>
      <c r="Y13" s="2">
        <f t="shared" si="1"/>
        <v>0</v>
      </c>
    </row>
    <row r="14" spans="1:25">
      <c r="A14" s="1" t="s">
        <v>12</v>
      </c>
      <c r="B14" s="2">
        <f t="shared" si="2"/>
        <v>2026.1352494803757</v>
      </c>
      <c r="C14" s="2">
        <f t="shared" si="0"/>
        <v>0</v>
      </c>
      <c r="D14" s="2">
        <f t="shared" si="0"/>
        <v>0</v>
      </c>
      <c r="E14" s="2">
        <f t="shared" si="0"/>
        <v>0</v>
      </c>
      <c r="G14" s="2" t="s">
        <v>12</v>
      </c>
      <c r="H14" s="2" t="s">
        <v>44</v>
      </c>
      <c r="I14" s="2" t="s">
        <v>59</v>
      </c>
      <c r="J14" s="2">
        <v>3333.8434622</v>
      </c>
      <c r="K14" s="2"/>
      <c r="L14" s="2"/>
      <c r="M14" s="2"/>
      <c r="N14" s="2"/>
      <c r="P14" s="2" t="s">
        <v>89</v>
      </c>
      <c r="Q14" s="2">
        <v>1.6454200000000001</v>
      </c>
      <c r="R14" s="2"/>
      <c r="S14" s="2">
        <f t="shared" ref="S14:S38" si="4">SUM(Q14:R14)</f>
        <v>1.6454200000000001</v>
      </c>
      <c r="U14" s="1" t="s">
        <v>12</v>
      </c>
      <c r="V14" s="2">
        <f t="shared" si="3"/>
        <v>2026.1352494803757</v>
      </c>
      <c r="W14" s="2">
        <f t="shared" si="1"/>
        <v>0</v>
      </c>
      <c r="X14" s="2">
        <f t="shared" si="1"/>
        <v>0</v>
      </c>
      <c r="Y14" s="2">
        <f t="shared" si="1"/>
        <v>0</v>
      </c>
    </row>
    <row r="15" spans="1:25">
      <c r="A15" s="1" t="s">
        <v>13</v>
      </c>
      <c r="B15" s="2">
        <f t="shared" si="2"/>
        <v>925.29566919084482</v>
      </c>
      <c r="C15" s="2">
        <f t="shared" si="0"/>
        <v>0</v>
      </c>
      <c r="D15" s="2">
        <f t="shared" si="0"/>
        <v>0</v>
      </c>
      <c r="E15" s="2">
        <f t="shared" si="0"/>
        <v>0</v>
      </c>
      <c r="G15" s="2" t="s">
        <v>13</v>
      </c>
      <c r="H15" s="2" t="s">
        <v>44</v>
      </c>
      <c r="I15" s="2" t="s">
        <v>59</v>
      </c>
      <c r="J15" s="2">
        <v>1522.5</v>
      </c>
      <c r="K15" s="2"/>
      <c r="L15" s="2"/>
      <c r="M15" s="2"/>
      <c r="N15" s="2"/>
      <c r="P15" s="2" t="s">
        <v>89</v>
      </c>
      <c r="Q15" s="2">
        <f>Q14</f>
        <v>1.6454200000000001</v>
      </c>
      <c r="R15" s="2"/>
      <c r="S15" s="2">
        <f t="shared" si="4"/>
        <v>1.6454200000000001</v>
      </c>
      <c r="U15" s="1" t="s">
        <v>13</v>
      </c>
      <c r="V15" s="2">
        <f t="shared" si="3"/>
        <v>925.29566919084482</v>
      </c>
      <c r="W15" s="2">
        <f t="shared" si="1"/>
        <v>0</v>
      </c>
      <c r="X15" s="2">
        <f t="shared" si="1"/>
        <v>0</v>
      </c>
      <c r="Y15" s="2">
        <f t="shared" si="1"/>
        <v>0</v>
      </c>
    </row>
    <row r="16" spans="1:25">
      <c r="A16" s="1" t="s">
        <v>14</v>
      </c>
      <c r="B16" s="2">
        <f t="shared" si="2"/>
        <v>62.489217436121478</v>
      </c>
      <c r="C16" s="2">
        <f t="shared" si="0"/>
        <v>0</v>
      </c>
      <c r="D16" s="2">
        <f t="shared" si="0"/>
        <v>0</v>
      </c>
      <c r="E16" s="2">
        <f t="shared" si="0"/>
        <v>0</v>
      </c>
      <c r="G16" s="2" t="s">
        <v>14</v>
      </c>
      <c r="H16" s="2" t="s">
        <v>44</v>
      </c>
      <c r="I16" s="2" t="s">
        <v>59</v>
      </c>
      <c r="J16" s="2">
        <v>102.82100815374301</v>
      </c>
      <c r="K16" s="2"/>
      <c r="L16" s="2"/>
      <c r="M16" s="2"/>
      <c r="N16" s="2"/>
      <c r="P16" s="2" t="s">
        <v>89</v>
      </c>
      <c r="Q16" s="2">
        <f>Q15</f>
        <v>1.6454200000000001</v>
      </c>
      <c r="R16" s="2"/>
      <c r="S16" s="2">
        <f t="shared" si="4"/>
        <v>1.6454200000000001</v>
      </c>
      <c r="U16" s="1" t="s">
        <v>14</v>
      </c>
      <c r="V16" s="2">
        <f t="shared" si="3"/>
        <v>62.489217436121478</v>
      </c>
      <c r="W16" s="2">
        <f t="shared" si="1"/>
        <v>0</v>
      </c>
      <c r="X16" s="2">
        <f t="shared" si="1"/>
        <v>0</v>
      </c>
      <c r="Y16" s="2">
        <f t="shared" si="1"/>
        <v>0</v>
      </c>
    </row>
    <row r="17" spans="1:25">
      <c r="A17" s="1" t="s">
        <v>15</v>
      </c>
      <c r="B17" s="2">
        <f t="shared" si="2"/>
        <v>428.05012870639376</v>
      </c>
      <c r="C17" s="2">
        <f t="shared" si="0"/>
        <v>0</v>
      </c>
      <c r="D17" s="2">
        <f t="shared" si="0"/>
        <v>0</v>
      </c>
      <c r="E17" s="2">
        <f t="shared" si="0"/>
        <v>0</v>
      </c>
      <c r="G17" s="2" t="s">
        <v>15</v>
      </c>
      <c r="H17" s="2" t="s">
        <v>44</v>
      </c>
      <c r="I17" s="2" t="s">
        <v>60</v>
      </c>
      <c r="J17" s="2">
        <v>1617.32748429909</v>
      </c>
      <c r="K17" s="2"/>
      <c r="L17" s="2"/>
      <c r="M17" s="2"/>
      <c r="N17" s="2"/>
      <c r="P17" s="2" t="s">
        <v>90</v>
      </c>
      <c r="Q17" s="2">
        <v>3.7783600000000002</v>
      </c>
      <c r="R17" s="2"/>
      <c r="S17" s="2">
        <f t="shared" si="4"/>
        <v>3.7783600000000002</v>
      </c>
      <c r="U17" s="1" t="s">
        <v>15</v>
      </c>
      <c r="V17" s="2">
        <f t="shared" si="3"/>
        <v>428.05012870639376</v>
      </c>
      <c r="W17" s="2">
        <f t="shared" si="1"/>
        <v>0</v>
      </c>
      <c r="X17" s="2">
        <f t="shared" si="1"/>
        <v>0</v>
      </c>
      <c r="Y17" s="2">
        <f t="shared" si="1"/>
        <v>0</v>
      </c>
    </row>
    <row r="18" spans="1:25">
      <c r="A18" s="1" t="s">
        <v>16</v>
      </c>
      <c r="B18" s="2">
        <f t="shared" si="2"/>
        <v>1333.4955598301908</v>
      </c>
      <c r="C18" s="2">
        <f t="shared" si="0"/>
        <v>30.974560885040074</v>
      </c>
      <c r="D18" s="2">
        <f t="shared" si="0"/>
        <v>975.33923448268558</v>
      </c>
      <c r="E18" s="2">
        <f t="shared" si="0"/>
        <v>0</v>
      </c>
      <c r="G18" s="2" t="s">
        <v>16</v>
      </c>
      <c r="H18" s="2" t="s">
        <v>44</v>
      </c>
      <c r="I18" s="2" t="s">
        <v>61</v>
      </c>
      <c r="J18" s="2">
        <v>5038.4262834399997</v>
      </c>
      <c r="K18" s="2">
        <v>117.03304186560001</v>
      </c>
      <c r="L18" s="2">
        <v>3685.1827499999999</v>
      </c>
      <c r="M18" s="2">
        <v>0</v>
      </c>
      <c r="N18" s="2"/>
      <c r="P18" s="2" t="s">
        <v>90</v>
      </c>
      <c r="Q18" s="2">
        <f>Q17</f>
        <v>3.7783600000000002</v>
      </c>
      <c r="R18" s="2"/>
      <c r="S18" s="2">
        <f t="shared" si="4"/>
        <v>3.7783600000000002</v>
      </c>
      <c r="U18" s="1" t="s">
        <v>16</v>
      </c>
      <c r="V18" s="2">
        <f t="shared" si="3"/>
        <v>1333.4955598301908</v>
      </c>
      <c r="W18" s="2">
        <f t="shared" si="1"/>
        <v>30.974560885040074</v>
      </c>
      <c r="X18" s="2">
        <f t="shared" si="1"/>
        <v>975.33923448268558</v>
      </c>
      <c r="Y18" s="2">
        <f t="shared" si="1"/>
        <v>0</v>
      </c>
    </row>
    <row r="19" spans="1:25">
      <c r="A19" s="1" t="s">
        <v>17</v>
      </c>
      <c r="B19" s="2">
        <f t="shared" si="2"/>
        <v>3520.8612418080352</v>
      </c>
      <c r="C19" s="2">
        <f t="shared" si="0"/>
        <v>12.613134001498612</v>
      </c>
      <c r="D19" s="2">
        <f t="shared" si="0"/>
        <v>0</v>
      </c>
      <c r="E19" s="2">
        <f t="shared" si="0"/>
        <v>260.24355549822252</v>
      </c>
      <c r="G19" s="2" t="s">
        <v>17</v>
      </c>
      <c r="H19" s="2" t="s">
        <v>44</v>
      </c>
      <c r="I19" s="2" t="s">
        <v>62</v>
      </c>
      <c r="J19" s="2">
        <v>4482.5844900079001</v>
      </c>
      <c r="K19" s="2">
        <v>16.058411554007957</v>
      </c>
      <c r="L19" s="2"/>
      <c r="M19" s="2">
        <v>331.32908268256199</v>
      </c>
      <c r="N19" s="2"/>
      <c r="P19" s="2" t="s">
        <v>92</v>
      </c>
      <c r="Q19" s="2">
        <v>1.27315</v>
      </c>
      <c r="R19" s="2"/>
      <c r="S19" s="2">
        <f t="shared" si="4"/>
        <v>1.27315</v>
      </c>
      <c r="U19" s="1" t="s">
        <v>17</v>
      </c>
      <c r="V19" s="2">
        <f t="shared" si="3"/>
        <v>3520.8612418080352</v>
      </c>
      <c r="W19" s="2">
        <f t="shared" si="1"/>
        <v>12.613134001498612</v>
      </c>
      <c r="X19" s="2">
        <f t="shared" si="1"/>
        <v>0</v>
      </c>
      <c r="Y19" s="2">
        <f t="shared" si="1"/>
        <v>260.24355549822252</v>
      </c>
    </row>
    <row r="20" spans="1:25">
      <c r="A20" s="1" t="s">
        <v>18</v>
      </c>
      <c r="B20" s="2">
        <f t="shared" si="2"/>
        <v>294.39966104283604</v>
      </c>
      <c r="C20" s="2">
        <f t="shared" si="0"/>
        <v>0</v>
      </c>
      <c r="D20" s="2">
        <f t="shared" si="0"/>
        <v>0</v>
      </c>
      <c r="E20" s="2">
        <f t="shared" si="0"/>
        <v>0</v>
      </c>
      <c r="G20" s="2" t="s">
        <v>18</v>
      </c>
      <c r="H20" s="2" t="s">
        <v>56</v>
      </c>
      <c r="I20" s="2" t="s">
        <v>63</v>
      </c>
      <c r="J20" s="2">
        <v>1112.34790329781</v>
      </c>
      <c r="K20" s="2"/>
      <c r="L20" s="2"/>
      <c r="M20" s="2"/>
      <c r="N20" s="2"/>
      <c r="P20" s="2" t="s">
        <v>90</v>
      </c>
      <c r="Q20" s="2">
        <f>Q18</f>
        <v>3.7783600000000002</v>
      </c>
      <c r="R20" s="2"/>
      <c r="S20" s="2">
        <f t="shared" si="4"/>
        <v>3.7783600000000002</v>
      </c>
      <c r="U20" s="1" t="s">
        <v>18</v>
      </c>
      <c r="V20" s="2">
        <f t="shared" si="3"/>
        <v>294.39966104283604</v>
      </c>
      <c r="W20" s="2">
        <f t="shared" si="1"/>
        <v>0</v>
      </c>
      <c r="X20" s="2">
        <f t="shared" si="1"/>
        <v>0</v>
      </c>
      <c r="Y20" s="2">
        <f t="shared" si="1"/>
        <v>0</v>
      </c>
    </row>
    <row r="21" spans="1:25">
      <c r="A21" s="1" t="s">
        <v>19</v>
      </c>
      <c r="B21" s="2">
        <f t="shared" si="2"/>
        <v>0</v>
      </c>
      <c r="C21" s="2">
        <f t="shared" si="0"/>
        <v>0</v>
      </c>
      <c r="D21" s="2">
        <f t="shared" si="0"/>
        <v>0</v>
      </c>
      <c r="E21" s="2">
        <f t="shared" si="0"/>
        <v>1.0630473282528079</v>
      </c>
      <c r="G21" s="2" t="s">
        <v>19</v>
      </c>
      <c r="H21" s="2" t="s">
        <v>44</v>
      </c>
      <c r="I21" s="2" t="s">
        <v>64</v>
      </c>
      <c r="J21" s="2"/>
      <c r="K21" s="2"/>
      <c r="L21" s="2"/>
      <c r="M21" s="2">
        <v>5.0761466666667001</v>
      </c>
      <c r="N21" s="2"/>
      <c r="P21" s="2" t="s">
        <v>94</v>
      </c>
      <c r="Q21" s="2">
        <v>4.7750899999999996</v>
      </c>
      <c r="R21" s="2"/>
      <c r="S21" s="2">
        <f t="shared" si="4"/>
        <v>4.7750899999999996</v>
      </c>
      <c r="U21" s="1" t="s">
        <v>19</v>
      </c>
      <c r="V21" s="2">
        <f t="shared" si="3"/>
        <v>0</v>
      </c>
      <c r="W21" s="2">
        <f t="shared" si="1"/>
        <v>0</v>
      </c>
      <c r="X21" s="2">
        <f t="shared" si="1"/>
        <v>0</v>
      </c>
      <c r="Y21" s="2">
        <f t="shared" si="1"/>
        <v>1.0630473282528079</v>
      </c>
    </row>
    <row r="22" spans="1:25">
      <c r="A22" s="1" t="s">
        <v>20</v>
      </c>
      <c r="B22" s="2">
        <f t="shared" si="2"/>
        <v>0</v>
      </c>
      <c r="C22" s="2">
        <f t="shared" si="0"/>
        <v>0</v>
      </c>
      <c r="D22" s="2">
        <f t="shared" si="0"/>
        <v>0</v>
      </c>
      <c r="E22" s="2">
        <f t="shared" si="0"/>
        <v>2404.7374813889164</v>
      </c>
      <c r="G22" s="2" t="s">
        <v>20</v>
      </c>
      <c r="H22" s="2" t="s">
        <v>44</v>
      </c>
      <c r="I22" s="2" t="s">
        <v>65</v>
      </c>
      <c r="J22" s="2"/>
      <c r="K22" s="2"/>
      <c r="L22" s="2"/>
      <c r="M22" s="2">
        <v>11482.837900005401</v>
      </c>
      <c r="N22" s="2"/>
      <c r="P22" s="2" t="s">
        <v>94</v>
      </c>
      <c r="Q22" s="2">
        <f>Q21</f>
        <v>4.7750899999999996</v>
      </c>
      <c r="R22" s="2"/>
      <c r="S22" s="2">
        <f t="shared" si="4"/>
        <v>4.7750899999999996</v>
      </c>
      <c r="U22" s="1" t="s">
        <v>20</v>
      </c>
      <c r="V22" s="2">
        <f t="shared" si="3"/>
        <v>0</v>
      </c>
      <c r="W22" s="2">
        <f t="shared" si="1"/>
        <v>0</v>
      </c>
      <c r="X22" s="2">
        <f t="shared" si="1"/>
        <v>0</v>
      </c>
      <c r="Y22" s="2">
        <f t="shared" si="1"/>
        <v>2404.7374813889164</v>
      </c>
    </row>
    <row r="23" spans="1:25">
      <c r="A23" s="1" t="s">
        <v>21</v>
      </c>
      <c r="B23" s="2">
        <f t="shared" si="2"/>
        <v>0</v>
      </c>
      <c r="C23" s="2">
        <f t="shared" si="0"/>
        <v>0</v>
      </c>
      <c r="D23" s="2">
        <f t="shared" si="0"/>
        <v>35.654877718107521</v>
      </c>
      <c r="E23" s="2">
        <f t="shared" si="0"/>
        <v>68.53228382077846</v>
      </c>
      <c r="G23" s="2" t="s">
        <v>21</v>
      </c>
      <c r="H23" s="2" t="s">
        <v>44</v>
      </c>
      <c r="I23" s="2" t="s">
        <v>60</v>
      </c>
      <c r="J23" s="2"/>
      <c r="K23" s="2"/>
      <c r="L23" s="2">
        <v>170.25525004295804</v>
      </c>
      <c r="M23" s="2">
        <v>327.24782314976096</v>
      </c>
      <c r="N23" s="2"/>
      <c r="P23" s="2" t="s">
        <v>94</v>
      </c>
      <c r="Q23" s="2">
        <f>Q22</f>
        <v>4.7750899999999996</v>
      </c>
      <c r="R23" s="2"/>
      <c r="S23" s="2">
        <f t="shared" si="4"/>
        <v>4.7750899999999996</v>
      </c>
      <c r="U23" s="1" t="s">
        <v>21</v>
      </c>
      <c r="V23" s="2">
        <f t="shared" si="3"/>
        <v>0</v>
      </c>
      <c r="W23" s="2">
        <f t="shared" si="1"/>
        <v>0</v>
      </c>
      <c r="X23" s="2">
        <f t="shared" si="1"/>
        <v>35.654877718107521</v>
      </c>
      <c r="Y23" s="2">
        <f t="shared" si="1"/>
        <v>68.53228382077846</v>
      </c>
    </row>
    <row r="24" spans="1:25">
      <c r="A24" s="1" t="s">
        <v>22</v>
      </c>
      <c r="B24" s="2">
        <f t="shared" si="2"/>
        <v>0</v>
      </c>
      <c r="C24" s="2">
        <f t="shared" si="0"/>
        <v>12126.066174812713</v>
      </c>
      <c r="D24" s="2">
        <f t="shared" si="0"/>
        <v>0</v>
      </c>
      <c r="E24" s="2">
        <f t="shared" si="0"/>
        <v>0</v>
      </c>
      <c r="G24" s="2" t="s">
        <v>22</v>
      </c>
      <c r="H24" s="2" t="s">
        <v>66</v>
      </c>
      <c r="I24" s="2" t="s">
        <v>67</v>
      </c>
      <c r="J24" s="2"/>
      <c r="K24" s="2">
        <v>94805.344435199993</v>
      </c>
      <c r="L24" s="2"/>
      <c r="M24" s="2"/>
      <c r="N24" s="2"/>
      <c r="P24" s="2" t="s">
        <v>96</v>
      </c>
      <c r="Q24" s="2">
        <v>7.8183100000000003</v>
      </c>
      <c r="R24" s="2"/>
      <c r="S24" s="2">
        <f t="shared" si="4"/>
        <v>7.8183100000000003</v>
      </c>
      <c r="U24" s="1" t="s">
        <v>22</v>
      </c>
      <c r="V24" s="2">
        <f t="shared" si="3"/>
        <v>0</v>
      </c>
      <c r="W24" s="2">
        <f t="shared" si="1"/>
        <v>12126.066174812713</v>
      </c>
      <c r="X24" s="2">
        <f t="shared" si="1"/>
        <v>0</v>
      </c>
      <c r="Y24" s="2">
        <f t="shared" si="1"/>
        <v>0</v>
      </c>
    </row>
    <row r="25" spans="1:25">
      <c r="A25" s="1" t="s">
        <v>23</v>
      </c>
      <c r="B25" s="2">
        <f t="shared" si="2"/>
        <v>0</v>
      </c>
      <c r="C25" s="2">
        <f t="shared" si="0"/>
        <v>1125.7513580783723</v>
      </c>
      <c r="D25" s="2">
        <f t="shared" si="0"/>
        <v>4.6282306409848051</v>
      </c>
      <c r="E25" s="2">
        <f t="shared" si="0"/>
        <v>0</v>
      </c>
      <c r="G25" s="2" t="s">
        <v>23</v>
      </c>
      <c r="H25" s="2" t="s">
        <v>66</v>
      </c>
      <c r="I25" s="2" t="s">
        <v>68</v>
      </c>
      <c r="J25" s="2"/>
      <c r="K25" s="2">
        <v>8801.4731003777197</v>
      </c>
      <c r="L25" s="2">
        <v>36.18494190271791</v>
      </c>
      <c r="M25" s="2"/>
      <c r="N25" s="2"/>
      <c r="P25" s="2" t="s">
        <v>96</v>
      </c>
      <c r="Q25" s="2">
        <f>Q24</f>
        <v>7.8183100000000003</v>
      </c>
      <c r="R25" s="2"/>
      <c r="S25" s="2">
        <f t="shared" si="4"/>
        <v>7.8183100000000003</v>
      </c>
      <c r="U25" s="1" t="s">
        <v>23</v>
      </c>
      <c r="V25" s="2">
        <f t="shared" si="3"/>
        <v>0</v>
      </c>
      <c r="W25" s="2">
        <f t="shared" si="1"/>
        <v>1125.7513580783723</v>
      </c>
      <c r="X25" s="2">
        <f t="shared" si="1"/>
        <v>4.6282306409848051</v>
      </c>
      <c r="Y25" s="2">
        <f t="shared" si="1"/>
        <v>0</v>
      </c>
    </row>
    <row r="26" spans="1:25">
      <c r="A26" s="1" t="s">
        <v>24</v>
      </c>
      <c r="B26" s="2">
        <f t="shared" si="2"/>
        <v>0</v>
      </c>
      <c r="C26" s="2">
        <f t="shared" si="0"/>
        <v>59.893318458368768</v>
      </c>
      <c r="D26" s="2">
        <f t="shared" si="0"/>
        <v>14.696045732840419</v>
      </c>
      <c r="E26" s="2">
        <f t="shared" si="0"/>
        <v>0</v>
      </c>
      <c r="G26" s="2" t="s">
        <v>24</v>
      </c>
      <c r="H26" s="2" t="s">
        <v>66</v>
      </c>
      <c r="I26" s="2" t="s">
        <v>69</v>
      </c>
      <c r="J26" s="2"/>
      <c r="K26" s="2">
        <v>468.26453063624916</v>
      </c>
      <c r="L26" s="2">
        <v>114.89824131352358</v>
      </c>
      <c r="M26" s="2"/>
      <c r="N26" s="2">
        <v>9383.8725385437992</v>
      </c>
      <c r="P26" s="2" t="s">
        <v>96</v>
      </c>
      <c r="Q26" s="2">
        <f>Q25</f>
        <v>7.8183100000000003</v>
      </c>
      <c r="R26" s="2"/>
      <c r="S26" s="2">
        <f t="shared" si="4"/>
        <v>7.8183100000000003</v>
      </c>
      <c r="U26" s="1" t="s">
        <v>24</v>
      </c>
      <c r="V26" s="2">
        <f t="shared" si="3"/>
        <v>0</v>
      </c>
      <c r="W26" s="2">
        <f t="shared" si="1"/>
        <v>59.893318458368768</v>
      </c>
      <c r="X26" s="2">
        <f t="shared" si="1"/>
        <v>14.696045732840419</v>
      </c>
      <c r="Y26" s="2">
        <f t="shared" si="1"/>
        <v>0</v>
      </c>
    </row>
    <row r="27" spans="1:25">
      <c r="A27" s="1" t="s">
        <v>25</v>
      </c>
      <c r="B27" s="2">
        <f t="shared" si="2"/>
        <v>188.53179271747217</v>
      </c>
      <c r="C27" s="2">
        <f t="shared" si="0"/>
        <v>0</v>
      </c>
      <c r="D27" s="2">
        <f t="shared" si="0"/>
        <v>0</v>
      </c>
      <c r="E27" s="2">
        <f t="shared" si="0"/>
        <v>0</v>
      </c>
      <c r="G27" s="2" t="s">
        <v>25</v>
      </c>
      <c r="H27" s="2" t="s">
        <v>66</v>
      </c>
      <c r="I27" s="2" t="s">
        <v>70</v>
      </c>
      <c r="J27" s="2">
        <v>1474.00000032094</v>
      </c>
      <c r="K27" s="2"/>
      <c r="L27" s="2"/>
      <c r="M27" s="2"/>
      <c r="N27" s="2"/>
      <c r="P27" s="2" t="s">
        <v>96</v>
      </c>
      <c r="Q27" s="2">
        <f>Q26</f>
        <v>7.8183100000000003</v>
      </c>
      <c r="R27" s="2"/>
      <c r="S27" s="2">
        <f t="shared" si="4"/>
        <v>7.8183100000000003</v>
      </c>
      <c r="U27" s="1" t="s">
        <v>25</v>
      </c>
      <c r="V27" s="2">
        <f t="shared" si="3"/>
        <v>188.53179271747217</v>
      </c>
      <c r="W27" s="2">
        <f t="shared" si="1"/>
        <v>0</v>
      </c>
      <c r="X27" s="2">
        <f t="shared" si="1"/>
        <v>0</v>
      </c>
      <c r="Y27" s="2">
        <f t="shared" si="1"/>
        <v>0</v>
      </c>
    </row>
    <row r="28" spans="1:25">
      <c r="A28" s="1" t="s">
        <v>26</v>
      </c>
      <c r="B28" s="2">
        <f t="shared" si="2"/>
        <v>235.92598934698933</v>
      </c>
      <c r="C28" s="2">
        <f t="shared" si="2"/>
        <v>0</v>
      </c>
      <c r="D28" s="2">
        <f t="shared" si="2"/>
        <v>0</v>
      </c>
      <c r="E28" s="2">
        <f t="shared" si="2"/>
        <v>0</v>
      </c>
      <c r="G28" s="2" t="s">
        <v>26</v>
      </c>
      <c r="H28" s="2" t="s">
        <v>66</v>
      </c>
      <c r="I28" s="2" t="s">
        <v>71</v>
      </c>
      <c r="J28" s="2">
        <v>1844.5425217714601</v>
      </c>
      <c r="K28" s="2"/>
      <c r="L28" s="2"/>
      <c r="M28" s="2"/>
      <c r="N28" s="2"/>
      <c r="P28" s="2" t="s">
        <v>96</v>
      </c>
      <c r="Q28" s="2">
        <f>Q27</f>
        <v>7.8183100000000003</v>
      </c>
      <c r="R28" s="2"/>
      <c r="S28" s="2">
        <f t="shared" si="4"/>
        <v>7.8183100000000003</v>
      </c>
      <c r="U28" s="1" t="s">
        <v>26</v>
      </c>
      <c r="V28" s="2">
        <f t="shared" si="3"/>
        <v>235.92598934698933</v>
      </c>
      <c r="W28" s="2">
        <f t="shared" si="3"/>
        <v>0</v>
      </c>
      <c r="X28" s="2">
        <f t="shared" si="3"/>
        <v>0</v>
      </c>
      <c r="Y28" s="2">
        <f t="shared" si="3"/>
        <v>0</v>
      </c>
    </row>
    <row r="29" spans="1:25">
      <c r="A29" s="1" t="s">
        <v>27</v>
      </c>
      <c r="B29" s="2">
        <f t="shared" si="2"/>
        <v>0</v>
      </c>
      <c r="C29" s="2">
        <f t="shared" si="2"/>
        <v>0</v>
      </c>
      <c r="D29" s="2">
        <f t="shared" si="2"/>
        <v>4660.4461807035414</v>
      </c>
      <c r="E29" s="2">
        <f t="shared" si="2"/>
        <v>0</v>
      </c>
      <c r="G29" s="2" t="s">
        <v>27</v>
      </c>
      <c r="H29" s="2" t="s">
        <v>55</v>
      </c>
      <c r="I29" s="2" t="s">
        <v>72</v>
      </c>
      <c r="J29" s="2"/>
      <c r="K29" s="2"/>
      <c r="L29" s="2">
        <v>36436.812979056303</v>
      </c>
      <c r="M29" s="2"/>
      <c r="N29" s="2"/>
      <c r="P29" s="2" t="s">
        <v>96</v>
      </c>
      <c r="Q29" s="2">
        <f>Q28</f>
        <v>7.8183100000000003</v>
      </c>
      <c r="R29" s="2"/>
      <c r="S29" s="2">
        <f t="shared" si="4"/>
        <v>7.8183100000000003</v>
      </c>
      <c r="U29" s="1" t="s">
        <v>27</v>
      </c>
      <c r="V29" s="2">
        <f t="shared" si="3"/>
        <v>0</v>
      </c>
      <c r="W29" s="2">
        <f t="shared" si="3"/>
        <v>0</v>
      </c>
      <c r="X29" s="2">
        <f t="shared" si="3"/>
        <v>4660.4461807035414</v>
      </c>
      <c r="Y29" s="2">
        <f t="shared" si="3"/>
        <v>0</v>
      </c>
    </row>
    <row r="30" spans="1:25">
      <c r="A30" s="1" t="s">
        <v>28</v>
      </c>
      <c r="B30" s="2">
        <f t="shared" si="2"/>
        <v>0</v>
      </c>
      <c r="C30" s="2">
        <f t="shared" si="2"/>
        <v>0</v>
      </c>
      <c r="D30" s="2">
        <f t="shared" si="2"/>
        <v>503.92655548450159</v>
      </c>
      <c r="E30" s="2">
        <f t="shared" si="2"/>
        <v>0</v>
      </c>
      <c r="G30" s="2" t="s">
        <v>28</v>
      </c>
      <c r="H30" s="2" t="s">
        <v>66</v>
      </c>
      <c r="I30" s="2" t="s">
        <v>73</v>
      </c>
      <c r="J30" s="2"/>
      <c r="K30" s="2"/>
      <c r="L30" s="2">
        <v>3939.8540280100337</v>
      </c>
      <c r="M30" s="2"/>
      <c r="N30" s="2"/>
      <c r="P30" s="2" t="s">
        <v>96</v>
      </c>
      <c r="Q30" s="2">
        <f>Q29</f>
        <v>7.8183100000000003</v>
      </c>
      <c r="R30" s="2"/>
      <c r="S30" s="2">
        <f t="shared" si="4"/>
        <v>7.8183100000000003</v>
      </c>
      <c r="U30" s="1" t="s">
        <v>28</v>
      </c>
      <c r="V30" s="2">
        <f t="shared" si="3"/>
        <v>0</v>
      </c>
      <c r="W30" s="2">
        <f t="shared" si="3"/>
        <v>0</v>
      </c>
      <c r="X30" s="2">
        <f t="shared" si="3"/>
        <v>503.92655548450159</v>
      </c>
      <c r="Y30" s="2">
        <f t="shared" si="3"/>
        <v>0</v>
      </c>
    </row>
    <row r="31" spans="1:25">
      <c r="A31" s="1" t="s">
        <v>29</v>
      </c>
      <c r="B31" s="2">
        <f t="shared" si="2"/>
        <v>0</v>
      </c>
      <c r="C31" s="2">
        <f t="shared" si="2"/>
        <v>0</v>
      </c>
      <c r="D31" s="2">
        <f t="shared" si="2"/>
        <v>12.956663034329361</v>
      </c>
      <c r="E31" s="2">
        <f t="shared" si="2"/>
        <v>0</v>
      </c>
      <c r="G31" s="2" t="s">
        <v>29</v>
      </c>
      <c r="H31" s="2" t="s">
        <v>66</v>
      </c>
      <c r="I31" s="2" t="s">
        <v>74</v>
      </c>
      <c r="J31" s="2"/>
      <c r="K31" s="2"/>
      <c r="L31" s="2">
        <v>101.29920816792759</v>
      </c>
      <c r="M31" s="2"/>
      <c r="N31" s="2"/>
      <c r="P31" s="2" t="s">
        <v>96</v>
      </c>
      <c r="Q31" s="2">
        <f>Q30</f>
        <v>7.8183100000000003</v>
      </c>
      <c r="R31" s="2"/>
      <c r="S31" s="2">
        <f t="shared" si="4"/>
        <v>7.8183100000000003</v>
      </c>
      <c r="U31" s="1" t="s">
        <v>29</v>
      </c>
      <c r="V31" s="2">
        <f t="shared" si="3"/>
        <v>0</v>
      </c>
      <c r="W31" s="2">
        <f t="shared" si="3"/>
        <v>0</v>
      </c>
      <c r="X31" s="2">
        <f t="shared" si="3"/>
        <v>12.956663034329361</v>
      </c>
      <c r="Y31" s="2">
        <f t="shared" si="3"/>
        <v>0</v>
      </c>
    </row>
    <row r="32" spans="1:25">
      <c r="A32" s="1" t="s">
        <v>30</v>
      </c>
      <c r="B32" s="2">
        <f t="shared" si="2"/>
        <v>0</v>
      </c>
      <c r="C32" s="2">
        <f t="shared" si="2"/>
        <v>8.4202550157259033</v>
      </c>
      <c r="D32" s="2">
        <f t="shared" si="2"/>
        <v>0</v>
      </c>
      <c r="E32" s="2">
        <f t="shared" si="2"/>
        <v>0</v>
      </c>
      <c r="G32" s="2" t="s">
        <v>30</v>
      </c>
      <c r="H32" s="2" t="s">
        <v>66</v>
      </c>
      <c r="I32" s="2" t="s">
        <v>75</v>
      </c>
      <c r="J32" s="2"/>
      <c r="K32" s="2">
        <v>65.832163991999991</v>
      </c>
      <c r="L32" s="2"/>
      <c r="M32" s="2"/>
      <c r="N32" s="2"/>
      <c r="P32" s="2" t="s">
        <v>96</v>
      </c>
      <c r="Q32" s="2">
        <f>Q31</f>
        <v>7.8183100000000003</v>
      </c>
      <c r="R32" s="2"/>
      <c r="S32" s="2">
        <f t="shared" si="4"/>
        <v>7.8183100000000003</v>
      </c>
      <c r="U32" s="1" t="s">
        <v>30</v>
      </c>
      <c r="V32" s="2">
        <f t="shared" si="3"/>
        <v>0</v>
      </c>
      <c r="W32" s="2">
        <f t="shared" si="3"/>
        <v>8.4202550157259033</v>
      </c>
      <c r="X32" s="2">
        <f t="shared" si="3"/>
        <v>0</v>
      </c>
      <c r="Y32" s="2">
        <f t="shared" si="3"/>
        <v>0</v>
      </c>
    </row>
    <row r="33" spans="1:25">
      <c r="A33" s="1" t="s">
        <v>31</v>
      </c>
      <c r="B33" s="2">
        <f t="shared" si="2"/>
        <v>0</v>
      </c>
      <c r="C33" s="2">
        <f t="shared" si="2"/>
        <v>90.147869096455139</v>
      </c>
      <c r="D33" s="2">
        <f t="shared" si="2"/>
        <v>0</v>
      </c>
      <c r="E33" s="2">
        <f t="shared" si="2"/>
        <v>0</v>
      </c>
      <c r="G33" s="2" t="s">
        <v>31</v>
      </c>
      <c r="H33" s="2" t="s">
        <v>76</v>
      </c>
      <c r="I33" s="2" t="s">
        <v>77</v>
      </c>
      <c r="J33" s="2"/>
      <c r="K33" s="2">
        <v>14491.90099233884</v>
      </c>
      <c r="L33" s="2"/>
      <c r="M33" s="2"/>
      <c r="N33" s="2"/>
      <c r="P33" s="2" t="s">
        <v>97</v>
      </c>
      <c r="Q33" s="2">
        <v>160.75700000000001</v>
      </c>
      <c r="R33" s="2"/>
      <c r="S33" s="2">
        <f t="shared" si="4"/>
        <v>160.75700000000001</v>
      </c>
      <c r="U33" s="1" t="s">
        <v>31</v>
      </c>
      <c r="V33" s="2">
        <f t="shared" si="3"/>
        <v>0</v>
      </c>
      <c r="W33" s="2">
        <f t="shared" si="3"/>
        <v>90.147869096455139</v>
      </c>
      <c r="X33" s="2">
        <f t="shared" si="3"/>
        <v>0</v>
      </c>
      <c r="Y33" s="2">
        <f t="shared" si="3"/>
        <v>0</v>
      </c>
    </row>
    <row r="34" spans="1:25">
      <c r="A34" s="1" t="s">
        <v>32</v>
      </c>
      <c r="B34" s="2">
        <f t="shared" si="2"/>
        <v>0</v>
      </c>
      <c r="C34" s="2">
        <f t="shared" si="2"/>
        <v>1.0468743821860074</v>
      </c>
      <c r="D34" s="2">
        <f t="shared" si="2"/>
        <v>3.1485111770405143</v>
      </c>
      <c r="E34" s="2">
        <f t="shared" si="2"/>
        <v>0</v>
      </c>
      <c r="G34" s="2" t="s">
        <v>32</v>
      </c>
      <c r="H34" s="2" t="s">
        <v>76</v>
      </c>
      <c r="I34" s="2" t="s">
        <v>78</v>
      </c>
      <c r="J34" s="2"/>
      <c r="K34" s="2">
        <v>168.29238505707599</v>
      </c>
      <c r="L34" s="2">
        <v>506.14521128750198</v>
      </c>
      <c r="M34" s="2"/>
      <c r="N34" s="2"/>
      <c r="P34" s="2" t="s">
        <v>97</v>
      </c>
      <c r="Q34" s="2">
        <f>Q33</f>
        <v>160.75700000000001</v>
      </c>
      <c r="R34" s="2"/>
      <c r="S34" s="2">
        <f t="shared" si="4"/>
        <v>160.75700000000001</v>
      </c>
      <c r="U34" s="1" t="s">
        <v>32</v>
      </c>
      <c r="V34" s="2">
        <f t="shared" si="3"/>
        <v>0</v>
      </c>
      <c r="W34" s="2">
        <f t="shared" si="3"/>
        <v>1.0468743821860074</v>
      </c>
      <c r="X34" s="2">
        <f t="shared" si="3"/>
        <v>3.1485111770405143</v>
      </c>
      <c r="Y34" s="2">
        <f t="shared" si="3"/>
        <v>0</v>
      </c>
    </row>
    <row r="35" spans="1:25">
      <c r="A35" s="1" t="s">
        <v>33</v>
      </c>
      <c r="B35" s="2">
        <f t="shared" si="2"/>
        <v>0.11101042988043133</v>
      </c>
      <c r="C35" s="2">
        <f t="shared" si="2"/>
        <v>1.926743114884214</v>
      </c>
      <c r="D35" s="2">
        <f t="shared" si="2"/>
        <v>4.1075084235834211E-3</v>
      </c>
      <c r="E35" s="2">
        <f t="shared" si="2"/>
        <v>0</v>
      </c>
      <c r="G35" s="2" t="s">
        <v>33</v>
      </c>
      <c r="H35" s="2" t="s">
        <v>76</v>
      </c>
      <c r="I35" s="2" t="s">
        <v>57</v>
      </c>
      <c r="J35" s="2">
        <v>17.845703676288501</v>
      </c>
      <c r="K35" s="2">
        <v>309.73744291944161</v>
      </c>
      <c r="L35" s="2">
        <v>0.66031073165000009</v>
      </c>
      <c r="M35" s="2"/>
      <c r="N35" s="2"/>
      <c r="P35" s="2" t="s">
        <v>97</v>
      </c>
      <c r="Q35" s="2">
        <f>Q33</f>
        <v>160.75700000000001</v>
      </c>
      <c r="R35" s="2"/>
      <c r="S35" s="2">
        <f t="shared" si="4"/>
        <v>160.75700000000001</v>
      </c>
      <c r="U35" s="1" t="s">
        <v>33</v>
      </c>
      <c r="V35" s="2">
        <f t="shared" si="3"/>
        <v>0.11101042988043133</v>
      </c>
      <c r="W35" s="2">
        <f t="shared" si="3"/>
        <v>1.926743114884214</v>
      </c>
      <c r="X35" s="2">
        <f t="shared" si="3"/>
        <v>4.1075084235834211E-3</v>
      </c>
      <c r="Y35" s="2">
        <f t="shared" si="3"/>
        <v>0</v>
      </c>
    </row>
    <row r="36" spans="1:25">
      <c r="A36" s="1" t="s">
        <v>34</v>
      </c>
      <c r="B36" s="2">
        <f t="shared" si="2"/>
        <v>0</v>
      </c>
      <c r="C36" s="2">
        <f t="shared" si="2"/>
        <v>20.049599164338598</v>
      </c>
      <c r="D36" s="2">
        <f t="shared" si="2"/>
        <v>3.2832544405220148</v>
      </c>
      <c r="E36" s="2">
        <f t="shared" si="2"/>
        <v>0</v>
      </c>
      <c r="G36" s="2" t="s">
        <v>34</v>
      </c>
      <c r="H36" s="2" t="s">
        <v>76</v>
      </c>
      <c r="I36" s="2" t="s">
        <v>79</v>
      </c>
      <c r="J36" s="2"/>
      <c r="K36" s="2">
        <v>3223.1134128615799</v>
      </c>
      <c r="L36" s="2">
        <v>527.80613409499756</v>
      </c>
      <c r="M36" s="2"/>
      <c r="N36" s="2"/>
      <c r="P36" s="2" t="s">
        <v>97</v>
      </c>
      <c r="Q36" s="2">
        <f>Q33</f>
        <v>160.75700000000001</v>
      </c>
      <c r="R36" s="2"/>
      <c r="S36" s="2">
        <f t="shared" si="4"/>
        <v>160.75700000000001</v>
      </c>
      <c r="U36" s="1" t="s">
        <v>34</v>
      </c>
      <c r="V36" s="2">
        <f t="shared" si="3"/>
        <v>0</v>
      </c>
      <c r="W36" s="2">
        <f t="shared" si="3"/>
        <v>20.049599164338598</v>
      </c>
      <c r="X36" s="2">
        <f t="shared" si="3"/>
        <v>3.2832544405220148</v>
      </c>
      <c r="Y36" s="2">
        <f t="shared" si="3"/>
        <v>0</v>
      </c>
    </row>
    <row r="37" spans="1:25">
      <c r="A37" s="1" t="s">
        <v>35</v>
      </c>
      <c r="B37" s="2">
        <f t="shared" si="2"/>
        <v>0</v>
      </c>
      <c r="C37" s="2">
        <f t="shared" si="2"/>
        <v>0</v>
      </c>
      <c r="D37" s="2">
        <f t="shared" si="2"/>
        <v>24.418599077523655</v>
      </c>
      <c r="E37" s="2">
        <f t="shared" si="2"/>
        <v>0</v>
      </c>
      <c r="G37" s="2" t="s">
        <v>35</v>
      </c>
      <c r="H37" s="2" t="s">
        <v>55</v>
      </c>
      <c r="I37" s="2" t="s">
        <v>80</v>
      </c>
      <c r="J37" s="2"/>
      <c r="K37" s="2"/>
      <c r="L37" s="2">
        <v>3925.4607319054703</v>
      </c>
      <c r="M37" s="2"/>
      <c r="N37" s="2"/>
      <c r="P37" s="2" t="s">
        <v>97</v>
      </c>
      <c r="Q37" s="2">
        <f>Q33</f>
        <v>160.75700000000001</v>
      </c>
      <c r="R37" s="2"/>
      <c r="S37" s="2">
        <f t="shared" si="4"/>
        <v>160.75700000000001</v>
      </c>
      <c r="U37" s="1" t="s">
        <v>35</v>
      </c>
      <c r="V37" s="2">
        <f t="shared" si="3"/>
        <v>0</v>
      </c>
      <c r="W37" s="2">
        <f t="shared" si="3"/>
        <v>0</v>
      </c>
      <c r="X37" s="2">
        <f t="shared" si="3"/>
        <v>24.418599077523655</v>
      </c>
      <c r="Y37" s="2">
        <f t="shared" si="3"/>
        <v>0</v>
      </c>
    </row>
    <row r="38" spans="1:25">
      <c r="A38" s="1" t="s">
        <v>36</v>
      </c>
      <c r="B38" s="2">
        <f t="shared" si="2"/>
        <v>1.1769316421679925</v>
      </c>
      <c r="C38" s="2">
        <f t="shared" si="2"/>
        <v>0.10450555807834185</v>
      </c>
      <c r="D38" s="2">
        <f t="shared" si="2"/>
        <v>4.9453523019215339E-3</v>
      </c>
      <c r="E38" s="2">
        <f t="shared" si="2"/>
        <v>0</v>
      </c>
      <c r="G38" s="2" t="s">
        <v>36</v>
      </c>
      <c r="H38" s="2" t="s">
        <v>55</v>
      </c>
      <c r="I38" s="2" t="s">
        <v>81</v>
      </c>
      <c r="J38" s="2">
        <v>189.2</v>
      </c>
      <c r="K38" s="2">
        <v>16.8</v>
      </c>
      <c r="L38" s="2">
        <v>0.79500000000000004</v>
      </c>
      <c r="M38" s="2"/>
      <c r="N38" s="2"/>
      <c r="P38" s="2" t="s">
        <v>97</v>
      </c>
      <c r="Q38" s="2">
        <f>Q33</f>
        <v>160.75700000000001</v>
      </c>
      <c r="R38" s="2"/>
      <c r="S38" s="2">
        <f t="shared" si="4"/>
        <v>160.75700000000001</v>
      </c>
      <c r="U38" s="1" t="s">
        <v>36</v>
      </c>
      <c r="V38" s="2">
        <f t="shared" si="3"/>
        <v>1.1769316421679925</v>
      </c>
      <c r="W38" s="2">
        <f t="shared" si="3"/>
        <v>0.10450555807834185</v>
      </c>
      <c r="X38" s="2">
        <f t="shared" si="3"/>
        <v>4.9453523019215339E-3</v>
      </c>
      <c r="Y38" s="2">
        <f t="shared" si="3"/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01_KOR</vt:lpstr>
      <vt:lpstr>02_CHN</vt:lpstr>
      <vt:lpstr>03_JPN</vt:lpstr>
      <vt:lpstr>04_RUS</vt:lpstr>
      <vt:lpstr>05_MNG</vt:lpstr>
      <vt:lpstr>06_PRK</vt:lpstr>
      <vt:lpstr>07_NAM</vt:lpstr>
      <vt:lpstr>08_LAM</vt:lpstr>
      <vt:lpstr>09_WEU</vt:lpstr>
      <vt:lpstr>10_EEU</vt:lpstr>
      <vt:lpstr>11_FSU</vt:lpstr>
      <vt:lpstr>12_MEA</vt:lpstr>
      <vt:lpstr>13_AFR</vt:lpstr>
      <vt:lpstr>14_CPA</vt:lpstr>
      <vt:lpstr>15_SAS</vt:lpstr>
      <vt:lpstr>16_PAS</vt:lpstr>
      <vt:lpstr>17_PAO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2024-05-23T10:04:31Z</dcterms:created>
  <dcterms:modified xsi:type="dcterms:W3CDTF">2025-07-25T06:42:09Z</dcterms:modified>
</cp:coreProperties>
</file>