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c0\Desktop\"/>
    </mc:Choice>
  </mc:AlternateContent>
  <xr:revisionPtr revIDLastSave="0" documentId="13_ncr:1_{10759959-802E-4BF9-8029-2C1324C9A185}" xr6:coauthVersionLast="36" xr6:coauthVersionMax="36" xr10:uidLastSave="{00000000-0000-0000-0000-000000000000}"/>
  <bookViews>
    <workbookView xWindow="0" yWindow="0" windowWidth="23040" windowHeight="8940" activeTab="4" xr2:uid="{DE1A9DA4-B28E-43B1-BF27-4214AB335DA3}"/>
  </bookViews>
  <sheets>
    <sheet name="LDC, LS" sheetId="1" r:id="rId1"/>
    <sheet name="Employment_NEA" sheetId="2" r:id="rId2"/>
    <sheet name="Employment_R11" sheetId="5" r:id="rId3"/>
    <sheet name="R17" sheetId="4" r:id="rId4"/>
    <sheet name="Employment_2019" sheetId="6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6" l="1"/>
  <c r="J2" i="6"/>
  <c r="K2" i="6"/>
  <c r="L2" i="6"/>
  <c r="M2" i="6"/>
  <c r="N2" i="6"/>
  <c r="O2" i="6"/>
  <c r="P2" i="6"/>
  <c r="Q2" i="6"/>
  <c r="R2" i="6"/>
  <c r="I3" i="6"/>
  <c r="J3" i="6"/>
  <c r="K3" i="6"/>
  <c r="L3" i="6"/>
  <c r="M3" i="6"/>
  <c r="N3" i="6"/>
  <c r="O3" i="6"/>
  <c r="P3" i="6"/>
  <c r="Q3" i="6"/>
  <c r="R3" i="6"/>
  <c r="I4" i="6"/>
  <c r="J4" i="6"/>
  <c r="K4" i="6"/>
  <c r="L4" i="6"/>
  <c r="M4" i="6"/>
  <c r="N4" i="6"/>
  <c r="O4" i="6"/>
  <c r="P4" i="6"/>
  <c r="Q4" i="6"/>
  <c r="R4" i="6"/>
  <c r="I5" i="6"/>
  <c r="J5" i="6"/>
  <c r="K5" i="6"/>
  <c r="L5" i="6"/>
  <c r="M5" i="6"/>
  <c r="N5" i="6"/>
  <c r="O5" i="6"/>
  <c r="P5" i="6"/>
  <c r="Q5" i="6"/>
  <c r="R5" i="6"/>
  <c r="I6" i="6"/>
  <c r="J6" i="6"/>
  <c r="K6" i="6"/>
  <c r="L6" i="6"/>
  <c r="M6" i="6"/>
  <c r="N6" i="6"/>
  <c r="O6" i="6"/>
  <c r="P6" i="6"/>
  <c r="Q6" i="6"/>
  <c r="R6" i="6"/>
  <c r="I7" i="6"/>
  <c r="J7" i="6"/>
  <c r="K7" i="6"/>
  <c r="L7" i="6"/>
  <c r="M7" i="6"/>
  <c r="N7" i="6"/>
  <c r="O7" i="6"/>
  <c r="P7" i="6"/>
  <c r="Q7" i="6"/>
  <c r="R7" i="6"/>
  <c r="I8" i="6"/>
  <c r="J8" i="6"/>
  <c r="K8" i="6"/>
  <c r="L8" i="6"/>
  <c r="M8" i="6"/>
  <c r="N8" i="6"/>
  <c r="O8" i="6"/>
  <c r="P8" i="6"/>
  <c r="Q8" i="6"/>
  <c r="R8" i="6"/>
  <c r="I9" i="6"/>
  <c r="J9" i="6"/>
  <c r="K9" i="6"/>
  <c r="L9" i="6"/>
  <c r="M9" i="6"/>
  <c r="N9" i="6"/>
  <c r="O9" i="6"/>
  <c r="P9" i="6"/>
  <c r="Q9" i="6"/>
  <c r="R9" i="6"/>
  <c r="I10" i="6"/>
  <c r="J10" i="6"/>
  <c r="K10" i="6"/>
  <c r="L10" i="6"/>
  <c r="M10" i="6"/>
  <c r="N10" i="6"/>
  <c r="O10" i="6"/>
  <c r="P10" i="6"/>
  <c r="Q10" i="6"/>
  <c r="R10" i="6"/>
  <c r="I11" i="6"/>
  <c r="J11" i="6"/>
  <c r="K11" i="6"/>
  <c r="L11" i="6"/>
  <c r="M11" i="6"/>
  <c r="N11" i="6"/>
  <c r="O11" i="6"/>
  <c r="P11" i="6"/>
  <c r="Q11" i="6"/>
  <c r="R11" i="6"/>
  <c r="I12" i="6"/>
  <c r="J12" i="6"/>
  <c r="K12" i="6"/>
  <c r="L12" i="6"/>
  <c r="M12" i="6"/>
  <c r="N12" i="6"/>
  <c r="O12" i="6"/>
  <c r="P12" i="6"/>
  <c r="Q12" i="6"/>
  <c r="R12" i="6"/>
  <c r="I13" i="6"/>
  <c r="J13" i="6"/>
  <c r="K13" i="6"/>
  <c r="L13" i="6"/>
  <c r="M13" i="6"/>
  <c r="N13" i="6"/>
  <c r="O13" i="6"/>
  <c r="P13" i="6"/>
  <c r="Q13" i="6"/>
  <c r="R13" i="6"/>
  <c r="I14" i="6"/>
  <c r="J14" i="6"/>
  <c r="K14" i="6"/>
  <c r="L14" i="6"/>
  <c r="M14" i="6"/>
  <c r="N14" i="6"/>
  <c r="O14" i="6"/>
  <c r="P14" i="6"/>
  <c r="Q14" i="6"/>
  <c r="R14" i="6"/>
  <c r="I15" i="6"/>
  <c r="J15" i="6"/>
  <c r="K15" i="6"/>
  <c r="L15" i="6"/>
  <c r="M15" i="6"/>
  <c r="N15" i="6"/>
  <c r="O15" i="6"/>
  <c r="P15" i="6"/>
  <c r="Q15" i="6"/>
  <c r="R15" i="6"/>
  <c r="I16" i="6"/>
  <c r="J16" i="6"/>
  <c r="K16" i="6"/>
  <c r="L16" i="6"/>
  <c r="M16" i="6"/>
  <c r="N16" i="6"/>
  <c r="O16" i="6"/>
  <c r="P16" i="6"/>
  <c r="Q16" i="6"/>
  <c r="R16" i="6"/>
  <c r="I17" i="6"/>
  <c r="J17" i="6"/>
  <c r="K17" i="6"/>
  <c r="L17" i="6"/>
  <c r="M17" i="6"/>
  <c r="N17" i="6"/>
  <c r="O17" i="6"/>
  <c r="P17" i="6"/>
  <c r="Q17" i="6"/>
  <c r="R17" i="6"/>
  <c r="I18" i="6"/>
  <c r="J18" i="6"/>
  <c r="K18" i="6"/>
  <c r="L18" i="6"/>
  <c r="M18" i="6"/>
  <c r="N18" i="6"/>
  <c r="O18" i="6"/>
  <c r="P18" i="6"/>
  <c r="Q18" i="6"/>
  <c r="R18" i="6"/>
  <c r="I19" i="6"/>
  <c r="J19" i="6"/>
  <c r="K19" i="6"/>
  <c r="L19" i="6"/>
  <c r="M19" i="6"/>
  <c r="N19" i="6"/>
  <c r="O19" i="6"/>
  <c r="P19" i="6"/>
  <c r="Q19" i="6"/>
  <c r="R19" i="6"/>
  <c r="I20" i="6"/>
  <c r="J20" i="6"/>
  <c r="K20" i="6"/>
  <c r="L20" i="6"/>
  <c r="M20" i="6"/>
  <c r="N20" i="6"/>
  <c r="O20" i="6"/>
  <c r="P20" i="6"/>
  <c r="Q20" i="6"/>
  <c r="R20" i="6"/>
  <c r="I21" i="6"/>
  <c r="J21" i="6"/>
  <c r="K21" i="6"/>
  <c r="L21" i="6"/>
  <c r="M21" i="6"/>
  <c r="N21" i="6"/>
  <c r="O21" i="6"/>
  <c r="P21" i="6"/>
  <c r="Q21" i="6"/>
  <c r="R21" i="6"/>
  <c r="I22" i="6"/>
  <c r="J22" i="6"/>
  <c r="K22" i="6"/>
  <c r="L22" i="6"/>
  <c r="M22" i="6"/>
  <c r="N22" i="6"/>
  <c r="O22" i="6"/>
  <c r="P22" i="6"/>
  <c r="Q22" i="6"/>
  <c r="R22" i="6"/>
  <c r="I23" i="6"/>
  <c r="J23" i="6"/>
  <c r="K23" i="6"/>
  <c r="L23" i="6"/>
  <c r="M23" i="6"/>
  <c r="N23" i="6"/>
  <c r="O23" i="6"/>
  <c r="P23" i="6"/>
  <c r="Q23" i="6"/>
  <c r="R23" i="6"/>
  <c r="I24" i="6"/>
  <c r="J24" i="6"/>
  <c r="K24" i="6"/>
  <c r="L24" i="6"/>
  <c r="M24" i="6"/>
  <c r="N24" i="6"/>
  <c r="O24" i="6"/>
  <c r="P24" i="6"/>
  <c r="Q24" i="6"/>
  <c r="R24" i="6"/>
  <c r="I25" i="6"/>
  <c r="J25" i="6"/>
  <c r="K25" i="6"/>
  <c r="L25" i="6"/>
  <c r="M25" i="6"/>
  <c r="N25" i="6"/>
  <c r="O25" i="6"/>
  <c r="P25" i="6"/>
  <c r="Q25" i="6"/>
  <c r="R25" i="6"/>
  <c r="I26" i="6"/>
  <c r="J26" i="6"/>
  <c r="K26" i="6"/>
  <c r="L26" i="6"/>
  <c r="M26" i="6"/>
  <c r="N26" i="6"/>
  <c r="O26" i="6"/>
  <c r="P26" i="6"/>
  <c r="Q26" i="6"/>
  <c r="R26" i="6"/>
  <c r="I27" i="6"/>
  <c r="J27" i="6"/>
  <c r="K27" i="6"/>
  <c r="L27" i="6"/>
  <c r="M27" i="6"/>
  <c r="N27" i="6"/>
  <c r="O27" i="6"/>
  <c r="P27" i="6"/>
  <c r="Q27" i="6"/>
  <c r="R27" i="6"/>
  <c r="I28" i="6"/>
  <c r="J28" i="6"/>
  <c r="K28" i="6"/>
  <c r="L28" i="6"/>
  <c r="M28" i="6"/>
  <c r="N28" i="6"/>
  <c r="O28" i="6"/>
  <c r="P28" i="6"/>
  <c r="Q28" i="6"/>
  <c r="R28" i="6"/>
  <c r="I29" i="6"/>
  <c r="J29" i="6"/>
  <c r="K29" i="6"/>
  <c r="L29" i="6"/>
  <c r="M29" i="6"/>
  <c r="N29" i="6"/>
  <c r="O29" i="6"/>
  <c r="P29" i="6"/>
  <c r="Q29" i="6"/>
  <c r="R29" i="6"/>
  <c r="I30" i="6"/>
  <c r="J30" i="6"/>
  <c r="K30" i="6"/>
  <c r="L30" i="6"/>
  <c r="M30" i="6"/>
  <c r="N30" i="6"/>
  <c r="O30" i="6"/>
  <c r="P30" i="6"/>
  <c r="Q30" i="6"/>
  <c r="R30" i="6"/>
  <c r="I31" i="6"/>
  <c r="J31" i="6"/>
  <c r="K31" i="6"/>
  <c r="L31" i="6"/>
  <c r="M31" i="6"/>
  <c r="N31" i="6"/>
  <c r="O31" i="6"/>
  <c r="P31" i="6"/>
  <c r="Q31" i="6"/>
  <c r="R31" i="6"/>
  <c r="I32" i="6"/>
  <c r="J32" i="6"/>
  <c r="K32" i="6"/>
  <c r="L32" i="6"/>
  <c r="M32" i="6"/>
  <c r="N32" i="6"/>
  <c r="O32" i="6"/>
  <c r="P32" i="6"/>
  <c r="Q32" i="6"/>
  <c r="R3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2" i="6"/>
  <c r="C2" i="6"/>
  <c r="D2" i="6"/>
  <c r="E2" i="6"/>
  <c r="F2" i="6"/>
  <c r="G2" i="6"/>
  <c r="C3" i="6"/>
  <c r="D3" i="6"/>
  <c r="E3" i="6"/>
  <c r="F3" i="6"/>
  <c r="G3" i="6"/>
  <c r="C4" i="6"/>
  <c r="D4" i="6"/>
  <c r="E4" i="6"/>
  <c r="F4" i="6"/>
  <c r="G4" i="6"/>
  <c r="C5" i="6"/>
  <c r="D5" i="6"/>
  <c r="E5" i="6"/>
  <c r="F5" i="6"/>
  <c r="G5" i="6"/>
  <c r="C6" i="6"/>
  <c r="D6" i="6"/>
  <c r="E6" i="6"/>
  <c r="F6" i="6"/>
  <c r="G6" i="6"/>
  <c r="C7" i="6"/>
  <c r="D7" i="6"/>
  <c r="E7" i="6"/>
  <c r="F7" i="6"/>
  <c r="G7" i="6"/>
  <c r="C8" i="6"/>
  <c r="D8" i="6"/>
  <c r="E8" i="6"/>
  <c r="F8" i="6"/>
  <c r="G8" i="6"/>
  <c r="C9" i="6"/>
  <c r="D9" i="6"/>
  <c r="E9" i="6"/>
  <c r="F9" i="6"/>
  <c r="G9" i="6"/>
  <c r="C10" i="6"/>
  <c r="D10" i="6"/>
  <c r="E10" i="6"/>
  <c r="F10" i="6"/>
  <c r="G10" i="6"/>
  <c r="C11" i="6"/>
  <c r="D11" i="6"/>
  <c r="E11" i="6"/>
  <c r="F11" i="6"/>
  <c r="G11" i="6"/>
  <c r="C12" i="6"/>
  <c r="D12" i="6"/>
  <c r="E12" i="6"/>
  <c r="F12" i="6"/>
  <c r="G12" i="6"/>
  <c r="C13" i="6"/>
  <c r="D13" i="6"/>
  <c r="E13" i="6"/>
  <c r="F13" i="6"/>
  <c r="G13" i="6"/>
  <c r="C14" i="6"/>
  <c r="D14" i="6"/>
  <c r="E14" i="6"/>
  <c r="F14" i="6"/>
  <c r="G14" i="6"/>
  <c r="C15" i="6"/>
  <c r="D15" i="6"/>
  <c r="E15" i="6"/>
  <c r="F15" i="6"/>
  <c r="G15" i="6"/>
  <c r="C16" i="6"/>
  <c r="D16" i="6"/>
  <c r="E16" i="6"/>
  <c r="F16" i="6"/>
  <c r="G16" i="6"/>
  <c r="C17" i="6"/>
  <c r="D17" i="6"/>
  <c r="E17" i="6"/>
  <c r="F17" i="6"/>
  <c r="G17" i="6"/>
  <c r="C18" i="6"/>
  <c r="D18" i="6"/>
  <c r="E18" i="6"/>
  <c r="F18" i="6"/>
  <c r="G18" i="6"/>
  <c r="C19" i="6"/>
  <c r="D19" i="6"/>
  <c r="E19" i="6"/>
  <c r="F19" i="6"/>
  <c r="G19" i="6"/>
  <c r="C20" i="6"/>
  <c r="D20" i="6"/>
  <c r="E20" i="6"/>
  <c r="F20" i="6"/>
  <c r="G20" i="6"/>
  <c r="C21" i="6"/>
  <c r="D21" i="6"/>
  <c r="E21" i="6"/>
  <c r="F21" i="6"/>
  <c r="G21" i="6"/>
  <c r="C22" i="6"/>
  <c r="D22" i="6"/>
  <c r="E22" i="6"/>
  <c r="F22" i="6"/>
  <c r="G22" i="6"/>
  <c r="C23" i="6"/>
  <c r="D23" i="6"/>
  <c r="E23" i="6"/>
  <c r="F23" i="6"/>
  <c r="G23" i="6"/>
  <c r="C24" i="6"/>
  <c r="D24" i="6"/>
  <c r="E24" i="6"/>
  <c r="F24" i="6"/>
  <c r="G24" i="6"/>
  <c r="C25" i="6"/>
  <c r="D25" i="6"/>
  <c r="E25" i="6"/>
  <c r="F25" i="6"/>
  <c r="G25" i="6"/>
  <c r="C26" i="6"/>
  <c r="D26" i="6"/>
  <c r="E26" i="6"/>
  <c r="F26" i="6"/>
  <c r="G26" i="6"/>
  <c r="C27" i="6"/>
  <c r="D27" i="6"/>
  <c r="E27" i="6"/>
  <c r="F27" i="6"/>
  <c r="G27" i="6"/>
  <c r="C28" i="6"/>
  <c r="D28" i="6"/>
  <c r="E28" i="6"/>
  <c r="F28" i="6"/>
  <c r="G28" i="6"/>
  <c r="C29" i="6"/>
  <c r="D29" i="6"/>
  <c r="E29" i="6"/>
  <c r="F29" i="6"/>
  <c r="G29" i="6"/>
  <c r="C30" i="6"/>
  <c r="D30" i="6"/>
  <c r="E30" i="6"/>
  <c r="F30" i="6"/>
  <c r="G30" i="6"/>
  <c r="C31" i="6"/>
  <c r="D31" i="6"/>
  <c r="E31" i="6"/>
  <c r="F31" i="6"/>
  <c r="G31" i="6"/>
  <c r="C32" i="6"/>
  <c r="D32" i="6"/>
  <c r="E32" i="6"/>
  <c r="F32" i="6"/>
  <c r="G3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2" i="6"/>
  <c r="AC34" i="5" l="1"/>
  <c r="AD34" i="5"/>
  <c r="AE34" i="5"/>
  <c r="AF34" i="5"/>
  <c r="AG34" i="5"/>
  <c r="AH34" i="5"/>
  <c r="AI34" i="5"/>
  <c r="AJ34" i="5"/>
  <c r="AK34" i="5"/>
  <c r="AL34" i="5"/>
  <c r="AB34" i="5"/>
  <c r="AC30" i="5"/>
  <c r="AD30" i="5"/>
  <c r="AE30" i="5"/>
  <c r="AF30" i="5"/>
  <c r="AG30" i="5"/>
  <c r="AH30" i="5"/>
  <c r="AI30" i="5"/>
  <c r="AJ30" i="5"/>
  <c r="AK30" i="5"/>
  <c r="AL30" i="5"/>
  <c r="AC31" i="5"/>
  <c r="AD31" i="5"/>
  <c r="AE31" i="5"/>
  <c r="AF31" i="5"/>
  <c r="AG31" i="5"/>
  <c r="AH31" i="5"/>
  <c r="AI31" i="5"/>
  <c r="AJ31" i="5"/>
  <c r="AK31" i="5"/>
  <c r="AL31" i="5"/>
  <c r="AC32" i="5"/>
  <c r="AD32" i="5"/>
  <c r="AE32" i="5"/>
  <c r="AF32" i="5"/>
  <c r="AG32" i="5"/>
  <c r="AH32" i="5"/>
  <c r="AI32" i="5"/>
  <c r="AJ32" i="5"/>
  <c r="AK32" i="5"/>
  <c r="AL32" i="5"/>
  <c r="AC33" i="5"/>
  <c r="AD33" i="5"/>
  <c r="AE33" i="5"/>
  <c r="AF33" i="5"/>
  <c r="AG33" i="5"/>
  <c r="AH33" i="5"/>
  <c r="AI33" i="5"/>
  <c r="AJ33" i="5"/>
  <c r="AK33" i="5"/>
  <c r="AL33" i="5"/>
  <c r="AB31" i="5"/>
  <c r="AB32" i="5"/>
  <c r="AB33" i="5"/>
  <c r="AB30" i="5"/>
  <c r="AC4" i="5"/>
  <c r="AD4" i="5"/>
  <c r="AE4" i="5"/>
  <c r="AF4" i="5"/>
  <c r="AG4" i="5"/>
  <c r="AH4" i="5"/>
  <c r="AI4" i="5"/>
  <c r="AJ4" i="5"/>
  <c r="AK4" i="5"/>
  <c r="AL4" i="5"/>
  <c r="AC5" i="5"/>
  <c r="AD5" i="5"/>
  <c r="AE5" i="5"/>
  <c r="AF5" i="5"/>
  <c r="AG5" i="5"/>
  <c r="AH5" i="5"/>
  <c r="AI5" i="5"/>
  <c r="AJ5" i="5"/>
  <c r="AK5" i="5"/>
  <c r="AL5" i="5"/>
  <c r="AC6" i="5"/>
  <c r="AD6" i="5"/>
  <c r="AE6" i="5"/>
  <c r="AF6" i="5"/>
  <c r="AG6" i="5"/>
  <c r="AH6" i="5"/>
  <c r="AI6" i="5"/>
  <c r="AJ6" i="5"/>
  <c r="AK6" i="5"/>
  <c r="AL6" i="5"/>
  <c r="AC7" i="5"/>
  <c r="AD7" i="5"/>
  <c r="AE7" i="5"/>
  <c r="AF7" i="5"/>
  <c r="AG7" i="5"/>
  <c r="AH7" i="5"/>
  <c r="AI7" i="5"/>
  <c r="AJ7" i="5"/>
  <c r="AK7" i="5"/>
  <c r="AL7" i="5"/>
  <c r="AC8" i="5"/>
  <c r="AD8" i="5"/>
  <c r="AE8" i="5"/>
  <c r="AF8" i="5"/>
  <c r="AG8" i="5"/>
  <c r="AH8" i="5"/>
  <c r="AI8" i="5"/>
  <c r="AJ8" i="5"/>
  <c r="AK8" i="5"/>
  <c r="AL8" i="5"/>
  <c r="AC9" i="5"/>
  <c r="AD9" i="5"/>
  <c r="AE9" i="5"/>
  <c r="AF9" i="5"/>
  <c r="AG9" i="5"/>
  <c r="AH9" i="5"/>
  <c r="AI9" i="5"/>
  <c r="AJ9" i="5"/>
  <c r="AK9" i="5"/>
  <c r="AL9" i="5"/>
  <c r="AC10" i="5"/>
  <c r="AD10" i="5"/>
  <c r="AE10" i="5"/>
  <c r="AF10" i="5"/>
  <c r="AG10" i="5"/>
  <c r="AH10" i="5"/>
  <c r="AI10" i="5"/>
  <c r="AJ10" i="5"/>
  <c r="AK10" i="5"/>
  <c r="AL10" i="5"/>
  <c r="AC11" i="5"/>
  <c r="AD11" i="5"/>
  <c r="AE11" i="5"/>
  <c r="AF11" i="5"/>
  <c r="AG11" i="5"/>
  <c r="AH11" i="5"/>
  <c r="AI11" i="5"/>
  <c r="AJ11" i="5"/>
  <c r="AK11" i="5"/>
  <c r="AL11" i="5"/>
  <c r="AC12" i="5"/>
  <c r="AD12" i="5"/>
  <c r="AE12" i="5"/>
  <c r="AF12" i="5"/>
  <c r="AG12" i="5"/>
  <c r="AH12" i="5"/>
  <c r="AI12" i="5"/>
  <c r="AJ12" i="5"/>
  <c r="AK12" i="5"/>
  <c r="AL12" i="5"/>
  <c r="AC13" i="5"/>
  <c r="AD13" i="5"/>
  <c r="AE13" i="5"/>
  <c r="AF13" i="5"/>
  <c r="AG13" i="5"/>
  <c r="AH13" i="5"/>
  <c r="AI13" i="5"/>
  <c r="AJ13" i="5"/>
  <c r="AK13" i="5"/>
  <c r="AL13" i="5"/>
  <c r="AC14" i="5"/>
  <c r="AD14" i="5"/>
  <c r="AE14" i="5"/>
  <c r="AF14" i="5"/>
  <c r="AG14" i="5"/>
  <c r="AH14" i="5"/>
  <c r="AI14" i="5"/>
  <c r="AJ14" i="5"/>
  <c r="AK14" i="5"/>
  <c r="AL14" i="5"/>
  <c r="AC15" i="5"/>
  <c r="AD15" i="5"/>
  <c r="AE15" i="5"/>
  <c r="AF15" i="5"/>
  <c r="AG15" i="5"/>
  <c r="AH15" i="5"/>
  <c r="AI15" i="5"/>
  <c r="AJ15" i="5"/>
  <c r="AK15" i="5"/>
  <c r="AL15" i="5"/>
  <c r="AC16" i="5"/>
  <c r="AD16" i="5"/>
  <c r="AE16" i="5"/>
  <c r="AF16" i="5"/>
  <c r="AG16" i="5"/>
  <c r="AH16" i="5"/>
  <c r="AI16" i="5"/>
  <c r="AJ16" i="5"/>
  <c r="AK16" i="5"/>
  <c r="AL16" i="5"/>
  <c r="AC17" i="5"/>
  <c r="AD17" i="5"/>
  <c r="AE17" i="5"/>
  <c r="AF17" i="5"/>
  <c r="AG17" i="5"/>
  <c r="AH17" i="5"/>
  <c r="AI17" i="5"/>
  <c r="AJ17" i="5"/>
  <c r="AK17" i="5"/>
  <c r="AL17" i="5"/>
  <c r="AC18" i="5"/>
  <c r="AD18" i="5"/>
  <c r="AE18" i="5"/>
  <c r="AF18" i="5"/>
  <c r="AG18" i="5"/>
  <c r="AH18" i="5"/>
  <c r="AI18" i="5"/>
  <c r="AJ18" i="5"/>
  <c r="AK18" i="5"/>
  <c r="AL18" i="5"/>
  <c r="AC19" i="5"/>
  <c r="AD19" i="5"/>
  <c r="AE19" i="5"/>
  <c r="AF19" i="5"/>
  <c r="AG19" i="5"/>
  <c r="AH19" i="5"/>
  <c r="AI19" i="5"/>
  <c r="AJ19" i="5"/>
  <c r="AK19" i="5"/>
  <c r="AL19" i="5"/>
  <c r="AC20" i="5"/>
  <c r="AD20" i="5"/>
  <c r="AE20" i="5"/>
  <c r="AF20" i="5"/>
  <c r="AG20" i="5"/>
  <c r="AH20" i="5"/>
  <c r="AI20" i="5"/>
  <c r="AJ20" i="5"/>
  <c r="AK20" i="5"/>
  <c r="AL20" i="5"/>
  <c r="AC21" i="5"/>
  <c r="AD21" i="5"/>
  <c r="AE21" i="5"/>
  <c r="AF21" i="5"/>
  <c r="AG21" i="5"/>
  <c r="AH21" i="5"/>
  <c r="AI21" i="5"/>
  <c r="AJ21" i="5"/>
  <c r="AK21" i="5"/>
  <c r="AL21" i="5"/>
  <c r="AC22" i="5"/>
  <c r="AD22" i="5"/>
  <c r="AE22" i="5"/>
  <c r="AF22" i="5"/>
  <c r="AG22" i="5"/>
  <c r="AH22" i="5"/>
  <c r="AI22" i="5"/>
  <c r="AJ22" i="5"/>
  <c r="AK22" i="5"/>
  <c r="AL22" i="5"/>
  <c r="AC23" i="5"/>
  <c r="AD23" i="5"/>
  <c r="AE23" i="5"/>
  <c r="AF23" i="5"/>
  <c r="AG23" i="5"/>
  <c r="AH23" i="5"/>
  <c r="AI23" i="5"/>
  <c r="AJ23" i="5"/>
  <c r="AK23" i="5"/>
  <c r="AL23" i="5"/>
  <c r="AC24" i="5"/>
  <c r="AD24" i="5"/>
  <c r="AE24" i="5"/>
  <c r="AF24" i="5"/>
  <c r="AG24" i="5"/>
  <c r="AH24" i="5"/>
  <c r="AI24" i="5"/>
  <c r="AJ24" i="5"/>
  <c r="AK24" i="5"/>
  <c r="AL24" i="5"/>
  <c r="AC25" i="5"/>
  <c r="AD25" i="5"/>
  <c r="AE25" i="5"/>
  <c r="AF25" i="5"/>
  <c r="AG25" i="5"/>
  <c r="AH25" i="5"/>
  <c r="AI25" i="5"/>
  <c r="AJ25" i="5"/>
  <c r="AK25" i="5"/>
  <c r="AL25" i="5"/>
  <c r="AC26" i="5"/>
  <c r="AD26" i="5"/>
  <c r="AE26" i="5"/>
  <c r="AF26" i="5"/>
  <c r="AG26" i="5"/>
  <c r="AH26" i="5"/>
  <c r="AI26" i="5"/>
  <c r="AJ26" i="5"/>
  <c r="AK26" i="5"/>
  <c r="AL26" i="5"/>
  <c r="AC27" i="5"/>
  <c r="AD27" i="5"/>
  <c r="AE27" i="5"/>
  <c r="AF27" i="5"/>
  <c r="AG27" i="5"/>
  <c r="AH27" i="5"/>
  <c r="AI27" i="5"/>
  <c r="AJ27" i="5"/>
  <c r="AK27" i="5"/>
  <c r="AL27" i="5"/>
  <c r="AC28" i="5"/>
  <c r="AD28" i="5"/>
  <c r="AE28" i="5"/>
  <c r="AF28" i="5"/>
  <c r="AG28" i="5"/>
  <c r="AH28" i="5"/>
  <c r="AI28" i="5"/>
  <c r="AJ28" i="5"/>
  <c r="AK28" i="5"/>
  <c r="AL28" i="5"/>
  <c r="AC29" i="5"/>
  <c r="AD29" i="5"/>
  <c r="AE29" i="5"/>
  <c r="AF29" i="5"/>
  <c r="AG29" i="5"/>
  <c r="AH29" i="5"/>
  <c r="AI29" i="5"/>
  <c r="AJ29" i="5"/>
  <c r="AK29" i="5"/>
  <c r="AL29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C3" i="5"/>
  <c r="AD3" i="5"/>
  <c r="AE3" i="5"/>
  <c r="AF3" i="5"/>
  <c r="AG3" i="5"/>
  <c r="AH3" i="5"/>
  <c r="AI3" i="5"/>
  <c r="AJ3" i="5"/>
  <c r="AK3" i="5"/>
  <c r="AL3" i="5"/>
  <c r="AB3" i="5"/>
  <c r="AB4" i="5"/>
  <c r="H22" i="4" a="1"/>
  <c r="L22" i="4" s="1"/>
  <c r="P30" i="5"/>
  <c r="Q30" i="5"/>
  <c r="R30" i="5"/>
  <c r="S30" i="5"/>
  <c r="T30" i="5"/>
  <c r="U30" i="5"/>
  <c r="V30" i="5"/>
  <c r="W30" i="5"/>
  <c r="X30" i="5"/>
  <c r="Y30" i="5"/>
  <c r="P31" i="5"/>
  <c r="Q31" i="5"/>
  <c r="R31" i="5"/>
  <c r="S31" i="5"/>
  <c r="T31" i="5"/>
  <c r="U31" i="5"/>
  <c r="V31" i="5"/>
  <c r="W31" i="5"/>
  <c r="X31" i="5"/>
  <c r="Y31" i="5"/>
  <c r="P32" i="5"/>
  <c r="Q32" i="5"/>
  <c r="R32" i="5"/>
  <c r="S32" i="5"/>
  <c r="T32" i="5"/>
  <c r="U32" i="5"/>
  <c r="V32" i="5"/>
  <c r="W32" i="5"/>
  <c r="X32" i="5"/>
  <c r="Y32" i="5"/>
  <c r="P33" i="5"/>
  <c r="Q33" i="5"/>
  <c r="R33" i="5"/>
  <c r="S33" i="5"/>
  <c r="T33" i="5"/>
  <c r="U33" i="5"/>
  <c r="V33" i="5"/>
  <c r="W33" i="5"/>
  <c r="X33" i="5"/>
  <c r="Y33" i="5"/>
  <c r="O31" i="5"/>
  <c r="O32" i="5"/>
  <c r="O33" i="5"/>
  <c r="O30" i="5"/>
  <c r="P4" i="5"/>
  <c r="Q4" i="5"/>
  <c r="R4" i="5"/>
  <c r="S4" i="5"/>
  <c r="T4" i="5"/>
  <c r="U4" i="5"/>
  <c r="V4" i="5"/>
  <c r="W4" i="5"/>
  <c r="X4" i="5"/>
  <c r="Y4" i="5"/>
  <c r="P5" i="5"/>
  <c r="Q5" i="5"/>
  <c r="R5" i="5"/>
  <c r="S5" i="5"/>
  <c r="T5" i="5"/>
  <c r="U5" i="5"/>
  <c r="V5" i="5"/>
  <c r="W5" i="5"/>
  <c r="X5" i="5"/>
  <c r="Y5" i="5"/>
  <c r="P6" i="5"/>
  <c r="Q6" i="5"/>
  <c r="R6" i="5"/>
  <c r="S6" i="5"/>
  <c r="T6" i="5"/>
  <c r="U6" i="5"/>
  <c r="V6" i="5"/>
  <c r="W6" i="5"/>
  <c r="X6" i="5"/>
  <c r="Y6" i="5"/>
  <c r="P7" i="5"/>
  <c r="Q7" i="5"/>
  <c r="R7" i="5"/>
  <c r="S7" i="5"/>
  <c r="T7" i="5"/>
  <c r="U7" i="5"/>
  <c r="V7" i="5"/>
  <c r="W7" i="5"/>
  <c r="X7" i="5"/>
  <c r="Y7" i="5"/>
  <c r="P8" i="5"/>
  <c r="Q8" i="5"/>
  <c r="R8" i="5"/>
  <c r="S8" i="5"/>
  <c r="T8" i="5"/>
  <c r="U8" i="5"/>
  <c r="V8" i="5"/>
  <c r="W8" i="5"/>
  <c r="X8" i="5"/>
  <c r="Y8" i="5"/>
  <c r="P9" i="5"/>
  <c r="Q9" i="5"/>
  <c r="R9" i="5"/>
  <c r="S9" i="5"/>
  <c r="T9" i="5"/>
  <c r="U9" i="5"/>
  <c r="V9" i="5"/>
  <c r="W9" i="5"/>
  <c r="X9" i="5"/>
  <c r="Y9" i="5"/>
  <c r="P10" i="5"/>
  <c r="Q10" i="5"/>
  <c r="R10" i="5"/>
  <c r="S10" i="5"/>
  <c r="T10" i="5"/>
  <c r="U10" i="5"/>
  <c r="V10" i="5"/>
  <c r="W10" i="5"/>
  <c r="X10" i="5"/>
  <c r="Y10" i="5"/>
  <c r="P11" i="5"/>
  <c r="Q11" i="5"/>
  <c r="R11" i="5"/>
  <c r="S11" i="5"/>
  <c r="T11" i="5"/>
  <c r="U11" i="5"/>
  <c r="V11" i="5"/>
  <c r="W11" i="5"/>
  <c r="X11" i="5"/>
  <c r="Y11" i="5"/>
  <c r="P12" i="5"/>
  <c r="Q12" i="5"/>
  <c r="R12" i="5"/>
  <c r="S12" i="5"/>
  <c r="T12" i="5"/>
  <c r="U12" i="5"/>
  <c r="V12" i="5"/>
  <c r="W12" i="5"/>
  <c r="X12" i="5"/>
  <c r="Y12" i="5"/>
  <c r="P13" i="5"/>
  <c r="Q13" i="5"/>
  <c r="R13" i="5"/>
  <c r="S13" i="5"/>
  <c r="T13" i="5"/>
  <c r="U13" i="5"/>
  <c r="V13" i="5"/>
  <c r="W13" i="5"/>
  <c r="X13" i="5"/>
  <c r="Y13" i="5"/>
  <c r="P14" i="5"/>
  <c r="Q14" i="5"/>
  <c r="R14" i="5"/>
  <c r="S14" i="5"/>
  <c r="T14" i="5"/>
  <c r="U14" i="5"/>
  <c r="V14" i="5"/>
  <c r="W14" i="5"/>
  <c r="X14" i="5"/>
  <c r="Y14" i="5"/>
  <c r="P15" i="5"/>
  <c r="Q15" i="5"/>
  <c r="R15" i="5"/>
  <c r="S15" i="5"/>
  <c r="T15" i="5"/>
  <c r="U15" i="5"/>
  <c r="V15" i="5"/>
  <c r="W15" i="5"/>
  <c r="X15" i="5"/>
  <c r="Y15" i="5"/>
  <c r="P16" i="5"/>
  <c r="Q16" i="5"/>
  <c r="R16" i="5"/>
  <c r="S16" i="5"/>
  <c r="T16" i="5"/>
  <c r="U16" i="5"/>
  <c r="V16" i="5"/>
  <c r="W16" i="5"/>
  <c r="X16" i="5"/>
  <c r="Y16" i="5"/>
  <c r="P17" i="5"/>
  <c r="Q17" i="5"/>
  <c r="R17" i="5"/>
  <c r="S17" i="5"/>
  <c r="T17" i="5"/>
  <c r="U17" i="5"/>
  <c r="V17" i="5"/>
  <c r="W17" i="5"/>
  <c r="X17" i="5"/>
  <c r="Y17" i="5"/>
  <c r="P18" i="5"/>
  <c r="Q18" i="5"/>
  <c r="R18" i="5"/>
  <c r="S18" i="5"/>
  <c r="T18" i="5"/>
  <c r="U18" i="5"/>
  <c r="V18" i="5"/>
  <c r="W18" i="5"/>
  <c r="X18" i="5"/>
  <c r="Y18" i="5"/>
  <c r="P19" i="5"/>
  <c r="Q19" i="5"/>
  <c r="R19" i="5"/>
  <c r="S19" i="5"/>
  <c r="T19" i="5"/>
  <c r="U19" i="5"/>
  <c r="V19" i="5"/>
  <c r="W19" i="5"/>
  <c r="X19" i="5"/>
  <c r="Y19" i="5"/>
  <c r="P20" i="5"/>
  <c r="Q20" i="5"/>
  <c r="R20" i="5"/>
  <c r="S20" i="5"/>
  <c r="T20" i="5"/>
  <c r="U20" i="5"/>
  <c r="V20" i="5"/>
  <c r="W20" i="5"/>
  <c r="X20" i="5"/>
  <c r="Y20" i="5"/>
  <c r="P21" i="5"/>
  <c r="Q21" i="5"/>
  <c r="R21" i="5"/>
  <c r="S21" i="5"/>
  <c r="T21" i="5"/>
  <c r="U21" i="5"/>
  <c r="V21" i="5"/>
  <c r="W21" i="5"/>
  <c r="X21" i="5"/>
  <c r="Y21" i="5"/>
  <c r="P22" i="5"/>
  <c r="Q22" i="5"/>
  <c r="R22" i="5"/>
  <c r="S22" i="5"/>
  <c r="T22" i="5"/>
  <c r="U22" i="5"/>
  <c r="V22" i="5"/>
  <c r="W22" i="5"/>
  <c r="X22" i="5"/>
  <c r="Y22" i="5"/>
  <c r="P23" i="5"/>
  <c r="Q23" i="5"/>
  <c r="R23" i="5"/>
  <c r="S23" i="5"/>
  <c r="T23" i="5"/>
  <c r="U23" i="5"/>
  <c r="V23" i="5"/>
  <c r="W23" i="5"/>
  <c r="X23" i="5"/>
  <c r="Y23" i="5"/>
  <c r="P24" i="5"/>
  <c r="Q24" i="5"/>
  <c r="R24" i="5"/>
  <c r="S24" i="5"/>
  <c r="T24" i="5"/>
  <c r="U24" i="5"/>
  <c r="V24" i="5"/>
  <c r="W24" i="5"/>
  <c r="X24" i="5"/>
  <c r="Y24" i="5"/>
  <c r="P25" i="5"/>
  <c r="Q25" i="5"/>
  <c r="R25" i="5"/>
  <c r="S25" i="5"/>
  <c r="T25" i="5"/>
  <c r="U25" i="5"/>
  <c r="V25" i="5"/>
  <c r="W25" i="5"/>
  <c r="X25" i="5"/>
  <c r="Y25" i="5"/>
  <c r="P26" i="5"/>
  <c r="Q26" i="5"/>
  <c r="R26" i="5"/>
  <c r="S26" i="5"/>
  <c r="T26" i="5"/>
  <c r="U26" i="5"/>
  <c r="V26" i="5"/>
  <c r="W26" i="5"/>
  <c r="X26" i="5"/>
  <c r="Y26" i="5"/>
  <c r="P27" i="5"/>
  <c r="Q27" i="5"/>
  <c r="R27" i="5"/>
  <c r="S27" i="5"/>
  <c r="T27" i="5"/>
  <c r="U27" i="5"/>
  <c r="V27" i="5"/>
  <c r="W27" i="5"/>
  <c r="X27" i="5"/>
  <c r="Y27" i="5"/>
  <c r="P28" i="5"/>
  <c r="Q28" i="5"/>
  <c r="R28" i="5"/>
  <c r="S28" i="5"/>
  <c r="T28" i="5"/>
  <c r="U28" i="5"/>
  <c r="V28" i="5"/>
  <c r="W28" i="5"/>
  <c r="X28" i="5"/>
  <c r="Y28" i="5"/>
  <c r="P29" i="5"/>
  <c r="Q29" i="5"/>
  <c r="R29" i="5"/>
  <c r="S29" i="5"/>
  <c r="T29" i="5"/>
  <c r="U29" i="5"/>
  <c r="V29" i="5"/>
  <c r="W29" i="5"/>
  <c r="X29" i="5"/>
  <c r="Y29" i="5"/>
  <c r="O5" i="5"/>
  <c r="O6" i="5"/>
  <c r="O7" i="5"/>
  <c r="O8" i="5"/>
  <c r="O9" i="5"/>
  <c r="O10" i="5"/>
  <c r="O11" i="5"/>
  <c r="O12" i="5"/>
  <c r="O13" i="5"/>
  <c r="O14" i="5"/>
  <c r="O15" i="5"/>
  <c r="O16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4" i="5"/>
  <c r="L34" i="5"/>
  <c r="K34" i="5"/>
  <c r="J34" i="5"/>
  <c r="I34" i="5"/>
  <c r="H34" i="5"/>
  <c r="G34" i="5"/>
  <c r="F34" i="5"/>
  <c r="E34" i="5"/>
  <c r="D34" i="5"/>
  <c r="C34" i="5"/>
  <c r="B34" i="5"/>
  <c r="M24" i="4" l="1"/>
  <c r="X24" i="4"/>
  <c r="W24" i="4"/>
  <c r="J24" i="4"/>
  <c r="R23" i="4"/>
  <c r="S25" i="4"/>
  <c r="J22" i="4"/>
  <c r="P23" i="4"/>
  <c r="H22" i="4"/>
  <c r="P25" i="4"/>
  <c r="S22" i="4"/>
  <c r="O25" i="4"/>
  <c r="T24" i="4"/>
  <c r="H24" i="4"/>
  <c r="M23" i="4"/>
  <c r="R22" i="4"/>
  <c r="N25" i="4"/>
  <c r="S24" i="4"/>
  <c r="X23" i="4"/>
  <c r="L23" i="4"/>
  <c r="Q22" i="4"/>
  <c r="W22" i="4"/>
  <c r="V22" i="4"/>
  <c r="K24" i="4"/>
  <c r="O23" i="4"/>
  <c r="I24" i="4"/>
  <c r="K23" i="4"/>
  <c r="L25" i="4"/>
  <c r="W25" i="4"/>
  <c r="K25" i="4"/>
  <c r="P24" i="4"/>
  <c r="U23" i="4"/>
  <c r="I23" i="4"/>
  <c r="N22" i="4"/>
  <c r="H25" i="4"/>
  <c r="Q23" i="4"/>
  <c r="R25" i="4"/>
  <c r="U22" i="4"/>
  <c r="T22" i="4"/>
  <c r="U24" i="4"/>
  <c r="M25" i="4"/>
  <c r="R24" i="4"/>
  <c r="W23" i="4"/>
  <c r="P22" i="4"/>
  <c r="X25" i="4"/>
  <c r="Q24" i="4"/>
  <c r="V23" i="4"/>
  <c r="O22" i="4"/>
  <c r="V25" i="4"/>
  <c r="J25" i="4"/>
  <c r="O24" i="4"/>
  <c r="T23" i="4"/>
  <c r="H23" i="4"/>
  <c r="M22" i="4"/>
  <c r="T25" i="4"/>
  <c r="K22" i="4"/>
  <c r="L24" i="4"/>
  <c r="I22" i="4"/>
  <c r="Q25" i="4"/>
  <c r="V24" i="4"/>
  <c r="N23" i="4"/>
  <c r="J23" i="4"/>
  <c r="U25" i="4"/>
  <c r="I25" i="4"/>
  <c r="N24" i="4"/>
  <c r="S23" i="4"/>
  <c r="X22" i="4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37" i="2"/>
  <c r="G9" i="2"/>
  <c r="G4" i="2"/>
  <c r="G3" i="2"/>
  <c r="C9" i="2"/>
  <c r="C4" i="2"/>
  <c r="C3" i="2"/>
  <c r="I2" i="4"/>
  <c r="J2" i="4"/>
  <c r="K2" i="4"/>
  <c r="I3" i="4"/>
  <c r="J3" i="4"/>
  <c r="K3" i="4"/>
  <c r="I4" i="4"/>
  <c r="J4" i="4"/>
  <c r="K4" i="4"/>
  <c r="I5" i="4"/>
  <c r="J5" i="4"/>
  <c r="K5" i="4"/>
  <c r="I6" i="4"/>
  <c r="J6" i="4"/>
  <c r="K6" i="4"/>
  <c r="I7" i="4"/>
  <c r="J7" i="4"/>
  <c r="K7" i="4"/>
  <c r="I8" i="4"/>
  <c r="J8" i="4"/>
  <c r="K8" i="4"/>
  <c r="I9" i="4"/>
  <c r="J9" i="4"/>
  <c r="K9" i="4"/>
  <c r="I10" i="4"/>
  <c r="J10" i="4"/>
  <c r="K10" i="4"/>
  <c r="I11" i="4"/>
  <c r="J11" i="4"/>
  <c r="K11" i="4"/>
  <c r="I12" i="4"/>
  <c r="J12" i="4"/>
  <c r="K12" i="4"/>
  <c r="I13" i="4"/>
  <c r="J13" i="4"/>
  <c r="K13" i="4"/>
  <c r="I14" i="4"/>
  <c r="J14" i="4"/>
  <c r="K14" i="4"/>
  <c r="I15" i="4"/>
  <c r="J15" i="4"/>
  <c r="K15" i="4"/>
  <c r="I16" i="4"/>
  <c r="J16" i="4"/>
  <c r="K16" i="4"/>
  <c r="I17" i="4"/>
  <c r="J17" i="4"/>
  <c r="K17" i="4"/>
  <c r="I18" i="4"/>
  <c r="J18" i="4"/>
  <c r="K18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2" i="4"/>
  <c r="AA30" i="2" l="1"/>
  <c r="AA31" i="2"/>
  <c r="AA32" i="2"/>
  <c r="AA29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3" i="2"/>
  <c r="O66" i="2"/>
  <c r="O65" i="2"/>
  <c r="O64" i="2"/>
  <c r="O63" i="2"/>
  <c r="O62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37" i="2"/>
  <c r="C25" i="2"/>
  <c r="AE30" i="2"/>
  <c r="AE31" i="2"/>
  <c r="AE32" i="2"/>
  <c r="AE29" i="2"/>
  <c r="AE3" i="2"/>
  <c r="K64" i="2"/>
  <c r="K65" i="2"/>
  <c r="K66" i="2"/>
  <c r="K63" i="2"/>
  <c r="G25" i="2"/>
  <c r="AB33" i="2"/>
  <c r="AC33" i="2"/>
  <c r="AD33" i="2"/>
  <c r="AD32" i="2"/>
  <c r="AC32" i="2"/>
  <c r="AB32" i="2"/>
  <c r="Z32" i="2"/>
  <c r="Z33" i="2" s="1"/>
  <c r="AB29" i="2"/>
  <c r="AC29" i="2"/>
  <c r="AD29" i="2"/>
  <c r="AB30" i="2"/>
  <c r="AC30" i="2"/>
  <c r="AD30" i="2"/>
  <c r="AB31" i="2"/>
  <c r="AC31" i="2"/>
  <c r="AD31" i="2"/>
  <c r="Z30" i="2"/>
  <c r="Z31" i="2"/>
  <c r="Z29" i="2"/>
  <c r="S29" i="2"/>
  <c r="T29" i="2"/>
  <c r="U29" i="2"/>
  <c r="V29" i="2"/>
  <c r="W29" i="2"/>
  <c r="S30" i="2"/>
  <c r="T30" i="2"/>
  <c r="U30" i="2"/>
  <c r="V30" i="2"/>
  <c r="W30" i="2"/>
  <c r="S31" i="2"/>
  <c r="T31" i="2"/>
  <c r="U31" i="2"/>
  <c r="V31" i="2"/>
  <c r="W31" i="2"/>
  <c r="R30" i="2"/>
  <c r="R31" i="2"/>
  <c r="R29" i="2"/>
  <c r="AB28" i="2"/>
  <c r="AC28" i="2"/>
  <c r="AD28" i="2"/>
  <c r="Z28" i="2"/>
  <c r="AB19" i="2"/>
  <c r="AC19" i="2"/>
  <c r="AD19" i="2"/>
  <c r="AB20" i="2"/>
  <c r="AC20" i="2"/>
  <c r="AD20" i="2"/>
  <c r="AB21" i="2"/>
  <c r="AC21" i="2"/>
  <c r="AD21" i="2"/>
  <c r="AB22" i="2"/>
  <c r="AC22" i="2"/>
  <c r="AD22" i="2"/>
  <c r="AB23" i="2"/>
  <c r="AC23" i="2"/>
  <c r="AD23" i="2"/>
  <c r="AB24" i="2"/>
  <c r="AC24" i="2"/>
  <c r="AD24" i="2"/>
  <c r="AB25" i="2"/>
  <c r="AC25" i="2"/>
  <c r="AD25" i="2"/>
  <c r="AB26" i="2"/>
  <c r="AC26" i="2"/>
  <c r="AD26" i="2"/>
  <c r="AB27" i="2"/>
  <c r="AC27" i="2"/>
  <c r="AD27" i="2"/>
  <c r="Z20" i="2"/>
  <c r="Z21" i="2"/>
  <c r="Z22" i="2"/>
  <c r="Z23" i="2"/>
  <c r="Z24" i="2"/>
  <c r="Z25" i="2"/>
  <c r="Z26" i="2"/>
  <c r="Z27" i="2"/>
  <c r="Z19" i="2"/>
  <c r="S19" i="2"/>
  <c r="T19" i="2"/>
  <c r="U19" i="2"/>
  <c r="V19" i="2"/>
  <c r="W19" i="2"/>
  <c r="S20" i="2"/>
  <c r="T20" i="2"/>
  <c r="U20" i="2"/>
  <c r="V20" i="2"/>
  <c r="W20" i="2"/>
  <c r="S21" i="2"/>
  <c r="T21" i="2"/>
  <c r="U21" i="2"/>
  <c r="V21" i="2"/>
  <c r="W21" i="2"/>
  <c r="S22" i="2"/>
  <c r="T22" i="2"/>
  <c r="U22" i="2"/>
  <c r="V22" i="2"/>
  <c r="W22" i="2"/>
  <c r="S23" i="2"/>
  <c r="T23" i="2"/>
  <c r="U23" i="2"/>
  <c r="V23" i="2"/>
  <c r="W23" i="2"/>
  <c r="S24" i="2"/>
  <c r="T24" i="2"/>
  <c r="U24" i="2"/>
  <c r="V24" i="2"/>
  <c r="W24" i="2"/>
  <c r="S25" i="2"/>
  <c r="T25" i="2"/>
  <c r="U25" i="2"/>
  <c r="V25" i="2"/>
  <c r="W25" i="2"/>
  <c r="S26" i="2"/>
  <c r="T26" i="2"/>
  <c r="U26" i="2"/>
  <c r="V26" i="2"/>
  <c r="W26" i="2"/>
  <c r="S27" i="2"/>
  <c r="T27" i="2"/>
  <c r="U27" i="2"/>
  <c r="V27" i="2"/>
  <c r="W27" i="2"/>
  <c r="R20" i="2"/>
  <c r="R21" i="2"/>
  <c r="R22" i="2"/>
  <c r="R23" i="2"/>
  <c r="R24" i="2"/>
  <c r="R25" i="2"/>
  <c r="R26" i="2"/>
  <c r="R27" i="2"/>
  <c r="R19" i="2"/>
  <c r="AB7" i="2"/>
  <c r="AC7" i="2"/>
  <c r="AD7" i="2"/>
  <c r="AB8" i="2"/>
  <c r="AC8" i="2"/>
  <c r="AD8" i="2"/>
  <c r="AB9" i="2"/>
  <c r="AC9" i="2"/>
  <c r="AD9" i="2"/>
  <c r="AB10" i="2"/>
  <c r="AC10" i="2"/>
  <c r="AD10" i="2"/>
  <c r="AB11" i="2"/>
  <c r="AC11" i="2"/>
  <c r="AD11" i="2"/>
  <c r="AB12" i="2"/>
  <c r="AC12" i="2"/>
  <c r="AD12" i="2"/>
  <c r="AB13" i="2"/>
  <c r="AC13" i="2"/>
  <c r="AD13" i="2"/>
  <c r="AB14" i="2"/>
  <c r="AC14" i="2"/>
  <c r="AD14" i="2"/>
  <c r="AB15" i="2"/>
  <c r="AC15" i="2"/>
  <c r="AD15" i="2"/>
  <c r="AB16" i="2"/>
  <c r="AC16" i="2"/>
  <c r="AD16" i="2"/>
  <c r="AB17" i="2"/>
  <c r="AC17" i="2"/>
  <c r="AD17" i="2"/>
  <c r="AB18" i="2"/>
  <c r="AC18" i="2"/>
  <c r="AD18" i="2"/>
  <c r="Z8" i="2"/>
  <c r="Z9" i="2"/>
  <c r="Z10" i="2"/>
  <c r="Z11" i="2"/>
  <c r="Z12" i="2"/>
  <c r="Z13" i="2"/>
  <c r="Z14" i="2"/>
  <c r="Z15" i="2"/>
  <c r="Z16" i="2"/>
  <c r="Z17" i="2"/>
  <c r="Z18" i="2"/>
  <c r="Z7" i="2"/>
  <c r="S7" i="2"/>
  <c r="T7" i="2"/>
  <c r="U7" i="2"/>
  <c r="V7" i="2"/>
  <c r="W7" i="2"/>
  <c r="S8" i="2"/>
  <c r="T8" i="2"/>
  <c r="U8" i="2"/>
  <c r="V8" i="2"/>
  <c r="W8" i="2"/>
  <c r="S9" i="2"/>
  <c r="T9" i="2"/>
  <c r="U9" i="2"/>
  <c r="V9" i="2"/>
  <c r="W9" i="2"/>
  <c r="S10" i="2"/>
  <c r="T10" i="2"/>
  <c r="U10" i="2"/>
  <c r="V10" i="2"/>
  <c r="W10" i="2"/>
  <c r="S11" i="2"/>
  <c r="T11" i="2"/>
  <c r="U11" i="2"/>
  <c r="V11" i="2"/>
  <c r="W11" i="2"/>
  <c r="S12" i="2"/>
  <c r="T12" i="2"/>
  <c r="U12" i="2"/>
  <c r="V12" i="2"/>
  <c r="W12" i="2"/>
  <c r="S13" i="2"/>
  <c r="T13" i="2"/>
  <c r="U13" i="2"/>
  <c r="V13" i="2"/>
  <c r="W13" i="2"/>
  <c r="S14" i="2"/>
  <c r="T14" i="2"/>
  <c r="U14" i="2"/>
  <c r="V14" i="2"/>
  <c r="W14" i="2"/>
  <c r="S15" i="2"/>
  <c r="T15" i="2"/>
  <c r="U15" i="2"/>
  <c r="V15" i="2"/>
  <c r="W15" i="2"/>
  <c r="S16" i="2"/>
  <c r="T16" i="2"/>
  <c r="U16" i="2"/>
  <c r="V16" i="2"/>
  <c r="W16" i="2"/>
  <c r="S17" i="2"/>
  <c r="T17" i="2"/>
  <c r="U17" i="2"/>
  <c r="V17" i="2"/>
  <c r="W17" i="2"/>
  <c r="S18" i="2"/>
  <c r="T18" i="2"/>
  <c r="U18" i="2"/>
  <c r="V18" i="2"/>
  <c r="W18" i="2"/>
  <c r="R8" i="2"/>
  <c r="R9" i="2"/>
  <c r="R10" i="2"/>
  <c r="R11" i="2"/>
  <c r="R12" i="2"/>
  <c r="R13" i="2"/>
  <c r="R14" i="2"/>
  <c r="R15" i="2"/>
  <c r="R16" i="2"/>
  <c r="R17" i="2"/>
  <c r="R18" i="2"/>
  <c r="R7" i="2"/>
  <c r="AA2" i="2"/>
  <c r="AB2" i="2"/>
  <c r="AC2" i="2"/>
  <c r="AD2" i="2"/>
  <c r="AE2" i="2"/>
  <c r="AB3" i="2"/>
  <c r="AC3" i="2"/>
  <c r="AD3" i="2"/>
  <c r="AB4" i="2"/>
  <c r="AC4" i="2"/>
  <c r="AD4" i="2"/>
  <c r="AB5" i="2"/>
  <c r="AC5" i="2"/>
  <c r="AD5" i="2"/>
  <c r="AB6" i="2"/>
  <c r="AC6" i="2"/>
  <c r="AD6" i="2"/>
  <c r="Z6" i="2"/>
  <c r="Z4" i="2"/>
  <c r="Z5" i="2"/>
  <c r="Z3" i="2"/>
  <c r="S3" i="2"/>
  <c r="T3" i="2"/>
  <c r="U3" i="2"/>
  <c r="V3" i="2"/>
  <c r="W3" i="2"/>
  <c r="S4" i="2"/>
  <c r="T4" i="2"/>
  <c r="U4" i="2"/>
  <c r="V4" i="2"/>
  <c r="W4" i="2"/>
  <c r="S5" i="2"/>
  <c r="T5" i="2"/>
  <c r="U5" i="2"/>
  <c r="V5" i="2"/>
  <c r="W5" i="2"/>
  <c r="S6" i="2"/>
  <c r="T6" i="2"/>
  <c r="U6" i="2"/>
  <c r="V6" i="2"/>
  <c r="W6" i="2"/>
  <c r="R4" i="2"/>
  <c r="R5" i="2"/>
  <c r="R6" i="2"/>
  <c r="R3" i="2"/>
  <c r="Z2" i="2"/>
  <c r="Z4" i="1"/>
  <c r="AA4" i="1"/>
  <c r="Z5" i="1"/>
  <c r="AA5" i="1"/>
  <c r="Z6" i="1"/>
  <c r="AA6" i="1"/>
  <c r="Z7" i="1"/>
  <c r="AA7" i="1"/>
  <c r="Z8" i="1"/>
  <c r="AA8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3" i="1"/>
  <c r="AA3" i="1"/>
  <c r="D40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C34" i="1"/>
  <c r="C40" i="1"/>
  <c r="AA33" i="2" l="1"/>
  <c r="AE33" i="2"/>
</calcChain>
</file>

<file path=xl/sharedStrings.xml><?xml version="1.0" encoding="utf-8"?>
<sst xmlns="http://schemas.openxmlformats.org/spreadsheetml/2006/main" count="698" uniqueCount="94">
  <si>
    <t>BAU</t>
  </si>
  <si>
    <t>01_KOR</t>
  </si>
  <si>
    <t>02_CHN</t>
  </si>
  <si>
    <t>03_JPN</t>
  </si>
  <si>
    <t>04_RUS</t>
  </si>
  <si>
    <t>05_MNG</t>
  </si>
  <si>
    <t>06_PRK</t>
  </si>
  <si>
    <t>07_NAM</t>
  </si>
  <si>
    <t>08_LAM</t>
  </si>
  <si>
    <t>09_WEU</t>
  </si>
  <si>
    <t>10_EEU</t>
  </si>
  <si>
    <t>11_FSU</t>
  </si>
  <si>
    <t>12_MEA</t>
  </si>
  <si>
    <t>13_AFR</t>
  </si>
  <si>
    <t>14_CPA</t>
  </si>
  <si>
    <t>15_SAS</t>
  </si>
  <si>
    <t>16_PAS</t>
  </si>
  <si>
    <t>17_PAO</t>
  </si>
  <si>
    <t>01_AGRICULT</t>
  </si>
  <si>
    <t>02_COAL</t>
  </si>
  <si>
    <t>03_OIL</t>
  </si>
  <si>
    <t>04_GAS</t>
  </si>
  <si>
    <t>05_MINING</t>
  </si>
  <si>
    <t>06_FOODPRO</t>
  </si>
  <si>
    <t>07_TEXTILES</t>
  </si>
  <si>
    <t>08_WOODPRO</t>
  </si>
  <si>
    <t>09_PAPERPRO</t>
  </si>
  <si>
    <t>10_PETROLCOAL</t>
  </si>
  <si>
    <t>11_CHEMICAL</t>
  </si>
  <si>
    <t>12_NONMET</t>
  </si>
  <si>
    <t>13_IRONSTL</t>
  </si>
  <si>
    <t>14_NONFERR</t>
  </si>
  <si>
    <t>15_MACHINE</t>
  </si>
  <si>
    <t>16_TRANSEQ</t>
  </si>
  <si>
    <t>17_OTHERIND</t>
  </si>
  <si>
    <t>18_TnD</t>
  </si>
  <si>
    <t>19_eNuclear</t>
  </si>
  <si>
    <t>20_eCoal</t>
  </si>
  <si>
    <t>21_eGas</t>
  </si>
  <si>
    <t>22_eOil</t>
  </si>
  <si>
    <t>23_eWind</t>
  </si>
  <si>
    <t>24_eSolar</t>
  </si>
  <si>
    <t>25_eHydro</t>
  </si>
  <si>
    <t>26_eOther</t>
  </si>
  <si>
    <t>27_CONSTRUC</t>
  </si>
  <si>
    <t>28_LTRP</t>
  </si>
  <si>
    <t>29_WTRP</t>
  </si>
  <si>
    <t>30_ATRP</t>
  </si>
  <si>
    <t>31_SER</t>
  </si>
  <si>
    <t>slab</t>
  </si>
  <si>
    <t>ulab</t>
  </si>
  <si>
    <t>KOR</t>
  </si>
  <si>
    <t>Employment by sex, age and economic activity (thousands)</t>
  </si>
  <si>
    <t>CHN</t>
  </si>
  <si>
    <t>JPN</t>
  </si>
  <si>
    <t>RUS</t>
  </si>
  <si>
    <t>MNG</t>
  </si>
  <si>
    <t>A. Agriculture; forestry and fishing</t>
  </si>
  <si>
    <t>B. Mining and quarrying</t>
  </si>
  <si>
    <t>C. Manufacturing</t>
  </si>
  <si>
    <t>D. Electricity; gas, steam and air conditioning supply</t>
  </si>
  <si>
    <t>E. Water supply; sewerage, waste management and remediation activities</t>
  </si>
  <si>
    <t>F. Construction</t>
  </si>
  <si>
    <t>G. Wholesale and retail trade; repair of motor vehicles and motorcycles</t>
  </si>
  <si>
    <t>H. Transportation and storage</t>
  </si>
  <si>
    <t>I. Accommodation and food service activities</t>
  </si>
  <si>
    <t>J. Information and communication</t>
  </si>
  <si>
    <t>K. Financial and insurance activities</t>
  </si>
  <si>
    <t>L. Real estate activities</t>
  </si>
  <si>
    <t>M. Professional, scientific and technical activities</t>
  </si>
  <si>
    <t>N. Administrative and support service activities</t>
  </si>
  <si>
    <t>O. Public administration and defence; compulsory social security</t>
  </si>
  <si>
    <t>P. Education</t>
  </si>
  <si>
    <t>Q. Human health and social work activities</t>
  </si>
  <si>
    <t>R. Arts, entertainment and recreation</t>
  </si>
  <si>
    <t>S. Other service activities</t>
  </si>
  <si>
    <t>T. Activities of households as employers; undifferentiated goods- and services-producing activities of households for own use</t>
  </si>
  <si>
    <t>U. Activities of extraterritorial organizations and bodies</t>
  </si>
  <si>
    <t>X. Not elsewhere classified</t>
  </si>
  <si>
    <t>Total</t>
  </si>
  <si>
    <t>PRK</t>
  </si>
  <si>
    <t>R17</t>
  </si>
  <si>
    <t>Employment (persons)</t>
  </si>
  <si>
    <t>Agriculture (persons)</t>
  </si>
  <si>
    <t>Industry (persons)</t>
  </si>
  <si>
    <t>Services (persons)</t>
  </si>
  <si>
    <t>11_RFSU</t>
  </si>
  <si>
    <t>14_RCPA</t>
  </si>
  <si>
    <t>16_RPAS</t>
  </si>
  <si>
    <t>17_RPAO</t>
  </si>
  <si>
    <t>Employment (1,000 persons)</t>
  </si>
  <si>
    <t>Agriculture (1,000 persons)</t>
  </si>
  <si>
    <t>Industry (1,000 persons)</t>
  </si>
  <si>
    <t>Services (1,000 persons)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</si>
</sst>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0.000"/>
    <numFmt numFmtId="169" formatCode="0.0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11" fontId="0" fillId="0" borderId="0" xfId="0" applyNumberFormat="1"/>
    <xf numFmtId="0" fontId="0" fillId="2" borderId="1" xfId="0" applyFill="1" applyBorder="1"/>
    <xf numFmtId="11" fontId="0" fillId="2" borderId="1" xfId="0" applyNumberFormat="1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64" fontId="0" fillId="0" borderId="0" xfId="0" applyNumberFormat="1"/>
    <xf numFmtId="0" fontId="0" fillId="0" borderId="1" xfId="0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1" xfId="0" applyFill="1" applyBorder="1"/>
    <xf numFmtId="0" fontId="0" fillId="0" borderId="0" xfId="0" applyFill="1" applyBorder="1"/>
    <xf numFmtId="0" fontId="0" fillId="0" borderId="0" xfId="0" applyFill="1"/>
    <xf numFmtId="11" fontId="0" fillId="0" borderId="0" xfId="0" applyNumberFormat="1" applyFill="1" applyBorder="1"/>
    <xf numFmtId="165" fontId="0" fillId="0" borderId="1" xfId="0" applyNumberFormat="1" applyFill="1" applyBorder="1"/>
    <xf numFmtId="0" fontId="0" fillId="0" borderId="2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  <xf numFmtId="0" fontId="0" fillId="0" borderId="6" xfId="0" applyFill="1" applyBorder="1"/>
    <xf numFmtId="0" fontId="0" fillId="0" borderId="7" xfId="0" applyFill="1" applyBorder="1"/>
    <xf numFmtId="0" fontId="0" fillId="0" borderId="8" xfId="0" applyFill="1" applyBorder="1"/>
    <xf numFmtId="0" fontId="0" fillId="0" borderId="9" xfId="0" applyFill="1" applyBorder="1"/>
    <xf numFmtId="0" fontId="0" fillId="0" borderId="10" xfId="0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13" xfId="0" applyFill="1" applyBorder="1"/>
    <xf numFmtId="0" fontId="0" fillId="0" borderId="14" xfId="0" applyFill="1" applyBorder="1"/>
    <xf numFmtId="0" fontId="0" fillId="0" borderId="15" xfId="0" applyFill="1" applyBorder="1"/>
    <xf numFmtId="0" fontId="0" fillId="0" borderId="16" xfId="0" applyFill="1" applyBorder="1"/>
    <xf numFmtId="0" fontId="0" fillId="0" borderId="17" xfId="0" applyFill="1" applyBorder="1"/>
    <xf numFmtId="0" fontId="0" fillId="2" borderId="18" xfId="0" applyFill="1" applyBorder="1" applyAlignment="1">
      <alignment horizontal="center"/>
    </xf>
    <xf numFmtId="43" fontId="0" fillId="0" borderId="1" xfId="1" applyNumberFormat="1" applyFont="1" applyBorder="1"/>
    <xf numFmtId="164" fontId="0" fillId="0" borderId="1" xfId="0" applyNumberFormat="1" applyBorder="1"/>
    <xf numFmtId="164" fontId="0" fillId="0" borderId="1" xfId="1" applyNumberFormat="1" applyFont="1" applyBorder="1" applyAlignment="1">
      <alignment horizontal="center"/>
    </xf>
    <xf numFmtId="165" fontId="0" fillId="0" borderId="21" xfId="0" applyNumberFormat="1" applyFill="1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2" fillId="0" borderId="1" xfId="0" applyFont="1" applyBorder="1" applyAlignment="1">
      <alignment horizontal="center" vertical="top"/>
    </xf>
    <xf numFmtId="43" fontId="0" fillId="0" borderId="1" xfId="1" applyFon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64" fontId="0" fillId="0" borderId="18" xfId="1" applyNumberFormat="1" applyFont="1" applyBorder="1" applyAlignment="1">
      <alignment horizontal="center" vertical="center"/>
    </xf>
    <xf numFmtId="164" fontId="0" fillId="0" borderId="19" xfId="1" applyNumberFormat="1" applyFont="1" applyBorder="1" applyAlignment="1">
      <alignment horizontal="center" vertical="center"/>
    </xf>
    <xf numFmtId="164" fontId="0" fillId="0" borderId="20" xfId="1" applyNumberFormat="1" applyFont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2" fontId="0" fillId="0" borderId="0" xfId="0" applyNumberFormat="1"/>
    <xf numFmtId="43" fontId="0" fillId="0" borderId="0" xfId="0" applyNumberFormat="1"/>
    <xf numFmtId="43" fontId="0" fillId="0" borderId="1" xfId="0" applyNumberFormat="1" applyBorder="1"/>
    <xf numFmtId="0" fontId="0" fillId="3" borderId="1" xfId="0" applyFill="1" applyBorder="1" applyAlignment="1">
      <alignment horizontal="center"/>
    </xf>
    <xf numFmtId="0" fontId="2" fillId="0" borderId="18" xfId="0" applyFont="1" applyBorder="1" applyAlignment="1">
      <alignment horizontal="center" vertical="top"/>
    </xf>
    <xf numFmtId="169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Employment_NEA!$Y$2</c:f>
              <c:strCache>
                <c:ptCount val="1"/>
                <c:pt idx="0">
                  <c:v>01_AGRICULT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Employment_NEA!$Z$2:$AE$2</c:f>
              <c:numCache>
                <c:formatCode>_(* #,##0_);_(* \(#,##0\);_(* "-"??_);_(@_)</c:formatCode>
                <c:ptCount val="6"/>
                <c:pt idx="0">
                  <c:v>1394.9179999999999</c:v>
                </c:pt>
                <c:pt idx="1">
                  <c:v>182943.04044704448</c:v>
                </c:pt>
                <c:pt idx="2">
                  <c:v>2180.4499999999998</c:v>
                </c:pt>
                <c:pt idx="3">
                  <c:v>4131.2960000000003</c:v>
                </c:pt>
                <c:pt idx="4">
                  <c:v>330.05099999999999</c:v>
                </c:pt>
                <c:pt idx="5">
                  <c:v>6849.611337138288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E-4001-AEA3-7EA58188D2E7}"/>
            </c:ext>
          </c:extLst>
        </c:ser>
        <c:ser>
          <c:idx val="1"/>
          <c:order val="1"/>
          <c:tx>
            <c:strRef>
              <c:f>Employment_NEA!$Y$3</c:f>
              <c:strCache>
                <c:ptCount val="1"/>
                <c:pt idx="0">
                  <c:v>02_COAL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Employment_NEA!$Z$3:$AE$3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0.3029869442533869</c:v>
                </c:pt>
                <c:pt idx="1">
                  <c:v>3842.3183315920678</c:v>
                </c:pt>
                <c:pt idx="2" formatCode="_(* #,##0_);_(* \(#,##0\);_(* &quot;-&quot;??_);_(@_)">
                  <c:v>0.11028650332494723</c:v>
                </c:pt>
                <c:pt idx="3" formatCode="_(* #,##0_);_(* \(#,##0\);_(* &quot;-&quot;??_);_(@_)">
                  <c:v>166.58809437003262</c:v>
                </c:pt>
                <c:pt idx="4" formatCode="_(* #,##0_);_(* \(#,##0\);_(* &quot;-&quot;??_);_(@_)">
                  <c:v>27.191600817785535</c:v>
                </c:pt>
                <c:pt idx="5">
                  <c:v>13.399308477760645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E-4001-AEA3-7EA58188D2E7}"/>
            </c:ext>
          </c:extLst>
        </c:ser>
        <c:ser>
          <c:idx val="2"/>
          <c:order val="2"/>
          <c:tx>
            <c:strRef>
              <c:f>Employment_NEA!$Y$4</c:f>
              <c:strCache>
                <c:ptCount val="1"/>
                <c:pt idx="0">
                  <c:v>03_OIL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Employment_NEA!$Z$4:$AE$4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0.12803021164921635</c:v>
                </c:pt>
                <c:pt idx="1">
                  <c:v>631.62524982208163</c:v>
                </c:pt>
                <c:pt idx="2" formatCode="_(* #,##0_);_(* \(#,##0\);_(* &quot;-&quot;??_);_(@_)">
                  <c:v>0.17236411978258104</c:v>
                </c:pt>
                <c:pt idx="3" formatCode="_(* #,##0_);_(* \(#,##0\);_(* &quot;-&quot;??_);_(@_)">
                  <c:v>343.77866577292599</c:v>
                </c:pt>
                <c:pt idx="4" formatCode="_(* #,##0_);_(* \(#,##0\);_(* &quot;-&quot;??_);_(@_)">
                  <c:v>0.84783845785409806</c:v>
                </c:pt>
                <c:pt idx="5">
                  <c:v>0.10277343979361128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E-4001-AEA3-7EA58188D2E7}"/>
            </c:ext>
          </c:extLst>
        </c:ser>
        <c:ser>
          <c:idx val="3"/>
          <c:order val="3"/>
          <c:tx>
            <c:strRef>
              <c:f>Employment_NEA!$Y$5</c:f>
              <c:strCache>
                <c:ptCount val="1"/>
                <c:pt idx="0">
                  <c:v>04_GAS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Employment_NEA!$Z$5:$AE$5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7.099402473890018E-2</c:v>
                </c:pt>
                <c:pt idx="1">
                  <c:v>24.856893868046186</c:v>
                </c:pt>
                <c:pt idx="2" formatCode="_(* #,##0_);_(* \(#,##0\);_(* &quot;-&quot;??_);_(@_)">
                  <c:v>1.39623688229558</c:v>
                </c:pt>
                <c:pt idx="3" formatCode="_(* #,##0_);_(* \(#,##0\);_(* &quot;-&quot;??_);_(@_)">
                  <c:v>561.51598110337534</c:v>
                </c:pt>
                <c:pt idx="4" formatCode="_(* #,##0_);_(* \(#,##0\);_(* &quot;-&quot;??_);_(@_)">
                  <c:v>6.5498463947811933E-2</c:v>
                </c:pt>
                <c:pt idx="5">
                  <c:v>0.17442000581366568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1E-4001-AEA3-7EA58188D2E7}"/>
            </c:ext>
          </c:extLst>
        </c:ser>
        <c:ser>
          <c:idx val="4"/>
          <c:order val="4"/>
          <c:tx>
            <c:strRef>
              <c:f>Employment_NEA!$Y$6</c:f>
              <c:strCache>
                <c:ptCount val="1"/>
                <c:pt idx="0">
                  <c:v>05_MINING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Employment_NEA!$Z$6:$AE$6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13.999988819358496</c:v>
                </c:pt>
                <c:pt idx="1">
                  <c:v>4919.3437714450956</c:v>
                </c:pt>
                <c:pt idx="2" formatCode="_(* #,##0_);_(* \(#,##0\);_(* &quot;-&quot;??_);_(@_)">
                  <c:v>21.183112494596891</c:v>
                </c:pt>
                <c:pt idx="3" formatCode="_(* #,##0_);_(* \(#,##0\);_(* &quot;-&quot;??_);_(@_)">
                  <c:v>528.45125875366602</c:v>
                </c:pt>
                <c:pt idx="4" formatCode="_(* #,##0_);_(* \(#,##0\);_(* &quot;-&quot;??_);_(@_)">
                  <c:v>29.81806226041255</c:v>
                </c:pt>
                <c:pt idx="5">
                  <c:v>117.71333684931153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1E-4001-AEA3-7EA58188D2E7}"/>
            </c:ext>
          </c:extLst>
        </c:ser>
        <c:ser>
          <c:idx val="5"/>
          <c:order val="5"/>
          <c:tx>
            <c:strRef>
              <c:f>Employment_NEA!$Y$7</c:f>
              <c:strCache>
                <c:ptCount val="1"/>
                <c:pt idx="0">
                  <c:v>06_FOODPRO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Employment_NEA!$Z$7:$AE$7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247.44940499001945</c:v>
                </c:pt>
                <c:pt idx="1">
                  <c:v>18249.047147816731</c:v>
                </c:pt>
                <c:pt idx="2" formatCode="_(* #,##0_);_(* \(#,##0\);_(* &quot;-&quot;??_);_(@_)">
                  <c:v>988.93617348272539</c:v>
                </c:pt>
                <c:pt idx="3" formatCode="_(* #,##0_);_(* \(#,##0\);_(* &quot;-&quot;??_);_(@_)">
                  <c:v>1905.3582866061406</c:v>
                </c:pt>
                <c:pt idx="4" formatCode="_(* #,##0_);_(* \(#,##0\);_(* &quot;-&quot;??_);_(@_)">
                  <c:v>18.00683872215771</c:v>
                </c:pt>
                <c:pt idx="5">
                  <c:v>281.2762674796893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1E-4001-AEA3-7EA58188D2E7}"/>
            </c:ext>
          </c:extLst>
        </c:ser>
        <c:ser>
          <c:idx val="6"/>
          <c:order val="6"/>
          <c:tx>
            <c:strRef>
              <c:f>Employment_NEA!$Y$8</c:f>
              <c:strCache>
                <c:ptCount val="1"/>
                <c:pt idx="0">
                  <c:v>07_TEXTILES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Employment_NEA!$Z$8:$AE$8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139.00760303930852</c:v>
                </c:pt>
                <c:pt idx="1">
                  <c:v>16625.492281122595</c:v>
                </c:pt>
                <c:pt idx="2" formatCode="_(* #,##0_);_(* \(#,##0\);_(* &quot;-&quot;??_);_(@_)">
                  <c:v>253.94219382576895</c:v>
                </c:pt>
                <c:pt idx="3" formatCode="_(* #,##0_);_(* \(#,##0\);_(* &quot;-&quot;??_);_(@_)">
                  <c:v>289.82478303043928</c:v>
                </c:pt>
                <c:pt idx="4" formatCode="_(* #,##0_);_(* \(#,##0\);_(* &quot;-&quot;??_);_(@_)">
                  <c:v>13.012450042523403</c:v>
                </c:pt>
                <c:pt idx="5">
                  <c:v>294.5681426304194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1E-4001-AEA3-7EA58188D2E7}"/>
            </c:ext>
          </c:extLst>
        </c:ser>
        <c:ser>
          <c:idx val="7"/>
          <c:order val="7"/>
          <c:tx>
            <c:strRef>
              <c:f>Employment_NEA!$Y$9</c:f>
              <c:strCache>
                <c:ptCount val="1"/>
                <c:pt idx="0">
                  <c:v>08_WOODPRO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Employment_NEA!$Z$9:$AE$9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27.467590605835525</c:v>
                </c:pt>
                <c:pt idx="1">
                  <c:v>2559.6648499981829</c:v>
                </c:pt>
                <c:pt idx="2" formatCode="_(* #,##0_);_(* \(#,##0\);_(* &quot;-&quot;??_);_(@_)">
                  <c:v>95.862754510110634</c:v>
                </c:pt>
                <c:pt idx="3" formatCode="_(* #,##0_);_(* \(#,##0\);_(* &quot;-&quot;??_);_(@_)">
                  <c:v>289.15560296034369</c:v>
                </c:pt>
                <c:pt idx="4" formatCode="_(* #,##0_);_(* \(#,##0\);_(* &quot;-&quot;??_);_(@_)">
                  <c:v>2.3729579470023348</c:v>
                </c:pt>
                <c:pt idx="5">
                  <c:v>22.287128110738792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1E-4001-AEA3-7EA58188D2E7}"/>
            </c:ext>
          </c:extLst>
        </c:ser>
        <c:ser>
          <c:idx val="8"/>
          <c:order val="8"/>
          <c:tx>
            <c:strRef>
              <c:f>Employment_NEA!$Y$10</c:f>
              <c:strCache>
                <c:ptCount val="1"/>
                <c:pt idx="0">
                  <c:v>09_PAPERPRO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Employment_NEA!$Z$10:$AE$10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118.96618518262325</c:v>
                </c:pt>
                <c:pt idx="1">
                  <c:v>5808.3936245626001</c:v>
                </c:pt>
                <c:pt idx="2" formatCode="_(* #,##0_);_(* \(#,##0\);_(* &quot;-&quot;??_);_(@_)">
                  <c:v>535.93521620877971</c:v>
                </c:pt>
                <c:pt idx="3" formatCode="_(* #,##0_);_(* \(#,##0\);_(* &quot;-&quot;??_);_(@_)">
                  <c:v>289.09770951916494</c:v>
                </c:pt>
                <c:pt idx="4" formatCode="_(* #,##0_);_(* \(#,##0\);_(* &quot;-&quot;??_);_(@_)">
                  <c:v>3.0786144695781574E-5</c:v>
                </c:pt>
                <c:pt idx="5">
                  <c:v>55.210599904067415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31E-4001-AEA3-7EA58188D2E7}"/>
            </c:ext>
          </c:extLst>
        </c:ser>
        <c:ser>
          <c:idx val="9"/>
          <c:order val="9"/>
          <c:tx>
            <c:strRef>
              <c:f>Employment_NEA!$Y$11</c:f>
              <c:strCache>
                <c:ptCount val="1"/>
                <c:pt idx="0">
                  <c:v>10_PETROLCOAL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Employment_NEA!$Z$11:$AE$11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13.817026483695495</c:v>
                </c:pt>
                <c:pt idx="1">
                  <c:v>1079.2528480165688</c:v>
                </c:pt>
                <c:pt idx="2" formatCode="_(* #,##0_);_(* \(#,##0\);_(* &quot;-&quot;??_);_(@_)">
                  <c:v>30.63652767229711</c:v>
                </c:pt>
                <c:pt idx="3" formatCode="_(* #,##0_);_(* \(#,##0\);_(* &quot;-&quot;??_);_(@_)">
                  <c:v>108.46625672044593</c:v>
                </c:pt>
                <c:pt idx="4" formatCode="_(* #,##0_);_(* \(#,##0\);_(* &quot;-&quot;??_);_(@_)">
                  <c:v>0.73963438458236608</c:v>
                </c:pt>
                <c:pt idx="5">
                  <c:v>1.4609492922892096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31E-4001-AEA3-7EA58188D2E7}"/>
            </c:ext>
          </c:extLst>
        </c:ser>
        <c:ser>
          <c:idx val="10"/>
          <c:order val="10"/>
          <c:tx>
            <c:strRef>
              <c:f>Employment_NEA!$Y$12</c:f>
              <c:strCache>
                <c:ptCount val="1"/>
                <c:pt idx="0">
                  <c:v>11_CHEMICAL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Employment_NEA!$Z$12:$AE$12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548.27616367738767</c:v>
                </c:pt>
                <c:pt idx="1">
                  <c:v>18526.933487867365</c:v>
                </c:pt>
                <c:pt idx="2" formatCode="_(* #,##0_);_(* \(#,##0\);_(* &quot;-&quot;??_);_(@_)">
                  <c:v>1214.9771519926269</c:v>
                </c:pt>
                <c:pt idx="3" formatCode="_(* #,##0_);_(* \(#,##0\);_(* &quot;-&quot;??_);_(@_)">
                  <c:v>792.99541054591975</c:v>
                </c:pt>
                <c:pt idx="4" formatCode="_(* #,##0_);_(* \(#,##0\);_(* &quot;-&quot;??_);_(@_)">
                  <c:v>2.2379747908278288E-3</c:v>
                </c:pt>
                <c:pt idx="5">
                  <c:v>68.637011082195571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31E-4001-AEA3-7EA58188D2E7}"/>
            </c:ext>
          </c:extLst>
        </c:ser>
        <c:ser>
          <c:idx val="11"/>
          <c:order val="11"/>
          <c:tx>
            <c:strRef>
              <c:f>Employment_NEA!$Y$13</c:f>
              <c:strCache>
                <c:ptCount val="1"/>
                <c:pt idx="0">
                  <c:v>12_NONMET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Employment_NEA!$Z$13:$AE$13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137.11501764620638</c:v>
                </c:pt>
                <c:pt idx="1">
                  <c:v>12635.48795715404</c:v>
                </c:pt>
                <c:pt idx="2" formatCode="_(* #,##0_);_(* \(#,##0\);_(* &quot;-&quot;??_);_(@_)">
                  <c:v>364.60416082848849</c:v>
                </c:pt>
                <c:pt idx="3" formatCode="_(* #,##0_);_(* \(#,##0\);_(* &quot;-&quot;??_);_(@_)">
                  <c:v>512.33481870442267</c:v>
                </c:pt>
                <c:pt idx="4" formatCode="_(* #,##0_);_(* \(#,##0\);_(* &quot;-&quot;??_);_(@_)">
                  <c:v>6.5369598123762023</c:v>
                </c:pt>
                <c:pt idx="5">
                  <c:v>26.31627775029223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31E-4001-AEA3-7EA58188D2E7}"/>
            </c:ext>
          </c:extLst>
        </c:ser>
        <c:ser>
          <c:idx val="12"/>
          <c:order val="12"/>
          <c:tx>
            <c:strRef>
              <c:f>Employment_NEA!$Y$14</c:f>
              <c:strCache>
                <c:ptCount val="1"/>
                <c:pt idx="0">
                  <c:v>13_IRONSTL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Employment_NEA!$Z$14:$AE$14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166.50316405260969</c:v>
                </c:pt>
                <c:pt idx="1">
                  <c:v>6507.7801631730881</c:v>
                </c:pt>
                <c:pt idx="2" formatCode="_(* #,##0_);_(* \(#,##0\);_(* &quot;-&quot;??_);_(@_)">
                  <c:v>432.40064757708774</c:v>
                </c:pt>
                <c:pt idx="3" formatCode="_(* #,##0_);_(* \(#,##0\);_(* &quot;-&quot;??_);_(@_)">
                  <c:v>357.44091683067859</c:v>
                </c:pt>
                <c:pt idx="4" formatCode="_(* #,##0_);_(* \(#,##0\);_(* &quot;-&quot;??_);_(@_)">
                  <c:v>9.4426918257588935E-2</c:v>
                </c:pt>
                <c:pt idx="5">
                  <c:v>9.7042240570978002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31E-4001-AEA3-7EA58188D2E7}"/>
            </c:ext>
          </c:extLst>
        </c:ser>
        <c:ser>
          <c:idx val="13"/>
          <c:order val="13"/>
          <c:tx>
            <c:strRef>
              <c:f>Employment_NEA!$Y$15</c:f>
              <c:strCache>
                <c:ptCount val="1"/>
                <c:pt idx="0">
                  <c:v>14_NONFERR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Employment_NEA!$Z$15:$AE$15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59.937389959926129</c:v>
                </c:pt>
                <c:pt idx="1">
                  <c:v>4481.6924106068745</c:v>
                </c:pt>
                <c:pt idx="2" formatCode="_(* #,##0_);_(* \(#,##0\);_(* &quot;-&quot;??_);_(@_)">
                  <c:v>295.68281776881884</c:v>
                </c:pt>
                <c:pt idx="3" formatCode="_(* #,##0_);_(* \(#,##0\);_(* &quot;-&quot;??_);_(@_)">
                  <c:v>501.80672615124007</c:v>
                </c:pt>
                <c:pt idx="4" formatCode="_(* #,##0_);_(* \(#,##0\);_(* &quot;-&quot;??_);_(@_)">
                  <c:v>46.862850437126255</c:v>
                </c:pt>
                <c:pt idx="5">
                  <c:v>2.1038982112830285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31E-4001-AEA3-7EA58188D2E7}"/>
            </c:ext>
          </c:extLst>
        </c:ser>
        <c:ser>
          <c:idx val="14"/>
          <c:order val="14"/>
          <c:tx>
            <c:strRef>
              <c:f>Employment_NEA!$Y$16</c:f>
              <c:strCache>
                <c:ptCount val="1"/>
                <c:pt idx="0">
                  <c:v>15_MACHINE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Employment_NEA!$Z$16:$AE$16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1955.9209214659002</c:v>
                </c:pt>
                <c:pt idx="1">
                  <c:v>48530.31769818606</c:v>
                </c:pt>
                <c:pt idx="2" formatCode="_(* #,##0_);_(* \(#,##0\);_(* &quot;-&quot;??_);_(@_)">
                  <c:v>4359.1122854791201</c:v>
                </c:pt>
                <c:pt idx="3" formatCode="_(* #,##0_);_(* \(#,##0\);_(* &quot;-&quot;??_);_(@_)">
                  <c:v>2982.7211719772681</c:v>
                </c:pt>
                <c:pt idx="4" formatCode="_(* #,##0_);_(* \(#,##0\);_(* &quot;-&quot;??_);_(@_)">
                  <c:v>1.9273600064356121E-5</c:v>
                </c:pt>
                <c:pt idx="5">
                  <c:v>121.01417917013664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31E-4001-AEA3-7EA58188D2E7}"/>
            </c:ext>
          </c:extLst>
        </c:ser>
        <c:ser>
          <c:idx val="15"/>
          <c:order val="15"/>
          <c:tx>
            <c:strRef>
              <c:f>Employment_NEA!$Y$17</c:f>
              <c:strCache>
                <c:ptCount val="1"/>
                <c:pt idx="0">
                  <c:v>16_TRANSEQ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Employment_NEA!$Z$17:$AE$17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494.0620631182237</c:v>
                </c:pt>
                <c:pt idx="1">
                  <c:v>9779.1460770912054</c:v>
                </c:pt>
                <c:pt idx="2" formatCode="_(* #,##0_);_(* \(#,##0\);_(* &quot;-&quot;??_);_(@_)">
                  <c:v>1563.627468409202</c:v>
                </c:pt>
                <c:pt idx="3" formatCode="_(* #,##0_);_(* \(#,##0\);_(* &quot;-&quot;??_);_(@_)">
                  <c:v>1588.6454056447121</c:v>
                </c:pt>
                <c:pt idx="4" formatCode="_(* #,##0_);_(* \(#,##0\);_(* &quot;-&quot;??_);_(@_)">
                  <c:v>3.8083232720542336E-6</c:v>
                </c:pt>
                <c:pt idx="5">
                  <c:v>104.42306120220971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31E-4001-AEA3-7EA58188D2E7}"/>
            </c:ext>
          </c:extLst>
        </c:ser>
        <c:ser>
          <c:idx val="16"/>
          <c:order val="16"/>
          <c:tx>
            <c:strRef>
              <c:f>Employment_NEA!$Y$18</c:f>
              <c:strCache>
                <c:ptCount val="1"/>
                <c:pt idx="0">
                  <c:v>17_OTHERIND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Employment_NEA!$Z$18:$AE$18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520.59846977826385</c:v>
                </c:pt>
                <c:pt idx="1">
                  <c:v>5744.073534201304</c:v>
                </c:pt>
                <c:pt idx="2" formatCode="_(* #,##0_);_(* \(#,##0\);_(* &quot;-&quot;??_);_(@_)">
                  <c:v>470.97660224497258</c:v>
                </c:pt>
                <c:pt idx="3" formatCode="_(* #,##0_);_(* \(#,##0\);_(* &quot;-&quot;??_);_(@_)">
                  <c:v>317.84691130922391</c:v>
                </c:pt>
                <c:pt idx="4" formatCode="_(* #,##0_);_(* \(#,##0\);_(* &quot;-&quot;??_);_(@_)">
                  <c:v>2.626589893115276</c:v>
                </c:pt>
                <c:pt idx="5">
                  <c:v>20.597341388808832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31E-4001-AEA3-7EA58188D2E7}"/>
            </c:ext>
          </c:extLst>
        </c:ser>
        <c:ser>
          <c:idx val="17"/>
          <c:order val="17"/>
          <c:tx>
            <c:strRef>
              <c:f>Employment_NEA!$Y$19</c:f>
              <c:strCache>
                <c:ptCount val="1"/>
                <c:pt idx="0">
                  <c:v>18_TnD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Employment_NEA!$Z$19:$AE$19</c:f>
              <c:numCache>
                <c:formatCode>_(* #,##0.00_);_(* \(#,##0.00\);_(* "-"??_);_(@_)</c:formatCode>
                <c:ptCount val="6"/>
                <c:pt idx="0">
                  <c:v>44.823693385882265</c:v>
                </c:pt>
                <c:pt idx="1">
                  <c:v>4924.4952660964573</c:v>
                </c:pt>
                <c:pt idx="2">
                  <c:v>115.74558566835162</c:v>
                </c:pt>
                <c:pt idx="3">
                  <c:v>621.00906108046115</c:v>
                </c:pt>
                <c:pt idx="4">
                  <c:v>8.1764120522504502</c:v>
                </c:pt>
                <c:pt idx="5">
                  <c:v>33.032771207925478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31E-4001-AEA3-7EA58188D2E7}"/>
            </c:ext>
          </c:extLst>
        </c:ser>
        <c:ser>
          <c:idx val="18"/>
          <c:order val="18"/>
          <c:tx>
            <c:strRef>
              <c:f>Employment_NEA!$Y$20</c:f>
              <c:strCache>
                <c:ptCount val="1"/>
                <c:pt idx="0">
                  <c:v>19_eNuclear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Employment_NEA!$Z$20:$AE$20</c:f>
              <c:numCache>
                <c:formatCode>_(* #,##0.00_);_(* \(#,##0.00\);_(* "-"??_);_(@_)</c:formatCode>
                <c:ptCount val="6"/>
                <c:pt idx="0">
                  <c:v>10.328303810289549</c:v>
                </c:pt>
                <c:pt idx="1">
                  <c:v>407.04461394959236</c:v>
                </c:pt>
                <c:pt idx="2">
                  <c:v>18.381635035812838</c:v>
                </c:pt>
                <c:pt idx="3">
                  <c:v>172.17659457689231</c:v>
                </c:pt>
                <c:pt idx="4">
                  <c:v>3.1089846415063987E-3</c:v>
                </c:pt>
                <c:pt idx="5">
                  <c:v>1.0021227903953758E-2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31E-4001-AEA3-7EA58188D2E7}"/>
            </c:ext>
          </c:extLst>
        </c:ser>
        <c:ser>
          <c:idx val="19"/>
          <c:order val="19"/>
          <c:tx>
            <c:strRef>
              <c:f>Employment_NEA!$Y$21</c:f>
              <c:strCache>
                <c:ptCount val="1"/>
                <c:pt idx="0">
                  <c:v>20_eCoal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Employment_NEA!$Z$21:$AE$21</c:f>
              <c:numCache>
                <c:formatCode>_(* #,##0.00_);_(* \(#,##0.00\);_(* "-"??_);_(@_)</c:formatCode>
                <c:ptCount val="6"/>
                <c:pt idx="0">
                  <c:v>6.5544071072595029</c:v>
                </c:pt>
                <c:pt idx="1">
                  <c:v>2928.4039309573209</c:v>
                </c:pt>
                <c:pt idx="2">
                  <c:v>52.091249851153435</c:v>
                </c:pt>
                <c:pt idx="3">
                  <c:v>203.6765486995549</c:v>
                </c:pt>
                <c:pt idx="4">
                  <c:v>10.720426774413095</c:v>
                </c:pt>
                <c:pt idx="5">
                  <c:v>2.5140642583530903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31E-4001-AEA3-7EA58188D2E7}"/>
            </c:ext>
          </c:extLst>
        </c:ser>
        <c:ser>
          <c:idx val="20"/>
          <c:order val="20"/>
          <c:tx>
            <c:strRef>
              <c:f>Employment_NEA!$Y$22</c:f>
              <c:strCache>
                <c:ptCount val="1"/>
                <c:pt idx="0">
                  <c:v>21_eGas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Employment_NEA!$Z$22:$AE$22</c:f>
              <c:numCache>
                <c:formatCode>_(* #,##0.00_);_(* \(#,##0.00\);_(* "-"??_);_(@_)</c:formatCode>
                <c:ptCount val="6"/>
                <c:pt idx="0">
                  <c:v>2.6353713900745919</c:v>
                </c:pt>
                <c:pt idx="1">
                  <c:v>145.29079267287213</c:v>
                </c:pt>
                <c:pt idx="2">
                  <c:v>23.112379734417967</c:v>
                </c:pt>
                <c:pt idx="3">
                  <c:v>441.59181486348336</c:v>
                </c:pt>
                <c:pt idx="4">
                  <c:v>3.1422930170608748E-3</c:v>
                </c:pt>
                <c:pt idx="5">
                  <c:v>0.14026793751121824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31E-4001-AEA3-7EA58188D2E7}"/>
            </c:ext>
          </c:extLst>
        </c:ser>
        <c:ser>
          <c:idx val="21"/>
          <c:order val="21"/>
          <c:tx>
            <c:strRef>
              <c:f>Employment_NEA!$Y$23</c:f>
              <c:strCache>
                <c:ptCount val="1"/>
                <c:pt idx="0">
                  <c:v>22_eOil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Employment_NEA!$Z$23:$AE$23</c:f>
              <c:numCache>
                <c:formatCode>_(* #,##0.00_);_(* \(#,##0.00\);_(* "-"??_);_(@_)</c:formatCode>
                <c:ptCount val="6"/>
                <c:pt idx="0">
                  <c:v>1.1533027270409142</c:v>
                </c:pt>
                <c:pt idx="1">
                  <c:v>44.662084895404945</c:v>
                </c:pt>
                <c:pt idx="2">
                  <c:v>10.059652830770821</c:v>
                </c:pt>
                <c:pt idx="3">
                  <c:v>30.919041539420785</c:v>
                </c:pt>
                <c:pt idx="4">
                  <c:v>0.19328973461279192</c:v>
                </c:pt>
                <c:pt idx="5">
                  <c:v>3.0340273433710201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31E-4001-AEA3-7EA58188D2E7}"/>
            </c:ext>
          </c:extLst>
        </c:ser>
        <c:ser>
          <c:idx val="22"/>
          <c:order val="22"/>
          <c:tx>
            <c:strRef>
              <c:f>Employment_NEA!$Y$24</c:f>
              <c:strCache>
                <c:ptCount val="1"/>
                <c:pt idx="0">
                  <c:v>23_eWind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Employment_NEA!$Z$24:$AE$24</c:f>
              <c:numCache>
                <c:formatCode>_(* #,##0.00_);_(* \(#,##0.00\);_(* "-"??_);_(@_)</c:formatCode>
                <c:ptCount val="6"/>
                <c:pt idx="0">
                  <c:v>0.22940283707906492</c:v>
                </c:pt>
                <c:pt idx="1">
                  <c:v>175.84847770767743</c:v>
                </c:pt>
                <c:pt idx="2">
                  <c:v>3.0257574019040199</c:v>
                </c:pt>
                <c:pt idx="3">
                  <c:v>7.4334704045019448E-2</c:v>
                </c:pt>
                <c:pt idx="4">
                  <c:v>0.2087927534396449</c:v>
                </c:pt>
                <c:pt idx="5">
                  <c:v>9.9884025350496283E-3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1E-4001-AEA3-7EA58188D2E7}"/>
            </c:ext>
          </c:extLst>
        </c:ser>
        <c:ser>
          <c:idx val="23"/>
          <c:order val="23"/>
          <c:tx>
            <c:strRef>
              <c:f>Employment_NEA!$Y$25</c:f>
              <c:strCache>
                <c:ptCount val="1"/>
                <c:pt idx="0">
                  <c:v>24_eSolar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Employment_NEA!$Z$25:$AE$25</c:f>
              <c:numCache>
                <c:formatCode>_(* #,##0.00_);_(* \(#,##0.00\);_(* "-"??_);_(@_)</c:formatCode>
                <c:ptCount val="6"/>
                <c:pt idx="0">
                  <c:v>0.23738162427920073</c:v>
                </c:pt>
                <c:pt idx="1">
                  <c:v>36.675698206470912</c:v>
                </c:pt>
                <c:pt idx="2">
                  <c:v>7.1273480167260379</c:v>
                </c:pt>
                <c:pt idx="3">
                  <c:v>0.45514071046247634</c:v>
                </c:pt>
                <c:pt idx="4">
                  <c:v>1.2867230993536387E-2</c:v>
                </c:pt>
                <c:pt idx="5">
                  <c:v>9.2024064521292019E-3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31E-4001-AEA3-7EA58188D2E7}"/>
            </c:ext>
          </c:extLst>
        </c:ser>
        <c:ser>
          <c:idx val="24"/>
          <c:order val="24"/>
          <c:tx>
            <c:strRef>
              <c:f>Employment_NEA!$Y$26</c:f>
              <c:strCache>
                <c:ptCount val="1"/>
                <c:pt idx="0">
                  <c:v>25_eHydro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Employment_NEA!$Z$26:$AE$26</c:f>
              <c:numCache>
                <c:formatCode>_(* #,##0.00_);_(* \(#,##0.00\);_(* "-"??_);_(@_)</c:formatCode>
                <c:ptCount val="6"/>
                <c:pt idx="0">
                  <c:v>0.13811320170335639</c:v>
                </c:pt>
                <c:pt idx="1">
                  <c:v>387.43949716212177</c:v>
                </c:pt>
                <c:pt idx="2">
                  <c:v>24.981431491602724</c:v>
                </c:pt>
                <c:pt idx="3">
                  <c:v>125.07428642145159</c:v>
                </c:pt>
                <c:pt idx="4">
                  <c:v>2.6795047901560551E-2</c:v>
                </c:pt>
                <c:pt idx="5">
                  <c:v>14.787215548252842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31E-4001-AEA3-7EA58188D2E7}"/>
            </c:ext>
          </c:extLst>
        </c:ser>
        <c:ser>
          <c:idx val="25"/>
          <c:order val="25"/>
          <c:tx>
            <c:strRef>
              <c:f>Employment_NEA!$Y$27</c:f>
              <c:strCache>
                <c:ptCount val="1"/>
                <c:pt idx="0">
                  <c:v>26_eOther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Employment_NEA!$Z$27:$AE$27</c:f>
              <c:numCache>
                <c:formatCode>_(* #,##0.00_);_(* \(#,##0.00\);_(* "-"??_);_(@_)</c:formatCode>
                <c:ptCount val="6"/>
                <c:pt idx="0">
                  <c:v>1.8160239163915697</c:v>
                </c:pt>
                <c:pt idx="1">
                  <c:v>178.66757182831819</c:v>
                </c:pt>
                <c:pt idx="2">
                  <c:v>23.982959969260513</c:v>
                </c:pt>
                <c:pt idx="3">
                  <c:v>227.24317740422842</c:v>
                </c:pt>
                <c:pt idx="4">
                  <c:v>3.1651287303549906E-3</c:v>
                </c:pt>
                <c:pt idx="5">
                  <c:v>0.35259102535819525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31E-4001-AEA3-7EA58188D2E7}"/>
            </c:ext>
          </c:extLst>
        </c:ser>
        <c:ser>
          <c:idx val="26"/>
          <c:order val="26"/>
          <c:tx>
            <c:strRef>
              <c:f>Employment_NEA!$Y$28</c:f>
              <c:strCache>
                <c:ptCount val="1"/>
                <c:pt idx="0">
                  <c:v>27_CONSTRUC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Employment_NEA!$Z$28:$AE$28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2019.588</c:v>
                </c:pt>
                <c:pt idx="1">
                  <c:v>60937.275540234892</c:v>
                </c:pt>
                <c:pt idx="2" formatCode="_(* #,##0_);_(* \(#,##0\);_(* &quot;-&quot;??_);_(@_)">
                  <c:v>4960.6779999999999</c:v>
                </c:pt>
                <c:pt idx="3" formatCode="_(* #,##0_);_(* \(#,##0\);_(* &quot;-&quot;??_);_(@_)">
                  <c:v>4842.88</c:v>
                </c:pt>
                <c:pt idx="4" formatCode="_(* #,##0_);_(* \(#,##0\);_(* &quot;-&quot;??_);_(@_)">
                  <c:v>68.847999999999999</c:v>
                </c:pt>
                <c:pt idx="5">
                  <c:v>707.01614821011333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31E-4001-AEA3-7EA58188D2E7}"/>
            </c:ext>
          </c:extLst>
        </c:ser>
        <c:ser>
          <c:idx val="27"/>
          <c:order val="27"/>
          <c:tx>
            <c:strRef>
              <c:f>Employment_NEA!$Y$29</c:f>
              <c:strCache>
                <c:ptCount val="1"/>
                <c:pt idx="0">
                  <c:v>28_LTRP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Employment_NEA!$Z$29:$AE$29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1157.2140168883764</c:v>
                </c:pt>
                <c:pt idx="1">
                  <c:v>20755.461884555596</c:v>
                </c:pt>
                <c:pt idx="2" formatCode="_(* #,##0_);_(* \(#,##0\);_(* &quot;-&quot;??_);_(@_)">
                  <c:v>3359.7805227726908</c:v>
                </c:pt>
                <c:pt idx="3" formatCode="_(* #,##0_);_(* \(#,##0\);_(* &quot;-&quot;??_);_(@_)">
                  <c:v>5009.3815179380908</c:v>
                </c:pt>
                <c:pt idx="4" formatCode="_(* #,##0_);_(* \(#,##0\);_(* &quot;-&quot;??_);_(@_)">
                  <c:v>50.502225411922808</c:v>
                </c:pt>
                <c:pt idx="5" formatCode="_(* #,##0_);_(* \(#,##0\);_(* &quot;-&quot;??_);_(@_)">
                  <c:v>305.73094178109932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31E-4001-AEA3-7EA58188D2E7}"/>
            </c:ext>
          </c:extLst>
        </c:ser>
        <c:ser>
          <c:idx val="28"/>
          <c:order val="28"/>
          <c:tx>
            <c:strRef>
              <c:f>Employment_NEA!$Y$30</c:f>
              <c:strCache>
                <c:ptCount val="1"/>
                <c:pt idx="0">
                  <c:v>29_WTRP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Employment_NEA!$Z$30:$AE$30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119.26573580096631</c:v>
                </c:pt>
                <c:pt idx="1">
                  <c:v>1304.3103830509237</c:v>
                </c:pt>
                <c:pt idx="2" formatCode="_(* #,##0_);_(* \(#,##0\);_(* &quot;-&quot;??_);_(@_)">
                  <c:v>259.45287892872506</c:v>
                </c:pt>
                <c:pt idx="3" formatCode="_(* #,##0_);_(* \(#,##0\);_(* &quot;-&quot;??_);_(@_)">
                  <c:v>420.22632071622843</c:v>
                </c:pt>
                <c:pt idx="4" formatCode="_(* #,##0_);_(* \(#,##0\);_(* &quot;-&quot;??_);_(@_)">
                  <c:v>1.1339634508115755</c:v>
                </c:pt>
                <c:pt idx="5" formatCode="_(* #,##0_);_(* \(#,##0\);_(* &quot;-&quot;??_);_(@_)">
                  <c:v>41.377161364089901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31E-4001-AEA3-7EA58188D2E7}"/>
            </c:ext>
          </c:extLst>
        </c:ser>
        <c:ser>
          <c:idx val="29"/>
          <c:order val="29"/>
          <c:tx>
            <c:strRef>
              <c:f>Employment_NEA!$Y$31</c:f>
              <c:strCache>
                <c:ptCount val="1"/>
                <c:pt idx="0">
                  <c:v>30_ATRP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Employment_NEA!$Z$31:$AE$31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154.88024731065721</c:v>
                </c:pt>
                <c:pt idx="1">
                  <c:v>1526.2367149141446</c:v>
                </c:pt>
                <c:pt idx="2" formatCode="_(* #,##0_);_(* \(#,##0\);_(* &quot;-&quot;??_);_(@_)">
                  <c:v>103.89759829858373</c:v>
                </c:pt>
                <c:pt idx="3" formatCode="_(* #,##0_);_(* \(#,##0\);_(* &quot;-&quot;??_);_(@_)">
                  <c:v>711.40816134568058</c:v>
                </c:pt>
                <c:pt idx="4" formatCode="_(* #,##0_);_(* \(#,##0\);_(* &quot;-&quot;??_);_(@_)">
                  <c:v>9.4868111372656152</c:v>
                </c:pt>
                <c:pt idx="5" formatCode="_(* #,##0_);_(* \(#,##0\);_(* &quot;-&quot;??_);_(@_)">
                  <c:v>52.332429988930862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31E-4001-AEA3-7EA58188D2E7}"/>
            </c:ext>
          </c:extLst>
        </c:ser>
        <c:ser>
          <c:idx val="30"/>
          <c:order val="30"/>
          <c:tx>
            <c:strRef>
              <c:f>Employment_NEA!$Y$32</c:f>
              <c:strCache>
                <c:ptCount val="1"/>
                <c:pt idx="0">
                  <c:v>31_SER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Employment_NEA!$Z$1:$AE$1</c:f>
              <c:strCache>
                <c:ptCount val="6"/>
                <c:pt idx="0">
                  <c:v>01_KOR</c:v>
                </c:pt>
                <c:pt idx="1">
                  <c:v>02_CHN</c:v>
                </c:pt>
                <c:pt idx="2">
                  <c:v>03_JPN</c:v>
                </c:pt>
                <c:pt idx="3">
                  <c:v>04_RUS</c:v>
                </c:pt>
                <c:pt idx="4">
                  <c:v>05_MNG</c:v>
                </c:pt>
                <c:pt idx="5">
                  <c:v>06_PRK</c:v>
                </c:pt>
              </c:strCache>
            </c:strRef>
          </c:cat>
          <c:val>
            <c:numRef>
              <c:f>Employment_NEA!$Z$32:$AE$32</c:f>
              <c:numCache>
                <c:formatCode>_(* #,##0.00_);_(* \(#,##0.00\);_(* "-"??_);_(@_)</c:formatCode>
                <c:ptCount val="6"/>
                <c:pt idx="0" formatCode="_(* #,##0_);_(* \(#,##0\);_(* &quot;-&quot;??_);_(@_)">
                  <c:v>17873.965</c:v>
                </c:pt>
                <c:pt idx="1">
                  <c:v>307209.36845325987</c:v>
                </c:pt>
                <c:pt idx="2" formatCode="_(* #,##0_);_(* \(#,##0\);_(* &quot;-&quot;??_);_(@_)">
                  <c:v>44997.080999999998</c:v>
                </c:pt>
                <c:pt idx="3" formatCode="_(* #,##0_);_(* \(#,##0\);_(* &quot;-&quot;??_);_(@_)">
                  <c:v>41628.824000000001</c:v>
                </c:pt>
                <c:pt idx="4" formatCode="_(* #,##0_);_(* \(#,##0\);_(* &quot;-&quot;??_);_(@_)">
                  <c:v>575.29200000000003</c:v>
                </c:pt>
                <c:pt idx="5" formatCode="_(* #,##0_);_(* \(#,##0\);_(* &quot;-&quot;??_);_(@_)">
                  <c:v>5939.3496373633661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31E-4001-AEA3-7EA58188D2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3016768"/>
        <c:axId val="1077506032"/>
      </c:barChart>
      <c:catAx>
        <c:axId val="1153016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7506032"/>
        <c:crosses val="autoZero"/>
        <c:auto val="1"/>
        <c:lblAlgn val="ctr"/>
        <c:lblOffset val="100"/>
        <c:noMultiLvlLbl val="0"/>
      </c:catAx>
      <c:valAx>
        <c:axId val="107750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3016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27930</xdr:colOff>
      <xdr:row>35</xdr:row>
      <xdr:rowOff>41885</xdr:rowOff>
    </xdr:from>
    <xdr:to>
      <xdr:col>25</xdr:col>
      <xdr:colOff>666750</xdr:colOff>
      <xdr:row>72</xdr:row>
      <xdr:rowOff>116181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BB459BD-864C-4B33-89CA-78611120A6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8EE9B-15B3-4AA5-9AE8-D3DE636A0ACD}">
  <dimension ref="A1:BH40"/>
  <sheetViews>
    <sheetView zoomScale="85" zoomScaleNormal="85" workbookViewId="0">
      <selection sqref="A1:S34"/>
    </sheetView>
  </sheetViews>
  <sheetFormatPr defaultRowHeight="14.4" x14ac:dyDescent="0.3"/>
  <cols>
    <col min="1" max="1" width="14.88671875" bestFit="1" customWidth="1"/>
  </cols>
  <sheetData>
    <row r="1" spans="1:60" x14ac:dyDescent="0.3"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X1" t="s">
        <v>0</v>
      </c>
      <c r="Y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</row>
    <row r="2" spans="1:60" x14ac:dyDescent="0.3"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X2" t="s">
        <v>49</v>
      </c>
      <c r="Y2" t="s">
        <v>50</v>
      </c>
      <c r="AD2" t="s">
        <v>18</v>
      </c>
      <c r="AE2" t="s">
        <v>19</v>
      </c>
      <c r="AF2" t="s">
        <v>20</v>
      </c>
      <c r="AG2" t="s">
        <v>21</v>
      </c>
      <c r="AH2" t="s">
        <v>22</v>
      </c>
      <c r="AI2" t="s">
        <v>23</v>
      </c>
      <c r="AJ2" t="s">
        <v>24</v>
      </c>
      <c r="AK2" t="s">
        <v>25</v>
      </c>
      <c r="AL2" t="s">
        <v>26</v>
      </c>
      <c r="AM2" t="s">
        <v>27</v>
      </c>
      <c r="AN2" t="s">
        <v>28</v>
      </c>
      <c r="AO2" t="s">
        <v>29</v>
      </c>
      <c r="AP2" t="s">
        <v>30</v>
      </c>
      <c r="AQ2" t="s">
        <v>31</v>
      </c>
      <c r="AR2" t="s">
        <v>32</v>
      </c>
      <c r="AS2" t="s">
        <v>33</v>
      </c>
      <c r="AT2" t="s">
        <v>34</v>
      </c>
      <c r="AU2" t="s">
        <v>35</v>
      </c>
      <c r="AV2" t="s">
        <v>36</v>
      </c>
      <c r="AW2" t="s">
        <v>37</v>
      </c>
      <c r="AX2" t="s">
        <v>38</v>
      </c>
      <c r="AY2" t="s">
        <v>39</v>
      </c>
      <c r="AZ2" t="s">
        <v>40</v>
      </c>
      <c r="BA2" t="s">
        <v>41</v>
      </c>
      <c r="BB2" t="s">
        <v>42</v>
      </c>
      <c r="BC2" t="s">
        <v>43</v>
      </c>
      <c r="BD2" t="s">
        <v>44</v>
      </c>
      <c r="BE2" t="s">
        <v>45</v>
      </c>
      <c r="BF2" t="s">
        <v>46</v>
      </c>
      <c r="BG2" t="s">
        <v>47</v>
      </c>
      <c r="BH2" t="s">
        <v>48</v>
      </c>
    </row>
    <row r="3" spans="1:60" x14ac:dyDescent="0.3">
      <c r="A3" t="s">
        <v>18</v>
      </c>
      <c r="B3">
        <v>2019</v>
      </c>
      <c r="C3" s="2">
        <v>0.44017499999999998</v>
      </c>
      <c r="D3" s="2">
        <v>43.589500000000001</v>
      </c>
      <c r="E3" s="2">
        <v>1.6019000000000001</v>
      </c>
      <c r="F3" s="2">
        <v>1.75284</v>
      </c>
      <c r="G3" s="2">
        <v>3.3982999999999999E-2</v>
      </c>
      <c r="H3" s="2">
        <v>8.5419599999999995E-3</v>
      </c>
      <c r="I3">
        <v>8.6774000000000004</v>
      </c>
      <c r="J3">
        <v>11.7065</v>
      </c>
      <c r="K3">
        <v>11.3611</v>
      </c>
      <c r="L3">
        <v>1.69085</v>
      </c>
      <c r="M3">
        <v>1.5001599999999999</v>
      </c>
      <c r="N3">
        <v>6.2986599999999999</v>
      </c>
      <c r="O3">
        <v>8.9731400000000008</v>
      </c>
      <c r="P3">
        <v>2.8198699999999999</v>
      </c>
      <c r="Q3">
        <v>29.2409</v>
      </c>
      <c r="R3">
        <v>9.1507299999999994</v>
      </c>
      <c r="S3">
        <v>1.6977199999999999</v>
      </c>
      <c r="V3" t="s">
        <v>1</v>
      </c>
      <c r="W3">
        <v>2019</v>
      </c>
      <c r="X3">
        <v>25.566800000000001</v>
      </c>
      <c r="Y3">
        <v>36.7789</v>
      </c>
      <c r="Z3">
        <f>SUM(X3:Y3)</f>
        <v>62.345700000000001</v>
      </c>
      <c r="AA3">
        <f>SUM(AD3:BH3)</f>
        <v>62.345767153000004</v>
      </c>
      <c r="AB3" t="s">
        <v>1</v>
      </c>
      <c r="AC3">
        <v>2019</v>
      </c>
      <c r="AD3">
        <v>0.44017499999999998</v>
      </c>
      <c r="AE3">
        <v>1.65974E-3</v>
      </c>
      <c r="AF3">
        <v>7.0133999999999995E-4</v>
      </c>
      <c r="AG3">
        <v>3.8890000000000002E-4</v>
      </c>
      <c r="AH3">
        <v>7.6690900000000006E-2</v>
      </c>
      <c r="AI3">
        <v>0.83691000000000004</v>
      </c>
      <c r="AJ3">
        <v>0.47014400000000001</v>
      </c>
      <c r="AK3">
        <v>9.2899399999999993E-2</v>
      </c>
      <c r="AL3">
        <v>0.40236100000000002</v>
      </c>
      <c r="AM3">
        <v>4.6731200000000001E-2</v>
      </c>
      <c r="AN3">
        <v>1.8543499999999999</v>
      </c>
      <c r="AO3">
        <v>0.46374300000000002</v>
      </c>
      <c r="AP3">
        <v>0.56313800000000003</v>
      </c>
      <c r="AQ3">
        <v>0.20271700000000001</v>
      </c>
      <c r="AR3">
        <v>6.6152100000000003</v>
      </c>
      <c r="AS3">
        <v>1.67099</v>
      </c>
      <c r="AT3">
        <v>1.76074</v>
      </c>
      <c r="AU3">
        <v>0.23814099999999999</v>
      </c>
      <c r="AV3">
        <v>5.4872600000000001E-2</v>
      </c>
      <c r="AW3">
        <v>3.4822499999999999E-2</v>
      </c>
      <c r="AX3">
        <v>1.40013E-2</v>
      </c>
      <c r="AY3">
        <v>6.1273100000000004E-3</v>
      </c>
      <c r="AZ3">
        <v>1.21878E-3</v>
      </c>
      <c r="BA3">
        <v>1.26117E-3</v>
      </c>
      <c r="BB3">
        <v>7.3377299999999996E-4</v>
      </c>
      <c r="BC3">
        <v>9.6482400000000006E-3</v>
      </c>
      <c r="BD3">
        <v>5.7171900000000004</v>
      </c>
      <c r="BE3">
        <v>1.3588800000000001</v>
      </c>
      <c r="BF3">
        <v>0.14005000000000001</v>
      </c>
      <c r="BG3">
        <v>0.181871</v>
      </c>
      <c r="BH3">
        <v>39.087400000000002</v>
      </c>
    </row>
    <row r="4" spans="1:60" x14ac:dyDescent="0.3">
      <c r="A4" t="s">
        <v>19</v>
      </c>
      <c r="B4">
        <v>2019</v>
      </c>
      <c r="C4" s="2">
        <v>1.65974E-3</v>
      </c>
      <c r="D4" s="2">
        <v>3.9157899999999999</v>
      </c>
      <c r="E4" s="2">
        <v>8.2797999999999997E-4</v>
      </c>
      <c r="F4" s="2">
        <v>0.27798</v>
      </c>
      <c r="G4" s="2">
        <v>1.7124799999999999E-2</v>
      </c>
      <c r="H4" s="2">
        <v>7.5394500000000001E-4</v>
      </c>
      <c r="I4">
        <v>0.55101500000000003</v>
      </c>
      <c r="J4">
        <v>4.7880499999999999E-2</v>
      </c>
      <c r="K4">
        <v>0.154394</v>
      </c>
      <c r="L4">
        <v>0.18962100000000001</v>
      </c>
      <c r="M4">
        <v>0.20752200000000001</v>
      </c>
      <c r="N4">
        <v>5.9234300000000004E-3</v>
      </c>
      <c r="O4">
        <v>0.23750499999999999</v>
      </c>
      <c r="P4">
        <v>8.0176399999999995E-2</v>
      </c>
      <c r="Q4">
        <v>0.55425500000000005</v>
      </c>
      <c r="R4">
        <v>0.24721799999999999</v>
      </c>
      <c r="S4">
        <v>0.340665</v>
      </c>
      <c r="V4" t="s">
        <v>1</v>
      </c>
      <c r="W4">
        <v>2020</v>
      </c>
      <c r="X4">
        <v>25.6129</v>
      </c>
      <c r="Y4">
        <v>36.845199999999998</v>
      </c>
      <c r="Z4">
        <f t="shared" ref="Z4:Z34" si="0">SUM(X4:Y4)</f>
        <v>62.458100000000002</v>
      </c>
      <c r="AA4">
        <f t="shared" ref="AA4:AA34" si="1">SUM(AD4:BH4)</f>
        <v>62.458069705999996</v>
      </c>
      <c r="AB4" t="s">
        <v>1</v>
      </c>
      <c r="AC4">
        <v>2020</v>
      </c>
      <c r="AD4">
        <v>0.447465</v>
      </c>
      <c r="AE4">
        <v>1.3944700000000001E-3</v>
      </c>
      <c r="AF4">
        <v>7.0366700000000005E-4</v>
      </c>
      <c r="AG4">
        <v>2.8068100000000002E-4</v>
      </c>
      <c r="AH4">
        <v>7.97432E-2</v>
      </c>
      <c r="AI4">
        <v>0.83272100000000004</v>
      </c>
      <c r="AJ4">
        <v>0.457258</v>
      </c>
      <c r="AK4">
        <v>9.2864799999999997E-2</v>
      </c>
      <c r="AL4">
        <v>0.40160499999999999</v>
      </c>
      <c r="AM4">
        <v>4.53999E-2</v>
      </c>
      <c r="AN4">
        <v>1.8598600000000001</v>
      </c>
      <c r="AO4">
        <v>0.45790599999999998</v>
      </c>
      <c r="AP4">
        <v>0.54630199999999995</v>
      </c>
      <c r="AQ4">
        <v>0.195768</v>
      </c>
      <c r="AR4">
        <v>6.6382899999999996</v>
      </c>
      <c r="AS4">
        <v>1.6362300000000001</v>
      </c>
      <c r="AT4">
        <v>1.75922</v>
      </c>
      <c r="AU4">
        <v>0.23586499999999999</v>
      </c>
      <c r="AV4">
        <v>5.4483999999999998E-2</v>
      </c>
      <c r="AW4">
        <v>3.7196800000000002E-2</v>
      </c>
      <c r="AX4">
        <v>1.1214399999999999E-2</v>
      </c>
      <c r="AY4">
        <v>5.4789000000000001E-3</v>
      </c>
      <c r="AZ4">
        <v>1.2202999999999999E-3</v>
      </c>
      <c r="BA4">
        <v>1.2654000000000001E-3</v>
      </c>
      <c r="BB4">
        <v>7.3587800000000003E-4</v>
      </c>
      <c r="BC4">
        <v>9.3873099999999994E-3</v>
      </c>
      <c r="BD4">
        <v>5.7617500000000001</v>
      </c>
      <c r="BE4">
        <v>1.395</v>
      </c>
      <c r="BF4">
        <v>0.14268</v>
      </c>
      <c r="BG4">
        <v>0.18468000000000001</v>
      </c>
      <c r="BH4">
        <v>39.164099999999998</v>
      </c>
    </row>
    <row r="5" spans="1:60" x14ac:dyDescent="0.3">
      <c r="A5" t="s">
        <v>20</v>
      </c>
      <c r="B5">
        <v>2019</v>
      </c>
      <c r="C5" s="2">
        <v>7.0133999999999995E-4</v>
      </c>
      <c r="D5" s="2">
        <v>0.64370300000000003</v>
      </c>
      <c r="E5" s="2">
        <v>1.2940300000000001E-3</v>
      </c>
      <c r="F5" s="2">
        <v>0.57365200000000005</v>
      </c>
      <c r="G5" s="2">
        <v>5.33954E-4</v>
      </c>
      <c r="H5" s="3">
        <v>5.7827999999999999E-6</v>
      </c>
      <c r="I5">
        <v>1.43004</v>
      </c>
      <c r="J5">
        <v>0.80056099999999997</v>
      </c>
      <c r="K5">
        <v>0.225663</v>
      </c>
      <c r="L5">
        <v>4.6496900000000001E-2</v>
      </c>
      <c r="M5">
        <v>0.82893499999999998</v>
      </c>
      <c r="N5">
        <v>3.8958599999999999</v>
      </c>
      <c r="O5">
        <v>0.174868</v>
      </c>
      <c r="P5">
        <v>2.5073999999999999E-2</v>
      </c>
      <c r="Q5">
        <v>0.157942</v>
      </c>
      <c r="R5">
        <v>0.36366900000000002</v>
      </c>
      <c r="S5">
        <v>2.82261E-2</v>
      </c>
      <c r="V5" t="s">
        <v>1</v>
      </c>
      <c r="W5">
        <v>2021</v>
      </c>
      <c r="X5">
        <v>25.5776</v>
      </c>
      <c r="Y5">
        <v>36.794400000000003</v>
      </c>
      <c r="Z5">
        <f t="shared" si="0"/>
        <v>62.372</v>
      </c>
      <c r="AA5">
        <f t="shared" si="1"/>
        <v>62.371904671999999</v>
      </c>
      <c r="AB5" t="s">
        <v>1</v>
      </c>
      <c r="AC5">
        <v>2021</v>
      </c>
      <c r="AD5">
        <v>0.449235</v>
      </c>
      <c r="AE5">
        <v>1.3589100000000001E-3</v>
      </c>
      <c r="AF5">
        <v>7.0260299999999999E-4</v>
      </c>
      <c r="AG5">
        <v>2.18352E-4</v>
      </c>
      <c r="AH5">
        <v>8.0803E-2</v>
      </c>
      <c r="AI5">
        <v>0.82628599999999996</v>
      </c>
      <c r="AJ5">
        <v>0.44506699999999999</v>
      </c>
      <c r="AK5">
        <v>9.2448699999999995E-2</v>
      </c>
      <c r="AL5">
        <v>0.39674500000000001</v>
      </c>
      <c r="AM5">
        <v>4.4085800000000001E-2</v>
      </c>
      <c r="AN5">
        <v>1.8463099999999999</v>
      </c>
      <c r="AO5">
        <v>0.457208</v>
      </c>
      <c r="AP5">
        <v>0.53973499999999996</v>
      </c>
      <c r="AQ5">
        <v>0.19684299999999999</v>
      </c>
      <c r="AR5">
        <v>6.6191899999999997</v>
      </c>
      <c r="AS5">
        <v>1.62635</v>
      </c>
      <c r="AT5">
        <v>1.75244</v>
      </c>
      <c r="AU5">
        <v>0.23411599999999999</v>
      </c>
      <c r="AV5">
        <v>5.4096600000000002E-2</v>
      </c>
      <c r="AW5">
        <v>3.7372700000000002E-2</v>
      </c>
      <c r="AX5">
        <v>9.1375699999999994E-3</v>
      </c>
      <c r="AY5">
        <v>4.7376199999999997E-3</v>
      </c>
      <c r="AZ5">
        <v>1.2185099999999999E-3</v>
      </c>
      <c r="BA5">
        <v>1.26538E-3</v>
      </c>
      <c r="BB5">
        <v>7.3562699999999998E-4</v>
      </c>
      <c r="BC5">
        <v>9.1702999999999993E-3</v>
      </c>
      <c r="BD5">
        <v>5.8131700000000004</v>
      </c>
      <c r="BE5">
        <v>1.4192499999999999</v>
      </c>
      <c r="BF5">
        <v>0.14068900000000001</v>
      </c>
      <c r="BG5">
        <v>0.18481900000000001</v>
      </c>
      <c r="BH5">
        <v>39.0871</v>
      </c>
    </row>
    <row r="6" spans="1:60" x14ac:dyDescent="0.3">
      <c r="A6" t="s">
        <v>21</v>
      </c>
      <c r="B6">
        <v>2019</v>
      </c>
      <c r="C6" s="2">
        <v>3.8890000000000002E-4</v>
      </c>
      <c r="D6" s="2">
        <v>2.5332199999999999E-2</v>
      </c>
      <c r="E6" s="2">
        <v>1.04823E-2</v>
      </c>
      <c r="F6" s="2">
        <v>0.93698300000000001</v>
      </c>
      <c r="G6" s="3">
        <v>4.1249799999999999E-5</v>
      </c>
      <c r="H6" s="3">
        <v>9.8141699999999996E-6</v>
      </c>
      <c r="I6">
        <v>1.15656</v>
      </c>
      <c r="J6">
        <v>0.26385700000000001</v>
      </c>
      <c r="K6">
        <v>0.25412000000000001</v>
      </c>
      <c r="L6">
        <v>4.9875900000000001E-2</v>
      </c>
      <c r="M6">
        <v>0.43570599999999998</v>
      </c>
      <c r="N6">
        <v>1.1526700000000001</v>
      </c>
      <c r="O6">
        <v>5.6999500000000002E-2</v>
      </c>
      <c r="P6">
        <v>0.14186499999999999</v>
      </c>
      <c r="Q6">
        <v>0.189527</v>
      </c>
      <c r="R6">
        <v>0.391953</v>
      </c>
      <c r="S6">
        <v>0.23092799999999999</v>
      </c>
      <c r="V6" t="s">
        <v>1</v>
      </c>
      <c r="W6">
        <v>2022</v>
      </c>
      <c r="X6">
        <v>25.542200000000001</v>
      </c>
      <c r="Y6">
        <v>36.743600000000001</v>
      </c>
      <c r="Z6">
        <f t="shared" si="0"/>
        <v>62.285800000000002</v>
      </c>
      <c r="AA6">
        <f t="shared" si="1"/>
        <v>62.285751098999995</v>
      </c>
      <c r="AB6" t="s">
        <v>1</v>
      </c>
      <c r="AC6">
        <v>2022</v>
      </c>
      <c r="AD6">
        <v>0.45141300000000001</v>
      </c>
      <c r="AE6">
        <v>1.3112E-3</v>
      </c>
      <c r="AF6">
        <v>6.9576399999999997E-4</v>
      </c>
      <c r="AG6">
        <v>1.7868100000000001E-4</v>
      </c>
      <c r="AH6">
        <v>8.1953999999999999E-2</v>
      </c>
      <c r="AI6">
        <v>0.81935400000000003</v>
      </c>
      <c r="AJ6">
        <v>0.43299199999999999</v>
      </c>
      <c r="AK6">
        <v>9.0249200000000002E-2</v>
      </c>
      <c r="AL6">
        <v>0.39209699999999997</v>
      </c>
      <c r="AM6">
        <v>4.3191500000000001E-2</v>
      </c>
      <c r="AN6">
        <v>1.82104</v>
      </c>
      <c r="AO6">
        <v>0.45410200000000001</v>
      </c>
      <c r="AP6">
        <v>0.53261499999999995</v>
      </c>
      <c r="AQ6">
        <v>0.197213</v>
      </c>
      <c r="AR6">
        <v>6.5895900000000003</v>
      </c>
      <c r="AS6">
        <v>1.61598</v>
      </c>
      <c r="AT6">
        <v>1.7424500000000001</v>
      </c>
      <c r="AU6">
        <v>0.225966</v>
      </c>
      <c r="AV6">
        <v>5.51146E-2</v>
      </c>
      <c r="AW6">
        <v>3.6859999999999997E-2</v>
      </c>
      <c r="AX6">
        <v>9.7361300000000008E-3</v>
      </c>
      <c r="AY6">
        <v>4.59137E-3</v>
      </c>
      <c r="AZ6">
        <v>1.23865E-3</v>
      </c>
      <c r="BA6">
        <v>1.2857999999999999E-3</v>
      </c>
      <c r="BB6">
        <v>7.4756400000000004E-4</v>
      </c>
      <c r="BC6">
        <v>9.3006400000000006E-3</v>
      </c>
      <c r="BD6">
        <v>5.8790399999999998</v>
      </c>
      <c r="BE6">
        <v>1.4336500000000001</v>
      </c>
      <c r="BF6">
        <v>0.13775999999999999</v>
      </c>
      <c r="BG6">
        <v>0.183834</v>
      </c>
      <c r="BH6">
        <v>39.040199999999999</v>
      </c>
    </row>
    <row r="7" spans="1:60" x14ac:dyDescent="0.3">
      <c r="A7" t="s">
        <v>22</v>
      </c>
      <c r="B7">
        <v>2019</v>
      </c>
      <c r="C7" s="2">
        <v>7.6690900000000006E-2</v>
      </c>
      <c r="D7" s="2">
        <v>5.0134100000000004</v>
      </c>
      <c r="E7" s="2">
        <v>0.15903300000000001</v>
      </c>
      <c r="F7" s="2">
        <v>0.88180899999999995</v>
      </c>
      <c r="G7" s="2">
        <v>1.8778900000000001E-2</v>
      </c>
      <c r="H7" s="2">
        <v>6.6234299999999996E-3</v>
      </c>
      <c r="I7">
        <v>4.7415700000000003</v>
      </c>
      <c r="J7">
        <v>1.55128</v>
      </c>
      <c r="K7">
        <v>1.24613</v>
      </c>
      <c r="L7">
        <v>0.21010400000000001</v>
      </c>
      <c r="M7">
        <v>0.41816799999999998</v>
      </c>
      <c r="N7">
        <v>0.93914699999999995</v>
      </c>
      <c r="O7">
        <v>1.2804500000000001</v>
      </c>
      <c r="P7">
        <v>0.12207</v>
      </c>
      <c r="Q7">
        <v>0.71360299999999999</v>
      </c>
      <c r="R7">
        <v>0.97142700000000004</v>
      </c>
      <c r="S7">
        <v>1.31307</v>
      </c>
      <c r="V7" t="s">
        <v>1</v>
      </c>
      <c r="W7">
        <v>2023</v>
      </c>
      <c r="X7">
        <v>25.506900000000002</v>
      </c>
      <c r="Y7">
        <v>36.692799999999998</v>
      </c>
      <c r="Z7">
        <f t="shared" si="0"/>
        <v>62.1997</v>
      </c>
      <c r="AA7">
        <f t="shared" si="1"/>
        <v>62.199659267000001</v>
      </c>
      <c r="AB7" t="s">
        <v>1</v>
      </c>
      <c r="AC7">
        <v>2023</v>
      </c>
      <c r="AD7">
        <v>0.453988</v>
      </c>
      <c r="AE7">
        <v>1.3285E-3</v>
      </c>
      <c r="AF7">
        <v>6.9599199999999999E-4</v>
      </c>
      <c r="AG7">
        <v>1.8037500000000001E-4</v>
      </c>
      <c r="AH7">
        <v>8.3169800000000002E-2</v>
      </c>
      <c r="AI7">
        <v>0.81253799999999998</v>
      </c>
      <c r="AJ7">
        <v>0.42299900000000001</v>
      </c>
      <c r="AK7">
        <v>8.8501800000000005E-2</v>
      </c>
      <c r="AL7">
        <v>0.38823099999999999</v>
      </c>
      <c r="AM7">
        <v>4.2976100000000003E-2</v>
      </c>
      <c r="AN7">
        <v>1.79895</v>
      </c>
      <c r="AO7">
        <v>0.45119100000000001</v>
      </c>
      <c r="AP7">
        <v>0.52983599999999997</v>
      </c>
      <c r="AQ7">
        <v>0.197466</v>
      </c>
      <c r="AR7">
        <v>6.5756199999999998</v>
      </c>
      <c r="AS7">
        <v>1.6116699999999999</v>
      </c>
      <c r="AT7">
        <v>1.7345200000000001</v>
      </c>
      <c r="AU7">
        <v>0.22003500000000001</v>
      </c>
      <c r="AV7">
        <v>5.6101400000000003E-2</v>
      </c>
      <c r="AW7">
        <v>3.6567000000000002E-2</v>
      </c>
      <c r="AX7">
        <v>1.09464E-2</v>
      </c>
      <c r="AY7">
        <v>4.7582800000000001E-3</v>
      </c>
      <c r="AZ7">
        <v>1.2588300000000001E-3</v>
      </c>
      <c r="BA7">
        <v>1.3064000000000001E-3</v>
      </c>
      <c r="BB7">
        <v>7.5958999999999998E-4</v>
      </c>
      <c r="BC7">
        <v>9.4578000000000006E-3</v>
      </c>
      <c r="BD7">
        <v>5.9440799999999996</v>
      </c>
      <c r="BE7">
        <v>1.4294899999999999</v>
      </c>
      <c r="BF7">
        <v>0.13523299999999999</v>
      </c>
      <c r="BG7">
        <v>0.18260399999999999</v>
      </c>
      <c r="BH7">
        <v>38.973199999999999</v>
      </c>
    </row>
    <row r="8" spans="1:60" x14ac:dyDescent="0.3">
      <c r="A8" t="s">
        <v>23</v>
      </c>
      <c r="B8">
        <v>2019</v>
      </c>
      <c r="C8" s="2">
        <v>0.83691000000000004</v>
      </c>
      <c r="D8" s="2">
        <v>18.597999999999999</v>
      </c>
      <c r="E8" s="2">
        <v>2.6902499999999998</v>
      </c>
      <c r="F8" s="2">
        <v>1.1189899999999999</v>
      </c>
      <c r="G8" s="2">
        <v>3.0260600000000001E-3</v>
      </c>
      <c r="H8" s="2">
        <v>1.5826699999999999E-2</v>
      </c>
      <c r="I8">
        <v>14.32</v>
      </c>
      <c r="J8">
        <v>7.6149500000000003</v>
      </c>
      <c r="K8">
        <v>13.383599999999999</v>
      </c>
      <c r="L8">
        <v>1.33125</v>
      </c>
      <c r="M8">
        <v>0.62094300000000002</v>
      </c>
      <c r="N8">
        <v>4.6331899999999999</v>
      </c>
      <c r="O8">
        <v>7.1182600000000003</v>
      </c>
      <c r="P8">
        <v>0.30335000000000001</v>
      </c>
      <c r="Q8">
        <v>4.3158899999999996</v>
      </c>
      <c r="R8">
        <v>3.8833799999999998</v>
      </c>
      <c r="S8">
        <v>2.0186199999999999</v>
      </c>
      <c r="V8" t="s">
        <v>1</v>
      </c>
      <c r="W8">
        <v>2024</v>
      </c>
      <c r="X8">
        <v>25.471599999999999</v>
      </c>
      <c r="Y8">
        <v>36.6419</v>
      </c>
      <c r="Z8">
        <f t="shared" si="0"/>
        <v>62.113500000000002</v>
      </c>
      <c r="AA8">
        <f t="shared" si="1"/>
        <v>62.113451943000001</v>
      </c>
      <c r="AB8" t="s">
        <v>1</v>
      </c>
      <c r="AC8">
        <v>2024</v>
      </c>
      <c r="AD8">
        <v>0.456729</v>
      </c>
      <c r="AE8">
        <v>1.3303799999999999E-3</v>
      </c>
      <c r="AF8">
        <v>6.9590600000000004E-4</v>
      </c>
      <c r="AG8">
        <v>1.85692E-4</v>
      </c>
      <c r="AH8">
        <v>8.4317000000000003E-2</v>
      </c>
      <c r="AI8">
        <v>0.80619499999999999</v>
      </c>
      <c r="AJ8">
        <v>0.41420899999999999</v>
      </c>
      <c r="AK8">
        <v>8.6969900000000003E-2</v>
      </c>
      <c r="AL8">
        <v>0.38463700000000001</v>
      </c>
      <c r="AM8">
        <v>4.2749700000000002E-2</v>
      </c>
      <c r="AN8">
        <v>1.77776</v>
      </c>
      <c r="AO8">
        <v>0.44823400000000002</v>
      </c>
      <c r="AP8">
        <v>0.52715199999999995</v>
      </c>
      <c r="AQ8">
        <v>0.19766900000000001</v>
      </c>
      <c r="AR8">
        <v>6.5615300000000003</v>
      </c>
      <c r="AS8">
        <v>1.60754</v>
      </c>
      <c r="AT8">
        <v>1.7274799999999999</v>
      </c>
      <c r="AU8">
        <v>0.216007</v>
      </c>
      <c r="AV8">
        <v>5.6900399999999997E-2</v>
      </c>
      <c r="AW8">
        <v>3.6342100000000002E-2</v>
      </c>
      <c r="AX8">
        <v>1.17307E-2</v>
      </c>
      <c r="AY8">
        <v>4.8547900000000003E-3</v>
      </c>
      <c r="AZ8">
        <v>1.2766800000000001E-3</v>
      </c>
      <c r="BA8">
        <v>1.325E-3</v>
      </c>
      <c r="BB8">
        <v>7.7040500000000005E-4</v>
      </c>
      <c r="BC8">
        <v>9.5842900000000005E-3</v>
      </c>
      <c r="BD8">
        <v>6.0051199999999998</v>
      </c>
      <c r="BE8">
        <v>1.42547</v>
      </c>
      <c r="BF8">
        <v>0.13258800000000001</v>
      </c>
      <c r="BG8">
        <v>0.181399</v>
      </c>
      <c r="BH8">
        <v>38.904699999999998</v>
      </c>
    </row>
    <row r="9" spans="1:60" x14ac:dyDescent="0.3">
      <c r="A9" t="s">
        <v>24</v>
      </c>
      <c r="B9">
        <v>2019</v>
      </c>
      <c r="C9" s="2">
        <v>0.47014400000000001</v>
      </c>
      <c r="D9" s="2">
        <v>16.9434</v>
      </c>
      <c r="E9" s="2">
        <v>0.69081099999999995</v>
      </c>
      <c r="F9" s="2">
        <v>0.17021</v>
      </c>
      <c r="G9" s="2">
        <v>2.1867499999999999E-3</v>
      </c>
      <c r="H9" s="2">
        <v>1.6574599999999998E-2</v>
      </c>
      <c r="I9">
        <v>2.6378300000000001</v>
      </c>
      <c r="J9">
        <v>3.0233300000000001</v>
      </c>
      <c r="K9">
        <v>4.9371600000000004</v>
      </c>
      <c r="L9">
        <v>0.81547599999999998</v>
      </c>
      <c r="M9">
        <v>0.16580600000000001</v>
      </c>
      <c r="N9">
        <v>2.2733599999999998</v>
      </c>
      <c r="O9">
        <v>0.92512799999999995</v>
      </c>
      <c r="P9">
        <v>2.3819400000000002</v>
      </c>
      <c r="Q9">
        <v>5.7646100000000002</v>
      </c>
      <c r="R9">
        <v>1.2334400000000001</v>
      </c>
      <c r="S9">
        <v>0.13033700000000001</v>
      </c>
      <c r="V9" t="s">
        <v>1</v>
      </c>
      <c r="W9">
        <v>2025</v>
      </c>
      <c r="X9">
        <v>25.436199999999999</v>
      </c>
      <c r="Y9">
        <v>36.591099999999997</v>
      </c>
      <c r="Z9">
        <f t="shared" si="0"/>
        <v>62.027299999999997</v>
      </c>
      <c r="AA9">
        <f t="shared" si="1"/>
        <v>62.027260506000005</v>
      </c>
      <c r="AB9" t="s">
        <v>1</v>
      </c>
      <c r="AC9">
        <v>2025</v>
      </c>
      <c r="AD9">
        <v>0.459621</v>
      </c>
      <c r="AE9">
        <v>1.3235600000000001E-3</v>
      </c>
      <c r="AF9">
        <v>6.9558399999999996E-4</v>
      </c>
      <c r="AG9">
        <v>1.9249600000000001E-4</v>
      </c>
      <c r="AH9">
        <v>8.5486000000000006E-2</v>
      </c>
      <c r="AI9">
        <v>0.80029300000000003</v>
      </c>
      <c r="AJ9">
        <v>0.40634599999999998</v>
      </c>
      <c r="AK9">
        <v>8.5613099999999998E-2</v>
      </c>
      <c r="AL9">
        <v>0.38128000000000001</v>
      </c>
      <c r="AM9">
        <v>4.25209E-2</v>
      </c>
      <c r="AN9">
        <v>1.75759</v>
      </c>
      <c r="AO9">
        <v>0.445274</v>
      </c>
      <c r="AP9">
        <v>0.52480300000000002</v>
      </c>
      <c r="AQ9">
        <v>0.197655</v>
      </c>
      <c r="AR9">
        <v>6.5476999999999999</v>
      </c>
      <c r="AS9">
        <v>1.60382</v>
      </c>
      <c r="AT9">
        <v>1.72132</v>
      </c>
      <c r="AU9">
        <v>0.213648</v>
      </c>
      <c r="AV9">
        <v>5.74449E-2</v>
      </c>
      <c r="AW9">
        <v>3.6165900000000001E-2</v>
      </c>
      <c r="AX9">
        <v>1.2110900000000001E-2</v>
      </c>
      <c r="AY9">
        <v>4.8987600000000003E-3</v>
      </c>
      <c r="AZ9">
        <v>1.29104E-3</v>
      </c>
      <c r="BA9">
        <v>1.34052E-3</v>
      </c>
      <c r="BB9">
        <v>7.7935600000000004E-4</v>
      </c>
      <c r="BC9">
        <v>9.6664899999999998E-3</v>
      </c>
      <c r="BD9">
        <v>6.0617900000000002</v>
      </c>
      <c r="BE9">
        <v>1.42167</v>
      </c>
      <c r="BF9">
        <v>0.12986500000000001</v>
      </c>
      <c r="BG9">
        <v>0.180256</v>
      </c>
      <c r="BH9">
        <v>38.834800000000001</v>
      </c>
    </row>
    <row r="10" spans="1:60" x14ac:dyDescent="0.3">
      <c r="A10" t="s">
        <v>25</v>
      </c>
      <c r="B10">
        <v>2019</v>
      </c>
      <c r="C10" s="2">
        <v>9.2899399999999993E-2</v>
      </c>
      <c r="D10" s="2">
        <v>2.6086100000000001</v>
      </c>
      <c r="E10" s="2">
        <v>0.26078000000000001</v>
      </c>
      <c r="F10" s="2">
        <v>0.169817</v>
      </c>
      <c r="G10" s="2">
        <v>3.9877700000000001E-4</v>
      </c>
      <c r="H10" s="2">
        <v>1.2540400000000001E-3</v>
      </c>
      <c r="I10">
        <v>2.1160600000000001</v>
      </c>
      <c r="J10">
        <v>0.809639</v>
      </c>
      <c r="K10">
        <v>1.9005099999999999</v>
      </c>
      <c r="L10">
        <v>0.24787100000000001</v>
      </c>
      <c r="M10">
        <v>6.3712400000000002E-2</v>
      </c>
      <c r="N10">
        <v>0.46068900000000002</v>
      </c>
      <c r="O10">
        <v>0.34102300000000002</v>
      </c>
      <c r="P10">
        <v>0.155088</v>
      </c>
      <c r="Q10">
        <v>0.15845000000000001</v>
      </c>
      <c r="R10">
        <v>0.46244299999999999</v>
      </c>
      <c r="S10">
        <v>0.35319699999999998</v>
      </c>
      <c r="V10" t="s">
        <v>1</v>
      </c>
      <c r="W10">
        <v>2026</v>
      </c>
      <c r="X10">
        <v>25.385000000000002</v>
      </c>
      <c r="Y10">
        <v>36.517400000000002</v>
      </c>
      <c r="Z10">
        <f t="shared" si="0"/>
        <v>61.9024</v>
      </c>
      <c r="AA10">
        <f t="shared" si="1"/>
        <v>61.902244128</v>
      </c>
      <c r="AB10" t="s">
        <v>1</v>
      </c>
      <c r="AC10">
        <v>2026</v>
      </c>
      <c r="AD10">
        <v>0.46201500000000001</v>
      </c>
      <c r="AE10">
        <v>1.3076800000000001E-3</v>
      </c>
      <c r="AF10">
        <v>6.9125199999999995E-4</v>
      </c>
      <c r="AG10">
        <v>2.05935E-4</v>
      </c>
      <c r="AH10">
        <v>8.6101300000000006E-2</v>
      </c>
      <c r="AI10">
        <v>0.79381599999999997</v>
      </c>
      <c r="AJ10">
        <v>0.40021400000000001</v>
      </c>
      <c r="AK10">
        <v>8.4574300000000005E-2</v>
      </c>
      <c r="AL10">
        <v>0.37792500000000001</v>
      </c>
      <c r="AM10">
        <v>4.2136600000000003E-2</v>
      </c>
      <c r="AN10">
        <v>1.73438</v>
      </c>
      <c r="AO10">
        <v>0.44239400000000001</v>
      </c>
      <c r="AP10">
        <v>0.52156899999999995</v>
      </c>
      <c r="AQ10">
        <v>0.19758200000000001</v>
      </c>
      <c r="AR10">
        <v>6.5399399999999996</v>
      </c>
      <c r="AS10">
        <v>1.59368</v>
      </c>
      <c r="AT10">
        <v>1.7166699999999999</v>
      </c>
      <c r="AU10">
        <v>0.21253900000000001</v>
      </c>
      <c r="AV10">
        <v>5.7613600000000001E-2</v>
      </c>
      <c r="AW10">
        <v>3.6089700000000002E-2</v>
      </c>
      <c r="AX10">
        <v>1.2274999999999999E-2</v>
      </c>
      <c r="AY10">
        <v>4.9678200000000004E-3</v>
      </c>
      <c r="AZ10">
        <v>1.2997099999999999E-3</v>
      </c>
      <c r="BA10">
        <v>1.35082E-3</v>
      </c>
      <c r="BB10">
        <v>7.8519099999999997E-4</v>
      </c>
      <c r="BC10">
        <v>9.7162199999999994E-3</v>
      </c>
      <c r="BD10">
        <v>6.1131000000000002</v>
      </c>
      <c r="BE10">
        <v>1.4149</v>
      </c>
      <c r="BF10">
        <v>0.12634699999999999</v>
      </c>
      <c r="BG10">
        <v>0.178258</v>
      </c>
      <c r="BH10">
        <v>38.7378</v>
      </c>
    </row>
    <row r="11" spans="1:60" x14ac:dyDescent="0.3">
      <c r="A11" t="s">
        <v>26</v>
      </c>
      <c r="B11">
        <v>2019</v>
      </c>
      <c r="C11" s="2">
        <v>0.40236100000000002</v>
      </c>
      <c r="D11" s="2">
        <v>5.9194599999999999</v>
      </c>
      <c r="E11" s="2">
        <v>1.4579299999999999</v>
      </c>
      <c r="F11" s="2">
        <v>0.16978299999999999</v>
      </c>
      <c r="G11" s="3">
        <v>5.1736300000000001E-9</v>
      </c>
      <c r="H11" s="2">
        <v>3.10656E-3</v>
      </c>
      <c r="I11">
        <v>6.30131</v>
      </c>
      <c r="J11">
        <v>1.57498</v>
      </c>
      <c r="K11">
        <v>5.7594000000000003</v>
      </c>
      <c r="L11">
        <v>0.42775999999999997</v>
      </c>
      <c r="M11">
        <v>5.4081400000000002E-2</v>
      </c>
      <c r="N11">
        <v>0.56195300000000004</v>
      </c>
      <c r="O11">
        <v>0.33743800000000002</v>
      </c>
      <c r="P11">
        <v>0.13817299999999999</v>
      </c>
      <c r="Q11">
        <v>0.79379999999999995</v>
      </c>
      <c r="R11">
        <v>0.871888</v>
      </c>
      <c r="S11">
        <v>0.28423500000000002</v>
      </c>
      <c r="V11" t="s">
        <v>1</v>
      </c>
      <c r="W11">
        <v>2027</v>
      </c>
      <c r="X11">
        <v>25.3337</v>
      </c>
      <c r="Y11">
        <v>36.443600000000004</v>
      </c>
      <c r="Z11">
        <f t="shared" si="0"/>
        <v>61.777300000000004</v>
      </c>
      <c r="AA11">
        <f t="shared" si="1"/>
        <v>61.777216131000003</v>
      </c>
      <c r="AB11" t="s">
        <v>1</v>
      </c>
      <c r="AC11">
        <v>2027</v>
      </c>
      <c r="AD11">
        <v>0.4647</v>
      </c>
      <c r="AE11">
        <v>1.2901500000000001E-3</v>
      </c>
      <c r="AF11">
        <v>6.8702699999999999E-4</v>
      </c>
      <c r="AG11">
        <v>2.1691899999999999E-4</v>
      </c>
      <c r="AH11">
        <v>8.7023799999999998E-2</v>
      </c>
      <c r="AI11">
        <v>0.78777699999999995</v>
      </c>
      <c r="AJ11">
        <v>0.39440900000000001</v>
      </c>
      <c r="AK11">
        <v>8.3645200000000003E-2</v>
      </c>
      <c r="AL11">
        <v>0.374886</v>
      </c>
      <c r="AM11">
        <v>4.1778200000000001E-2</v>
      </c>
      <c r="AN11">
        <v>1.7133400000000001</v>
      </c>
      <c r="AO11">
        <v>0.43947599999999998</v>
      </c>
      <c r="AP11">
        <v>0.519235</v>
      </c>
      <c r="AQ11">
        <v>0.19644600000000001</v>
      </c>
      <c r="AR11">
        <v>6.5316299999999998</v>
      </c>
      <c r="AS11">
        <v>1.5855699999999999</v>
      </c>
      <c r="AT11">
        <v>1.71288</v>
      </c>
      <c r="AU11">
        <v>0.21196899999999999</v>
      </c>
      <c r="AV11">
        <v>5.76073E-2</v>
      </c>
      <c r="AW11">
        <v>3.6040700000000002E-2</v>
      </c>
      <c r="AX11">
        <v>1.2213699999999999E-2</v>
      </c>
      <c r="AY11">
        <v>5.0151400000000004E-3</v>
      </c>
      <c r="AZ11">
        <v>1.30613E-3</v>
      </c>
      <c r="BA11">
        <v>1.3592599999999999E-3</v>
      </c>
      <c r="BB11">
        <v>7.89875E-4</v>
      </c>
      <c r="BC11">
        <v>9.7317299999999992E-3</v>
      </c>
      <c r="BD11">
        <v>6.1577999999999999</v>
      </c>
      <c r="BE11">
        <v>1.40899</v>
      </c>
      <c r="BF11">
        <v>0.123151</v>
      </c>
      <c r="BG11">
        <v>0.17655199999999999</v>
      </c>
      <c r="BH11">
        <v>38.639699999999998</v>
      </c>
    </row>
    <row r="12" spans="1:60" x14ac:dyDescent="0.3">
      <c r="A12" t="s">
        <v>27</v>
      </c>
      <c r="B12">
        <v>2019</v>
      </c>
      <c r="C12" s="2">
        <v>4.6731200000000001E-2</v>
      </c>
      <c r="D12" s="2">
        <v>1.09989</v>
      </c>
      <c r="E12" s="2">
        <v>8.3341999999999999E-2</v>
      </c>
      <c r="F12" s="2">
        <v>6.3700699999999999E-2</v>
      </c>
      <c r="G12" s="2">
        <v>1.24296E-4</v>
      </c>
      <c r="H12" s="3">
        <v>8.2203899999999994E-5</v>
      </c>
      <c r="I12">
        <v>0.48960199999999998</v>
      </c>
      <c r="J12">
        <v>0.245588</v>
      </c>
      <c r="K12">
        <v>0.26254499999999997</v>
      </c>
      <c r="L12">
        <v>3.7302500000000002E-2</v>
      </c>
      <c r="M12">
        <v>0.12008199999999999</v>
      </c>
      <c r="N12">
        <v>0.94808800000000004</v>
      </c>
      <c r="O12">
        <v>5.9282500000000002E-2</v>
      </c>
      <c r="P12">
        <v>8.4193799999999999E-2</v>
      </c>
      <c r="Q12">
        <v>0.15659300000000001</v>
      </c>
      <c r="R12">
        <v>0.19750799999999999</v>
      </c>
      <c r="S12">
        <v>3.0493300000000001E-2</v>
      </c>
      <c r="V12" t="s">
        <v>1</v>
      </c>
      <c r="W12">
        <v>2028</v>
      </c>
      <c r="X12">
        <v>25.282499999999999</v>
      </c>
      <c r="Y12">
        <v>36.369900000000001</v>
      </c>
      <c r="Z12">
        <f t="shared" si="0"/>
        <v>61.6524</v>
      </c>
      <c r="AA12">
        <f t="shared" si="1"/>
        <v>61.652206240999995</v>
      </c>
      <c r="AB12" t="s">
        <v>1</v>
      </c>
      <c r="AC12">
        <v>2028</v>
      </c>
      <c r="AD12">
        <v>0.46757199999999999</v>
      </c>
      <c r="AE12">
        <v>1.27253E-3</v>
      </c>
      <c r="AF12">
        <v>6.8302499999999997E-4</v>
      </c>
      <c r="AG12">
        <v>2.2502000000000001E-4</v>
      </c>
      <c r="AH12">
        <v>8.7997500000000006E-2</v>
      </c>
      <c r="AI12">
        <v>0.78213200000000005</v>
      </c>
      <c r="AJ12">
        <v>0.38918700000000001</v>
      </c>
      <c r="AK12">
        <v>8.2836000000000007E-2</v>
      </c>
      <c r="AL12">
        <v>0.37207899999999999</v>
      </c>
      <c r="AM12">
        <v>4.1438299999999997E-2</v>
      </c>
      <c r="AN12">
        <v>1.69414</v>
      </c>
      <c r="AO12">
        <v>0.43674499999999999</v>
      </c>
      <c r="AP12">
        <v>0.51735699999999996</v>
      </c>
      <c r="AQ12">
        <v>0.19533500000000001</v>
      </c>
      <c r="AR12">
        <v>6.5219399999999998</v>
      </c>
      <c r="AS12">
        <v>1.57846</v>
      </c>
      <c r="AT12">
        <v>1.7098500000000001</v>
      </c>
      <c r="AU12">
        <v>0.211423</v>
      </c>
      <c r="AV12">
        <v>5.7541200000000001E-2</v>
      </c>
      <c r="AW12">
        <v>3.6017E-2</v>
      </c>
      <c r="AX12">
        <v>1.2075799999999999E-2</v>
      </c>
      <c r="AY12">
        <v>5.0562599999999999E-3</v>
      </c>
      <c r="AZ12">
        <v>1.3119799999999999E-3</v>
      </c>
      <c r="BA12">
        <v>1.3673400000000001E-3</v>
      </c>
      <c r="BB12">
        <v>7.9432600000000004E-4</v>
      </c>
      <c r="BC12">
        <v>9.7329600000000006E-3</v>
      </c>
      <c r="BD12">
        <v>6.1983199999999998</v>
      </c>
      <c r="BE12">
        <v>1.4038900000000001</v>
      </c>
      <c r="BF12">
        <v>0.120172</v>
      </c>
      <c r="BG12">
        <v>0.17505499999999999</v>
      </c>
      <c r="BH12">
        <v>38.540199999999999</v>
      </c>
    </row>
    <row r="13" spans="1:60" x14ac:dyDescent="0.3">
      <c r="A13" t="s">
        <v>28</v>
      </c>
      <c r="B13">
        <v>2019</v>
      </c>
      <c r="C13" s="2">
        <v>1.8543499999999999</v>
      </c>
      <c r="D13" s="2">
        <v>18.8812</v>
      </c>
      <c r="E13" s="2">
        <v>3.3051599999999999</v>
      </c>
      <c r="F13" s="2">
        <v>0.46571499999999999</v>
      </c>
      <c r="G13" s="3">
        <v>3.76093E-7</v>
      </c>
      <c r="H13" s="2">
        <v>3.8620299999999998E-3</v>
      </c>
      <c r="I13">
        <v>12.728300000000001</v>
      </c>
      <c r="J13">
        <v>4.1257799999999998</v>
      </c>
      <c r="K13">
        <v>16.1462</v>
      </c>
      <c r="L13">
        <v>1.2255</v>
      </c>
      <c r="M13">
        <v>0.23389499999999999</v>
      </c>
      <c r="N13">
        <v>2.3648899999999999</v>
      </c>
      <c r="O13">
        <v>0.78330500000000003</v>
      </c>
      <c r="P13">
        <v>0.60567199999999999</v>
      </c>
      <c r="Q13">
        <v>2.8592399999999998</v>
      </c>
      <c r="R13">
        <v>2.8584700000000001</v>
      </c>
      <c r="S13">
        <v>0.75378100000000003</v>
      </c>
      <c r="V13" t="s">
        <v>1</v>
      </c>
      <c r="W13">
        <v>2029</v>
      </c>
      <c r="X13">
        <v>25.231200000000001</v>
      </c>
      <c r="Y13">
        <v>36.296100000000003</v>
      </c>
      <c r="Z13">
        <f t="shared" si="0"/>
        <v>61.527300000000004</v>
      </c>
      <c r="AA13">
        <f t="shared" si="1"/>
        <v>61.52724490899999</v>
      </c>
      <c r="AB13" t="s">
        <v>1</v>
      </c>
      <c r="AC13">
        <v>2029</v>
      </c>
      <c r="AD13">
        <v>0.47059099999999998</v>
      </c>
      <c r="AE13">
        <v>1.2552799999999999E-3</v>
      </c>
      <c r="AF13">
        <v>6.7924599999999999E-4</v>
      </c>
      <c r="AG13">
        <v>2.3048099999999999E-4</v>
      </c>
      <c r="AH13">
        <v>8.90537E-2</v>
      </c>
      <c r="AI13">
        <v>0.77687099999999998</v>
      </c>
      <c r="AJ13">
        <v>0.38443100000000002</v>
      </c>
      <c r="AK13">
        <v>8.2128499999999993E-2</v>
      </c>
      <c r="AL13">
        <v>0.36949100000000001</v>
      </c>
      <c r="AM13">
        <v>4.1111500000000002E-2</v>
      </c>
      <c r="AN13">
        <v>1.6765699999999999</v>
      </c>
      <c r="AO13">
        <v>0.43420399999999998</v>
      </c>
      <c r="AP13">
        <v>0.51595899999999995</v>
      </c>
      <c r="AQ13">
        <v>0.194216</v>
      </c>
      <c r="AR13">
        <v>6.5110900000000003</v>
      </c>
      <c r="AS13">
        <v>1.5722700000000001</v>
      </c>
      <c r="AT13">
        <v>1.7074499999999999</v>
      </c>
      <c r="AU13">
        <v>0.210727</v>
      </c>
      <c r="AV13">
        <v>5.7459299999999998E-2</v>
      </c>
      <c r="AW13">
        <v>3.6019700000000002E-2</v>
      </c>
      <c r="AX13">
        <v>1.1917499999999999E-2</v>
      </c>
      <c r="AY13">
        <v>5.0939000000000002E-3</v>
      </c>
      <c r="AZ13">
        <v>1.3179400000000001E-3</v>
      </c>
      <c r="BA13">
        <v>1.37572E-3</v>
      </c>
      <c r="BB13">
        <v>7.9892199999999998E-4</v>
      </c>
      <c r="BC13">
        <v>9.7282199999999992E-3</v>
      </c>
      <c r="BD13">
        <v>6.2347599999999996</v>
      </c>
      <c r="BE13">
        <v>1.39951</v>
      </c>
      <c r="BF13">
        <v>0.117393</v>
      </c>
      <c r="BG13">
        <v>0.17374200000000001</v>
      </c>
      <c r="BH13">
        <v>38.439799999999998</v>
      </c>
    </row>
    <row r="14" spans="1:60" x14ac:dyDescent="0.3">
      <c r="A14" t="s">
        <v>29</v>
      </c>
      <c r="B14">
        <v>2019</v>
      </c>
      <c r="C14" s="2">
        <v>0.46374300000000002</v>
      </c>
      <c r="D14" s="2">
        <v>12.8771</v>
      </c>
      <c r="E14" s="2">
        <v>0.99185000000000001</v>
      </c>
      <c r="F14" s="2">
        <v>0.30088700000000002</v>
      </c>
      <c r="G14" s="2">
        <v>1.0985400000000001E-3</v>
      </c>
      <c r="H14" s="2">
        <v>1.4807500000000001E-3</v>
      </c>
      <c r="I14">
        <v>2.72235</v>
      </c>
      <c r="J14">
        <v>1.1433</v>
      </c>
      <c r="K14">
        <v>3.8859300000000001</v>
      </c>
      <c r="L14">
        <v>0.38735799999999998</v>
      </c>
      <c r="M14">
        <v>0.131434</v>
      </c>
      <c r="N14">
        <v>1.5803199999999999</v>
      </c>
      <c r="O14">
        <v>0.258633</v>
      </c>
      <c r="P14">
        <v>0.27607599999999999</v>
      </c>
      <c r="Q14">
        <v>0.75412299999999999</v>
      </c>
      <c r="R14">
        <v>0.70174999999999998</v>
      </c>
      <c r="S14">
        <v>0.30401800000000001</v>
      </c>
      <c r="V14" t="s">
        <v>1</v>
      </c>
      <c r="W14">
        <v>2030</v>
      </c>
      <c r="X14">
        <v>25.1799</v>
      </c>
      <c r="Y14">
        <v>36.2224</v>
      </c>
      <c r="Z14">
        <f t="shared" si="0"/>
        <v>61.402299999999997</v>
      </c>
      <c r="AA14">
        <f t="shared" si="1"/>
        <v>61.402232617999999</v>
      </c>
      <c r="AB14" t="s">
        <v>1</v>
      </c>
      <c r="AC14">
        <v>2030</v>
      </c>
      <c r="AD14">
        <v>0.47372799999999998</v>
      </c>
      <c r="AE14">
        <v>1.2387399999999999E-3</v>
      </c>
      <c r="AF14">
        <v>6.7568800000000003E-4</v>
      </c>
      <c r="AG14">
        <v>2.3370500000000001E-4</v>
      </c>
      <c r="AH14">
        <v>9.0189800000000001E-2</v>
      </c>
      <c r="AI14">
        <v>0.77196100000000001</v>
      </c>
      <c r="AJ14">
        <v>0.380083</v>
      </c>
      <c r="AK14">
        <v>8.1509300000000007E-2</v>
      </c>
      <c r="AL14">
        <v>0.36710300000000001</v>
      </c>
      <c r="AM14">
        <v>4.0793999999999997E-2</v>
      </c>
      <c r="AN14">
        <v>1.66049</v>
      </c>
      <c r="AO14">
        <v>0.43185600000000002</v>
      </c>
      <c r="AP14">
        <v>0.51501300000000005</v>
      </c>
      <c r="AQ14">
        <v>0.19313</v>
      </c>
      <c r="AR14">
        <v>6.49925</v>
      </c>
      <c r="AS14">
        <v>1.5668599999999999</v>
      </c>
      <c r="AT14">
        <v>1.7056</v>
      </c>
      <c r="AU14">
        <v>0.20986299999999999</v>
      </c>
      <c r="AV14">
        <v>5.7379300000000001E-2</v>
      </c>
      <c r="AW14">
        <v>3.6042999999999999E-2</v>
      </c>
      <c r="AX14">
        <v>1.1757500000000001E-2</v>
      </c>
      <c r="AY14">
        <v>5.1270999999999999E-3</v>
      </c>
      <c r="AZ14">
        <v>1.32427E-3</v>
      </c>
      <c r="BA14">
        <v>1.38462E-3</v>
      </c>
      <c r="BB14">
        <v>8.0380499999999999E-4</v>
      </c>
      <c r="BC14">
        <v>9.72079E-3</v>
      </c>
      <c r="BD14">
        <v>6.2673899999999998</v>
      </c>
      <c r="BE14">
        <v>1.39574</v>
      </c>
      <c r="BF14">
        <v>0.11479399999999999</v>
      </c>
      <c r="BG14">
        <v>0.17258999999999999</v>
      </c>
      <c r="BH14">
        <v>38.3386</v>
      </c>
    </row>
    <row r="15" spans="1:60" x14ac:dyDescent="0.3">
      <c r="A15" t="s">
        <v>30</v>
      </c>
      <c r="B15">
        <v>2019</v>
      </c>
      <c r="C15" s="2">
        <v>0.56313800000000003</v>
      </c>
      <c r="D15" s="2">
        <v>6.6322200000000002</v>
      </c>
      <c r="E15" s="2">
        <v>1.17628</v>
      </c>
      <c r="F15" s="2">
        <v>0.20992</v>
      </c>
      <c r="G15" s="3">
        <v>1.5868499999999999E-5</v>
      </c>
      <c r="H15" s="2">
        <v>5.4603200000000001E-4</v>
      </c>
      <c r="I15">
        <v>1.7567900000000001</v>
      </c>
      <c r="J15">
        <v>0.52473099999999995</v>
      </c>
      <c r="K15">
        <v>2.94767</v>
      </c>
      <c r="L15">
        <v>0.29798799999999998</v>
      </c>
      <c r="M15">
        <v>0.21824499999999999</v>
      </c>
      <c r="N15">
        <v>0.48184100000000002</v>
      </c>
      <c r="O15">
        <v>0.122627</v>
      </c>
      <c r="P15">
        <v>0.20461599999999999</v>
      </c>
      <c r="Q15">
        <v>0.28245100000000001</v>
      </c>
      <c r="R15">
        <v>0.52198599999999995</v>
      </c>
      <c r="S15">
        <v>0.25454100000000002</v>
      </c>
      <c r="V15" t="s">
        <v>1</v>
      </c>
      <c r="W15">
        <v>2031</v>
      </c>
      <c r="X15">
        <v>25.1081</v>
      </c>
      <c r="Y15">
        <v>36.119</v>
      </c>
      <c r="Z15">
        <f t="shared" si="0"/>
        <v>61.2271</v>
      </c>
      <c r="AA15">
        <f t="shared" si="1"/>
        <v>61.226862424000004</v>
      </c>
      <c r="AB15" t="s">
        <v>1</v>
      </c>
      <c r="AC15">
        <v>2031</v>
      </c>
      <c r="AD15">
        <v>0.475854</v>
      </c>
      <c r="AE15">
        <v>1.2162799999999999E-3</v>
      </c>
      <c r="AF15">
        <v>6.6882699999999998E-4</v>
      </c>
      <c r="AG15">
        <v>2.3807099999999999E-4</v>
      </c>
      <c r="AH15">
        <v>9.0761400000000006E-2</v>
      </c>
      <c r="AI15">
        <v>0.76606799999999997</v>
      </c>
      <c r="AJ15">
        <v>0.37543900000000002</v>
      </c>
      <c r="AK15">
        <v>8.0607799999999993E-2</v>
      </c>
      <c r="AL15">
        <v>0.36363600000000001</v>
      </c>
      <c r="AM15">
        <v>4.0430199999999999E-2</v>
      </c>
      <c r="AN15">
        <v>1.6376299999999999</v>
      </c>
      <c r="AO15">
        <v>0.42882100000000001</v>
      </c>
      <c r="AP15">
        <v>0.51293100000000003</v>
      </c>
      <c r="AQ15">
        <v>0.19267999999999999</v>
      </c>
      <c r="AR15">
        <v>6.4744900000000003</v>
      </c>
      <c r="AS15">
        <v>1.5605199999999999</v>
      </c>
      <c r="AT15">
        <v>1.7013400000000001</v>
      </c>
      <c r="AU15">
        <v>0.20955799999999999</v>
      </c>
      <c r="AV15">
        <v>5.7016900000000002E-2</v>
      </c>
      <c r="AW15">
        <v>3.6191000000000001E-2</v>
      </c>
      <c r="AX15">
        <v>1.18707E-2</v>
      </c>
      <c r="AY15">
        <v>5.2050300000000002E-3</v>
      </c>
      <c r="AZ15">
        <v>1.3251599999999999E-3</v>
      </c>
      <c r="BA15">
        <v>1.38817E-3</v>
      </c>
      <c r="BB15">
        <v>8.0553600000000003E-4</v>
      </c>
      <c r="BC15">
        <v>9.6983499999999997E-3</v>
      </c>
      <c r="BD15">
        <v>6.3052099999999998</v>
      </c>
      <c r="BE15">
        <v>1.3878600000000001</v>
      </c>
      <c r="BF15">
        <v>0.11144</v>
      </c>
      <c r="BG15">
        <v>0.170462</v>
      </c>
      <c r="BH15">
        <v>38.215499999999999</v>
      </c>
    </row>
    <row r="16" spans="1:60" x14ac:dyDescent="0.3">
      <c r="A16" t="s">
        <v>31</v>
      </c>
      <c r="B16">
        <v>2019</v>
      </c>
      <c r="C16" s="2">
        <v>0.20271700000000001</v>
      </c>
      <c r="D16" s="2">
        <v>4.5673899999999996</v>
      </c>
      <c r="E16" s="2">
        <v>0.80435999999999996</v>
      </c>
      <c r="F16" s="2">
        <v>0.29470400000000002</v>
      </c>
      <c r="G16" s="2">
        <v>7.8753299999999998E-3</v>
      </c>
      <c r="H16" s="2">
        <v>1.18381E-4</v>
      </c>
      <c r="I16">
        <v>1.9782500000000001</v>
      </c>
      <c r="J16">
        <v>0.93108500000000005</v>
      </c>
      <c r="K16">
        <v>2.5796800000000002</v>
      </c>
      <c r="L16">
        <v>0.174515</v>
      </c>
      <c r="M16">
        <v>0.33087800000000001</v>
      </c>
      <c r="N16">
        <v>1.1966300000000001</v>
      </c>
      <c r="O16">
        <v>0.65188599999999997</v>
      </c>
      <c r="P16">
        <v>9.6741499999999994E-2</v>
      </c>
      <c r="Q16">
        <v>0.28279300000000002</v>
      </c>
      <c r="R16">
        <v>0.49331599999999998</v>
      </c>
      <c r="S16">
        <v>0.29571500000000001</v>
      </c>
      <c r="V16" t="s">
        <v>1</v>
      </c>
      <c r="W16">
        <v>2032</v>
      </c>
      <c r="X16">
        <v>25.036200000000001</v>
      </c>
      <c r="Y16">
        <v>36.015700000000002</v>
      </c>
      <c r="Z16">
        <f t="shared" si="0"/>
        <v>61.051900000000003</v>
      </c>
      <c r="AA16">
        <f t="shared" si="1"/>
        <v>61.051662040000004</v>
      </c>
      <c r="AB16" t="s">
        <v>1</v>
      </c>
      <c r="AC16">
        <v>2032</v>
      </c>
      <c r="AD16">
        <v>0.47814200000000001</v>
      </c>
      <c r="AE16">
        <v>1.19582E-3</v>
      </c>
      <c r="AF16">
        <v>6.6228299999999995E-4</v>
      </c>
      <c r="AG16">
        <v>2.40554E-4</v>
      </c>
      <c r="AH16">
        <v>9.1612200000000005E-2</v>
      </c>
      <c r="AI16">
        <v>0.76048000000000004</v>
      </c>
      <c r="AJ16">
        <v>0.370892</v>
      </c>
      <c r="AK16">
        <v>7.9784800000000003E-2</v>
      </c>
      <c r="AL16">
        <v>0.360485</v>
      </c>
      <c r="AM16">
        <v>4.0091000000000002E-2</v>
      </c>
      <c r="AN16">
        <v>1.61713</v>
      </c>
      <c r="AO16">
        <v>0.42590600000000001</v>
      </c>
      <c r="AP16">
        <v>0.51172200000000001</v>
      </c>
      <c r="AQ16">
        <v>0.191443</v>
      </c>
      <c r="AR16">
        <v>6.4509499999999997</v>
      </c>
      <c r="AS16">
        <v>1.55569</v>
      </c>
      <c r="AT16">
        <v>1.69764</v>
      </c>
      <c r="AU16">
        <v>0.209448</v>
      </c>
      <c r="AV16">
        <v>5.6535299999999997E-2</v>
      </c>
      <c r="AW16">
        <v>3.6315600000000003E-2</v>
      </c>
      <c r="AX16">
        <v>1.1803900000000001E-2</v>
      </c>
      <c r="AY16">
        <v>5.2675100000000004E-3</v>
      </c>
      <c r="AZ16">
        <v>1.3242799999999999E-3</v>
      </c>
      <c r="BA16">
        <v>1.39018E-3</v>
      </c>
      <c r="BB16">
        <v>8.0633300000000001E-4</v>
      </c>
      <c r="BC16">
        <v>9.6492799999999997E-3</v>
      </c>
      <c r="BD16">
        <v>6.3365099999999996</v>
      </c>
      <c r="BE16">
        <v>1.38089</v>
      </c>
      <c r="BF16">
        <v>0.108417</v>
      </c>
      <c r="BG16">
        <v>0.16863800000000001</v>
      </c>
      <c r="BH16">
        <v>38.090600000000002</v>
      </c>
    </row>
    <row r="17" spans="1:60" x14ac:dyDescent="0.3">
      <c r="A17" t="s">
        <v>32</v>
      </c>
      <c r="B17">
        <v>2019</v>
      </c>
      <c r="C17" s="2">
        <v>6.6152100000000003</v>
      </c>
      <c r="D17" s="2">
        <v>49.458300000000001</v>
      </c>
      <c r="E17" s="2">
        <v>11.8583</v>
      </c>
      <c r="F17" s="2">
        <v>1.7517100000000001</v>
      </c>
      <c r="G17" s="3">
        <v>3.23894E-9</v>
      </c>
      <c r="H17" s="2">
        <v>6.8091599999999999E-3</v>
      </c>
      <c r="I17">
        <v>36.223599999999998</v>
      </c>
      <c r="J17">
        <v>5.2904099999999996</v>
      </c>
      <c r="K17">
        <v>38.423099999999998</v>
      </c>
      <c r="L17">
        <v>3.2237100000000001</v>
      </c>
      <c r="M17">
        <v>0.479852</v>
      </c>
      <c r="N17">
        <v>4.4307100000000004</v>
      </c>
      <c r="O17">
        <v>0.92022700000000002</v>
      </c>
      <c r="P17">
        <v>1.2396499999999999</v>
      </c>
      <c r="Q17">
        <v>4.1748700000000003</v>
      </c>
      <c r="R17">
        <v>6.6887600000000003</v>
      </c>
      <c r="S17">
        <v>1.2577799999999999</v>
      </c>
      <c r="V17" t="s">
        <v>1</v>
      </c>
      <c r="W17">
        <v>2033</v>
      </c>
      <c r="X17">
        <v>24.964400000000001</v>
      </c>
      <c r="Y17">
        <v>35.912300000000002</v>
      </c>
      <c r="Z17">
        <f t="shared" si="0"/>
        <v>60.8767</v>
      </c>
      <c r="AA17">
        <f t="shared" si="1"/>
        <v>60.876342216999994</v>
      </c>
      <c r="AB17" t="s">
        <v>1</v>
      </c>
      <c r="AC17">
        <v>2033</v>
      </c>
      <c r="AD17">
        <v>0.48051100000000002</v>
      </c>
      <c r="AE17">
        <v>1.17716E-3</v>
      </c>
      <c r="AF17">
        <v>6.5611499999999998E-4</v>
      </c>
      <c r="AG17">
        <v>2.4141700000000001E-4</v>
      </c>
      <c r="AH17">
        <v>9.2518400000000001E-2</v>
      </c>
      <c r="AI17">
        <v>0.75519599999999998</v>
      </c>
      <c r="AJ17">
        <v>0.36673299999999998</v>
      </c>
      <c r="AK17">
        <v>7.9052399999999995E-2</v>
      </c>
      <c r="AL17">
        <v>0.35758200000000001</v>
      </c>
      <c r="AM17">
        <v>3.9767400000000001E-2</v>
      </c>
      <c r="AN17">
        <v>1.5985799999999999</v>
      </c>
      <c r="AO17">
        <v>0.423232</v>
      </c>
      <c r="AP17">
        <v>0.51086500000000001</v>
      </c>
      <c r="AQ17">
        <v>0.19024099999999999</v>
      </c>
      <c r="AR17">
        <v>6.4278199999999996</v>
      </c>
      <c r="AS17">
        <v>1.55142</v>
      </c>
      <c r="AT17">
        <v>1.69445</v>
      </c>
      <c r="AU17">
        <v>0.20899400000000001</v>
      </c>
      <c r="AV17">
        <v>5.6075E-2</v>
      </c>
      <c r="AW17">
        <v>3.6436400000000001E-2</v>
      </c>
      <c r="AX17">
        <v>1.17129E-2</v>
      </c>
      <c r="AY17">
        <v>5.3221099999999997E-3</v>
      </c>
      <c r="AZ17">
        <v>1.3238E-3</v>
      </c>
      <c r="BA17">
        <v>1.3926800000000001E-3</v>
      </c>
      <c r="BB17">
        <v>8.0740499999999997E-4</v>
      </c>
      <c r="BC17">
        <v>9.5990299999999997E-3</v>
      </c>
      <c r="BD17">
        <v>6.3634399999999998</v>
      </c>
      <c r="BE17">
        <v>1.3747199999999999</v>
      </c>
      <c r="BF17">
        <v>0.105641</v>
      </c>
      <c r="BG17">
        <v>0.16703499999999999</v>
      </c>
      <c r="BH17">
        <v>37.963799999999999</v>
      </c>
    </row>
    <row r="18" spans="1:60" x14ac:dyDescent="0.3">
      <c r="A18" t="s">
        <v>33</v>
      </c>
      <c r="B18">
        <v>2019</v>
      </c>
      <c r="C18" s="2">
        <v>1.67099</v>
      </c>
      <c r="D18" s="2">
        <v>9.9661399999999993</v>
      </c>
      <c r="E18" s="2">
        <v>4.2536100000000001</v>
      </c>
      <c r="F18" s="2">
        <v>0.93298899999999996</v>
      </c>
      <c r="G18" s="3">
        <v>6.3999099999999999E-10</v>
      </c>
      <c r="H18" s="2">
        <v>5.8756199999999998E-3</v>
      </c>
      <c r="I18">
        <v>11.5685</v>
      </c>
      <c r="J18">
        <v>2.7755399999999999</v>
      </c>
      <c r="K18">
        <v>10.9419</v>
      </c>
      <c r="L18">
        <v>0.90874900000000003</v>
      </c>
      <c r="M18">
        <v>0.257739</v>
      </c>
      <c r="N18">
        <v>1.9313400000000001</v>
      </c>
      <c r="O18">
        <v>0.68861700000000003</v>
      </c>
      <c r="P18">
        <v>0.17138500000000001</v>
      </c>
      <c r="Q18">
        <v>2.48509</v>
      </c>
      <c r="R18">
        <v>1.21591</v>
      </c>
      <c r="S18">
        <v>0.50403200000000004</v>
      </c>
      <c r="V18" t="s">
        <v>1</v>
      </c>
      <c r="W18">
        <v>2034</v>
      </c>
      <c r="X18">
        <v>24.892499999999998</v>
      </c>
      <c r="Y18">
        <v>35.808900000000001</v>
      </c>
      <c r="Z18">
        <f t="shared" si="0"/>
        <v>60.7014</v>
      </c>
      <c r="AA18">
        <f t="shared" si="1"/>
        <v>60.701147061</v>
      </c>
      <c r="AB18" t="s">
        <v>1</v>
      </c>
      <c r="AC18">
        <v>2034</v>
      </c>
      <c r="AD18">
        <v>0.482927</v>
      </c>
      <c r="AE18">
        <v>1.15989E-3</v>
      </c>
      <c r="AF18">
        <v>6.50298E-4</v>
      </c>
      <c r="AG18">
        <v>2.4109000000000001E-4</v>
      </c>
      <c r="AH18">
        <v>9.3477299999999999E-2</v>
      </c>
      <c r="AI18">
        <v>0.75020699999999996</v>
      </c>
      <c r="AJ18">
        <v>0.362923</v>
      </c>
      <c r="AK18">
        <v>7.8397700000000001E-2</v>
      </c>
      <c r="AL18">
        <v>0.35489700000000002</v>
      </c>
      <c r="AM18">
        <v>3.9454700000000002E-2</v>
      </c>
      <c r="AN18">
        <v>1.5817000000000001</v>
      </c>
      <c r="AO18">
        <v>0.42076999999999998</v>
      </c>
      <c r="AP18">
        <v>0.510301</v>
      </c>
      <c r="AQ18">
        <v>0.189081</v>
      </c>
      <c r="AR18">
        <v>6.4050500000000001</v>
      </c>
      <c r="AS18">
        <v>1.5475399999999999</v>
      </c>
      <c r="AT18">
        <v>1.6916899999999999</v>
      </c>
      <c r="AU18">
        <v>0.20821600000000001</v>
      </c>
      <c r="AV18">
        <v>5.5654599999999999E-2</v>
      </c>
      <c r="AW18">
        <v>3.6556999999999999E-2</v>
      </c>
      <c r="AX18">
        <v>1.1621599999999999E-2</v>
      </c>
      <c r="AY18">
        <v>5.3693100000000004E-3</v>
      </c>
      <c r="AZ18">
        <v>1.3240400000000001E-3</v>
      </c>
      <c r="BA18">
        <v>1.3959599999999999E-3</v>
      </c>
      <c r="BB18">
        <v>8.0892300000000002E-4</v>
      </c>
      <c r="BC18">
        <v>9.5516500000000001E-3</v>
      </c>
      <c r="BD18">
        <v>6.3863599999999998</v>
      </c>
      <c r="BE18">
        <v>1.3692299999999999</v>
      </c>
      <c r="BF18">
        <v>0.103075</v>
      </c>
      <c r="BG18">
        <v>0.16561600000000001</v>
      </c>
      <c r="BH18">
        <v>37.835900000000002</v>
      </c>
    </row>
    <row r="19" spans="1:60" x14ac:dyDescent="0.3">
      <c r="A19" t="s">
        <v>34</v>
      </c>
      <c r="B19">
        <v>2019</v>
      </c>
      <c r="C19" s="2">
        <v>1.76074</v>
      </c>
      <c r="D19" s="2">
        <v>5.8539099999999999</v>
      </c>
      <c r="E19" s="2">
        <v>1.28122</v>
      </c>
      <c r="F19" s="2">
        <v>0.186667</v>
      </c>
      <c r="G19" s="2">
        <v>4.414E-4</v>
      </c>
      <c r="H19" s="2">
        <v>1.1589599999999999E-3</v>
      </c>
      <c r="I19">
        <v>27.7043</v>
      </c>
      <c r="J19">
        <v>2.3663500000000002</v>
      </c>
      <c r="K19">
        <v>7.9406800000000004</v>
      </c>
      <c r="L19">
        <v>0.64837599999999995</v>
      </c>
      <c r="M19">
        <v>0.20835300000000001</v>
      </c>
      <c r="N19">
        <v>1.2022299999999999</v>
      </c>
      <c r="O19">
        <v>0.40882800000000002</v>
      </c>
      <c r="P19">
        <v>0.59612699999999996</v>
      </c>
      <c r="Q19">
        <v>0.51290100000000005</v>
      </c>
      <c r="R19">
        <v>0.81080300000000005</v>
      </c>
      <c r="S19">
        <v>0.26342599999999999</v>
      </c>
      <c r="V19" t="s">
        <v>1</v>
      </c>
      <c r="W19">
        <v>2035</v>
      </c>
      <c r="X19">
        <v>24.820599999999999</v>
      </c>
      <c r="Y19">
        <v>35.705500000000001</v>
      </c>
      <c r="Z19">
        <f t="shared" si="0"/>
        <v>60.5261</v>
      </c>
      <c r="AA19">
        <f t="shared" si="1"/>
        <v>60.525837070999998</v>
      </c>
      <c r="AB19" t="s">
        <v>1</v>
      </c>
      <c r="AC19">
        <v>2035</v>
      </c>
      <c r="AD19">
        <v>0.48536899999999999</v>
      </c>
      <c r="AE19">
        <v>1.14383E-3</v>
      </c>
      <c r="AF19">
        <v>6.4481499999999997E-4</v>
      </c>
      <c r="AG19">
        <v>2.3989200000000001E-4</v>
      </c>
      <c r="AH19">
        <v>9.4481700000000002E-2</v>
      </c>
      <c r="AI19">
        <v>0.74549200000000004</v>
      </c>
      <c r="AJ19">
        <v>0.35943399999999998</v>
      </c>
      <c r="AK19">
        <v>7.7809799999999998E-2</v>
      </c>
      <c r="AL19">
        <v>0.35240300000000002</v>
      </c>
      <c r="AM19">
        <v>3.9150200000000003E-2</v>
      </c>
      <c r="AN19">
        <v>1.56626</v>
      </c>
      <c r="AO19">
        <v>0.41849399999999998</v>
      </c>
      <c r="AP19">
        <v>0.50997099999999995</v>
      </c>
      <c r="AQ19">
        <v>0.18796399999999999</v>
      </c>
      <c r="AR19">
        <v>6.3826599999999996</v>
      </c>
      <c r="AS19">
        <v>1.54392</v>
      </c>
      <c r="AT19">
        <v>1.6893199999999999</v>
      </c>
      <c r="AU19">
        <v>0.207206</v>
      </c>
      <c r="AV19">
        <v>5.52729E-2</v>
      </c>
      <c r="AW19">
        <v>3.6674499999999999E-2</v>
      </c>
      <c r="AX19">
        <v>1.15307E-2</v>
      </c>
      <c r="AY19">
        <v>5.4086300000000002E-3</v>
      </c>
      <c r="AZ19">
        <v>1.3249799999999999E-3</v>
      </c>
      <c r="BA19">
        <v>1.4E-3</v>
      </c>
      <c r="BB19">
        <v>8.1087399999999995E-4</v>
      </c>
      <c r="BC19">
        <v>9.5072500000000001E-3</v>
      </c>
      <c r="BD19">
        <v>6.4055900000000001</v>
      </c>
      <c r="BE19">
        <v>1.3643099999999999</v>
      </c>
      <c r="BF19">
        <v>0.10069</v>
      </c>
      <c r="BG19">
        <v>0.164354</v>
      </c>
      <c r="BH19">
        <v>37.707000000000001</v>
      </c>
    </row>
    <row r="20" spans="1:60" x14ac:dyDescent="0.3">
      <c r="A20" t="s">
        <v>35</v>
      </c>
      <c r="B20">
        <v>2019</v>
      </c>
      <c r="C20" s="2">
        <v>0.23814099999999999</v>
      </c>
      <c r="D20" s="2">
        <v>5.0186599999999997</v>
      </c>
      <c r="E20" s="2">
        <v>0.55387900000000001</v>
      </c>
      <c r="F20" s="2">
        <v>1.2641199999999999</v>
      </c>
      <c r="G20" s="2">
        <v>1.7863299999999999E-2</v>
      </c>
      <c r="H20" s="2">
        <v>1.85867E-3</v>
      </c>
      <c r="I20">
        <v>2.7208899999999998</v>
      </c>
      <c r="J20">
        <v>0.97823199999999999</v>
      </c>
      <c r="K20">
        <v>2.2060900000000001</v>
      </c>
      <c r="L20">
        <v>0.35295799999999999</v>
      </c>
      <c r="M20">
        <v>0.54177600000000004</v>
      </c>
      <c r="N20">
        <v>0.89046400000000003</v>
      </c>
      <c r="O20">
        <v>0.28070699999999998</v>
      </c>
      <c r="P20">
        <v>0.36798399999999998</v>
      </c>
      <c r="Q20">
        <v>3.45343</v>
      </c>
      <c r="R20">
        <v>0.59402500000000003</v>
      </c>
      <c r="S20">
        <v>0.361431</v>
      </c>
      <c r="V20" t="s">
        <v>1</v>
      </c>
      <c r="W20">
        <v>2036</v>
      </c>
      <c r="X20">
        <v>24.719100000000001</v>
      </c>
      <c r="Y20">
        <v>35.5595</v>
      </c>
      <c r="Z20">
        <f t="shared" si="0"/>
        <v>60.278599999999997</v>
      </c>
      <c r="AA20">
        <f t="shared" si="1"/>
        <v>60.278270696999996</v>
      </c>
      <c r="AB20" t="s">
        <v>1</v>
      </c>
      <c r="AC20">
        <v>2036</v>
      </c>
      <c r="AD20">
        <v>0.48692400000000002</v>
      </c>
      <c r="AE20">
        <v>1.1249000000000001E-3</v>
      </c>
      <c r="AF20">
        <v>6.3706199999999998E-4</v>
      </c>
      <c r="AG20">
        <v>2.3965E-4</v>
      </c>
      <c r="AH20">
        <v>9.4885700000000003E-2</v>
      </c>
      <c r="AI20">
        <v>0.73991700000000005</v>
      </c>
      <c r="AJ20">
        <v>0.35644300000000001</v>
      </c>
      <c r="AK20">
        <v>7.7112E-2</v>
      </c>
      <c r="AL20">
        <v>0.349134</v>
      </c>
      <c r="AM20">
        <v>3.87896E-2</v>
      </c>
      <c r="AN20">
        <v>1.54616</v>
      </c>
      <c r="AO20">
        <v>0.41565600000000003</v>
      </c>
      <c r="AP20">
        <v>0.50851000000000002</v>
      </c>
      <c r="AQ20">
        <v>0.18745400000000001</v>
      </c>
      <c r="AR20">
        <v>6.3463500000000002</v>
      </c>
      <c r="AS20">
        <v>1.5384599999999999</v>
      </c>
      <c r="AT20">
        <v>1.68573</v>
      </c>
      <c r="AU20">
        <v>0.206424</v>
      </c>
      <c r="AV20">
        <v>5.4683000000000002E-2</v>
      </c>
      <c r="AW20">
        <v>3.68273E-2</v>
      </c>
      <c r="AX20">
        <v>1.16098E-2</v>
      </c>
      <c r="AY20">
        <v>5.4732899999999996E-3</v>
      </c>
      <c r="AZ20">
        <v>1.3216E-3</v>
      </c>
      <c r="BA20">
        <v>1.3997E-3</v>
      </c>
      <c r="BB20">
        <v>8.10285E-4</v>
      </c>
      <c r="BC20">
        <v>9.4488100000000002E-3</v>
      </c>
      <c r="BD20">
        <v>6.4226200000000002</v>
      </c>
      <c r="BE20">
        <v>1.35599</v>
      </c>
      <c r="BF20">
        <v>9.7919999999999993E-2</v>
      </c>
      <c r="BG20">
        <v>0.162416</v>
      </c>
      <c r="BH20">
        <v>37.537799999999997</v>
      </c>
    </row>
    <row r="21" spans="1:60" x14ac:dyDescent="0.3">
      <c r="A21" t="s">
        <v>36</v>
      </c>
      <c r="B21">
        <v>2019</v>
      </c>
      <c r="C21" s="2">
        <v>5.4872600000000001E-2</v>
      </c>
      <c r="D21" s="2">
        <v>0.41482799999999997</v>
      </c>
      <c r="E21" s="2">
        <v>8.7961899999999996E-2</v>
      </c>
      <c r="F21" s="2">
        <v>0.35048099999999999</v>
      </c>
      <c r="G21" s="3">
        <v>6.79231E-6</v>
      </c>
      <c r="H21" s="3">
        <v>5.63869E-7</v>
      </c>
      <c r="I21">
        <v>1.4113899999999999</v>
      </c>
      <c r="J21">
        <v>4.6764800000000002E-2</v>
      </c>
      <c r="K21">
        <v>0.49106699999999998</v>
      </c>
      <c r="L21">
        <v>3.7866499999999997E-2</v>
      </c>
      <c r="M21">
        <v>0.30793599999999999</v>
      </c>
      <c r="N21">
        <v>1.99872E-2</v>
      </c>
      <c r="O21">
        <v>0.145124</v>
      </c>
      <c r="P21" s="1">
        <v>1.0989799999999999E-5</v>
      </c>
      <c r="Q21">
        <v>0.108276</v>
      </c>
      <c r="R21">
        <v>9.3363700000000001E-3</v>
      </c>
      <c r="S21" s="1">
        <v>5.3118599999999997E-6</v>
      </c>
      <c r="V21" t="s">
        <v>1</v>
      </c>
      <c r="W21">
        <v>2037</v>
      </c>
      <c r="X21">
        <v>24.617599999999999</v>
      </c>
      <c r="Y21">
        <v>35.413499999999999</v>
      </c>
      <c r="Z21">
        <f t="shared" si="0"/>
        <v>60.031099999999995</v>
      </c>
      <c r="AA21">
        <f t="shared" si="1"/>
        <v>60.030788383999997</v>
      </c>
      <c r="AB21" t="s">
        <v>1</v>
      </c>
      <c r="AC21">
        <v>2037</v>
      </c>
      <c r="AD21">
        <v>0.48853099999999999</v>
      </c>
      <c r="AE21">
        <v>1.1070299999999999E-3</v>
      </c>
      <c r="AF21">
        <v>6.2969800000000004E-4</v>
      </c>
      <c r="AG21">
        <v>2.3867800000000001E-4</v>
      </c>
      <c r="AH21">
        <v>9.55313E-2</v>
      </c>
      <c r="AI21">
        <v>0.73456699999999997</v>
      </c>
      <c r="AJ21">
        <v>0.35331200000000001</v>
      </c>
      <c r="AK21">
        <v>7.6443899999999995E-2</v>
      </c>
      <c r="AL21">
        <v>0.34609600000000001</v>
      </c>
      <c r="AM21">
        <v>3.8446800000000003E-2</v>
      </c>
      <c r="AN21">
        <v>1.52779</v>
      </c>
      <c r="AO21">
        <v>0.41286499999999998</v>
      </c>
      <c r="AP21">
        <v>0.50765800000000005</v>
      </c>
      <c r="AQ21">
        <v>0.18621399999999999</v>
      </c>
      <c r="AR21">
        <v>6.3118499999999997</v>
      </c>
      <c r="AS21">
        <v>1.5339799999999999</v>
      </c>
      <c r="AT21">
        <v>1.68221</v>
      </c>
      <c r="AU21">
        <v>0.20566699999999999</v>
      </c>
      <c r="AV21">
        <v>5.4054199999999997E-2</v>
      </c>
      <c r="AW21">
        <v>3.6960899999999998E-2</v>
      </c>
      <c r="AX21">
        <v>1.1580399999999999E-2</v>
      </c>
      <c r="AY21">
        <v>5.52565E-3</v>
      </c>
      <c r="AZ21">
        <v>1.31752E-3</v>
      </c>
      <c r="BA21">
        <v>1.3988E-3</v>
      </c>
      <c r="BB21">
        <v>8.09328E-4</v>
      </c>
      <c r="BC21">
        <v>9.3780800000000004E-3</v>
      </c>
      <c r="BD21">
        <v>6.4342800000000002</v>
      </c>
      <c r="BE21">
        <v>1.3483400000000001</v>
      </c>
      <c r="BF21">
        <v>9.5396099999999998E-2</v>
      </c>
      <c r="BG21">
        <v>0.16070999999999999</v>
      </c>
      <c r="BH21">
        <v>37.367899999999999</v>
      </c>
    </row>
    <row r="22" spans="1:60" x14ac:dyDescent="0.3">
      <c r="A22" t="s">
        <v>37</v>
      </c>
      <c r="B22">
        <v>2019</v>
      </c>
      <c r="C22" s="2">
        <v>3.4822499999999999E-2</v>
      </c>
      <c r="D22" s="2">
        <v>2.9843999999999999</v>
      </c>
      <c r="E22" s="2">
        <v>0.24927299999999999</v>
      </c>
      <c r="F22" s="2">
        <v>0.41460200000000003</v>
      </c>
      <c r="G22" s="2">
        <v>2.3421299999999999E-2</v>
      </c>
      <c r="H22" s="2">
        <v>1.4145999999999999E-4</v>
      </c>
      <c r="I22">
        <v>1.6475599999999999</v>
      </c>
      <c r="J22">
        <v>3.1288000000000003E-2</v>
      </c>
      <c r="K22">
        <v>0.17535100000000001</v>
      </c>
      <c r="L22">
        <v>0.173067</v>
      </c>
      <c r="M22">
        <v>0.32256800000000002</v>
      </c>
      <c r="N22">
        <v>7.5924599999999995E-2</v>
      </c>
      <c r="O22">
        <v>0.30330200000000002</v>
      </c>
      <c r="P22">
        <v>9.6032900000000004E-2</v>
      </c>
      <c r="Q22">
        <v>3.7916699999999999</v>
      </c>
      <c r="R22">
        <v>0.230238</v>
      </c>
      <c r="S22">
        <v>3.9814700000000001E-2</v>
      </c>
      <c r="V22" t="s">
        <v>1</v>
      </c>
      <c r="W22">
        <v>2038</v>
      </c>
      <c r="X22">
        <v>24.516100000000002</v>
      </c>
      <c r="Y22">
        <v>35.267499999999998</v>
      </c>
      <c r="Z22">
        <f t="shared" si="0"/>
        <v>59.7836</v>
      </c>
      <c r="AA22">
        <f t="shared" si="1"/>
        <v>59.783200898000004</v>
      </c>
      <c r="AB22" t="s">
        <v>1</v>
      </c>
      <c r="AC22">
        <v>2038</v>
      </c>
      <c r="AD22">
        <v>0.49013600000000002</v>
      </c>
      <c r="AE22">
        <v>1.09045E-3</v>
      </c>
      <c r="AF22">
        <v>6.2276900000000001E-4</v>
      </c>
      <c r="AG22">
        <v>2.37013E-4</v>
      </c>
      <c r="AH22">
        <v>9.6227599999999996E-2</v>
      </c>
      <c r="AI22">
        <v>0.72943199999999997</v>
      </c>
      <c r="AJ22">
        <v>0.35035500000000003</v>
      </c>
      <c r="AK22">
        <v>7.5822000000000001E-2</v>
      </c>
      <c r="AL22">
        <v>0.34323500000000001</v>
      </c>
      <c r="AM22">
        <v>3.8116400000000002E-2</v>
      </c>
      <c r="AN22">
        <v>1.51091</v>
      </c>
      <c r="AO22">
        <v>0.41020800000000002</v>
      </c>
      <c r="AP22">
        <v>0.50693299999999997</v>
      </c>
      <c r="AQ22">
        <v>0.184892</v>
      </c>
      <c r="AR22">
        <v>6.2785399999999996</v>
      </c>
      <c r="AS22">
        <v>1.5296700000000001</v>
      </c>
      <c r="AT22">
        <v>1.6788400000000001</v>
      </c>
      <c r="AU22">
        <v>0.204683</v>
      </c>
      <c r="AV22">
        <v>5.3460399999999998E-2</v>
      </c>
      <c r="AW22">
        <v>3.7079099999999997E-2</v>
      </c>
      <c r="AX22">
        <v>1.15253E-2</v>
      </c>
      <c r="AY22">
        <v>5.5690399999999999E-3</v>
      </c>
      <c r="AZ22">
        <v>1.3139200000000001E-3</v>
      </c>
      <c r="BA22">
        <v>1.3983999999999999E-3</v>
      </c>
      <c r="BB22">
        <v>8.0865600000000004E-4</v>
      </c>
      <c r="BC22">
        <v>9.30835E-3</v>
      </c>
      <c r="BD22">
        <v>6.44224</v>
      </c>
      <c r="BE22">
        <v>1.3412999999999999</v>
      </c>
      <c r="BF22">
        <v>9.3068499999999998E-2</v>
      </c>
      <c r="BG22">
        <v>0.15917899999999999</v>
      </c>
      <c r="BH22">
        <v>37.197000000000003</v>
      </c>
    </row>
    <row r="23" spans="1:60" x14ac:dyDescent="0.3">
      <c r="A23" t="s">
        <v>38</v>
      </c>
      <c r="B23">
        <v>2019</v>
      </c>
      <c r="C23" s="2">
        <v>1.40013E-2</v>
      </c>
      <c r="D23" s="2">
        <v>0.14806900000000001</v>
      </c>
      <c r="E23" s="2">
        <v>0.1106</v>
      </c>
      <c r="F23" s="2">
        <v>0.89890000000000003</v>
      </c>
      <c r="G23" s="3">
        <v>6.86508E-6</v>
      </c>
      <c r="H23" s="3">
        <v>7.8925200000000008E-6</v>
      </c>
      <c r="I23">
        <v>0.29578599999999999</v>
      </c>
      <c r="J23">
        <v>0.176291</v>
      </c>
      <c r="K23">
        <v>0.10953499999999999</v>
      </c>
      <c r="L23">
        <v>1.9266599999999998E-2</v>
      </c>
      <c r="M23">
        <v>0.260382</v>
      </c>
      <c r="N23">
        <v>0.33162900000000001</v>
      </c>
      <c r="O23">
        <v>4.0598700000000001E-2</v>
      </c>
      <c r="P23">
        <v>1.44253E-2</v>
      </c>
      <c r="Q23">
        <v>8.75412E-2</v>
      </c>
      <c r="R23">
        <v>0.114403</v>
      </c>
      <c r="S23">
        <v>1.0158199999999999E-2</v>
      </c>
      <c r="V23" t="s">
        <v>1</v>
      </c>
      <c r="W23">
        <v>2039</v>
      </c>
      <c r="X23">
        <v>24.4146</v>
      </c>
      <c r="Y23">
        <v>35.121499999999997</v>
      </c>
      <c r="Z23">
        <f t="shared" si="0"/>
        <v>59.536099999999998</v>
      </c>
      <c r="AA23">
        <f t="shared" si="1"/>
        <v>59.535725838000005</v>
      </c>
      <c r="AB23" t="s">
        <v>1</v>
      </c>
      <c r="AC23">
        <v>2039</v>
      </c>
      <c r="AD23">
        <v>0.49171700000000002</v>
      </c>
      <c r="AE23">
        <v>1.0749500000000001E-3</v>
      </c>
      <c r="AF23">
        <v>6.1625700000000005E-4</v>
      </c>
      <c r="AG23">
        <v>2.3483400000000001E-4</v>
      </c>
      <c r="AH23">
        <v>9.6950800000000004E-2</v>
      </c>
      <c r="AI23">
        <v>0.72450899999999996</v>
      </c>
      <c r="AJ23">
        <v>0.34758699999999998</v>
      </c>
      <c r="AK23">
        <v>7.5242100000000006E-2</v>
      </c>
      <c r="AL23">
        <v>0.34052900000000003</v>
      </c>
      <c r="AM23">
        <v>3.7795599999999999E-2</v>
      </c>
      <c r="AN23">
        <v>1.49532</v>
      </c>
      <c r="AO23">
        <v>0.40767599999999998</v>
      </c>
      <c r="AP23">
        <v>0.50625799999999999</v>
      </c>
      <c r="AQ23">
        <v>0.183563</v>
      </c>
      <c r="AR23">
        <v>6.2462400000000002</v>
      </c>
      <c r="AS23">
        <v>1.5253699999999999</v>
      </c>
      <c r="AT23">
        <v>1.6755899999999999</v>
      </c>
      <c r="AU23">
        <v>0.20349100000000001</v>
      </c>
      <c r="AV23">
        <v>5.2912500000000001E-2</v>
      </c>
      <c r="AW23">
        <v>3.7183899999999999E-2</v>
      </c>
      <c r="AX23">
        <v>1.1461499999999999E-2</v>
      </c>
      <c r="AY23">
        <v>5.6039799999999997E-3</v>
      </c>
      <c r="AZ23">
        <v>1.3109899999999999E-3</v>
      </c>
      <c r="BA23">
        <v>1.3986599999999999E-3</v>
      </c>
      <c r="BB23">
        <v>8.0837699999999999E-4</v>
      </c>
      <c r="BC23">
        <v>9.2420899999999997E-3</v>
      </c>
      <c r="BD23">
        <v>6.4469500000000002</v>
      </c>
      <c r="BE23">
        <v>1.3347899999999999</v>
      </c>
      <c r="BF23">
        <v>9.0907299999999996E-2</v>
      </c>
      <c r="BG23">
        <v>0.15779199999999999</v>
      </c>
      <c r="BH23">
        <v>37.025599999999997</v>
      </c>
    </row>
    <row r="24" spans="1:60" x14ac:dyDescent="0.3">
      <c r="A24" t="s">
        <v>39</v>
      </c>
      <c r="B24">
        <v>2019</v>
      </c>
      <c r="C24" s="2">
        <v>6.1273100000000004E-3</v>
      </c>
      <c r="D24" s="2">
        <v>4.5516099999999997E-2</v>
      </c>
      <c r="E24" s="2">
        <v>4.8138599999999997E-2</v>
      </c>
      <c r="F24" s="2">
        <v>6.2938499999999994E-2</v>
      </c>
      <c r="G24" s="2">
        <v>4.2228699999999998E-4</v>
      </c>
      <c r="H24" s="2">
        <v>1.70717E-4</v>
      </c>
      <c r="I24">
        <v>1.9940800000000002E-2</v>
      </c>
      <c r="J24">
        <v>0.109695</v>
      </c>
      <c r="K24">
        <v>2.3758700000000001E-2</v>
      </c>
      <c r="L24">
        <v>5.7771200000000002E-3</v>
      </c>
      <c r="M24">
        <v>1.5509E-2</v>
      </c>
      <c r="N24">
        <v>0.17518900000000001</v>
      </c>
      <c r="O24">
        <v>2.46766E-2</v>
      </c>
      <c r="P24">
        <v>9.6983499999999995E-4</v>
      </c>
      <c r="Q24">
        <v>4.2373000000000001E-2</v>
      </c>
      <c r="R24">
        <v>1.7006899999999998E-2</v>
      </c>
      <c r="S24">
        <v>3.2604399999999999E-3</v>
      </c>
      <c r="V24" t="s">
        <v>1</v>
      </c>
      <c r="W24">
        <v>2040</v>
      </c>
      <c r="X24">
        <v>24.313099999999999</v>
      </c>
      <c r="Y24">
        <v>34.975499999999997</v>
      </c>
      <c r="Z24">
        <f t="shared" si="0"/>
        <v>59.288599999999995</v>
      </c>
      <c r="AA24">
        <f t="shared" si="1"/>
        <v>59.288159442000008</v>
      </c>
      <c r="AB24" t="s">
        <v>1</v>
      </c>
      <c r="AC24">
        <v>2040</v>
      </c>
      <c r="AD24">
        <v>0.49326399999999998</v>
      </c>
      <c r="AE24">
        <v>1.0604E-3</v>
      </c>
      <c r="AF24">
        <v>6.1014200000000004E-4</v>
      </c>
      <c r="AG24">
        <v>2.3227799999999999E-4</v>
      </c>
      <c r="AH24">
        <v>9.7693000000000002E-2</v>
      </c>
      <c r="AI24">
        <v>0.71978600000000004</v>
      </c>
      <c r="AJ24">
        <v>0.344995</v>
      </c>
      <c r="AK24">
        <v>7.4698600000000004E-2</v>
      </c>
      <c r="AL24">
        <v>0.33795700000000001</v>
      </c>
      <c r="AM24">
        <v>3.7482500000000002E-2</v>
      </c>
      <c r="AN24">
        <v>1.4808399999999999</v>
      </c>
      <c r="AO24">
        <v>0.40525</v>
      </c>
      <c r="AP24">
        <v>0.50560400000000005</v>
      </c>
      <c r="AQ24">
        <v>0.18223500000000001</v>
      </c>
      <c r="AR24">
        <v>6.21488</v>
      </c>
      <c r="AS24">
        <v>1.5209900000000001</v>
      </c>
      <c r="AT24">
        <v>1.6724300000000001</v>
      </c>
      <c r="AU24">
        <v>0.20215</v>
      </c>
      <c r="AV24">
        <v>5.2408999999999997E-2</v>
      </c>
      <c r="AW24">
        <v>3.7274700000000001E-2</v>
      </c>
      <c r="AX24">
        <v>1.1391399999999999E-2</v>
      </c>
      <c r="AY24">
        <v>5.6304600000000003E-3</v>
      </c>
      <c r="AZ24">
        <v>1.3087299999999999E-3</v>
      </c>
      <c r="BA24">
        <v>1.39959E-3</v>
      </c>
      <c r="BB24">
        <v>8.0848200000000002E-4</v>
      </c>
      <c r="BC24">
        <v>9.1793599999999993E-3</v>
      </c>
      <c r="BD24">
        <v>6.4486600000000003</v>
      </c>
      <c r="BE24">
        <v>1.3287199999999999</v>
      </c>
      <c r="BF24">
        <v>8.8890800000000006E-2</v>
      </c>
      <c r="BG24">
        <v>0.156529</v>
      </c>
      <c r="BH24">
        <v>36.8538</v>
      </c>
    </row>
    <row r="25" spans="1:60" x14ac:dyDescent="0.3">
      <c r="A25" t="s">
        <v>40</v>
      </c>
      <c r="B25">
        <v>2019</v>
      </c>
      <c r="C25" s="2">
        <v>1.21878E-3</v>
      </c>
      <c r="D25" s="2">
        <v>0.17921100000000001</v>
      </c>
      <c r="E25" s="2">
        <v>1.4479199999999999E-2</v>
      </c>
      <c r="F25" s="2">
        <v>1.5131500000000001E-4</v>
      </c>
      <c r="G25" s="2">
        <v>4.56157E-4</v>
      </c>
      <c r="H25" s="3">
        <v>5.6202199999999995E-7</v>
      </c>
      <c r="I25">
        <v>0.22412699999999999</v>
      </c>
      <c r="J25">
        <v>3.7982399999999999E-2</v>
      </c>
      <c r="K25">
        <v>0.26159500000000002</v>
      </c>
      <c r="L25">
        <v>9.2142400000000003E-3</v>
      </c>
      <c r="M25">
        <v>3.4841199999999998E-3</v>
      </c>
      <c r="N25">
        <v>8.3844000000000002E-3</v>
      </c>
      <c r="O25">
        <v>1.7263000000000001E-2</v>
      </c>
      <c r="P25">
        <v>5.4374800000000004E-4</v>
      </c>
      <c r="Q25">
        <v>1.8286500000000001E-2</v>
      </c>
      <c r="R25">
        <v>3.41384E-3</v>
      </c>
      <c r="S25">
        <v>4.0014899999999999E-3</v>
      </c>
      <c r="V25" t="s">
        <v>1</v>
      </c>
      <c r="W25">
        <v>2041</v>
      </c>
      <c r="X25">
        <v>24.1843</v>
      </c>
      <c r="Y25">
        <v>34.790100000000002</v>
      </c>
      <c r="Z25">
        <f t="shared" si="0"/>
        <v>58.974400000000003</v>
      </c>
      <c r="AA25">
        <f t="shared" si="1"/>
        <v>58.973886699000005</v>
      </c>
      <c r="AB25" t="s">
        <v>1</v>
      </c>
      <c r="AC25">
        <v>2041</v>
      </c>
      <c r="AD25">
        <v>0.493973</v>
      </c>
      <c r="AE25">
        <v>1.0439100000000001E-3</v>
      </c>
      <c r="AF25">
        <v>6.0279500000000005E-4</v>
      </c>
      <c r="AG25">
        <v>2.30103E-4</v>
      </c>
      <c r="AH25">
        <v>9.8021800000000006E-2</v>
      </c>
      <c r="AI25">
        <v>0.71430199999999999</v>
      </c>
      <c r="AJ25">
        <v>0.34209699999999998</v>
      </c>
      <c r="AK25">
        <v>7.4030799999999994E-2</v>
      </c>
      <c r="AL25">
        <v>0.33465200000000001</v>
      </c>
      <c r="AM25">
        <v>3.7131200000000003E-2</v>
      </c>
      <c r="AN25">
        <v>1.4625999999999999</v>
      </c>
      <c r="AO25">
        <v>0.40213500000000002</v>
      </c>
      <c r="AP25">
        <v>0.50349299999999997</v>
      </c>
      <c r="AQ25">
        <v>0.18110599999999999</v>
      </c>
      <c r="AR25">
        <v>6.1724699999999997</v>
      </c>
      <c r="AS25">
        <v>1.51467</v>
      </c>
      <c r="AT25">
        <v>1.6669700000000001</v>
      </c>
      <c r="AU25">
        <v>0.20092199999999999</v>
      </c>
      <c r="AV25">
        <v>5.17583E-2</v>
      </c>
      <c r="AW25">
        <v>3.7377399999999998E-2</v>
      </c>
      <c r="AX25">
        <v>1.14191E-2</v>
      </c>
      <c r="AY25">
        <v>5.6692699999999997E-3</v>
      </c>
      <c r="AZ25">
        <v>1.3030400000000001E-3</v>
      </c>
      <c r="BA25">
        <v>1.39696E-3</v>
      </c>
      <c r="BB25">
        <v>8.0652100000000004E-4</v>
      </c>
      <c r="BC25">
        <v>9.1029000000000006E-3</v>
      </c>
      <c r="BD25">
        <v>6.44808</v>
      </c>
      <c r="BE25">
        <v>1.31999</v>
      </c>
      <c r="BF25">
        <v>8.6666599999999996E-2</v>
      </c>
      <c r="BG25">
        <v>0.15476599999999999</v>
      </c>
      <c r="BH25">
        <v>36.645099999999999</v>
      </c>
    </row>
    <row r="26" spans="1:60" x14ac:dyDescent="0.3">
      <c r="A26" t="s">
        <v>41</v>
      </c>
      <c r="B26">
        <v>2019</v>
      </c>
      <c r="C26" s="2">
        <v>1.26117E-3</v>
      </c>
      <c r="D26" s="2">
        <v>3.7377000000000001E-2</v>
      </c>
      <c r="E26" s="2">
        <v>3.4106600000000001E-2</v>
      </c>
      <c r="F26" s="2">
        <v>9.2648000000000003E-4</v>
      </c>
      <c r="G26" s="3">
        <v>2.81115E-5</v>
      </c>
      <c r="H26" s="3">
        <v>5.1779600000000004E-7</v>
      </c>
      <c r="I26">
        <v>2.7385300000000001E-2</v>
      </c>
      <c r="J26">
        <v>5.1764200000000002E-3</v>
      </c>
      <c r="K26">
        <v>7.6372099999999998E-2</v>
      </c>
      <c r="L26">
        <v>2.10684E-3</v>
      </c>
      <c r="M26">
        <v>1.8565400000000001E-3</v>
      </c>
      <c r="N26">
        <v>4.9126999999999999E-3</v>
      </c>
      <c r="O26">
        <v>2.30438E-2</v>
      </c>
      <c r="P26" s="1">
        <v>1.0511499999999999E-5</v>
      </c>
      <c r="Q26">
        <v>7.58277E-3</v>
      </c>
      <c r="R26">
        <v>8.5207200000000007E-3</v>
      </c>
      <c r="S26">
        <v>1.6057300000000001E-3</v>
      </c>
      <c r="V26" t="s">
        <v>1</v>
      </c>
      <c r="W26">
        <v>2042</v>
      </c>
      <c r="X26">
        <v>24.055399999999999</v>
      </c>
      <c r="Y26">
        <v>34.604700000000001</v>
      </c>
      <c r="Z26">
        <f t="shared" si="0"/>
        <v>58.6601</v>
      </c>
      <c r="AA26">
        <f t="shared" si="1"/>
        <v>58.659508666999997</v>
      </c>
      <c r="AB26" t="s">
        <v>1</v>
      </c>
      <c r="AC26">
        <v>2042</v>
      </c>
      <c r="AD26">
        <v>0.49468000000000001</v>
      </c>
      <c r="AE26">
        <v>1.0282799999999999E-3</v>
      </c>
      <c r="AF26">
        <v>5.9586000000000003E-4</v>
      </c>
      <c r="AG26">
        <v>2.27672E-4</v>
      </c>
      <c r="AH26">
        <v>9.8471100000000006E-2</v>
      </c>
      <c r="AI26">
        <v>0.70897500000000002</v>
      </c>
      <c r="AJ26">
        <v>0.33913900000000002</v>
      </c>
      <c r="AK26">
        <v>7.3382799999999998E-2</v>
      </c>
      <c r="AL26">
        <v>0.33151199999999997</v>
      </c>
      <c r="AM26">
        <v>3.6791299999999999E-2</v>
      </c>
      <c r="AN26">
        <v>1.4455800000000001</v>
      </c>
      <c r="AO26">
        <v>0.39907900000000002</v>
      </c>
      <c r="AP26">
        <v>0.501753</v>
      </c>
      <c r="AQ26">
        <v>0.179622</v>
      </c>
      <c r="AR26">
        <v>6.13164</v>
      </c>
      <c r="AS26">
        <v>1.5086999999999999</v>
      </c>
      <c r="AT26">
        <v>1.6614500000000001</v>
      </c>
      <c r="AU26">
        <v>0.199688</v>
      </c>
      <c r="AV26">
        <v>5.1105900000000003E-2</v>
      </c>
      <c r="AW26">
        <v>3.7459899999999997E-2</v>
      </c>
      <c r="AX26">
        <v>1.1377099999999999E-2</v>
      </c>
      <c r="AY26">
        <v>5.6972400000000001E-3</v>
      </c>
      <c r="AZ26">
        <v>1.2971700000000001E-3</v>
      </c>
      <c r="BA26">
        <v>1.3941699999999999E-3</v>
      </c>
      <c r="BB26">
        <v>8.0445500000000004E-4</v>
      </c>
      <c r="BC26">
        <v>9.0210199999999994E-3</v>
      </c>
      <c r="BD26">
        <v>6.4436299999999997</v>
      </c>
      <c r="BE26">
        <v>1.3117399999999999</v>
      </c>
      <c r="BF26">
        <v>8.4603700000000004E-2</v>
      </c>
      <c r="BG26">
        <v>0.15316299999999999</v>
      </c>
      <c r="BH26">
        <v>36.435899999999997</v>
      </c>
    </row>
    <row r="27" spans="1:60" x14ac:dyDescent="0.3">
      <c r="A27" t="s">
        <v>42</v>
      </c>
      <c r="B27">
        <v>2019</v>
      </c>
      <c r="C27" s="2">
        <v>7.3377299999999996E-4</v>
      </c>
      <c r="D27" s="2">
        <v>0.39484799999999998</v>
      </c>
      <c r="E27" s="2">
        <v>0.119544</v>
      </c>
      <c r="F27" s="2">
        <v>0.25459999999999999</v>
      </c>
      <c r="G27" s="3">
        <v>5.8540099999999999E-5</v>
      </c>
      <c r="H27" s="2">
        <v>8.3203900000000002E-4</v>
      </c>
      <c r="I27">
        <v>0.44273699999999999</v>
      </c>
      <c r="J27">
        <v>0.31370399999999998</v>
      </c>
      <c r="K27">
        <v>0.157334</v>
      </c>
      <c r="L27">
        <v>3.04782E-2</v>
      </c>
      <c r="M27">
        <v>7.6224600000000003E-2</v>
      </c>
      <c r="N27">
        <v>3.2395199999999999E-2</v>
      </c>
      <c r="O27">
        <v>0.111247</v>
      </c>
      <c r="P27">
        <v>0.122797</v>
      </c>
      <c r="Q27">
        <v>0.232042</v>
      </c>
      <c r="R27">
        <v>2.77174E-2</v>
      </c>
      <c r="S27">
        <v>9.7178400000000002E-3</v>
      </c>
      <c r="V27" t="s">
        <v>1</v>
      </c>
      <c r="W27">
        <v>2043</v>
      </c>
      <c r="X27">
        <v>23.926500000000001</v>
      </c>
      <c r="Y27">
        <v>34.419199999999996</v>
      </c>
      <c r="Z27">
        <f t="shared" si="0"/>
        <v>58.345699999999994</v>
      </c>
      <c r="AA27">
        <f t="shared" si="1"/>
        <v>58.345153609999997</v>
      </c>
      <c r="AB27" t="s">
        <v>1</v>
      </c>
      <c r="AC27">
        <v>2043</v>
      </c>
      <c r="AD27">
        <v>0.49535899999999999</v>
      </c>
      <c r="AE27">
        <v>1.0136100000000001E-3</v>
      </c>
      <c r="AF27">
        <v>5.8934799999999996E-4</v>
      </c>
      <c r="AG27">
        <v>2.2497899999999999E-4</v>
      </c>
      <c r="AH27">
        <v>9.8955799999999997E-2</v>
      </c>
      <c r="AI27">
        <v>0.70381000000000005</v>
      </c>
      <c r="AJ27">
        <v>0.33627400000000002</v>
      </c>
      <c r="AK27">
        <v>7.2761999999999993E-2</v>
      </c>
      <c r="AL27">
        <v>0.328509</v>
      </c>
      <c r="AM27">
        <v>3.6460199999999998E-2</v>
      </c>
      <c r="AN27">
        <v>1.4296599999999999</v>
      </c>
      <c r="AO27">
        <v>0.39611499999999999</v>
      </c>
      <c r="AP27">
        <v>0.50012100000000004</v>
      </c>
      <c r="AQ27">
        <v>0.178068</v>
      </c>
      <c r="AR27">
        <v>6.0920699999999997</v>
      </c>
      <c r="AS27">
        <v>1.5026999999999999</v>
      </c>
      <c r="AT27">
        <v>1.6559299999999999</v>
      </c>
      <c r="AU27">
        <v>0.19831099999999999</v>
      </c>
      <c r="AV27">
        <v>5.0491300000000003E-2</v>
      </c>
      <c r="AW27">
        <v>3.7525200000000002E-2</v>
      </c>
      <c r="AX27">
        <v>1.13118E-2</v>
      </c>
      <c r="AY27">
        <v>5.7166099999999996E-3</v>
      </c>
      <c r="AZ27">
        <v>1.2917899999999999E-3</v>
      </c>
      <c r="BA27">
        <v>1.3918299999999999E-3</v>
      </c>
      <c r="BB27">
        <v>8.0266300000000001E-4</v>
      </c>
      <c r="BC27">
        <v>8.9410800000000006E-3</v>
      </c>
      <c r="BD27">
        <v>6.43614</v>
      </c>
      <c r="BE27">
        <v>1.3039400000000001</v>
      </c>
      <c r="BF27">
        <v>8.2680400000000001E-2</v>
      </c>
      <c r="BG27">
        <v>0.15168799999999999</v>
      </c>
      <c r="BH27">
        <v>36.226300000000002</v>
      </c>
    </row>
    <row r="28" spans="1:60" x14ac:dyDescent="0.3">
      <c r="A28" t="s">
        <v>43</v>
      </c>
      <c r="B28">
        <v>2019</v>
      </c>
      <c r="C28" s="2">
        <v>9.6482400000000006E-3</v>
      </c>
      <c r="D28" s="2">
        <v>0.182084</v>
      </c>
      <c r="E28" s="2">
        <v>0.11476600000000001</v>
      </c>
      <c r="F28" s="2">
        <v>0.46257399999999999</v>
      </c>
      <c r="G28" s="3">
        <v>6.9149700000000003E-6</v>
      </c>
      <c r="H28" s="3">
        <v>1.9839399999999998E-5</v>
      </c>
      <c r="I28">
        <v>9.9560200000000001E-2</v>
      </c>
      <c r="J28">
        <v>8.4804000000000004E-2</v>
      </c>
      <c r="K28">
        <v>0.38017299999999998</v>
      </c>
      <c r="L28">
        <v>2.0003900000000002E-2</v>
      </c>
      <c r="M28">
        <v>8.8353000000000001E-2</v>
      </c>
      <c r="N28">
        <v>3.49856E-3</v>
      </c>
      <c r="O28">
        <v>3.0431E-2</v>
      </c>
      <c r="P28">
        <v>3.9031599999999998E-4</v>
      </c>
      <c r="Q28">
        <v>8.5900899999999999E-3</v>
      </c>
      <c r="R28">
        <v>7.8072299999999997E-2</v>
      </c>
      <c r="S28">
        <v>3.99228E-3</v>
      </c>
      <c r="V28" t="s">
        <v>1</v>
      </c>
      <c r="W28">
        <v>2044</v>
      </c>
      <c r="X28">
        <v>23.797599999999999</v>
      </c>
      <c r="Y28">
        <v>34.233800000000002</v>
      </c>
      <c r="Z28">
        <f t="shared" si="0"/>
        <v>58.031400000000005</v>
      </c>
      <c r="AA28">
        <f t="shared" si="1"/>
        <v>58.030803298999999</v>
      </c>
      <c r="AB28" t="s">
        <v>1</v>
      </c>
      <c r="AC28">
        <v>2044</v>
      </c>
      <c r="AD28">
        <v>0.49599700000000002</v>
      </c>
      <c r="AE28">
        <v>9.99799E-4</v>
      </c>
      <c r="AF28">
        <v>5.8324400000000002E-4</v>
      </c>
      <c r="AG28">
        <v>2.22086E-4</v>
      </c>
      <c r="AH28">
        <v>9.9455199999999994E-2</v>
      </c>
      <c r="AI28">
        <v>0.69880900000000001</v>
      </c>
      <c r="AJ28">
        <v>0.33352300000000001</v>
      </c>
      <c r="AK28">
        <v>7.2166599999999997E-2</v>
      </c>
      <c r="AL28">
        <v>0.325627</v>
      </c>
      <c r="AM28">
        <v>3.6136500000000002E-2</v>
      </c>
      <c r="AN28">
        <v>1.41472</v>
      </c>
      <c r="AO28">
        <v>0.393237</v>
      </c>
      <c r="AP28">
        <v>0.498529</v>
      </c>
      <c r="AQ28">
        <v>0.176506</v>
      </c>
      <c r="AR28">
        <v>6.0535699999999997</v>
      </c>
      <c r="AS28">
        <v>1.49654</v>
      </c>
      <c r="AT28">
        <v>1.65039</v>
      </c>
      <c r="AU28">
        <v>0.1968</v>
      </c>
      <c r="AV28">
        <v>4.9921300000000002E-2</v>
      </c>
      <c r="AW28">
        <v>3.7574200000000002E-2</v>
      </c>
      <c r="AX28">
        <v>1.1234600000000001E-2</v>
      </c>
      <c r="AY28">
        <v>5.7279599999999998E-3</v>
      </c>
      <c r="AZ28">
        <v>1.2870399999999999E-3</v>
      </c>
      <c r="BA28">
        <v>1.3900900000000001E-3</v>
      </c>
      <c r="BB28">
        <v>8.0121999999999995E-4</v>
      </c>
      <c r="BC28">
        <v>8.8646599999999999E-3</v>
      </c>
      <c r="BD28">
        <v>6.4259599999999999</v>
      </c>
      <c r="BE28">
        <v>1.29653</v>
      </c>
      <c r="BF28">
        <v>8.0878800000000001E-2</v>
      </c>
      <c r="BG28">
        <v>0.15032200000000001</v>
      </c>
      <c r="BH28">
        <v>36.016500000000001</v>
      </c>
    </row>
    <row r="29" spans="1:60" x14ac:dyDescent="0.3">
      <c r="A29" t="s">
        <v>44</v>
      </c>
      <c r="B29">
        <v>2019</v>
      </c>
      <c r="C29" s="2">
        <v>5.7171900000000004</v>
      </c>
      <c r="D29" s="2">
        <v>62.102499999999999</v>
      </c>
      <c r="E29" s="2">
        <v>13.291700000000001</v>
      </c>
      <c r="F29" s="2">
        <v>3.14446</v>
      </c>
      <c r="G29" s="2">
        <v>1.55464E-2</v>
      </c>
      <c r="H29" s="2">
        <v>3.9781999999999998E-2</v>
      </c>
      <c r="I29">
        <v>55.436</v>
      </c>
      <c r="J29">
        <v>12.1846</v>
      </c>
      <c r="K29">
        <v>36.2911</v>
      </c>
      <c r="L29">
        <v>2.1069300000000002</v>
      </c>
      <c r="M29">
        <v>1.5139400000000001</v>
      </c>
      <c r="N29">
        <v>12.4323</v>
      </c>
      <c r="O29">
        <v>3.1067200000000001</v>
      </c>
      <c r="P29">
        <v>0.87464600000000003</v>
      </c>
      <c r="Q29">
        <v>19.331600000000002</v>
      </c>
      <c r="R29">
        <v>8.7136399999999998</v>
      </c>
      <c r="S29">
        <v>6.7928699999999997</v>
      </c>
      <c r="V29" t="s">
        <v>1</v>
      </c>
      <c r="W29">
        <v>2045</v>
      </c>
      <c r="X29">
        <v>23.668700000000001</v>
      </c>
      <c r="Y29">
        <v>34.048400000000001</v>
      </c>
      <c r="Z29">
        <f t="shared" si="0"/>
        <v>57.717100000000002</v>
      </c>
      <c r="AA29">
        <f t="shared" si="1"/>
        <v>57.716492633999998</v>
      </c>
      <c r="AB29" t="s">
        <v>1</v>
      </c>
      <c r="AC29">
        <v>2045</v>
      </c>
      <c r="AD29">
        <v>0.49658600000000003</v>
      </c>
      <c r="AE29">
        <v>9.86778E-4</v>
      </c>
      <c r="AF29">
        <v>5.7753000000000004E-4</v>
      </c>
      <c r="AG29">
        <v>2.1905500000000001E-4</v>
      </c>
      <c r="AH29">
        <v>9.9962099999999998E-2</v>
      </c>
      <c r="AI29">
        <v>0.69396800000000003</v>
      </c>
      <c r="AJ29">
        <v>0.33087699999999998</v>
      </c>
      <c r="AK29">
        <v>7.1593699999999996E-2</v>
      </c>
      <c r="AL29">
        <v>0.322851</v>
      </c>
      <c r="AM29">
        <v>3.5818999999999997E-2</v>
      </c>
      <c r="AN29">
        <v>1.4006400000000001</v>
      </c>
      <c r="AO29">
        <v>0.39043499999999998</v>
      </c>
      <c r="AP29">
        <v>0.49694899999999997</v>
      </c>
      <c r="AQ29">
        <v>0.174951</v>
      </c>
      <c r="AR29">
        <v>6.0160499999999999</v>
      </c>
      <c r="AS29">
        <v>1.49017</v>
      </c>
      <c r="AT29">
        <v>1.6448100000000001</v>
      </c>
      <c r="AU29">
        <v>0.195187</v>
      </c>
      <c r="AV29">
        <v>4.93952E-2</v>
      </c>
      <c r="AW29">
        <v>3.7607300000000003E-2</v>
      </c>
      <c r="AX29">
        <v>1.11485E-2</v>
      </c>
      <c r="AY29">
        <v>5.7315600000000001E-3</v>
      </c>
      <c r="AZ29">
        <v>1.28291E-3</v>
      </c>
      <c r="BA29">
        <v>1.38894E-3</v>
      </c>
      <c r="BB29">
        <v>8.0013100000000004E-4</v>
      </c>
      <c r="BC29">
        <v>8.7919299999999999E-3</v>
      </c>
      <c r="BD29">
        <v>6.4133100000000001</v>
      </c>
      <c r="BE29">
        <v>1.2894699999999999</v>
      </c>
      <c r="BF29">
        <v>7.9185000000000005E-2</v>
      </c>
      <c r="BG29">
        <v>0.14904899999999999</v>
      </c>
      <c r="BH29">
        <v>35.806699999999999</v>
      </c>
    </row>
    <row r="30" spans="1:60" x14ac:dyDescent="0.3">
      <c r="A30" t="s">
        <v>45</v>
      </c>
      <c r="B30">
        <v>2019</v>
      </c>
      <c r="C30" s="2">
        <v>1.3588800000000001</v>
      </c>
      <c r="D30" s="2">
        <v>25.1982</v>
      </c>
      <c r="E30" s="2">
        <v>6.3186999999999998</v>
      </c>
      <c r="F30" s="2">
        <v>1.4108000000000001</v>
      </c>
      <c r="G30" s="2">
        <v>1.16496E-2</v>
      </c>
      <c r="H30" s="2">
        <v>2.9966199999999998E-2</v>
      </c>
      <c r="I30">
        <v>19.385200000000001</v>
      </c>
      <c r="J30">
        <v>7.3518299999999996</v>
      </c>
      <c r="K30">
        <v>16.027699999999999</v>
      </c>
      <c r="L30">
        <v>1.5607500000000001</v>
      </c>
      <c r="M30">
        <v>0.59164600000000001</v>
      </c>
      <c r="N30">
        <v>2.9831099999999999</v>
      </c>
      <c r="O30">
        <v>2.3904100000000001</v>
      </c>
      <c r="P30">
        <v>0.25218299999999999</v>
      </c>
      <c r="Q30">
        <v>9.5821799999999993</v>
      </c>
      <c r="R30">
        <v>2.9182299999999999</v>
      </c>
      <c r="S30">
        <v>2.15089</v>
      </c>
      <c r="V30" t="s">
        <v>1</v>
      </c>
      <c r="W30">
        <v>2046</v>
      </c>
      <c r="X30">
        <v>23.524699999999999</v>
      </c>
      <c r="Y30">
        <v>33.841200000000001</v>
      </c>
      <c r="Z30">
        <f t="shared" si="0"/>
        <v>57.365899999999996</v>
      </c>
      <c r="AA30">
        <f t="shared" si="1"/>
        <v>57.365237471</v>
      </c>
      <c r="AB30" t="s">
        <v>1</v>
      </c>
      <c r="AC30">
        <v>2046</v>
      </c>
      <c r="AD30">
        <v>0.496529</v>
      </c>
      <c r="AE30">
        <v>9.7243299999999998E-4</v>
      </c>
      <c r="AF30">
        <v>5.7087200000000005E-4</v>
      </c>
      <c r="AG30">
        <v>2.16722E-4</v>
      </c>
      <c r="AH30">
        <v>0.100094</v>
      </c>
      <c r="AI30">
        <v>0.68867299999999998</v>
      </c>
      <c r="AJ30">
        <v>0.32827699999999999</v>
      </c>
      <c r="AK30">
        <v>7.0935399999999996E-2</v>
      </c>
      <c r="AL30">
        <v>0.31961299999999998</v>
      </c>
      <c r="AM30">
        <v>3.5483500000000001E-2</v>
      </c>
      <c r="AN30">
        <v>1.3840300000000001</v>
      </c>
      <c r="AO30">
        <v>0.38720399999999999</v>
      </c>
      <c r="AP30">
        <v>0.49413899999999999</v>
      </c>
      <c r="AQ30">
        <v>0.17358999999999999</v>
      </c>
      <c r="AR30">
        <v>5.97227</v>
      </c>
      <c r="AS30">
        <v>1.4823200000000001</v>
      </c>
      <c r="AT30">
        <v>1.63785</v>
      </c>
      <c r="AU30">
        <v>0.19373399999999999</v>
      </c>
      <c r="AV30">
        <v>4.87818E-2</v>
      </c>
      <c r="AW30">
        <v>3.7649099999999998E-2</v>
      </c>
      <c r="AX30">
        <v>1.1152199999999999E-2</v>
      </c>
      <c r="AY30">
        <v>5.7489200000000002E-3</v>
      </c>
      <c r="AZ30">
        <v>1.27651E-3</v>
      </c>
      <c r="BA30">
        <v>1.38536E-3</v>
      </c>
      <c r="BB30">
        <v>7.9763399999999997E-4</v>
      </c>
      <c r="BC30">
        <v>8.7137199999999995E-3</v>
      </c>
      <c r="BD30">
        <v>6.4002299999999996</v>
      </c>
      <c r="BE30">
        <v>1.2805200000000001</v>
      </c>
      <c r="BF30">
        <v>7.7370300000000003E-2</v>
      </c>
      <c r="BG30">
        <v>0.14741000000000001</v>
      </c>
      <c r="BH30">
        <v>35.5777</v>
      </c>
    </row>
    <row r="31" spans="1:60" x14ac:dyDescent="0.3">
      <c r="A31" t="s">
        <v>46</v>
      </c>
      <c r="B31">
        <v>2019</v>
      </c>
      <c r="C31" s="2">
        <v>0.14005000000000001</v>
      </c>
      <c r="D31" s="2">
        <v>1.5834999999999999</v>
      </c>
      <c r="E31" s="2">
        <v>0.48794999999999999</v>
      </c>
      <c r="F31" s="2">
        <v>0.118349</v>
      </c>
      <c r="G31" s="2">
        <v>2.6157699999999998E-4</v>
      </c>
      <c r="H31" s="2">
        <v>4.0555799999999996E-3</v>
      </c>
      <c r="I31">
        <v>0.68539600000000001</v>
      </c>
      <c r="J31">
        <v>0.379388</v>
      </c>
      <c r="K31">
        <v>1.93127</v>
      </c>
      <c r="L31">
        <v>6.7693100000000006E-2</v>
      </c>
      <c r="M31">
        <v>6.2010799999999998E-2</v>
      </c>
      <c r="N31">
        <v>0.31239899999999998</v>
      </c>
      <c r="O31">
        <v>0.15324299999999999</v>
      </c>
      <c r="P31">
        <v>8.0850900000000003E-2</v>
      </c>
      <c r="Q31">
        <v>0.35387000000000002</v>
      </c>
      <c r="R31">
        <v>1.04043</v>
      </c>
      <c r="S31">
        <v>0.151444</v>
      </c>
      <c r="V31" t="s">
        <v>1</v>
      </c>
      <c r="W31">
        <v>2047</v>
      </c>
      <c r="X31">
        <v>23.380600000000001</v>
      </c>
      <c r="Y31">
        <v>33.634</v>
      </c>
      <c r="Z31">
        <f t="shared" si="0"/>
        <v>57.014600000000002</v>
      </c>
      <c r="AA31">
        <f t="shared" si="1"/>
        <v>57.013951065000001</v>
      </c>
      <c r="AB31" t="s">
        <v>1</v>
      </c>
      <c r="AC31">
        <v>2047</v>
      </c>
      <c r="AD31">
        <v>0.49646000000000001</v>
      </c>
      <c r="AE31">
        <v>9.5873400000000004E-4</v>
      </c>
      <c r="AF31">
        <v>5.6459999999999995E-4</v>
      </c>
      <c r="AG31">
        <v>2.14262E-4</v>
      </c>
      <c r="AH31">
        <v>0.100325</v>
      </c>
      <c r="AI31">
        <v>0.68350699999999998</v>
      </c>
      <c r="AJ31">
        <v>0.32554100000000002</v>
      </c>
      <c r="AK31">
        <v>7.0287199999999994E-2</v>
      </c>
      <c r="AL31">
        <v>0.31650099999999998</v>
      </c>
      <c r="AM31">
        <v>3.51572E-2</v>
      </c>
      <c r="AN31">
        <v>1.36835</v>
      </c>
      <c r="AO31">
        <v>0.38401600000000002</v>
      </c>
      <c r="AP31">
        <v>0.49169200000000002</v>
      </c>
      <c r="AQ31">
        <v>0.17197000000000001</v>
      </c>
      <c r="AR31">
        <v>5.9297700000000004</v>
      </c>
      <c r="AS31">
        <v>1.4746900000000001</v>
      </c>
      <c r="AT31">
        <v>1.6307199999999999</v>
      </c>
      <c r="AU31">
        <v>0.192301</v>
      </c>
      <c r="AV31">
        <v>4.8171499999999999E-2</v>
      </c>
      <c r="AW31">
        <v>3.7672400000000002E-2</v>
      </c>
      <c r="AX31">
        <v>1.10943E-2</v>
      </c>
      <c r="AY31">
        <v>5.75671E-3</v>
      </c>
      <c r="AZ31">
        <v>1.2700000000000001E-3</v>
      </c>
      <c r="BA31">
        <v>1.38164E-3</v>
      </c>
      <c r="BB31">
        <v>7.9505899999999998E-4</v>
      </c>
      <c r="BC31">
        <v>8.6313599999999994E-3</v>
      </c>
      <c r="BD31">
        <v>6.3840500000000002</v>
      </c>
      <c r="BE31">
        <v>1.2719400000000001</v>
      </c>
      <c r="BF31">
        <v>7.5669100000000003E-2</v>
      </c>
      <c r="BG31">
        <v>0.145894</v>
      </c>
      <c r="BH31">
        <v>35.348599999999998</v>
      </c>
    </row>
    <row r="32" spans="1:60" x14ac:dyDescent="0.3">
      <c r="A32" t="s">
        <v>47</v>
      </c>
      <c r="B32">
        <v>2019</v>
      </c>
      <c r="C32" s="2">
        <v>0.181871</v>
      </c>
      <c r="D32" s="2">
        <v>1.85293</v>
      </c>
      <c r="E32" s="2">
        <v>0.19539899999999999</v>
      </c>
      <c r="F32" s="2">
        <v>0.20035500000000001</v>
      </c>
      <c r="G32" s="2">
        <v>2.1883699999999998E-3</v>
      </c>
      <c r="H32" s="2">
        <v>5.1293600000000003E-3</v>
      </c>
      <c r="I32">
        <v>4.4791999999999996</v>
      </c>
      <c r="J32">
        <v>0.54055299999999995</v>
      </c>
      <c r="K32">
        <v>1.8870800000000001</v>
      </c>
      <c r="L32">
        <v>0.13969500000000001</v>
      </c>
      <c r="M32">
        <v>7.2492699999999993E-2</v>
      </c>
      <c r="N32">
        <v>0.46085799999999999</v>
      </c>
      <c r="O32">
        <v>0.31601600000000002</v>
      </c>
      <c r="P32">
        <v>0.130243</v>
      </c>
      <c r="Q32">
        <v>0.33181300000000002</v>
      </c>
      <c r="R32">
        <v>0.87183100000000002</v>
      </c>
      <c r="S32">
        <v>0.47914299999999999</v>
      </c>
      <c r="V32" t="s">
        <v>1</v>
      </c>
      <c r="W32">
        <v>2048</v>
      </c>
      <c r="X32">
        <v>23.236499999999999</v>
      </c>
      <c r="Y32">
        <v>33.426699999999997</v>
      </c>
      <c r="Z32">
        <f t="shared" si="0"/>
        <v>56.663199999999996</v>
      </c>
      <c r="AA32">
        <f t="shared" si="1"/>
        <v>56.662594996000003</v>
      </c>
      <c r="AB32" t="s">
        <v>1</v>
      </c>
      <c r="AC32">
        <v>2048</v>
      </c>
      <c r="AD32">
        <v>0.49636000000000002</v>
      </c>
      <c r="AE32">
        <v>9.4578000000000001E-4</v>
      </c>
      <c r="AF32">
        <v>5.5872300000000001E-4</v>
      </c>
      <c r="AG32">
        <v>2.1165299999999999E-4</v>
      </c>
      <c r="AH32">
        <v>0.100592</v>
      </c>
      <c r="AI32">
        <v>0.67847599999999997</v>
      </c>
      <c r="AJ32">
        <v>0.32280700000000001</v>
      </c>
      <c r="AK32">
        <v>6.96552E-2</v>
      </c>
      <c r="AL32">
        <v>0.31349700000000003</v>
      </c>
      <c r="AM32">
        <v>3.4838500000000001E-2</v>
      </c>
      <c r="AN32">
        <v>1.3535299999999999</v>
      </c>
      <c r="AO32">
        <v>0.38089400000000001</v>
      </c>
      <c r="AP32">
        <v>0.48938599999999999</v>
      </c>
      <c r="AQ32">
        <v>0.170295</v>
      </c>
      <c r="AR32">
        <v>5.88835</v>
      </c>
      <c r="AS32">
        <v>1.4669700000000001</v>
      </c>
      <c r="AT32">
        <v>1.62348</v>
      </c>
      <c r="AU32">
        <v>0.190771</v>
      </c>
      <c r="AV32">
        <v>4.75953E-2</v>
      </c>
      <c r="AW32">
        <v>3.7679699999999997E-2</v>
      </c>
      <c r="AX32">
        <v>1.10116E-2</v>
      </c>
      <c r="AY32">
        <v>5.7569400000000003E-3</v>
      </c>
      <c r="AZ32">
        <v>1.26392E-3</v>
      </c>
      <c r="BA32">
        <v>1.3783199999999999E-3</v>
      </c>
      <c r="BB32">
        <v>7.9272000000000001E-4</v>
      </c>
      <c r="BC32">
        <v>8.5507399999999994E-3</v>
      </c>
      <c r="BD32">
        <v>6.3653700000000004</v>
      </c>
      <c r="BE32">
        <v>1.26373</v>
      </c>
      <c r="BF32">
        <v>7.4069899999999994E-2</v>
      </c>
      <c r="BG32">
        <v>0.144478</v>
      </c>
      <c r="BH32">
        <v>35.119300000000003</v>
      </c>
    </row>
    <row r="33" spans="1:60" x14ac:dyDescent="0.3">
      <c r="A33" t="s">
        <v>48</v>
      </c>
      <c r="B33">
        <v>2019</v>
      </c>
      <c r="C33" s="2">
        <v>39.087400000000002</v>
      </c>
      <c r="D33" s="2">
        <v>372.96800000000002</v>
      </c>
      <c r="E33" s="2">
        <v>100.29900000000001</v>
      </c>
      <c r="F33" s="2">
        <v>32.863999999999997</v>
      </c>
      <c r="G33" s="2">
        <v>0.150226</v>
      </c>
      <c r="H33" s="2">
        <v>0.58214500000000002</v>
      </c>
      <c r="I33">
        <v>767.62199999999996</v>
      </c>
      <c r="J33">
        <v>132.60499999999999</v>
      </c>
      <c r="K33">
        <v>424.86700000000002</v>
      </c>
      <c r="L33">
        <v>24.141100000000002</v>
      </c>
      <c r="M33">
        <v>11.605600000000001</v>
      </c>
      <c r="N33">
        <v>66.453000000000003</v>
      </c>
      <c r="O33">
        <v>45.947800000000001</v>
      </c>
      <c r="P33">
        <v>6.1662999999999997</v>
      </c>
      <c r="Q33">
        <v>81.755200000000002</v>
      </c>
      <c r="R33">
        <v>66.547600000000003</v>
      </c>
      <c r="S33">
        <v>57.630499999999998</v>
      </c>
      <c r="V33" t="s">
        <v>1</v>
      </c>
      <c r="W33">
        <v>2049</v>
      </c>
      <c r="X33">
        <v>23.092500000000001</v>
      </c>
      <c r="Y33">
        <v>33.219499999999996</v>
      </c>
      <c r="Z33">
        <f t="shared" si="0"/>
        <v>56.311999999999998</v>
      </c>
      <c r="AA33">
        <f t="shared" si="1"/>
        <v>56.311326164999997</v>
      </c>
      <c r="AB33" t="s">
        <v>1</v>
      </c>
      <c r="AC33">
        <v>2049</v>
      </c>
      <c r="AD33">
        <v>0.49621999999999999</v>
      </c>
      <c r="AE33">
        <v>9.3353399999999997E-4</v>
      </c>
      <c r="AF33">
        <v>5.5322300000000004E-4</v>
      </c>
      <c r="AG33">
        <v>2.0892999999999999E-4</v>
      </c>
      <c r="AH33">
        <v>0.100873</v>
      </c>
      <c r="AI33">
        <v>0.67358200000000001</v>
      </c>
      <c r="AJ33">
        <v>0.320108</v>
      </c>
      <c r="AK33">
        <v>6.9039400000000001E-2</v>
      </c>
      <c r="AL33">
        <v>0.31058799999999998</v>
      </c>
      <c r="AM33">
        <v>3.45262E-2</v>
      </c>
      <c r="AN33">
        <v>1.33948</v>
      </c>
      <c r="AO33">
        <v>0.37783699999999998</v>
      </c>
      <c r="AP33">
        <v>0.48714000000000002</v>
      </c>
      <c r="AQ33">
        <v>0.168625</v>
      </c>
      <c r="AR33">
        <v>5.8478599999999998</v>
      </c>
      <c r="AS33">
        <v>1.45906</v>
      </c>
      <c r="AT33">
        <v>1.6161399999999999</v>
      </c>
      <c r="AU33">
        <v>0.189138</v>
      </c>
      <c r="AV33">
        <v>4.7059999999999998E-2</v>
      </c>
      <c r="AW33">
        <v>3.76721E-2</v>
      </c>
      <c r="AX33">
        <v>1.09155E-2</v>
      </c>
      <c r="AY33">
        <v>5.75027E-3</v>
      </c>
      <c r="AZ33">
        <v>1.2584199999999999E-3</v>
      </c>
      <c r="BA33">
        <v>1.3755200000000001E-3</v>
      </c>
      <c r="BB33">
        <v>7.9069800000000005E-4</v>
      </c>
      <c r="BC33">
        <v>8.4733699999999992E-3</v>
      </c>
      <c r="BD33">
        <v>6.3444700000000003</v>
      </c>
      <c r="BE33">
        <v>1.2558400000000001</v>
      </c>
      <c r="BF33">
        <v>7.2561E-2</v>
      </c>
      <c r="BG33">
        <v>0.143147</v>
      </c>
      <c r="BH33">
        <v>34.890099999999997</v>
      </c>
    </row>
    <row r="34" spans="1:60" x14ac:dyDescent="0.3">
      <c r="C34">
        <f>SUM(C3:C33)</f>
        <v>62.345767153000004</v>
      </c>
      <c r="D34">
        <f t="shared" ref="D34:S34" si="2">SUM(D3:D33)</f>
        <v>679.70347830000003</v>
      </c>
      <c r="E34">
        <f t="shared" si="2"/>
        <v>152.55292761000001</v>
      </c>
      <c r="F34">
        <f t="shared" si="2"/>
        <v>51.705613994999993</v>
      </c>
      <c r="G34">
        <f t="shared" si="2"/>
        <v>0.30777152540556102</v>
      </c>
      <c r="H34">
        <f t="shared" si="2"/>
        <v>0.73674037047700003</v>
      </c>
      <c r="I34">
        <f t="shared" si="2"/>
        <v>991.60064929999999</v>
      </c>
      <c r="J34">
        <f t="shared" si="2"/>
        <v>199.64107011999999</v>
      </c>
      <c r="K34">
        <f t="shared" si="2"/>
        <v>607.23520780000013</v>
      </c>
      <c r="L34">
        <f t="shared" si="2"/>
        <v>40.579709800000003</v>
      </c>
      <c r="M34">
        <f t="shared" si="2"/>
        <v>21.739290560000001</v>
      </c>
      <c r="N34">
        <f t="shared" si="2"/>
        <v>118.54155309000001</v>
      </c>
      <c r="O34">
        <f t="shared" si="2"/>
        <v>76.228799100000003</v>
      </c>
      <c r="P34">
        <f t="shared" si="2"/>
        <v>17.549455200300002</v>
      </c>
      <c r="Q34">
        <f t="shared" si="2"/>
        <v>172.50149255999997</v>
      </c>
      <c r="R34">
        <f t="shared" si="2"/>
        <v>112.23911552999999</v>
      </c>
      <c r="S34">
        <f t="shared" si="2"/>
        <v>77.69961839186</v>
      </c>
      <c r="V34" t="s">
        <v>1</v>
      </c>
      <c r="W34">
        <v>2050</v>
      </c>
      <c r="X34">
        <v>22.948399999999999</v>
      </c>
      <c r="Y34">
        <v>33.012300000000003</v>
      </c>
      <c r="Z34">
        <f t="shared" si="0"/>
        <v>55.960700000000003</v>
      </c>
      <c r="AA34">
        <f t="shared" si="1"/>
        <v>55.960022929999994</v>
      </c>
      <c r="AB34" t="s">
        <v>1</v>
      </c>
      <c r="AC34">
        <v>2050</v>
      </c>
      <c r="AD34">
        <v>0.496033</v>
      </c>
      <c r="AE34">
        <v>9.2194599999999999E-4</v>
      </c>
      <c r="AF34">
        <v>5.4808199999999997E-4</v>
      </c>
      <c r="AG34">
        <v>2.0613000000000001E-4</v>
      </c>
      <c r="AH34">
        <v>0.101159</v>
      </c>
      <c r="AI34">
        <v>0.668821</v>
      </c>
      <c r="AJ34">
        <v>0.31744899999999998</v>
      </c>
      <c r="AK34">
        <v>6.8438100000000002E-2</v>
      </c>
      <c r="AL34">
        <v>0.30776599999999998</v>
      </c>
      <c r="AM34">
        <v>3.4219600000000003E-2</v>
      </c>
      <c r="AN34">
        <v>1.32613</v>
      </c>
      <c r="AO34">
        <v>0.374838</v>
      </c>
      <c r="AP34">
        <v>0.48492000000000002</v>
      </c>
      <c r="AQ34">
        <v>0.16697799999999999</v>
      </c>
      <c r="AR34">
        <v>5.8082000000000003</v>
      </c>
      <c r="AS34">
        <v>1.45089</v>
      </c>
      <c r="AT34">
        <v>1.60869</v>
      </c>
      <c r="AU34">
        <v>0.18742500000000001</v>
      </c>
      <c r="AV34">
        <v>4.6565200000000001E-2</v>
      </c>
      <c r="AW34">
        <v>3.7650299999999998E-2</v>
      </c>
      <c r="AX34">
        <v>1.0809600000000001E-2</v>
      </c>
      <c r="AY34">
        <v>5.7370299999999997E-3</v>
      </c>
      <c r="AZ34">
        <v>1.2535199999999999E-3</v>
      </c>
      <c r="BA34">
        <v>1.3732799999999999E-3</v>
      </c>
      <c r="BB34">
        <v>7.8900200000000002E-4</v>
      </c>
      <c r="BC34">
        <v>8.3995400000000005E-3</v>
      </c>
      <c r="BD34">
        <v>6.3215599999999998</v>
      </c>
      <c r="BE34">
        <v>1.24823</v>
      </c>
      <c r="BF34">
        <v>7.1132600000000004E-2</v>
      </c>
      <c r="BG34">
        <v>0.14188999999999999</v>
      </c>
      <c r="BH34">
        <v>34.661000000000001</v>
      </c>
    </row>
    <row r="36" spans="1:60" x14ac:dyDescent="0.3">
      <c r="C36" t="s">
        <v>0</v>
      </c>
      <c r="D36" t="s">
        <v>0</v>
      </c>
      <c r="E36" t="s">
        <v>0</v>
      </c>
      <c r="F36" t="s">
        <v>0</v>
      </c>
      <c r="G36" t="s">
        <v>0</v>
      </c>
      <c r="H36" t="s">
        <v>0</v>
      </c>
      <c r="I36" t="s">
        <v>0</v>
      </c>
      <c r="J36" t="s">
        <v>0</v>
      </c>
      <c r="K36" t="s">
        <v>0</v>
      </c>
      <c r="L36" t="s">
        <v>0</v>
      </c>
      <c r="M36" t="s">
        <v>0</v>
      </c>
      <c r="N36" t="s">
        <v>0</v>
      </c>
      <c r="O36" t="s">
        <v>0</v>
      </c>
      <c r="P36" t="s">
        <v>0</v>
      </c>
      <c r="Q36" t="s">
        <v>0</v>
      </c>
      <c r="R36" t="s">
        <v>0</v>
      </c>
      <c r="S36" t="s">
        <v>0</v>
      </c>
    </row>
    <row r="37" spans="1:60" x14ac:dyDescent="0.3">
      <c r="C37" t="s">
        <v>1</v>
      </c>
      <c r="D37" t="s">
        <v>2</v>
      </c>
      <c r="E37" t="s">
        <v>3</v>
      </c>
      <c r="F37" t="s">
        <v>4</v>
      </c>
      <c r="G37" t="s">
        <v>5</v>
      </c>
      <c r="H37" t="s">
        <v>6</v>
      </c>
      <c r="I37" t="s">
        <v>7</v>
      </c>
      <c r="J37" t="s">
        <v>8</v>
      </c>
      <c r="K37" t="s">
        <v>9</v>
      </c>
      <c r="L37" t="s">
        <v>10</v>
      </c>
      <c r="M37" t="s">
        <v>11</v>
      </c>
      <c r="N37" t="s">
        <v>12</v>
      </c>
      <c r="O37" t="s">
        <v>13</v>
      </c>
      <c r="P37" t="s">
        <v>14</v>
      </c>
      <c r="Q37" t="s">
        <v>15</v>
      </c>
      <c r="R37" t="s">
        <v>16</v>
      </c>
      <c r="S37" t="s">
        <v>17</v>
      </c>
    </row>
    <row r="38" spans="1:60" x14ac:dyDescent="0.3">
      <c r="A38" t="s">
        <v>49</v>
      </c>
      <c r="B38">
        <v>2019</v>
      </c>
      <c r="C38">
        <v>25.566800000000001</v>
      </c>
      <c r="D38">
        <v>197.83199999999999</v>
      </c>
      <c r="E38">
        <v>67.9679</v>
      </c>
      <c r="F38">
        <v>26.747499999999999</v>
      </c>
      <c r="G38">
        <v>9.5599100000000006E-2</v>
      </c>
      <c r="H38">
        <v>0.24859100000000001</v>
      </c>
      <c r="I38">
        <v>609.72900000000004</v>
      </c>
      <c r="J38">
        <v>92.699799999999996</v>
      </c>
      <c r="K38">
        <v>341.37200000000001</v>
      </c>
      <c r="L38">
        <v>21.909600000000001</v>
      </c>
      <c r="M38">
        <v>8.7261500000000005</v>
      </c>
      <c r="N38">
        <v>50.608600000000003</v>
      </c>
      <c r="O38">
        <v>28.782800000000002</v>
      </c>
      <c r="P38">
        <v>6.7272400000000001</v>
      </c>
      <c r="Q38">
        <v>75.274000000000001</v>
      </c>
      <c r="R38">
        <v>46.865000000000002</v>
      </c>
      <c r="S38">
        <v>48.586199999999998</v>
      </c>
    </row>
    <row r="39" spans="1:60" x14ac:dyDescent="0.3">
      <c r="A39" t="s">
        <v>50</v>
      </c>
      <c r="B39">
        <v>2019</v>
      </c>
      <c r="C39">
        <v>36.7789</v>
      </c>
      <c r="D39">
        <v>481.87200000000001</v>
      </c>
      <c r="E39">
        <v>84.584599999999995</v>
      </c>
      <c r="F39">
        <v>24.958100000000002</v>
      </c>
      <c r="G39">
        <v>0.212172</v>
      </c>
      <c r="H39">
        <v>0.488149</v>
      </c>
      <c r="I39">
        <v>381.87200000000001</v>
      </c>
      <c r="J39">
        <v>106.941</v>
      </c>
      <c r="K39">
        <v>265.863</v>
      </c>
      <c r="L39">
        <v>18.670100000000001</v>
      </c>
      <c r="M39">
        <v>13.0131</v>
      </c>
      <c r="N39">
        <v>67.932900000000004</v>
      </c>
      <c r="O39">
        <v>47.445999999999998</v>
      </c>
      <c r="P39">
        <v>10.8222</v>
      </c>
      <c r="Q39">
        <v>97.227500000000006</v>
      </c>
      <c r="R39">
        <v>65.374099999999999</v>
      </c>
      <c r="S39">
        <v>29.113499999999998</v>
      </c>
    </row>
    <row r="40" spans="1:60" x14ac:dyDescent="0.3">
      <c r="C40">
        <f>SUM(C38:C39)</f>
        <v>62.345700000000001</v>
      </c>
      <c r="D40">
        <f t="shared" ref="D40:S40" si="3">SUM(D38:D39)</f>
        <v>679.70399999999995</v>
      </c>
      <c r="E40">
        <f t="shared" si="3"/>
        <v>152.55250000000001</v>
      </c>
      <c r="F40">
        <f t="shared" si="3"/>
        <v>51.705600000000004</v>
      </c>
      <c r="G40">
        <f t="shared" si="3"/>
        <v>0.30777110000000002</v>
      </c>
      <c r="H40">
        <f t="shared" si="3"/>
        <v>0.73673999999999995</v>
      </c>
      <c r="I40">
        <f t="shared" si="3"/>
        <v>991.60100000000011</v>
      </c>
      <c r="J40">
        <f t="shared" si="3"/>
        <v>199.64080000000001</v>
      </c>
      <c r="K40">
        <f t="shared" si="3"/>
        <v>607.23500000000001</v>
      </c>
      <c r="L40">
        <f t="shared" si="3"/>
        <v>40.579700000000003</v>
      </c>
      <c r="M40">
        <f t="shared" si="3"/>
        <v>21.739249999999998</v>
      </c>
      <c r="N40">
        <f t="shared" si="3"/>
        <v>118.54150000000001</v>
      </c>
      <c r="O40">
        <f t="shared" si="3"/>
        <v>76.228800000000007</v>
      </c>
      <c r="P40">
        <f t="shared" si="3"/>
        <v>17.549440000000001</v>
      </c>
      <c r="Q40">
        <f t="shared" si="3"/>
        <v>172.50150000000002</v>
      </c>
      <c r="R40">
        <f t="shared" si="3"/>
        <v>112.23910000000001</v>
      </c>
      <c r="S40">
        <f t="shared" si="3"/>
        <v>77.699699999999993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0684C-2F1B-403B-83C4-70818476399B}">
  <dimension ref="A1:AE66"/>
  <sheetViews>
    <sheetView zoomScale="55" zoomScaleNormal="55" workbookViewId="0">
      <selection activeCell="I2" sqref="I2:I32"/>
    </sheetView>
  </sheetViews>
  <sheetFormatPr defaultRowHeight="14.4" x14ac:dyDescent="0.3"/>
  <cols>
    <col min="1" max="1" width="118.5546875" customWidth="1"/>
    <col min="2" max="2" width="10.21875" bestFit="1" customWidth="1"/>
    <col min="3" max="3" width="11.21875" bestFit="1" customWidth="1"/>
    <col min="4" max="5" width="10.21875" bestFit="1" customWidth="1"/>
    <col min="6" max="6" width="9.33203125" bestFit="1" customWidth="1"/>
    <col min="7" max="7" width="9.33203125" customWidth="1"/>
    <col min="9" max="9" width="18.21875" bestFit="1" customWidth="1"/>
    <col min="11" max="11" width="10" customWidth="1"/>
    <col min="13" max="13" width="18.21875" bestFit="1" customWidth="1"/>
    <col min="14" max="14" width="9.44140625" bestFit="1" customWidth="1"/>
    <col min="15" max="15" width="9" bestFit="1" customWidth="1"/>
    <col min="17" max="17" width="18.21875" bestFit="1" customWidth="1"/>
    <col min="25" max="25" width="18.21875" bestFit="1" customWidth="1"/>
    <col min="26" max="26" width="10.44140625" bestFit="1" customWidth="1"/>
    <col min="27" max="27" width="13.21875" customWidth="1"/>
    <col min="28" max="28" width="10.44140625" bestFit="1" customWidth="1"/>
    <col min="29" max="29" width="10.77734375" bestFit="1" customWidth="1"/>
    <col min="30" max="31" width="9" bestFit="1" customWidth="1"/>
  </cols>
  <sheetData>
    <row r="1" spans="1:31" x14ac:dyDescent="0.3">
      <c r="A1" s="14" t="s">
        <v>52</v>
      </c>
      <c r="B1" s="14"/>
      <c r="J1" s="10" t="s">
        <v>1</v>
      </c>
      <c r="K1" s="10" t="s">
        <v>2</v>
      </c>
      <c r="L1" s="10" t="s">
        <v>3</v>
      </c>
      <c r="M1" s="10" t="s">
        <v>4</v>
      </c>
      <c r="N1" s="10" t="s">
        <v>5</v>
      </c>
      <c r="O1" s="10" t="s">
        <v>6</v>
      </c>
      <c r="P1" s="11"/>
      <c r="Q1" s="11"/>
      <c r="R1" s="10" t="s">
        <v>1</v>
      </c>
      <c r="S1" s="10" t="s">
        <v>2</v>
      </c>
      <c r="T1" s="10" t="s">
        <v>3</v>
      </c>
      <c r="U1" s="10" t="s">
        <v>4</v>
      </c>
      <c r="V1" s="10" t="s">
        <v>5</v>
      </c>
      <c r="W1" s="10" t="s">
        <v>6</v>
      </c>
      <c r="Z1" s="33" t="s">
        <v>1</v>
      </c>
      <c r="AA1" s="33" t="s">
        <v>2</v>
      </c>
      <c r="AB1" s="33" t="s">
        <v>3</v>
      </c>
      <c r="AC1" s="33" t="s">
        <v>4</v>
      </c>
      <c r="AD1" s="33" t="s">
        <v>5</v>
      </c>
      <c r="AE1" s="33" t="s">
        <v>6</v>
      </c>
    </row>
    <row r="2" spans="1:31" ht="15" thickBot="1" x14ac:dyDescent="0.35">
      <c r="A2" s="12"/>
      <c r="B2" s="10" t="s">
        <v>51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80</v>
      </c>
      <c r="I2" t="s">
        <v>18</v>
      </c>
      <c r="J2" s="16">
        <v>0.44017499999999998</v>
      </c>
      <c r="K2" s="16">
        <v>43.589500000000001</v>
      </c>
      <c r="L2" s="16">
        <v>1.6019000000000001</v>
      </c>
      <c r="M2" s="16">
        <v>1.75284</v>
      </c>
      <c r="N2" s="16">
        <v>3.3982999999999999E-2</v>
      </c>
      <c r="O2" s="16">
        <v>8.5419599999999995E-3</v>
      </c>
      <c r="P2" s="13"/>
      <c r="Q2" s="14" t="s">
        <v>18</v>
      </c>
      <c r="R2" s="13"/>
      <c r="S2" s="13"/>
      <c r="T2" s="13"/>
      <c r="U2" s="13"/>
      <c r="V2" s="13"/>
      <c r="W2" s="13"/>
      <c r="Y2" s="7" t="s">
        <v>18</v>
      </c>
      <c r="Z2" s="8">
        <f>B3</f>
        <v>1394.9179999999999</v>
      </c>
      <c r="AA2" s="8">
        <f t="shared" ref="AA2:AE2" si="0">C3</f>
        <v>182943.04044704448</v>
      </c>
      <c r="AB2" s="8">
        <f t="shared" si="0"/>
        <v>2180.4499999999998</v>
      </c>
      <c r="AC2" s="8">
        <f t="shared" si="0"/>
        <v>4131.2960000000003</v>
      </c>
      <c r="AD2" s="8">
        <f t="shared" si="0"/>
        <v>330.05099999999999</v>
      </c>
      <c r="AE2" s="8">
        <f t="shared" si="0"/>
        <v>6849.611337138288</v>
      </c>
    </row>
    <row r="3" spans="1:31" x14ac:dyDescent="0.3">
      <c r="A3" s="7" t="s">
        <v>57</v>
      </c>
      <c r="B3" s="36">
        <v>1394.9179999999999</v>
      </c>
      <c r="C3" s="36">
        <f>'R17'!I3</f>
        <v>182943.04044704448</v>
      </c>
      <c r="D3" s="36">
        <v>2180.4499999999998</v>
      </c>
      <c r="E3" s="36">
        <v>4131.2960000000003</v>
      </c>
      <c r="F3" s="36">
        <v>330.05099999999999</v>
      </c>
      <c r="G3" s="36">
        <f>'R17'!I7</f>
        <v>6849.611337138288</v>
      </c>
      <c r="I3" t="s">
        <v>19</v>
      </c>
      <c r="J3" s="16">
        <v>1.65974E-3</v>
      </c>
      <c r="K3" s="16">
        <v>3.9157899999999999</v>
      </c>
      <c r="L3" s="16">
        <v>8.2797999999999997E-4</v>
      </c>
      <c r="M3" s="16">
        <v>0.27798</v>
      </c>
      <c r="N3" s="16">
        <v>1.7124799999999999E-2</v>
      </c>
      <c r="O3" s="16">
        <v>7.5394500000000001E-4</v>
      </c>
      <c r="P3" s="13"/>
      <c r="Q3" s="17" t="s">
        <v>19</v>
      </c>
      <c r="R3" s="18">
        <f>J3/SUM(J$3:J$6)</f>
        <v>2.0892769566500269E-2</v>
      </c>
      <c r="S3" s="18">
        <f t="shared" ref="S3:W6" si="1">K3/SUM(K$3:K$6)</f>
        <v>0.40796979011308238</v>
      </c>
      <c r="T3" s="18">
        <f t="shared" si="1"/>
        <v>4.8240094184650176E-3</v>
      </c>
      <c r="U3" s="18">
        <f t="shared" si="1"/>
        <v>0.10409582897697145</v>
      </c>
      <c r="V3" s="18">
        <f t="shared" si="1"/>
        <v>0.46944393104268656</v>
      </c>
      <c r="W3" s="19">
        <f t="shared" si="1"/>
        <v>0.10198131455921103</v>
      </c>
      <c r="Y3" s="7" t="s">
        <v>19</v>
      </c>
      <c r="Z3" s="8">
        <f>B$4*R3</f>
        <v>0.3029869442533869</v>
      </c>
      <c r="AA3" s="34">
        <f>$C$4*O37</f>
        <v>3842.3183315920678</v>
      </c>
      <c r="AB3" s="8">
        <f t="shared" ref="AB3:AD6" si="2">D$4*T3</f>
        <v>0.11028650332494723</v>
      </c>
      <c r="AC3" s="8">
        <f t="shared" si="2"/>
        <v>166.58809437003262</v>
      </c>
      <c r="AD3" s="8">
        <f t="shared" si="2"/>
        <v>27.191600817785535</v>
      </c>
      <c r="AE3" s="34">
        <f>$G$4*K37</f>
        <v>13.399308477760645</v>
      </c>
    </row>
    <row r="4" spans="1:31" x14ac:dyDescent="0.3">
      <c r="A4" s="7" t="s">
        <v>58</v>
      </c>
      <c r="B4" s="36">
        <v>14.502000000000001</v>
      </c>
      <c r="C4" s="46">
        <f>'R17'!J3</f>
        <v>230111.22980023501</v>
      </c>
      <c r="D4" s="36">
        <v>22.861999999999998</v>
      </c>
      <c r="E4" s="36">
        <v>1600.3340000000001</v>
      </c>
      <c r="F4" s="36">
        <v>57.923000000000002</v>
      </c>
      <c r="G4" s="46">
        <f>'R17'!J7</f>
        <v>1899.8952166196839</v>
      </c>
      <c r="I4" t="s">
        <v>20</v>
      </c>
      <c r="J4" s="16">
        <v>7.0133999999999995E-4</v>
      </c>
      <c r="K4" s="16">
        <v>0.64370300000000003</v>
      </c>
      <c r="L4" s="16">
        <v>1.2940300000000001E-3</v>
      </c>
      <c r="M4" s="16">
        <v>0.57365200000000005</v>
      </c>
      <c r="N4" s="16">
        <v>5.33954E-4</v>
      </c>
      <c r="O4" s="16">
        <v>5.7827999999999999E-6</v>
      </c>
      <c r="P4" s="15"/>
      <c r="Q4" s="20" t="s">
        <v>20</v>
      </c>
      <c r="R4" s="12">
        <f t="shared" ref="R4:R6" si="3">J4/SUM(J$3:J$6)</f>
        <v>8.8284520513871433E-3</v>
      </c>
      <c r="S4" s="12">
        <f t="shared" si="1"/>
        <v>6.7064724565199227E-2</v>
      </c>
      <c r="T4" s="12">
        <f t="shared" si="1"/>
        <v>7.5393281332596035E-3</v>
      </c>
      <c r="U4" s="12">
        <f t="shared" si="1"/>
        <v>0.21481682309625738</v>
      </c>
      <c r="V4" s="12">
        <f t="shared" si="1"/>
        <v>1.4637336772164737E-2</v>
      </c>
      <c r="W4" s="21">
        <f t="shared" si="1"/>
        <v>7.8220234345078958E-4</v>
      </c>
      <c r="Y4" s="7" t="s">
        <v>20</v>
      </c>
      <c r="Z4" s="8">
        <f t="shared" ref="Z4:Z5" si="4">B$4*R4</f>
        <v>0.12803021164921635</v>
      </c>
      <c r="AA4" s="34">
        <f t="shared" ref="AA4:AA28" si="5">$C$4*O38</f>
        <v>631.62524982208163</v>
      </c>
      <c r="AB4" s="8">
        <f t="shared" si="2"/>
        <v>0.17236411978258104</v>
      </c>
      <c r="AC4" s="8">
        <f t="shared" si="2"/>
        <v>343.77866577292599</v>
      </c>
      <c r="AD4" s="8">
        <f t="shared" si="2"/>
        <v>0.84783845785409806</v>
      </c>
      <c r="AE4" s="34">
        <f t="shared" ref="AE4:AE28" si="6">$G$4*K38</f>
        <v>0.10277343979361128</v>
      </c>
    </row>
    <row r="5" spans="1:31" x14ac:dyDescent="0.3">
      <c r="A5" s="7" t="s">
        <v>59</v>
      </c>
      <c r="B5" s="36">
        <v>4429.1210000000001</v>
      </c>
      <c r="C5" s="47"/>
      <c r="D5" s="36">
        <v>10606.694</v>
      </c>
      <c r="E5" s="36">
        <v>9935.6939999999995</v>
      </c>
      <c r="F5" s="36">
        <v>90.254999999999995</v>
      </c>
      <c r="G5" s="47"/>
      <c r="I5" t="s">
        <v>21</v>
      </c>
      <c r="J5" s="16">
        <v>3.8890000000000002E-4</v>
      </c>
      <c r="K5" s="16">
        <v>2.5332199999999999E-2</v>
      </c>
      <c r="L5" s="16">
        <v>1.04823E-2</v>
      </c>
      <c r="M5" s="16">
        <v>0.93698300000000001</v>
      </c>
      <c r="N5" s="16">
        <v>4.1249799999999999E-5</v>
      </c>
      <c r="O5" s="16">
        <v>9.8141699999999996E-6</v>
      </c>
      <c r="P5" s="15"/>
      <c r="Q5" s="20" t="s">
        <v>21</v>
      </c>
      <c r="R5" s="12">
        <f t="shared" si="3"/>
        <v>4.8954644006964677E-3</v>
      </c>
      <c r="S5" s="12">
        <f t="shared" si="1"/>
        <v>2.6392560165643779E-3</v>
      </c>
      <c r="T5" s="12">
        <f t="shared" si="1"/>
        <v>6.1072385718466453E-2</v>
      </c>
      <c r="U5" s="12">
        <f t="shared" si="1"/>
        <v>0.35087424319134336</v>
      </c>
      <c r="V5" s="12">
        <f t="shared" si="1"/>
        <v>1.1307850758388194E-3</v>
      </c>
      <c r="W5" s="21">
        <f t="shared" si="1"/>
        <v>1.327499960749885E-3</v>
      </c>
      <c r="Y5" s="7" t="s">
        <v>21</v>
      </c>
      <c r="Z5" s="8">
        <f t="shared" si="4"/>
        <v>7.099402473890018E-2</v>
      </c>
      <c r="AA5" s="34">
        <f t="shared" si="5"/>
        <v>24.856893868046186</v>
      </c>
      <c r="AB5" s="8">
        <f t="shared" si="2"/>
        <v>1.39623688229558</v>
      </c>
      <c r="AC5" s="8">
        <f t="shared" si="2"/>
        <v>561.51598110337534</v>
      </c>
      <c r="AD5" s="8">
        <f t="shared" si="2"/>
        <v>6.5498463947811933E-2</v>
      </c>
      <c r="AE5" s="34">
        <f t="shared" si="6"/>
        <v>0.17442000581366568</v>
      </c>
    </row>
    <row r="6" spans="1:31" ht="15" thickBot="1" x14ac:dyDescent="0.35">
      <c r="A6" s="7" t="s">
        <v>60</v>
      </c>
      <c r="B6" s="36">
        <v>67.915999999999997</v>
      </c>
      <c r="C6" s="47"/>
      <c r="D6" s="36">
        <v>278.50799999999998</v>
      </c>
      <c r="E6" s="36">
        <v>1822.22</v>
      </c>
      <c r="F6" s="36">
        <v>19.347999999999999</v>
      </c>
      <c r="G6" s="47"/>
      <c r="I6" t="s">
        <v>22</v>
      </c>
      <c r="J6" s="16">
        <v>7.6690900000000006E-2</v>
      </c>
      <c r="K6" s="16">
        <v>5.0134100000000004</v>
      </c>
      <c r="L6" s="16">
        <v>0.15903300000000001</v>
      </c>
      <c r="M6" s="16">
        <v>0.88180899999999995</v>
      </c>
      <c r="N6" s="16">
        <v>1.8778900000000001E-2</v>
      </c>
      <c r="O6" s="16">
        <v>6.6234299999999996E-3</v>
      </c>
      <c r="P6" s="13"/>
      <c r="Q6" s="22" t="s">
        <v>22</v>
      </c>
      <c r="R6" s="23">
        <f t="shared" si="3"/>
        <v>0.96538331398141608</v>
      </c>
      <c r="S6" s="23">
        <f t="shared" si="1"/>
        <v>0.52232622930515393</v>
      </c>
      <c r="T6" s="23">
        <f t="shared" si="1"/>
        <v>0.9265642767298089</v>
      </c>
      <c r="U6" s="23">
        <f t="shared" si="1"/>
        <v>0.33021310473542775</v>
      </c>
      <c r="V6" s="23">
        <f t="shared" si="1"/>
        <v>0.51478794710930975</v>
      </c>
      <c r="W6" s="24">
        <f t="shared" si="1"/>
        <v>0.89590898313658829</v>
      </c>
      <c r="Y6" s="7" t="s">
        <v>22</v>
      </c>
      <c r="Z6" s="8">
        <f>B$4*R6</f>
        <v>13.999988819358496</v>
      </c>
      <c r="AA6" s="34">
        <f t="shared" si="5"/>
        <v>4919.3437714450956</v>
      </c>
      <c r="AB6" s="8">
        <f t="shared" si="2"/>
        <v>21.183112494596891</v>
      </c>
      <c r="AC6" s="8">
        <f t="shared" si="2"/>
        <v>528.45125875366602</v>
      </c>
      <c r="AD6" s="8">
        <f t="shared" si="2"/>
        <v>29.81806226041255</v>
      </c>
      <c r="AE6" s="34">
        <f t="shared" si="6"/>
        <v>117.71333684931153</v>
      </c>
    </row>
    <row r="7" spans="1:31" x14ac:dyDescent="0.3">
      <c r="A7" s="7" t="s">
        <v>61</v>
      </c>
      <c r="B7" s="36">
        <v>135.11699999999999</v>
      </c>
      <c r="C7" s="47"/>
      <c r="D7" s="36">
        <v>322.791</v>
      </c>
      <c r="E7" s="36">
        <v>501.995</v>
      </c>
      <c r="F7" s="36">
        <v>10.786</v>
      </c>
      <c r="G7" s="47"/>
      <c r="I7" t="s">
        <v>23</v>
      </c>
      <c r="J7" s="16">
        <v>0.83691000000000004</v>
      </c>
      <c r="K7" s="16">
        <v>18.597999999999999</v>
      </c>
      <c r="L7" s="16">
        <v>2.6902499999999998</v>
      </c>
      <c r="M7" s="16">
        <v>1.1189899999999999</v>
      </c>
      <c r="N7" s="16">
        <v>3.0260600000000001E-3</v>
      </c>
      <c r="O7" s="16">
        <v>1.5826699999999999E-2</v>
      </c>
      <c r="P7" s="13"/>
      <c r="Q7" s="25" t="s">
        <v>23</v>
      </c>
      <c r="R7" s="26">
        <f>J7/SUM(J$7:J$18)</f>
        <v>5.5868738964236796E-2</v>
      </c>
      <c r="S7" s="26">
        <f t="shared" ref="S7:W18" si="7">K7/SUM(K$7:K$18)</f>
        <v>0.1212341503525099</v>
      </c>
      <c r="T7" s="26">
        <f t="shared" si="7"/>
        <v>9.3236985387032512E-2</v>
      </c>
      <c r="U7" s="26">
        <f t="shared" si="7"/>
        <v>0.19176901851105124</v>
      </c>
      <c r="V7" s="26">
        <f t="shared" si="7"/>
        <v>0.19951070546958852</v>
      </c>
      <c r="W7" s="27">
        <f t="shared" si="7"/>
        <v>0.27915494662990509</v>
      </c>
      <c r="Y7" s="7" t="s">
        <v>23</v>
      </c>
      <c r="Z7" s="8">
        <f>B$5*R7</f>
        <v>247.44940499001945</v>
      </c>
      <c r="AA7" s="34">
        <f t="shared" si="5"/>
        <v>18249.047147816731</v>
      </c>
      <c r="AB7" s="8">
        <f t="shared" ref="AB7:AD18" si="8">D$5*T7</f>
        <v>988.93617348272539</v>
      </c>
      <c r="AC7" s="8">
        <f t="shared" si="8"/>
        <v>1905.3582866061406</v>
      </c>
      <c r="AD7" s="8">
        <f t="shared" si="8"/>
        <v>18.00683872215771</v>
      </c>
      <c r="AE7" s="34">
        <f t="shared" si="6"/>
        <v>281.2762674796893</v>
      </c>
    </row>
    <row r="8" spans="1:31" x14ac:dyDescent="0.3">
      <c r="A8" s="7" t="s">
        <v>62</v>
      </c>
      <c r="B8" s="36">
        <v>2019.588</v>
      </c>
      <c r="C8" s="48"/>
      <c r="D8" s="36">
        <v>4960.6779999999999</v>
      </c>
      <c r="E8" s="36">
        <v>4842.88</v>
      </c>
      <c r="F8" s="36">
        <v>68.847999999999999</v>
      </c>
      <c r="G8" s="48"/>
      <c r="I8" t="s">
        <v>24</v>
      </c>
      <c r="J8" s="16">
        <v>0.47014400000000001</v>
      </c>
      <c r="K8" s="16">
        <v>16.9434</v>
      </c>
      <c r="L8" s="16">
        <v>0.69081099999999995</v>
      </c>
      <c r="M8" s="16">
        <v>0.17021</v>
      </c>
      <c r="N8" s="16">
        <v>2.1867499999999999E-3</v>
      </c>
      <c r="O8" s="16">
        <v>1.6574599999999998E-2</v>
      </c>
      <c r="P8" s="13"/>
      <c r="Q8" s="28" t="s">
        <v>24</v>
      </c>
      <c r="R8" s="13">
        <f t="shared" ref="R8:R18" si="9">J8/SUM(J$7:J$18)</f>
        <v>3.1384918822337099E-2</v>
      </c>
      <c r="S8" s="13">
        <f t="shared" si="7"/>
        <v>0.11044836558139134</v>
      </c>
      <c r="T8" s="13">
        <f t="shared" si="7"/>
        <v>2.3941691334337444E-2</v>
      </c>
      <c r="U8" s="13">
        <f t="shared" si="7"/>
        <v>2.9170059286290347E-2</v>
      </c>
      <c r="V8" s="13">
        <f t="shared" si="7"/>
        <v>0.14417428444433442</v>
      </c>
      <c r="W8" s="29">
        <f t="shared" si="7"/>
        <v>0.29234657751849874</v>
      </c>
      <c r="Y8" s="7" t="s">
        <v>24</v>
      </c>
      <c r="Z8" s="8">
        <f t="shared" ref="Z8:Z18" si="10">B$5*R8</f>
        <v>139.00760303930852</v>
      </c>
      <c r="AA8" s="34">
        <f t="shared" si="5"/>
        <v>16625.492281122595</v>
      </c>
      <c r="AB8" s="8">
        <f t="shared" si="8"/>
        <v>253.94219382576895</v>
      </c>
      <c r="AC8" s="8">
        <f t="shared" si="8"/>
        <v>289.82478303043928</v>
      </c>
      <c r="AD8" s="8">
        <f t="shared" si="8"/>
        <v>13.012450042523403</v>
      </c>
      <c r="AE8" s="34">
        <f t="shared" si="6"/>
        <v>294.5681426304194</v>
      </c>
    </row>
    <row r="9" spans="1:31" x14ac:dyDescent="0.3">
      <c r="A9" s="7" t="s">
        <v>63</v>
      </c>
      <c r="B9" s="36">
        <v>3662.6019999999999</v>
      </c>
      <c r="C9" s="46">
        <f>'R17'!K3</f>
        <v>330795.37743578054</v>
      </c>
      <c r="D9" s="36">
        <v>11080.678</v>
      </c>
      <c r="E9" s="36">
        <v>10883.44</v>
      </c>
      <c r="F9" s="36">
        <v>160.405</v>
      </c>
      <c r="G9" s="46">
        <f>'R17'!K7</f>
        <v>6338.7901704974856</v>
      </c>
      <c r="I9" t="s">
        <v>25</v>
      </c>
      <c r="J9" s="16">
        <v>9.2899399999999993E-2</v>
      </c>
      <c r="K9" s="16">
        <v>2.6086100000000001</v>
      </c>
      <c r="L9" s="16">
        <v>0.26078000000000001</v>
      </c>
      <c r="M9" s="16">
        <v>0.169817</v>
      </c>
      <c r="N9" s="16">
        <v>3.9877700000000001E-4</v>
      </c>
      <c r="O9" s="16">
        <v>1.2540400000000001E-3</v>
      </c>
      <c r="P9" s="13"/>
      <c r="Q9" s="28" t="s">
        <v>25</v>
      </c>
      <c r="R9" s="13">
        <f t="shared" si="9"/>
        <v>6.201589571798902E-3</v>
      </c>
      <c r="S9" s="13">
        <f t="shared" si="7"/>
        <v>1.7004657326113608E-2</v>
      </c>
      <c r="T9" s="13">
        <f t="shared" si="7"/>
        <v>9.037948536095285E-3</v>
      </c>
      <c r="U9" s="13">
        <f t="shared" si="7"/>
        <v>2.910270817120009E-2</v>
      </c>
      <c r="V9" s="13">
        <f t="shared" si="7"/>
        <v>2.6291706243447285E-2</v>
      </c>
      <c r="W9" s="29">
        <f t="shared" si="7"/>
        <v>2.2119043721797103E-2</v>
      </c>
      <c r="Y9" s="7" t="s">
        <v>25</v>
      </c>
      <c r="Z9" s="8">
        <f t="shared" si="10"/>
        <v>27.467590605835525</v>
      </c>
      <c r="AA9" s="34">
        <f t="shared" si="5"/>
        <v>2559.6648499981829</v>
      </c>
      <c r="AB9" s="8">
        <f t="shared" si="8"/>
        <v>95.862754510110634</v>
      </c>
      <c r="AC9" s="8">
        <f t="shared" si="8"/>
        <v>289.15560296034369</v>
      </c>
      <c r="AD9" s="8">
        <f t="shared" si="8"/>
        <v>2.3729579470023348</v>
      </c>
      <c r="AE9" s="34">
        <f t="shared" si="6"/>
        <v>22.287128110738792</v>
      </c>
    </row>
    <row r="10" spans="1:31" x14ac:dyDescent="0.3">
      <c r="A10" s="7" t="s">
        <v>64</v>
      </c>
      <c r="B10" s="36">
        <v>1431.36</v>
      </c>
      <c r="C10" s="47"/>
      <c r="D10" s="36">
        <v>3723.1309999999999</v>
      </c>
      <c r="E10" s="36">
        <v>6141.0159999999996</v>
      </c>
      <c r="F10" s="36">
        <v>61.122999999999998</v>
      </c>
      <c r="G10" s="47"/>
      <c r="I10" t="s">
        <v>26</v>
      </c>
      <c r="J10" s="16">
        <v>0.40236100000000002</v>
      </c>
      <c r="K10" s="16">
        <v>5.9194599999999999</v>
      </c>
      <c r="L10" s="16">
        <v>1.4579299999999999</v>
      </c>
      <c r="M10" s="16">
        <v>0.16978299999999999</v>
      </c>
      <c r="N10" s="16">
        <v>5.1736300000000001E-9</v>
      </c>
      <c r="O10" s="16">
        <v>3.10656E-3</v>
      </c>
      <c r="P10" s="13"/>
      <c r="Q10" s="28" t="s">
        <v>26</v>
      </c>
      <c r="R10" s="13">
        <f t="shared" si="9"/>
        <v>2.6859998898793518E-2</v>
      </c>
      <c r="S10" s="13">
        <f t="shared" si="7"/>
        <v>3.8586982667258213E-2</v>
      </c>
      <c r="T10" s="13">
        <f t="shared" si="7"/>
        <v>5.0528017137930044E-2</v>
      </c>
      <c r="U10" s="13">
        <f t="shared" si="7"/>
        <v>2.9096881357171926E-2</v>
      </c>
      <c r="V10" s="13">
        <f t="shared" si="7"/>
        <v>3.4110181924305106E-7</v>
      </c>
      <c r="W10" s="29">
        <f t="shared" si="7"/>
        <v>5.4794214270984978E-2</v>
      </c>
      <c r="Y10" s="7" t="s">
        <v>26</v>
      </c>
      <c r="Z10" s="8">
        <f t="shared" si="10"/>
        <v>118.96618518262325</v>
      </c>
      <c r="AA10" s="34">
        <f t="shared" si="5"/>
        <v>5808.3936245626001</v>
      </c>
      <c r="AB10" s="8">
        <f t="shared" si="8"/>
        <v>535.93521620877971</v>
      </c>
      <c r="AC10" s="8">
        <f t="shared" si="8"/>
        <v>289.09770951916494</v>
      </c>
      <c r="AD10" s="8">
        <f t="shared" si="8"/>
        <v>3.0786144695781574E-5</v>
      </c>
      <c r="AE10" s="34">
        <f t="shared" si="6"/>
        <v>55.210599904067415</v>
      </c>
    </row>
    <row r="11" spans="1:31" x14ac:dyDescent="0.3">
      <c r="A11" s="7" t="s">
        <v>65</v>
      </c>
      <c r="B11" s="36">
        <v>2303.41</v>
      </c>
      <c r="C11" s="47"/>
      <c r="D11" s="36">
        <v>4183.7129999999997</v>
      </c>
      <c r="E11" s="36">
        <v>1844.204</v>
      </c>
      <c r="F11" s="36">
        <v>36.280999999999999</v>
      </c>
      <c r="G11" s="47"/>
      <c r="I11" t="s">
        <v>27</v>
      </c>
      <c r="J11" s="16">
        <v>4.6731200000000001E-2</v>
      </c>
      <c r="K11" s="16">
        <v>1.09989</v>
      </c>
      <c r="L11" s="16">
        <v>8.3341999999999999E-2</v>
      </c>
      <c r="M11" s="16">
        <v>6.3700699999999999E-2</v>
      </c>
      <c r="N11" s="16">
        <v>1.24296E-4</v>
      </c>
      <c r="O11" s="16">
        <v>8.2203899999999994E-5</v>
      </c>
      <c r="P11" s="15"/>
      <c r="Q11" s="28" t="s">
        <v>27</v>
      </c>
      <c r="R11" s="13">
        <f t="shared" si="9"/>
        <v>3.1195865914919675E-3</v>
      </c>
      <c r="S11" s="13">
        <f t="shared" si="7"/>
        <v>7.1698155517379352E-3</v>
      </c>
      <c r="T11" s="13">
        <f t="shared" si="7"/>
        <v>2.8884143987086938E-3</v>
      </c>
      <c r="U11" s="13">
        <f t="shared" si="7"/>
        <v>1.0916827422467513E-2</v>
      </c>
      <c r="V11" s="13">
        <f t="shared" si="7"/>
        <v>8.1949408296755431E-3</v>
      </c>
      <c r="W11" s="29">
        <f t="shared" si="7"/>
        <v>1.4499311490879371E-3</v>
      </c>
      <c r="Y11" s="7" t="s">
        <v>27</v>
      </c>
      <c r="Z11" s="8">
        <f t="shared" si="10"/>
        <v>13.817026483695495</v>
      </c>
      <c r="AA11" s="34">
        <f t="shared" si="5"/>
        <v>1079.2528480165688</v>
      </c>
      <c r="AB11" s="8">
        <f t="shared" si="8"/>
        <v>30.63652767229711</v>
      </c>
      <c r="AC11" s="8">
        <f t="shared" si="8"/>
        <v>108.46625672044593</v>
      </c>
      <c r="AD11" s="8">
        <f t="shared" si="8"/>
        <v>0.73963438458236608</v>
      </c>
      <c r="AE11" s="34">
        <f t="shared" si="6"/>
        <v>1.4609492922892096</v>
      </c>
    </row>
    <row r="12" spans="1:31" x14ac:dyDescent="0.3">
      <c r="A12" s="7" t="s">
        <v>66</v>
      </c>
      <c r="B12" s="36">
        <v>860.50400000000002</v>
      </c>
      <c r="C12" s="47"/>
      <c r="D12" s="36">
        <v>3273.18</v>
      </c>
      <c r="E12" s="36">
        <v>1260.1669999999999</v>
      </c>
      <c r="F12" s="36">
        <v>12.954000000000001</v>
      </c>
      <c r="G12" s="47"/>
      <c r="I12" t="s">
        <v>28</v>
      </c>
      <c r="J12" s="16">
        <v>1.8543499999999999</v>
      </c>
      <c r="K12" s="16">
        <v>18.8812</v>
      </c>
      <c r="L12" s="16">
        <v>3.3051599999999999</v>
      </c>
      <c r="M12" s="16">
        <v>0.46571499999999999</v>
      </c>
      <c r="N12" s="16">
        <v>3.76093E-7</v>
      </c>
      <c r="O12" s="16">
        <v>3.8620299999999998E-3</v>
      </c>
      <c r="P12" s="13"/>
      <c r="Q12" s="28" t="s">
        <v>28</v>
      </c>
      <c r="R12" s="13">
        <f t="shared" si="9"/>
        <v>0.1237889332166332</v>
      </c>
      <c r="S12" s="13">
        <f t="shared" si="7"/>
        <v>0.12308023656499677</v>
      </c>
      <c r="T12" s="13">
        <f t="shared" si="7"/>
        <v>0.11454814780106101</v>
      </c>
      <c r="U12" s="13">
        <f t="shared" si="7"/>
        <v>7.9812785150782606E-2</v>
      </c>
      <c r="V12" s="13">
        <f t="shared" si="7"/>
        <v>2.4796130860648484E-5</v>
      </c>
      <c r="W12" s="29">
        <f t="shared" si="7"/>
        <v>6.8119366547232982E-2</v>
      </c>
      <c r="Y12" s="7" t="s">
        <v>28</v>
      </c>
      <c r="Z12" s="8">
        <f t="shared" si="10"/>
        <v>548.27616367738767</v>
      </c>
      <c r="AA12" s="34">
        <f t="shared" si="5"/>
        <v>18526.933487867365</v>
      </c>
      <c r="AB12" s="8">
        <f t="shared" si="8"/>
        <v>1214.9771519926269</v>
      </c>
      <c r="AC12" s="8">
        <f t="shared" si="8"/>
        <v>792.99541054591975</v>
      </c>
      <c r="AD12" s="8">
        <f t="shared" si="8"/>
        <v>2.2379747908278288E-3</v>
      </c>
      <c r="AE12" s="34">
        <f t="shared" si="6"/>
        <v>68.637011082195571</v>
      </c>
    </row>
    <row r="13" spans="1:31" x14ac:dyDescent="0.3">
      <c r="A13" s="7" t="s">
        <v>67</v>
      </c>
      <c r="B13" s="36">
        <v>799.995</v>
      </c>
      <c r="C13" s="47"/>
      <c r="D13" s="36">
        <v>1646.1379999999999</v>
      </c>
      <c r="E13" s="36">
        <v>1584.373</v>
      </c>
      <c r="F13" s="36">
        <v>24.257000000000001</v>
      </c>
      <c r="G13" s="47"/>
      <c r="I13" t="s">
        <v>29</v>
      </c>
      <c r="J13" s="16">
        <v>0.46374300000000002</v>
      </c>
      <c r="K13" s="16">
        <v>12.8771</v>
      </c>
      <c r="L13" s="16">
        <v>0.99185000000000001</v>
      </c>
      <c r="M13" s="16">
        <v>0.30088700000000002</v>
      </c>
      <c r="N13" s="16">
        <v>1.0985400000000001E-3</v>
      </c>
      <c r="O13" s="16">
        <v>1.4807500000000001E-3</v>
      </c>
      <c r="P13" s="13"/>
      <c r="Q13" s="28" t="s">
        <v>29</v>
      </c>
      <c r="R13" s="13">
        <f t="shared" si="9"/>
        <v>3.0957613857514027E-2</v>
      </c>
      <c r="S13" s="13">
        <f t="shared" si="7"/>
        <v>8.3941514007113957E-2</v>
      </c>
      <c r="T13" s="13">
        <f t="shared" si="7"/>
        <v>3.4374910865580595E-2</v>
      </c>
      <c r="U13" s="13">
        <f t="shared" si="7"/>
        <v>5.1565076249774064E-2</v>
      </c>
      <c r="V13" s="13">
        <f t="shared" si="7"/>
        <v>7.2427675058181845E-2</v>
      </c>
      <c r="W13" s="29">
        <f t="shared" si="7"/>
        <v>2.6117806442418949E-2</v>
      </c>
      <c r="Y13" s="7" t="s">
        <v>29</v>
      </c>
      <c r="Z13" s="8">
        <f t="shared" si="10"/>
        <v>137.11501764620638</v>
      </c>
      <c r="AA13" s="34">
        <f t="shared" si="5"/>
        <v>12635.48795715404</v>
      </c>
      <c r="AB13" s="8">
        <f t="shared" si="8"/>
        <v>364.60416082848849</v>
      </c>
      <c r="AC13" s="8">
        <f t="shared" si="8"/>
        <v>512.33481870442267</v>
      </c>
      <c r="AD13" s="8">
        <f t="shared" si="8"/>
        <v>6.5369598123762023</v>
      </c>
      <c r="AE13" s="34">
        <f t="shared" si="6"/>
        <v>26.31627775029223</v>
      </c>
    </row>
    <row r="14" spans="1:31" x14ac:dyDescent="0.3">
      <c r="A14" s="7" t="s">
        <v>68</v>
      </c>
      <c r="B14" s="36">
        <v>555.72699999999998</v>
      </c>
      <c r="C14" s="47"/>
      <c r="D14" s="36">
        <v>997.42200000000003</v>
      </c>
      <c r="E14" s="36">
        <v>1202.817</v>
      </c>
      <c r="F14" s="36">
        <v>1.1539999999999999</v>
      </c>
      <c r="G14" s="47"/>
      <c r="I14" t="s">
        <v>30</v>
      </c>
      <c r="J14" s="16">
        <v>0.56313800000000003</v>
      </c>
      <c r="K14" s="16">
        <v>6.6322200000000002</v>
      </c>
      <c r="L14" s="16">
        <v>1.17628</v>
      </c>
      <c r="M14" s="16">
        <v>0.20992</v>
      </c>
      <c r="N14" s="16">
        <v>1.5868499999999999E-5</v>
      </c>
      <c r="O14" s="16">
        <v>5.4603200000000001E-4</v>
      </c>
      <c r="P14" s="13"/>
      <c r="Q14" s="28" t="s">
        <v>30</v>
      </c>
      <c r="R14" s="13">
        <f t="shared" si="9"/>
        <v>3.7592823508910612E-2</v>
      </c>
      <c r="S14" s="13">
        <f t="shared" si="7"/>
        <v>4.3233227048657022E-2</v>
      </c>
      <c r="T14" s="13">
        <f t="shared" si="7"/>
        <v>4.0766769322947163E-2</v>
      </c>
      <c r="U14" s="13">
        <f t="shared" si="7"/>
        <v>3.5975435317420063E-2</v>
      </c>
      <c r="V14" s="13">
        <f t="shared" si="7"/>
        <v>1.046223680212608E-3</v>
      </c>
      <c r="W14" s="29">
        <f t="shared" si="7"/>
        <v>9.6310370335079536E-3</v>
      </c>
      <c r="Y14" s="7" t="s">
        <v>30</v>
      </c>
      <c r="Z14" s="8">
        <f t="shared" si="10"/>
        <v>166.50316405260969</v>
      </c>
      <c r="AA14" s="34">
        <f t="shared" si="5"/>
        <v>6507.7801631730881</v>
      </c>
      <c r="AB14" s="8">
        <f t="shared" si="8"/>
        <v>432.40064757708774</v>
      </c>
      <c r="AC14" s="8">
        <f t="shared" si="8"/>
        <v>357.44091683067859</v>
      </c>
      <c r="AD14" s="8">
        <f t="shared" si="8"/>
        <v>9.4426918257588935E-2</v>
      </c>
      <c r="AE14" s="34">
        <f t="shared" si="6"/>
        <v>9.7042240570978002</v>
      </c>
    </row>
    <row r="15" spans="1:31" x14ac:dyDescent="0.3">
      <c r="A15" s="7" t="s">
        <v>69</v>
      </c>
      <c r="B15" s="36">
        <v>1156.684</v>
      </c>
      <c r="C15" s="47"/>
      <c r="D15" s="36">
        <v>1697.019</v>
      </c>
      <c r="E15" s="36">
        <v>2296.913</v>
      </c>
      <c r="F15" s="36">
        <v>18.030999999999999</v>
      </c>
      <c r="G15" s="47"/>
      <c r="I15" t="s">
        <v>31</v>
      </c>
      <c r="J15" s="16">
        <v>0.20271700000000001</v>
      </c>
      <c r="K15" s="16">
        <v>4.5673899999999996</v>
      </c>
      <c r="L15" s="16">
        <v>0.80435999999999996</v>
      </c>
      <c r="M15" s="16">
        <v>0.29470400000000002</v>
      </c>
      <c r="N15" s="16">
        <v>7.8753299999999998E-3</v>
      </c>
      <c r="O15" s="16">
        <v>1.18381E-4</v>
      </c>
      <c r="P15" s="13"/>
      <c r="Q15" s="28" t="s">
        <v>31</v>
      </c>
      <c r="R15" s="13">
        <f t="shared" si="9"/>
        <v>1.3532569997506532E-2</v>
      </c>
      <c r="S15" s="13">
        <f t="shared" si="7"/>
        <v>2.9773289922494364E-2</v>
      </c>
      <c r="T15" s="13">
        <f t="shared" si="7"/>
        <v>2.7877000860854369E-2</v>
      </c>
      <c r="U15" s="13">
        <f t="shared" si="7"/>
        <v>5.0505452981064042E-2</v>
      </c>
      <c r="V15" s="13">
        <f t="shared" si="7"/>
        <v>0.51922719447261934</v>
      </c>
      <c r="W15" s="29">
        <f t="shared" si="7"/>
        <v>2.0880310953638342E-3</v>
      </c>
      <c r="Y15" s="7" t="s">
        <v>31</v>
      </c>
      <c r="Z15" s="8">
        <f t="shared" si="10"/>
        <v>59.937389959926129</v>
      </c>
      <c r="AA15" s="34">
        <f t="shared" si="5"/>
        <v>4481.6924106068745</v>
      </c>
      <c r="AB15" s="8">
        <f t="shared" si="8"/>
        <v>295.68281776881884</v>
      </c>
      <c r="AC15" s="8">
        <f t="shared" si="8"/>
        <v>501.80672615124007</v>
      </c>
      <c r="AD15" s="8">
        <f t="shared" si="8"/>
        <v>46.862850437126255</v>
      </c>
      <c r="AE15" s="34">
        <f t="shared" si="6"/>
        <v>2.1038982112830285</v>
      </c>
    </row>
    <row r="16" spans="1:31" x14ac:dyDescent="0.3">
      <c r="A16" s="7" t="s">
        <v>70</v>
      </c>
      <c r="B16" s="36">
        <v>1311.5930000000001</v>
      </c>
      <c r="C16" s="47"/>
      <c r="D16" s="36">
        <v>522.83000000000004</v>
      </c>
      <c r="E16" s="36">
        <v>1741.1959999999999</v>
      </c>
      <c r="F16" s="36">
        <v>20.163</v>
      </c>
      <c r="G16" s="47"/>
      <c r="I16" t="s">
        <v>32</v>
      </c>
      <c r="J16" s="16">
        <v>6.6152100000000003</v>
      </c>
      <c r="K16" s="16">
        <v>49.458300000000001</v>
      </c>
      <c r="L16" s="16">
        <v>11.8583</v>
      </c>
      <c r="M16" s="16">
        <v>1.7517100000000001</v>
      </c>
      <c r="N16" s="16">
        <v>3.23894E-9</v>
      </c>
      <c r="O16" s="16">
        <v>6.8091599999999999E-3</v>
      </c>
      <c r="P16" s="13"/>
      <c r="Q16" s="28" t="s">
        <v>32</v>
      </c>
      <c r="R16" s="13">
        <f t="shared" si="9"/>
        <v>0.44160476118532327</v>
      </c>
      <c r="S16" s="13">
        <f t="shared" si="7"/>
        <v>0.3224021388525401</v>
      </c>
      <c r="T16" s="13">
        <f t="shared" si="7"/>
        <v>0.41097747191340867</v>
      </c>
      <c r="U16" s="13">
        <f t="shared" si="7"/>
        <v>0.30020260003752813</v>
      </c>
      <c r="V16" s="13">
        <f t="shared" si="7"/>
        <v>2.1354606464302392E-7</v>
      </c>
      <c r="W16" s="29">
        <f t="shared" si="7"/>
        <v>0.12010151809249461</v>
      </c>
      <c r="Y16" s="7" t="s">
        <v>32</v>
      </c>
      <c r="Z16" s="8">
        <f t="shared" si="10"/>
        <v>1955.9209214659002</v>
      </c>
      <c r="AA16" s="34">
        <f t="shared" si="5"/>
        <v>48530.31769818606</v>
      </c>
      <c r="AB16" s="8">
        <f t="shared" si="8"/>
        <v>4359.1122854791201</v>
      </c>
      <c r="AC16" s="8">
        <f t="shared" si="8"/>
        <v>2982.7211719772681</v>
      </c>
      <c r="AD16" s="8">
        <f t="shared" si="8"/>
        <v>1.9273600064356121E-5</v>
      </c>
      <c r="AE16" s="34">
        <f t="shared" si="6"/>
        <v>121.01417917013664</v>
      </c>
    </row>
    <row r="17" spans="1:31" x14ac:dyDescent="0.3">
      <c r="A17" s="7" t="s">
        <v>71</v>
      </c>
      <c r="B17" s="36">
        <v>1076.364</v>
      </c>
      <c r="C17" s="47"/>
      <c r="D17" s="36">
        <v>268.52600000000001</v>
      </c>
      <c r="E17" s="36">
        <v>4921.6989999999996</v>
      </c>
      <c r="F17" s="36">
        <v>85.953000000000003</v>
      </c>
      <c r="G17" s="47"/>
      <c r="I17" t="s">
        <v>33</v>
      </c>
      <c r="J17" s="16">
        <v>1.67099</v>
      </c>
      <c r="K17" s="16">
        <v>9.9661399999999993</v>
      </c>
      <c r="L17" s="16">
        <v>4.2536100000000001</v>
      </c>
      <c r="M17" s="16">
        <v>0.93298899999999996</v>
      </c>
      <c r="N17" s="16">
        <v>6.3999099999999999E-10</v>
      </c>
      <c r="O17" s="16">
        <v>5.8756199999999998E-3</v>
      </c>
      <c r="P17" s="13"/>
      <c r="Q17" s="28" t="s">
        <v>33</v>
      </c>
      <c r="R17" s="13">
        <f t="shared" si="9"/>
        <v>0.11154855853299643</v>
      </c>
      <c r="S17" s="13">
        <f t="shared" si="7"/>
        <v>6.496593801452645E-2</v>
      </c>
      <c r="T17" s="13">
        <f t="shared" si="7"/>
        <v>0.14741892887729222</v>
      </c>
      <c r="U17" s="13">
        <f t="shared" si="7"/>
        <v>0.15989274686244487</v>
      </c>
      <c r="V17" s="13">
        <f t="shared" si="7"/>
        <v>4.2195150097548433E-8</v>
      </c>
      <c r="W17" s="29">
        <f t="shared" si="7"/>
        <v>0.10363552651643128</v>
      </c>
      <c r="Y17" s="7" t="s">
        <v>33</v>
      </c>
      <c r="Z17" s="8">
        <f t="shared" si="10"/>
        <v>494.0620631182237</v>
      </c>
      <c r="AA17" s="34">
        <f t="shared" si="5"/>
        <v>9779.1460770912054</v>
      </c>
      <c r="AB17" s="8">
        <f t="shared" si="8"/>
        <v>1563.627468409202</v>
      </c>
      <c r="AC17" s="8">
        <f t="shared" si="8"/>
        <v>1588.6454056447121</v>
      </c>
      <c r="AD17" s="8">
        <f t="shared" si="8"/>
        <v>3.8083232720542336E-6</v>
      </c>
      <c r="AE17" s="34">
        <f t="shared" si="6"/>
        <v>104.42306120220971</v>
      </c>
    </row>
    <row r="18" spans="1:31" ht="15" thickBot="1" x14ac:dyDescent="0.35">
      <c r="A18" s="7" t="s">
        <v>72</v>
      </c>
      <c r="B18" s="36">
        <v>1883.3330000000001</v>
      </c>
      <c r="C18" s="47"/>
      <c r="D18" s="36">
        <v>3327.5749999999998</v>
      </c>
      <c r="E18" s="36">
        <v>6684.415</v>
      </c>
      <c r="F18" s="36">
        <v>96.108000000000004</v>
      </c>
      <c r="G18" s="47"/>
      <c r="I18" t="s">
        <v>34</v>
      </c>
      <c r="J18" s="16">
        <v>1.76074</v>
      </c>
      <c r="K18" s="16">
        <v>5.8539099999999999</v>
      </c>
      <c r="L18" s="16">
        <v>1.28122</v>
      </c>
      <c r="M18" s="16">
        <v>0.186667</v>
      </c>
      <c r="N18" s="16">
        <v>4.414E-4</v>
      </c>
      <c r="O18" s="16">
        <v>1.1589599999999999E-3</v>
      </c>
      <c r="P18" s="13"/>
      <c r="Q18" s="30" t="s">
        <v>34</v>
      </c>
      <c r="R18" s="31">
        <f t="shared" si="9"/>
        <v>0.1175399068524576</v>
      </c>
      <c r="S18" s="31">
        <f t="shared" si="7"/>
        <v>3.8159684110660355E-2</v>
      </c>
      <c r="T18" s="31">
        <f t="shared" si="7"/>
        <v>4.4403713564751902E-2</v>
      </c>
      <c r="U18" s="31">
        <f t="shared" si="7"/>
        <v>3.199040865280512E-2</v>
      </c>
      <c r="V18" s="31">
        <f t="shared" si="7"/>
        <v>2.9101876828045829E-2</v>
      </c>
      <c r="W18" s="32">
        <f t="shared" si="7"/>
        <v>2.0442000982276456E-2</v>
      </c>
      <c r="Y18" s="7" t="s">
        <v>34</v>
      </c>
      <c r="Z18" s="8">
        <f t="shared" si="10"/>
        <v>520.59846977826385</v>
      </c>
      <c r="AA18" s="34">
        <f t="shared" si="5"/>
        <v>5744.073534201304</v>
      </c>
      <c r="AB18" s="8">
        <f t="shared" si="8"/>
        <v>470.97660224497258</v>
      </c>
      <c r="AC18" s="8">
        <f t="shared" si="8"/>
        <v>317.84691130922391</v>
      </c>
      <c r="AD18" s="8">
        <f t="shared" si="8"/>
        <v>2.626589893115276</v>
      </c>
      <c r="AE18" s="34">
        <f t="shared" si="6"/>
        <v>20.597341388808832</v>
      </c>
    </row>
    <row r="19" spans="1:31" x14ac:dyDescent="0.3">
      <c r="A19" s="7" t="s">
        <v>73</v>
      </c>
      <c r="B19" s="36">
        <v>2205.9699999999998</v>
      </c>
      <c r="C19" s="47"/>
      <c r="D19" s="36">
        <v>8364.0650000000005</v>
      </c>
      <c r="E19" s="36">
        <v>5555.5540000000001</v>
      </c>
      <c r="F19" s="36">
        <v>44.37</v>
      </c>
      <c r="G19" s="47"/>
      <c r="I19" t="s">
        <v>35</v>
      </c>
      <c r="J19" s="16">
        <v>0.23814099999999999</v>
      </c>
      <c r="K19" s="16">
        <v>5.0186599999999997</v>
      </c>
      <c r="L19" s="16">
        <v>0.55387900000000001</v>
      </c>
      <c r="M19" s="16">
        <v>1.2641199999999999</v>
      </c>
      <c r="N19" s="16">
        <v>1.7863299999999999E-2</v>
      </c>
      <c r="O19" s="16">
        <v>1.85867E-3</v>
      </c>
      <c r="P19" s="13"/>
      <c r="Q19" s="25" t="s">
        <v>35</v>
      </c>
      <c r="R19" s="26">
        <f>J19/SUM(J$19:J$27)</f>
        <v>0.65998723991227792</v>
      </c>
      <c r="S19" s="26">
        <f t="shared" ref="S19:W27" si="11">K19/SUM(K$19:K$27)</f>
        <v>0.53361655310517986</v>
      </c>
      <c r="T19" s="26">
        <f t="shared" si="11"/>
        <v>0.41559160120481864</v>
      </c>
      <c r="U19" s="26">
        <f t="shared" si="11"/>
        <v>0.3407980710783885</v>
      </c>
      <c r="V19" s="26">
        <f t="shared" si="11"/>
        <v>0.42259727373632677</v>
      </c>
      <c r="W19" s="27">
        <f t="shared" si="11"/>
        <v>0.61296492219182064</v>
      </c>
      <c r="Y19" s="7" t="s">
        <v>35</v>
      </c>
      <c r="Z19" s="34">
        <f>B$6*R19</f>
        <v>44.823693385882265</v>
      </c>
      <c r="AA19" s="34">
        <f t="shared" si="5"/>
        <v>4924.4952660964573</v>
      </c>
      <c r="AB19" s="34">
        <f t="shared" ref="AB19:AD27" si="12">D$6*T19</f>
        <v>115.74558566835162</v>
      </c>
      <c r="AC19" s="34">
        <f t="shared" si="12"/>
        <v>621.00906108046115</v>
      </c>
      <c r="AD19" s="34">
        <f t="shared" si="12"/>
        <v>8.1764120522504502</v>
      </c>
      <c r="AE19" s="34">
        <f t="shared" si="6"/>
        <v>33.032771207925478</v>
      </c>
    </row>
    <row r="20" spans="1:31" x14ac:dyDescent="0.3">
      <c r="A20" s="7" t="s">
        <v>74</v>
      </c>
      <c r="B20" s="36">
        <v>494.846</v>
      </c>
      <c r="C20" s="47"/>
      <c r="D20" s="36">
        <v>3662.3850000000002</v>
      </c>
      <c r="E20" s="36">
        <v>1420.4459999999999</v>
      </c>
      <c r="F20" s="36">
        <v>17.998999999999999</v>
      </c>
      <c r="G20" s="47"/>
      <c r="I20" t="s">
        <v>36</v>
      </c>
      <c r="J20" s="16">
        <v>5.4872600000000001E-2</v>
      </c>
      <c r="K20" s="16">
        <v>0.41482799999999997</v>
      </c>
      <c r="L20" s="16">
        <v>8.7961899999999996E-2</v>
      </c>
      <c r="M20" s="16">
        <v>0.35048099999999999</v>
      </c>
      <c r="N20" s="16">
        <v>6.79231E-6</v>
      </c>
      <c r="O20" s="16">
        <v>5.63869E-7</v>
      </c>
      <c r="P20" s="15"/>
      <c r="Q20" s="28" t="s">
        <v>36</v>
      </c>
      <c r="R20" s="13">
        <f t="shared" ref="R20:R27" si="13">J20/SUM(J$19:J$27)</f>
        <v>0.1520746776943511</v>
      </c>
      <c r="S20" s="13">
        <f t="shared" si="11"/>
        <v>4.4107209392848998E-2</v>
      </c>
      <c r="T20" s="13">
        <f t="shared" si="11"/>
        <v>6.600038431862941E-2</v>
      </c>
      <c r="U20" s="13">
        <f t="shared" si="11"/>
        <v>9.4487270788868691E-2</v>
      </c>
      <c r="V20" s="13">
        <f t="shared" si="11"/>
        <v>1.60687649447302E-4</v>
      </c>
      <c r="W20" s="29">
        <f t="shared" si="11"/>
        <v>1.8595658062559774E-4</v>
      </c>
      <c r="Y20" s="7" t="s">
        <v>36</v>
      </c>
      <c r="Z20" s="34">
        <f t="shared" ref="Z20:Z27" si="14">B$6*R20</f>
        <v>10.328303810289549</v>
      </c>
      <c r="AA20" s="34">
        <f t="shared" si="5"/>
        <v>407.04461394959236</v>
      </c>
      <c r="AB20" s="34">
        <f t="shared" si="12"/>
        <v>18.381635035812838</v>
      </c>
      <c r="AC20" s="34">
        <f t="shared" si="12"/>
        <v>172.17659457689231</v>
      </c>
      <c r="AD20" s="34">
        <f t="shared" si="12"/>
        <v>3.1089846415063987E-3</v>
      </c>
      <c r="AE20" s="34">
        <f t="shared" si="6"/>
        <v>1.0021227903953758E-2</v>
      </c>
    </row>
    <row r="21" spans="1:31" x14ac:dyDescent="0.3">
      <c r="A21" s="7" t="s">
        <v>75</v>
      </c>
      <c r="B21" s="36">
        <v>1232.653</v>
      </c>
      <c r="C21" s="47"/>
      <c r="D21" s="36">
        <v>1848.499</v>
      </c>
      <c r="E21" s="36">
        <v>1715.174</v>
      </c>
      <c r="F21" s="36">
        <v>24.547000000000001</v>
      </c>
      <c r="G21" s="47"/>
      <c r="I21" t="s">
        <v>37</v>
      </c>
      <c r="J21" s="16">
        <v>3.4822499999999999E-2</v>
      </c>
      <c r="K21" s="16">
        <v>2.9843999999999999</v>
      </c>
      <c r="L21" s="16">
        <v>0.24927299999999999</v>
      </c>
      <c r="M21" s="16">
        <v>0.41460200000000003</v>
      </c>
      <c r="N21" s="16">
        <v>2.3421299999999999E-2</v>
      </c>
      <c r="O21" s="16">
        <v>1.4145999999999999E-4</v>
      </c>
      <c r="P21" s="13"/>
      <c r="Q21" s="28" t="s">
        <v>37</v>
      </c>
      <c r="R21" s="13">
        <f t="shared" si="13"/>
        <v>9.6507555027673941E-2</v>
      </c>
      <c r="S21" s="13">
        <f t="shared" si="11"/>
        <v>0.31732080696582332</v>
      </c>
      <c r="T21" s="13">
        <f t="shared" si="11"/>
        <v>0.18703681707941403</v>
      </c>
      <c r="U21" s="13">
        <f t="shared" si="11"/>
        <v>0.11177385205933142</v>
      </c>
      <c r="V21" s="13">
        <f t="shared" si="11"/>
        <v>0.55408449319894026</v>
      </c>
      <c r="W21" s="29">
        <f t="shared" si="11"/>
        <v>4.6651647626127793E-2</v>
      </c>
      <c r="Y21" s="7" t="s">
        <v>37</v>
      </c>
      <c r="Z21" s="34">
        <f t="shared" si="14"/>
        <v>6.5544071072595029</v>
      </c>
      <c r="AA21" s="34">
        <f t="shared" si="5"/>
        <v>2928.4039309573209</v>
      </c>
      <c r="AB21" s="34">
        <f t="shared" si="12"/>
        <v>52.091249851153435</v>
      </c>
      <c r="AC21" s="34">
        <f t="shared" si="12"/>
        <v>203.6765486995549</v>
      </c>
      <c r="AD21" s="34">
        <f t="shared" si="12"/>
        <v>10.720426774413095</v>
      </c>
      <c r="AE21" s="34">
        <f t="shared" si="6"/>
        <v>2.5140642583530903</v>
      </c>
    </row>
    <row r="22" spans="1:31" x14ac:dyDescent="0.3">
      <c r="A22" s="7" t="s">
        <v>76</v>
      </c>
      <c r="B22" s="36">
        <v>74.706999999999994</v>
      </c>
      <c r="C22" s="47"/>
      <c r="D22" s="36">
        <v>2317.614</v>
      </c>
      <c r="E22" s="36">
        <v>12.276</v>
      </c>
      <c r="F22" s="36">
        <v>3.2749999999999999</v>
      </c>
      <c r="G22" s="47"/>
      <c r="I22" t="s">
        <v>38</v>
      </c>
      <c r="J22" s="16">
        <v>1.40013E-2</v>
      </c>
      <c r="K22" s="16">
        <v>0.14806900000000001</v>
      </c>
      <c r="L22" s="16">
        <v>0.1106</v>
      </c>
      <c r="M22" s="16">
        <v>0.89890000000000003</v>
      </c>
      <c r="N22" s="16">
        <v>6.86508E-6</v>
      </c>
      <c r="O22" s="16">
        <v>7.8925200000000008E-6</v>
      </c>
      <c r="P22" s="15"/>
      <c r="Q22" s="28" t="s">
        <v>38</v>
      </c>
      <c r="R22" s="13">
        <f t="shared" si="13"/>
        <v>3.8803395224609696E-2</v>
      </c>
      <c r="S22" s="13">
        <f t="shared" si="11"/>
        <v>1.574365854665008E-2</v>
      </c>
      <c r="T22" s="13">
        <f t="shared" si="11"/>
        <v>8.2986412363084613E-2</v>
      </c>
      <c r="U22" s="13">
        <f t="shared" si="11"/>
        <v>0.24233726710467635</v>
      </c>
      <c r="V22" s="13">
        <f t="shared" si="11"/>
        <v>1.6240919046210848E-4</v>
      </c>
      <c r="W22" s="29">
        <f t="shared" si="11"/>
        <v>2.6028492996053032E-3</v>
      </c>
      <c r="Y22" s="7" t="s">
        <v>38</v>
      </c>
      <c r="Z22" s="34">
        <f t="shared" si="14"/>
        <v>2.6353713900745919</v>
      </c>
      <c r="AA22" s="34">
        <f t="shared" si="5"/>
        <v>145.29079267287213</v>
      </c>
      <c r="AB22" s="34">
        <f t="shared" si="12"/>
        <v>23.112379734417967</v>
      </c>
      <c r="AC22" s="34">
        <f t="shared" si="12"/>
        <v>441.59181486348336</v>
      </c>
      <c r="AD22" s="34">
        <f t="shared" si="12"/>
        <v>3.1422930170608748E-3</v>
      </c>
      <c r="AE22" s="34">
        <f t="shared" si="6"/>
        <v>0.14026793751121824</v>
      </c>
    </row>
    <row r="23" spans="1:31" x14ac:dyDescent="0.3">
      <c r="A23" s="7" t="s">
        <v>77</v>
      </c>
      <c r="B23" s="36">
        <v>11.797000000000001</v>
      </c>
      <c r="C23" s="47"/>
      <c r="D23" s="36">
        <v>1484.646</v>
      </c>
      <c r="E23" s="36">
        <v>4.1550000000000002</v>
      </c>
      <c r="F23" s="36">
        <v>2.0139999999999998</v>
      </c>
      <c r="G23" s="47"/>
      <c r="I23" t="s">
        <v>39</v>
      </c>
      <c r="J23" s="16">
        <v>6.1273100000000004E-3</v>
      </c>
      <c r="K23" s="16">
        <v>4.5516099999999997E-2</v>
      </c>
      <c r="L23" s="16">
        <v>4.8138599999999997E-2</v>
      </c>
      <c r="M23" s="16">
        <v>6.2938499999999994E-2</v>
      </c>
      <c r="N23" s="16">
        <v>4.2228699999999998E-4</v>
      </c>
      <c r="O23" s="16">
        <v>1.70717E-4</v>
      </c>
      <c r="P23" s="13"/>
      <c r="Q23" s="28" t="s">
        <v>39</v>
      </c>
      <c r="R23" s="13">
        <f t="shared" si="13"/>
        <v>1.6981311134944846E-2</v>
      </c>
      <c r="S23" s="13">
        <f t="shared" si="11"/>
        <v>4.8395676122292963E-3</v>
      </c>
      <c r="T23" s="13">
        <f t="shared" si="11"/>
        <v>3.6119798464571293E-2</v>
      </c>
      <c r="U23" s="13">
        <f t="shared" si="11"/>
        <v>1.6967787390886273E-2</v>
      </c>
      <c r="V23" s="13">
        <f t="shared" si="11"/>
        <v>9.9901661470328685E-3</v>
      </c>
      <c r="W23" s="29">
        <f t="shared" si="11"/>
        <v>5.630022146041043E-2</v>
      </c>
      <c r="Y23" s="7" t="s">
        <v>39</v>
      </c>
      <c r="Z23" s="34">
        <f t="shared" si="14"/>
        <v>1.1533027270409142</v>
      </c>
      <c r="AA23" s="34">
        <f t="shared" si="5"/>
        <v>44.662084895404945</v>
      </c>
      <c r="AB23" s="34">
        <f t="shared" si="12"/>
        <v>10.059652830770821</v>
      </c>
      <c r="AC23" s="34">
        <f t="shared" si="12"/>
        <v>30.919041539420785</v>
      </c>
      <c r="AD23" s="34">
        <f t="shared" si="12"/>
        <v>0.19328973461279192</v>
      </c>
      <c r="AE23" s="34">
        <f t="shared" si="6"/>
        <v>3.0340273433710201</v>
      </c>
    </row>
    <row r="24" spans="1:31" x14ac:dyDescent="0.3">
      <c r="A24" s="7" t="s">
        <v>78</v>
      </c>
      <c r="B24" s="36">
        <v>108.663</v>
      </c>
      <c r="C24" s="48"/>
      <c r="D24" s="36"/>
      <c r="E24" s="36"/>
      <c r="F24" s="36">
        <v>16.995000000000001</v>
      </c>
      <c r="G24" s="48"/>
      <c r="I24" t="s">
        <v>40</v>
      </c>
      <c r="J24" s="16">
        <v>1.21878E-3</v>
      </c>
      <c r="K24" s="16">
        <v>0.17921100000000001</v>
      </c>
      <c r="L24" s="16">
        <v>1.4479199999999999E-2</v>
      </c>
      <c r="M24" s="16">
        <v>1.5131500000000001E-4</v>
      </c>
      <c r="N24" s="16">
        <v>4.56157E-4</v>
      </c>
      <c r="O24" s="16">
        <v>5.6202199999999995E-7</v>
      </c>
      <c r="P24" s="15"/>
      <c r="Q24" s="28" t="s">
        <v>40</v>
      </c>
      <c r="R24" s="13">
        <f t="shared" si="13"/>
        <v>3.377743640365524E-3</v>
      </c>
      <c r="S24" s="13">
        <f t="shared" si="11"/>
        <v>1.9054878413467421E-2</v>
      </c>
      <c r="T24" s="13">
        <f t="shared" si="11"/>
        <v>1.0864166924842447E-2</v>
      </c>
      <c r="U24" s="13">
        <f t="shared" si="11"/>
        <v>4.0793484894809324E-5</v>
      </c>
      <c r="V24" s="13">
        <f t="shared" si="11"/>
        <v>1.0791438569342822E-2</v>
      </c>
      <c r="W24" s="29">
        <f t="shared" si="11"/>
        <v>1.8534746431593096E-4</v>
      </c>
      <c r="Y24" s="7" t="s">
        <v>40</v>
      </c>
      <c r="Z24" s="34">
        <f t="shared" si="14"/>
        <v>0.22940283707906492</v>
      </c>
      <c r="AA24" s="34">
        <f t="shared" si="5"/>
        <v>175.84847770767743</v>
      </c>
      <c r="AB24" s="34">
        <f t="shared" si="12"/>
        <v>3.0257574019040199</v>
      </c>
      <c r="AC24" s="34">
        <f t="shared" si="12"/>
        <v>7.4334704045019448E-2</v>
      </c>
      <c r="AD24" s="34">
        <f t="shared" si="12"/>
        <v>0.2087927534396449</v>
      </c>
      <c r="AE24" s="34">
        <f t="shared" si="6"/>
        <v>9.9884025350496283E-3</v>
      </c>
    </row>
    <row r="25" spans="1:31" x14ac:dyDescent="0.3">
      <c r="A25" t="s">
        <v>79</v>
      </c>
      <c r="B25" s="36">
        <v>27231.368999999999</v>
      </c>
      <c r="C25" s="36">
        <f>C9+C4+C3</f>
        <v>743849.64768306003</v>
      </c>
      <c r="D25" s="36">
        <v>66769.404999999999</v>
      </c>
      <c r="E25" s="36">
        <v>70102.263000000006</v>
      </c>
      <c r="F25" s="36">
        <v>1202.8399999999999</v>
      </c>
      <c r="G25" s="36">
        <f>G9+G8+G4+G3</f>
        <v>15088.296724255459</v>
      </c>
      <c r="I25" t="s">
        <v>41</v>
      </c>
      <c r="J25" s="16">
        <v>1.26117E-3</v>
      </c>
      <c r="K25" s="16">
        <v>3.7377000000000001E-2</v>
      </c>
      <c r="L25" s="16">
        <v>3.4106600000000001E-2</v>
      </c>
      <c r="M25" s="16">
        <v>9.2648000000000003E-4</v>
      </c>
      <c r="N25" s="16">
        <v>2.81115E-5</v>
      </c>
      <c r="O25" s="16">
        <v>5.1779600000000004E-7</v>
      </c>
      <c r="P25" s="15"/>
      <c r="Q25" s="28" t="s">
        <v>41</v>
      </c>
      <c r="R25" s="13">
        <f t="shared" si="13"/>
        <v>3.4952238688851045E-3</v>
      </c>
      <c r="S25" s="13">
        <f t="shared" si="11"/>
        <v>3.9741655950816177E-3</v>
      </c>
      <c r="T25" s="13">
        <f t="shared" si="11"/>
        <v>2.5591178769464571E-2</v>
      </c>
      <c r="U25" s="13">
        <f t="shared" si="11"/>
        <v>2.4977264570824397E-4</v>
      </c>
      <c r="V25" s="13">
        <f t="shared" si="11"/>
        <v>6.6504191614308393E-4</v>
      </c>
      <c r="W25" s="29">
        <f t="shared" si="11"/>
        <v>1.7076231114250299E-4</v>
      </c>
      <c r="Y25" s="7" t="s">
        <v>41</v>
      </c>
      <c r="Z25" s="34">
        <f t="shared" si="14"/>
        <v>0.23738162427920073</v>
      </c>
      <c r="AA25" s="34">
        <f t="shared" si="5"/>
        <v>36.675698206470912</v>
      </c>
      <c r="AB25" s="34">
        <f t="shared" si="12"/>
        <v>7.1273480167260379</v>
      </c>
      <c r="AC25" s="34">
        <f t="shared" si="12"/>
        <v>0.45514071046247634</v>
      </c>
      <c r="AD25" s="34">
        <f t="shared" si="12"/>
        <v>1.2867230993536387E-2</v>
      </c>
      <c r="AE25" s="34">
        <f t="shared" si="6"/>
        <v>9.2024064521292019E-3</v>
      </c>
    </row>
    <row r="26" spans="1:31" x14ac:dyDescent="0.3">
      <c r="I26" t="s">
        <v>42</v>
      </c>
      <c r="J26" s="16">
        <v>7.3377299999999996E-4</v>
      </c>
      <c r="K26" s="16">
        <v>0.39484799999999998</v>
      </c>
      <c r="L26" s="16">
        <v>0.119544</v>
      </c>
      <c r="M26" s="16">
        <v>0.25459999999999999</v>
      </c>
      <c r="N26" s="16">
        <v>5.8540099999999999E-5</v>
      </c>
      <c r="O26" s="16">
        <v>8.3203900000000002E-4</v>
      </c>
      <c r="P26" s="13"/>
      <c r="Q26" s="28" t="s">
        <v>42</v>
      </c>
      <c r="R26" s="13">
        <f t="shared" si="13"/>
        <v>2.0335885756427997E-3</v>
      </c>
      <c r="S26" s="13">
        <f t="shared" si="11"/>
        <v>4.1982805920399879E-2</v>
      </c>
      <c r="T26" s="13">
        <f t="shared" si="11"/>
        <v>8.9697356957799151E-2</v>
      </c>
      <c r="U26" s="13">
        <f t="shared" si="11"/>
        <v>6.8638411619591264E-2</v>
      </c>
      <c r="V26" s="13">
        <f t="shared" si="11"/>
        <v>1.3849001396299644E-3</v>
      </c>
      <c r="W26" s="29">
        <f t="shared" si="11"/>
        <v>0.27439551985858723</v>
      </c>
      <c r="Y26" s="7" t="s">
        <v>42</v>
      </c>
      <c r="Z26" s="34">
        <f t="shared" si="14"/>
        <v>0.13811320170335639</v>
      </c>
      <c r="AA26" s="34">
        <f t="shared" si="5"/>
        <v>387.43949716212177</v>
      </c>
      <c r="AB26" s="34">
        <f t="shared" si="12"/>
        <v>24.981431491602724</v>
      </c>
      <c r="AC26" s="34">
        <f t="shared" si="12"/>
        <v>125.07428642145159</v>
      </c>
      <c r="AD26" s="34">
        <f t="shared" si="12"/>
        <v>2.6795047901560551E-2</v>
      </c>
      <c r="AE26" s="34">
        <f t="shared" si="6"/>
        <v>14.787215548252842</v>
      </c>
    </row>
    <row r="27" spans="1:31" ht="15" thickBot="1" x14ac:dyDescent="0.35">
      <c r="I27" t="s">
        <v>43</v>
      </c>
      <c r="J27" s="16">
        <v>9.6482400000000006E-3</v>
      </c>
      <c r="K27" s="16">
        <v>0.182084</v>
      </c>
      <c r="L27" s="16">
        <v>0.11476600000000001</v>
      </c>
      <c r="M27" s="16">
        <v>0.46257399999999999</v>
      </c>
      <c r="N27" s="16">
        <v>6.9149700000000003E-6</v>
      </c>
      <c r="O27" s="16">
        <v>1.9839399999999998E-5</v>
      </c>
      <c r="P27" s="15"/>
      <c r="Q27" s="30" t="s">
        <v>43</v>
      </c>
      <c r="R27" s="31">
        <f t="shared" si="13"/>
        <v>2.6739264921249332E-2</v>
      </c>
      <c r="S27" s="31">
        <f t="shared" si="11"/>
        <v>1.9360354448319586E-2</v>
      </c>
      <c r="T27" s="31">
        <f t="shared" si="11"/>
        <v>8.6112283917375854E-2</v>
      </c>
      <c r="U27" s="31">
        <f t="shared" si="11"/>
        <v>0.12470677382765441</v>
      </c>
      <c r="V27" s="31">
        <f t="shared" si="11"/>
        <v>1.63589452674953E-4</v>
      </c>
      <c r="W27" s="32">
        <f t="shared" si="11"/>
        <v>6.5427732073646246E-3</v>
      </c>
      <c r="Y27" s="7" t="s">
        <v>43</v>
      </c>
      <c r="Z27" s="34">
        <f t="shared" si="14"/>
        <v>1.8160239163915697</v>
      </c>
      <c r="AA27" s="34">
        <f t="shared" si="5"/>
        <v>178.66757182831819</v>
      </c>
      <c r="AB27" s="34">
        <f t="shared" si="12"/>
        <v>23.982959969260513</v>
      </c>
      <c r="AC27" s="34">
        <f t="shared" si="12"/>
        <v>227.24317740422842</v>
      </c>
      <c r="AD27" s="34">
        <f t="shared" si="12"/>
        <v>3.1651287303549906E-3</v>
      </c>
      <c r="AE27" s="34">
        <f t="shared" si="6"/>
        <v>0.35259102535819525</v>
      </c>
    </row>
    <row r="28" spans="1:31" ht="15" thickBot="1" x14ac:dyDescent="0.35">
      <c r="I28" t="s">
        <v>44</v>
      </c>
      <c r="J28" s="16">
        <v>5.7171900000000004</v>
      </c>
      <c r="K28" s="16">
        <v>62.102499999999999</v>
      </c>
      <c r="L28" s="16">
        <v>13.291700000000001</v>
      </c>
      <c r="M28" s="16">
        <v>3.14446</v>
      </c>
      <c r="N28" s="16">
        <v>1.55464E-2</v>
      </c>
      <c r="O28" s="16">
        <v>3.9781999999999998E-2</v>
      </c>
      <c r="P28" s="13"/>
      <c r="Q28" s="14" t="s">
        <v>44</v>
      </c>
      <c r="R28" s="13"/>
      <c r="S28" s="13"/>
      <c r="T28" s="13"/>
      <c r="U28" s="13"/>
      <c r="V28" s="13"/>
      <c r="W28" s="13"/>
      <c r="Y28" s="7" t="s">
        <v>44</v>
      </c>
      <c r="Z28" s="35">
        <f>B8</f>
        <v>2019.588</v>
      </c>
      <c r="AA28" s="34">
        <f t="shared" si="5"/>
        <v>60937.275540234892</v>
      </c>
      <c r="AB28" s="35">
        <f t="shared" ref="AB28:AD28" si="15">D8</f>
        <v>4960.6779999999999</v>
      </c>
      <c r="AC28" s="35">
        <f t="shared" si="15"/>
        <v>4842.88</v>
      </c>
      <c r="AD28" s="35">
        <f t="shared" si="15"/>
        <v>68.847999999999999</v>
      </c>
      <c r="AE28" s="34">
        <f t="shared" si="6"/>
        <v>707.01614821011333</v>
      </c>
    </row>
    <row r="29" spans="1:31" x14ac:dyDescent="0.3">
      <c r="I29" t="s">
        <v>45</v>
      </c>
      <c r="J29" s="16">
        <v>1.3588800000000001</v>
      </c>
      <c r="K29" s="16">
        <v>25.1982</v>
      </c>
      <c r="L29" s="16">
        <v>6.3186999999999998</v>
      </c>
      <c r="M29" s="16">
        <v>1.4108000000000001</v>
      </c>
      <c r="N29" s="16">
        <v>1.16496E-2</v>
      </c>
      <c r="O29" s="16">
        <v>2.9966199999999998E-2</v>
      </c>
      <c r="P29" s="13"/>
      <c r="Q29" s="25" t="s">
        <v>45</v>
      </c>
      <c r="R29" s="26">
        <f>J29/SUM(J$29:J$31)</f>
        <v>0.80847167511204476</v>
      </c>
      <c r="S29" s="26">
        <f t="shared" ref="S29:W31" si="16">K29/SUM(K$29:K$31)</f>
        <v>0.87999041719763793</v>
      </c>
      <c r="T29" s="26">
        <f t="shared" si="16"/>
        <v>0.90240728106872714</v>
      </c>
      <c r="U29" s="26">
        <f t="shared" si="16"/>
        <v>0.81572520213887911</v>
      </c>
      <c r="V29" s="26">
        <f t="shared" si="16"/>
        <v>0.82623931109276061</v>
      </c>
      <c r="W29" s="27">
        <f t="shared" si="16"/>
        <v>0.76539789135131175</v>
      </c>
      <c r="Y29" s="7" t="s">
        <v>45</v>
      </c>
      <c r="Z29" s="8">
        <f>B$10*R29</f>
        <v>1157.2140168883764</v>
      </c>
      <c r="AA29" s="34">
        <f>$C$9*O63</f>
        <v>20755.461884555596</v>
      </c>
      <c r="AB29" s="8">
        <f t="shared" ref="AB29:AD31" si="17">D$10*T29</f>
        <v>3359.7805227726908</v>
      </c>
      <c r="AC29" s="8">
        <f t="shared" si="17"/>
        <v>5009.3815179380908</v>
      </c>
      <c r="AD29" s="8">
        <f t="shared" si="17"/>
        <v>50.502225411922808</v>
      </c>
      <c r="AE29" s="8">
        <f>$G$9*K63</f>
        <v>305.73094178109932</v>
      </c>
    </row>
    <row r="30" spans="1:31" x14ac:dyDescent="0.3">
      <c r="I30" t="s">
        <v>46</v>
      </c>
      <c r="J30" s="16">
        <v>0.14005000000000001</v>
      </c>
      <c r="K30" s="16">
        <v>1.5834999999999999</v>
      </c>
      <c r="L30" s="16">
        <v>0.48794999999999999</v>
      </c>
      <c r="M30" s="16">
        <v>0.118349</v>
      </c>
      <c r="N30" s="16">
        <v>2.6157699999999998E-4</v>
      </c>
      <c r="O30" s="16">
        <v>4.0555799999999996E-3</v>
      </c>
      <c r="P30" s="13"/>
      <c r="Q30" s="28" t="s">
        <v>46</v>
      </c>
      <c r="R30" s="13">
        <f t="shared" ref="R30:R31" si="18">J30/SUM(J$29:J$31)</f>
        <v>8.3323367846639781E-2</v>
      </c>
      <c r="S30" s="13">
        <f t="shared" si="16"/>
        <v>5.5300173251758442E-2</v>
      </c>
      <c r="T30" s="13">
        <f t="shared" si="16"/>
        <v>6.9686744551487725E-2</v>
      </c>
      <c r="U30" s="13">
        <f t="shared" si="16"/>
        <v>6.8429445667659627E-2</v>
      </c>
      <c r="V30" s="13">
        <f t="shared" si="16"/>
        <v>1.8552156321050596E-2</v>
      </c>
      <c r="W30" s="29">
        <f t="shared" si="16"/>
        <v>0.10358778824831152</v>
      </c>
      <c r="Y30" s="7" t="s">
        <v>46</v>
      </c>
      <c r="Z30" s="8">
        <f t="shared" ref="Z30:Z31" si="19">B$10*R30</f>
        <v>119.26573580096631</v>
      </c>
      <c r="AA30" s="34">
        <f t="shared" ref="AA30:AA32" si="20">$C$9*O64</f>
        <v>1304.3103830509237</v>
      </c>
      <c r="AB30" s="8">
        <f t="shared" si="17"/>
        <v>259.45287892872506</v>
      </c>
      <c r="AC30" s="8">
        <f t="shared" si="17"/>
        <v>420.22632071622843</v>
      </c>
      <c r="AD30" s="8">
        <f t="shared" si="17"/>
        <v>1.1339634508115755</v>
      </c>
      <c r="AE30" s="8">
        <f t="shared" ref="AE30:AE32" si="21">$G$9*K64</f>
        <v>41.377161364089901</v>
      </c>
    </row>
    <row r="31" spans="1:31" ht="15" thickBot="1" x14ac:dyDescent="0.35">
      <c r="I31" t="s">
        <v>47</v>
      </c>
      <c r="J31" s="16">
        <v>0.181871</v>
      </c>
      <c r="K31" s="16">
        <v>1.85293</v>
      </c>
      <c r="L31" s="16">
        <v>0.19539899999999999</v>
      </c>
      <c r="M31" s="16">
        <v>0.20035500000000001</v>
      </c>
      <c r="N31" s="16">
        <v>2.1883699999999998E-3</v>
      </c>
      <c r="O31" s="16">
        <v>5.1293600000000003E-3</v>
      </c>
      <c r="P31" s="13"/>
      <c r="Q31" s="30" t="s">
        <v>47</v>
      </c>
      <c r="R31" s="31">
        <f t="shared" si="18"/>
        <v>0.10820495704131541</v>
      </c>
      <c r="S31" s="31">
        <f t="shared" si="16"/>
        <v>6.4709409550603586E-2</v>
      </c>
      <c r="T31" s="31">
        <f t="shared" si="16"/>
        <v>2.7905974379785117E-2</v>
      </c>
      <c r="U31" s="31">
        <f t="shared" si="16"/>
        <v>0.11584535219346125</v>
      </c>
      <c r="V31" s="31">
        <f t="shared" si="16"/>
        <v>0.15520853258618875</v>
      </c>
      <c r="W31" s="32">
        <f t="shared" si="16"/>
        <v>0.13101432040037661</v>
      </c>
      <c r="Y31" s="7" t="s">
        <v>47</v>
      </c>
      <c r="Z31" s="8">
        <f t="shared" si="19"/>
        <v>154.88024731065721</v>
      </c>
      <c r="AA31" s="34">
        <f t="shared" si="20"/>
        <v>1526.2367149141446</v>
      </c>
      <c r="AB31" s="8">
        <f t="shared" si="17"/>
        <v>103.89759829858373</v>
      </c>
      <c r="AC31" s="8">
        <f t="shared" si="17"/>
        <v>711.40816134568058</v>
      </c>
      <c r="AD31" s="8">
        <f t="shared" si="17"/>
        <v>9.4868111372656152</v>
      </c>
      <c r="AE31" s="8">
        <f t="shared" si="21"/>
        <v>52.332429988930862</v>
      </c>
    </row>
    <row r="32" spans="1:31" x14ac:dyDescent="0.3">
      <c r="I32" t="s">
        <v>48</v>
      </c>
      <c r="J32" s="16">
        <v>39.087400000000002</v>
      </c>
      <c r="K32" s="16">
        <v>372.96800000000002</v>
      </c>
      <c r="L32" s="16">
        <v>100.29900000000001</v>
      </c>
      <c r="M32" s="16">
        <v>32.863999999999997</v>
      </c>
      <c r="N32" s="16">
        <v>0.150226</v>
      </c>
      <c r="O32" s="16">
        <v>0.58214500000000002</v>
      </c>
      <c r="P32" s="13"/>
      <c r="Q32" s="14" t="s">
        <v>48</v>
      </c>
      <c r="R32" s="13"/>
      <c r="S32" s="13"/>
      <c r="T32" s="13"/>
      <c r="U32" s="13"/>
      <c r="V32" s="13"/>
      <c r="W32" s="13"/>
      <c r="Y32" s="7" t="s">
        <v>48</v>
      </c>
      <c r="Z32" s="35">
        <f>SUM(B11:B24)+B9+B7</f>
        <v>17873.965</v>
      </c>
      <c r="AA32" s="34">
        <f t="shared" si="20"/>
        <v>307209.36845325987</v>
      </c>
      <c r="AB32" s="35">
        <f>SUM(D11:D24)+D9+D7</f>
        <v>44997.080999999998</v>
      </c>
      <c r="AC32" s="35">
        <f>SUM(E11:E24)+E9+E7</f>
        <v>41628.824000000001</v>
      </c>
      <c r="AD32" s="35">
        <f>SUM(F11:F24)+F9+F7</f>
        <v>575.29200000000003</v>
      </c>
      <c r="AE32" s="8">
        <f t="shared" si="21"/>
        <v>5939.3496373633661</v>
      </c>
    </row>
    <row r="33" spans="9:31" x14ac:dyDescent="0.3">
      <c r="Z33" s="9">
        <f>SUM(Z2:Z32)</f>
        <v>27231.37</v>
      </c>
      <c r="AA33" s="9">
        <f t="shared" ref="AA33:AE33" si="22">SUM(AA2:AA32)</f>
        <v>743849.64768306003</v>
      </c>
      <c r="AB33" s="9">
        <f t="shared" si="22"/>
        <v>66769.403999999995</v>
      </c>
      <c r="AC33" s="9">
        <f t="shared" si="22"/>
        <v>70102.263999999996</v>
      </c>
      <c r="AD33" s="9">
        <f t="shared" si="22"/>
        <v>1202.8400000000001</v>
      </c>
      <c r="AE33" s="9">
        <f t="shared" si="22"/>
        <v>15088.296724255457</v>
      </c>
    </row>
    <row r="35" spans="9:31" x14ac:dyDescent="0.3">
      <c r="J35" s="10" t="s">
        <v>6</v>
      </c>
      <c r="N35" s="10" t="s">
        <v>2</v>
      </c>
    </row>
    <row r="36" spans="9:31" ht="15" thickBot="1" x14ac:dyDescent="0.35">
      <c r="I36" t="s">
        <v>18</v>
      </c>
      <c r="J36" s="16">
        <v>8.5419599999999995E-3</v>
      </c>
      <c r="M36" t="s">
        <v>18</v>
      </c>
      <c r="N36" s="16">
        <v>43.589500000000001</v>
      </c>
    </row>
    <row r="37" spans="9:31" x14ac:dyDescent="0.3">
      <c r="I37" t="s">
        <v>19</v>
      </c>
      <c r="J37" s="37">
        <v>7.5394500000000001E-4</v>
      </c>
      <c r="K37" s="43">
        <f>J37/SUM(J$37:J$62)</f>
        <v>7.052656567871597E-3</v>
      </c>
      <c r="M37" t="s">
        <v>19</v>
      </c>
      <c r="N37" s="37">
        <v>3.9157899999999999</v>
      </c>
      <c r="O37" s="38">
        <f>N37/SUM($N$37:$N$62)</f>
        <v>1.6697656758984231E-2</v>
      </c>
    </row>
    <row r="38" spans="9:31" x14ac:dyDescent="0.3">
      <c r="I38" t="s">
        <v>20</v>
      </c>
      <c r="J38" s="37">
        <v>5.7827999999999999E-6</v>
      </c>
      <c r="K38" s="44">
        <f t="shared" ref="K38:K62" si="23">J38/SUM(J$37:J$62)</f>
        <v>5.4094267354631802E-5</v>
      </c>
      <c r="M38" t="s">
        <v>20</v>
      </c>
      <c r="N38" s="37">
        <v>0.64370300000000003</v>
      </c>
      <c r="O38" s="39">
        <f t="shared" ref="O38:O61" si="24">N38/SUM($N$37:$N$62)</f>
        <v>2.7448692980799345E-3</v>
      </c>
    </row>
    <row r="39" spans="9:31" x14ac:dyDescent="0.3">
      <c r="I39" t="s">
        <v>21</v>
      </c>
      <c r="J39" s="37">
        <v>9.8141699999999996E-6</v>
      </c>
      <c r="K39" s="44">
        <f t="shared" si="23"/>
        <v>9.1805066030955029E-5</v>
      </c>
      <c r="M39" t="s">
        <v>21</v>
      </c>
      <c r="N39" s="37">
        <v>2.5332199999999999E-2</v>
      </c>
      <c r="O39" s="39">
        <f t="shared" si="24"/>
        <v>1.080212116967305E-4</v>
      </c>
    </row>
    <row r="40" spans="9:31" x14ac:dyDescent="0.3">
      <c r="I40" t="s">
        <v>22</v>
      </c>
      <c r="J40" s="37">
        <v>6.6234299999999996E-3</v>
      </c>
      <c r="K40" s="44">
        <f t="shared" si="23"/>
        <v>6.1957804735541411E-2</v>
      </c>
      <c r="M40" t="s">
        <v>22</v>
      </c>
      <c r="N40" s="37">
        <v>5.0134100000000004</v>
      </c>
      <c r="O40" s="39">
        <f t="shared" si="24"/>
        <v>2.1378112557634384E-2</v>
      </c>
    </row>
    <row r="41" spans="9:31" x14ac:dyDescent="0.3">
      <c r="I41" t="s">
        <v>23</v>
      </c>
      <c r="J41" s="37">
        <v>1.5826699999999999E-2</v>
      </c>
      <c r="K41" s="44">
        <f t="shared" si="23"/>
        <v>0.14804830551662707</v>
      </c>
      <c r="M41" t="s">
        <v>23</v>
      </c>
      <c r="N41" s="37">
        <v>18.597999999999999</v>
      </c>
      <c r="O41" s="39">
        <f t="shared" si="24"/>
        <v>7.930533057278065E-2</v>
      </c>
    </row>
    <row r="42" spans="9:31" x14ac:dyDescent="0.3">
      <c r="I42" t="s">
        <v>24</v>
      </c>
      <c r="J42" s="37">
        <v>1.6574599999999998E-2</v>
      </c>
      <c r="K42" s="44">
        <f t="shared" si="23"/>
        <v>0.15504441510964934</v>
      </c>
      <c r="M42" t="s">
        <v>24</v>
      </c>
      <c r="N42" s="37">
        <v>16.9434</v>
      </c>
      <c r="O42" s="39">
        <f t="shared" si="24"/>
        <v>7.2249808475473257E-2</v>
      </c>
    </row>
    <row r="43" spans="9:31" x14ac:dyDescent="0.3">
      <c r="I43" t="s">
        <v>25</v>
      </c>
      <c r="J43" s="37">
        <v>1.2540400000000001E-3</v>
      </c>
      <c r="K43" s="44">
        <f t="shared" si="23"/>
        <v>1.1730714365601864E-2</v>
      </c>
      <c r="M43" t="s">
        <v>25</v>
      </c>
      <c r="N43" s="37">
        <v>2.6086100000000001</v>
      </c>
      <c r="O43" s="39">
        <f t="shared" si="24"/>
        <v>1.1123598149557013E-2</v>
      </c>
    </row>
    <row r="44" spans="9:31" x14ac:dyDescent="0.3">
      <c r="I44" t="s">
        <v>26</v>
      </c>
      <c r="J44" s="37">
        <v>3.10656E-3</v>
      </c>
      <c r="K44" s="44">
        <f t="shared" si="23"/>
        <v>2.9059813099744928E-2</v>
      </c>
      <c r="M44" t="s">
        <v>26</v>
      </c>
      <c r="N44" s="37">
        <v>5.9194599999999999</v>
      </c>
      <c r="O44" s="39">
        <f t="shared" si="24"/>
        <v>2.5241678251013665E-2</v>
      </c>
    </row>
    <row r="45" spans="9:31" x14ac:dyDescent="0.3">
      <c r="I45" t="s">
        <v>27</v>
      </c>
      <c r="J45" s="37">
        <v>8.2203899999999994E-5</v>
      </c>
      <c r="K45" s="44">
        <f t="shared" si="23"/>
        <v>7.6896308781099405E-4</v>
      </c>
      <c r="M45" t="s">
        <v>27</v>
      </c>
      <c r="N45" s="37">
        <v>1.09989</v>
      </c>
      <c r="O45" s="39">
        <f t="shared" si="24"/>
        <v>4.6901355007901773E-3</v>
      </c>
    </row>
    <row r="46" spans="9:31" x14ac:dyDescent="0.3">
      <c r="I46" t="s">
        <v>28</v>
      </c>
      <c r="J46" s="37">
        <v>3.8620299999999998E-3</v>
      </c>
      <c r="K46" s="44">
        <f t="shared" si="23"/>
        <v>3.6126735033480087E-2</v>
      </c>
      <c r="M46" t="s">
        <v>28</v>
      </c>
      <c r="N46" s="37">
        <v>18.8812</v>
      </c>
      <c r="O46" s="39">
        <f t="shared" si="24"/>
        <v>8.0512948038003337E-2</v>
      </c>
    </row>
    <row r="47" spans="9:31" x14ac:dyDescent="0.3">
      <c r="I47" t="s">
        <v>29</v>
      </c>
      <c r="J47" s="37">
        <v>1.4807500000000001E-3</v>
      </c>
      <c r="K47" s="44">
        <f t="shared" si="23"/>
        <v>1.3851436395063125E-2</v>
      </c>
      <c r="M47" t="s">
        <v>29</v>
      </c>
      <c r="N47" s="37">
        <v>12.8771</v>
      </c>
      <c r="O47" s="39">
        <f t="shared" si="24"/>
        <v>5.4910349086931591E-2</v>
      </c>
    </row>
    <row r="48" spans="9:31" x14ac:dyDescent="0.3">
      <c r="I48" t="s">
        <v>30</v>
      </c>
      <c r="J48" s="37">
        <v>5.4603200000000001E-4</v>
      </c>
      <c r="K48" s="44">
        <f t="shared" si="23"/>
        <v>5.1077680348938772E-3</v>
      </c>
      <c r="M48" t="s">
        <v>30</v>
      </c>
      <c r="N48" s="37">
        <v>6.6322200000000002</v>
      </c>
      <c r="O48" s="39">
        <f t="shared" si="24"/>
        <v>2.8281019439262679E-2</v>
      </c>
    </row>
    <row r="49" spans="9:15" x14ac:dyDescent="0.3">
      <c r="I49" t="s">
        <v>31</v>
      </c>
      <c r="J49" s="37">
        <v>1.18381E-4</v>
      </c>
      <c r="K49" s="44">
        <f t="shared" si="23"/>
        <v>1.107375918881626E-3</v>
      </c>
      <c r="M49" t="s">
        <v>31</v>
      </c>
      <c r="N49" s="37">
        <v>4.5673899999999996</v>
      </c>
      <c r="O49" s="39">
        <f t="shared" si="24"/>
        <v>1.9476200333627947E-2</v>
      </c>
    </row>
    <row r="50" spans="9:15" x14ac:dyDescent="0.3">
      <c r="I50" t="s">
        <v>32</v>
      </c>
      <c r="J50" s="37">
        <v>6.8091599999999999E-3</v>
      </c>
      <c r="K50" s="44">
        <f t="shared" si="23"/>
        <v>6.3695185982649352E-2</v>
      </c>
      <c r="M50" t="s">
        <v>32</v>
      </c>
      <c r="N50" s="37">
        <v>49.458300000000001</v>
      </c>
      <c r="O50" s="39">
        <f t="shared" si="24"/>
        <v>0.21089938870135269</v>
      </c>
    </row>
    <row r="51" spans="9:15" x14ac:dyDescent="0.3">
      <c r="I51" t="s">
        <v>33</v>
      </c>
      <c r="J51" s="37">
        <v>5.8756199999999998E-3</v>
      </c>
      <c r="K51" s="44">
        <f t="shared" si="23"/>
        <v>5.4962537032963561E-2</v>
      </c>
      <c r="M51" t="s">
        <v>33</v>
      </c>
      <c r="N51" s="37">
        <v>9.9661399999999993</v>
      </c>
      <c r="O51" s="39">
        <f t="shared" si="24"/>
        <v>4.2497474310926556E-2</v>
      </c>
    </row>
    <row r="52" spans="9:15" x14ac:dyDescent="0.3">
      <c r="I52" t="s">
        <v>34</v>
      </c>
      <c r="J52" s="37">
        <v>1.1589599999999999E-3</v>
      </c>
      <c r="K52" s="44">
        <f t="shared" si="23"/>
        <v>1.0841303882777212E-2</v>
      </c>
      <c r="M52" t="s">
        <v>34</v>
      </c>
      <c r="N52" s="37">
        <v>5.8539099999999999</v>
      </c>
      <c r="O52" s="39">
        <f t="shared" si="24"/>
        <v>2.4962160861023035E-2</v>
      </c>
    </row>
    <row r="53" spans="9:15" x14ac:dyDescent="0.3">
      <c r="I53" t="s">
        <v>35</v>
      </c>
      <c r="J53" s="37">
        <v>1.85867E-3</v>
      </c>
      <c r="K53" s="44">
        <f t="shared" si="23"/>
        <v>1.7386627914510875E-2</v>
      </c>
      <c r="M53" t="s">
        <v>35</v>
      </c>
      <c r="N53" s="37">
        <v>5.0186599999999997</v>
      </c>
      <c r="O53" s="39">
        <f t="shared" si="24"/>
        <v>2.1400499533949419E-2</v>
      </c>
    </row>
    <row r="54" spans="9:15" x14ac:dyDescent="0.3">
      <c r="I54" t="s">
        <v>36</v>
      </c>
      <c r="J54" s="37">
        <v>5.63869E-7</v>
      </c>
      <c r="K54" s="44">
        <f t="shared" si="23"/>
        <v>5.2746213666370747E-6</v>
      </c>
      <c r="M54" t="s">
        <v>36</v>
      </c>
      <c r="N54" s="37">
        <v>0.41482799999999997</v>
      </c>
      <c r="O54" s="39">
        <f t="shared" si="24"/>
        <v>1.7689037353933461E-3</v>
      </c>
    </row>
    <row r="55" spans="9:15" x14ac:dyDescent="0.3">
      <c r="I55" t="s">
        <v>37</v>
      </c>
      <c r="J55" s="37">
        <v>1.4145999999999999E-4</v>
      </c>
      <c r="K55" s="44">
        <f t="shared" si="23"/>
        <v>1.3232646918423972E-3</v>
      </c>
      <c r="M55" t="s">
        <v>37</v>
      </c>
      <c r="N55" s="37">
        <v>2.9843999999999999</v>
      </c>
      <c r="O55" s="39">
        <f t="shared" si="24"/>
        <v>1.2726036593257693E-2</v>
      </c>
    </row>
    <row r="56" spans="9:15" x14ac:dyDescent="0.3">
      <c r="I56" t="s">
        <v>38</v>
      </c>
      <c r="J56" s="37">
        <v>7.8925200000000008E-6</v>
      </c>
      <c r="K56" s="44">
        <f t="shared" si="23"/>
        <v>7.3829301892124676E-5</v>
      </c>
      <c r="M56" t="s">
        <v>38</v>
      </c>
      <c r="N56" s="37">
        <v>0.14806900000000001</v>
      </c>
      <c r="O56" s="39">
        <f t="shared" si="24"/>
        <v>6.3139375161743512E-4</v>
      </c>
    </row>
    <row r="57" spans="9:15" x14ac:dyDescent="0.3">
      <c r="I57" t="s">
        <v>39</v>
      </c>
      <c r="J57" s="37">
        <v>1.70717E-4</v>
      </c>
      <c r="K57" s="44">
        <f t="shared" si="23"/>
        <v>1.5969445666425739E-3</v>
      </c>
      <c r="M57" t="s">
        <v>39</v>
      </c>
      <c r="N57" s="37">
        <v>4.5516099999999997E-2</v>
      </c>
      <c r="O57" s="39">
        <f t="shared" si="24"/>
        <v>1.9408911479103889E-4</v>
      </c>
    </row>
    <row r="58" spans="9:15" x14ac:dyDescent="0.3">
      <c r="I58" t="s">
        <v>40</v>
      </c>
      <c r="J58" s="37">
        <v>5.6202199999999995E-7</v>
      </c>
      <c r="K58" s="44">
        <f t="shared" si="23"/>
        <v>5.2573439038501883E-6</v>
      </c>
      <c r="M58" t="s">
        <v>40</v>
      </c>
      <c r="N58" s="37">
        <v>0.17921100000000001</v>
      </c>
      <c r="O58" s="39">
        <f t="shared" si="24"/>
        <v>7.6418903093228275E-4</v>
      </c>
    </row>
    <row r="59" spans="9:15" x14ac:dyDescent="0.3">
      <c r="I59" t="s">
        <v>41</v>
      </c>
      <c r="J59" s="37">
        <v>5.1779600000000004E-7</v>
      </c>
      <c r="K59" s="44">
        <f t="shared" si="23"/>
        <v>4.8436389394685841E-6</v>
      </c>
      <c r="M59" t="s">
        <v>41</v>
      </c>
      <c r="N59" s="37">
        <v>3.7377000000000001E-2</v>
      </c>
      <c r="O59" s="39">
        <f t="shared" si="24"/>
        <v>1.5938247880518456E-4</v>
      </c>
    </row>
    <row r="60" spans="9:15" x14ac:dyDescent="0.3">
      <c r="I60" t="s">
        <v>42</v>
      </c>
      <c r="J60" s="37">
        <v>8.3203900000000002E-4</v>
      </c>
      <c r="K60" s="44">
        <f t="shared" si="23"/>
        <v>7.7831742608218315E-3</v>
      </c>
      <c r="M60" t="s">
        <v>42</v>
      </c>
      <c r="N60" s="37">
        <v>0.39484799999999998</v>
      </c>
      <c r="O60" s="39">
        <f t="shared" si="24"/>
        <v>1.6837052998172541E-3</v>
      </c>
    </row>
    <row r="61" spans="9:15" x14ac:dyDescent="0.3">
      <c r="I61" t="s">
        <v>43</v>
      </c>
      <c r="J61" s="37">
        <v>1.9839399999999998E-5</v>
      </c>
      <c r="K61" s="44">
        <f t="shared" si="23"/>
        <v>1.8558445869742721E-4</v>
      </c>
      <c r="M61" t="s">
        <v>43</v>
      </c>
      <c r="N61" s="37">
        <v>0.182084</v>
      </c>
      <c r="O61" s="39">
        <f t="shared" si="24"/>
        <v>7.7644003720906503E-4</v>
      </c>
    </row>
    <row r="62" spans="9:15" ht="15" thickBot="1" x14ac:dyDescent="0.35">
      <c r="I62" t="s">
        <v>44</v>
      </c>
      <c r="J62" s="37">
        <v>3.9781999999999998E-2</v>
      </c>
      <c r="K62" s="45">
        <f t="shared" si="23"/>
        <v>0.37213428510444113</v>
      </c>
      <c r="M62" t="s">
        <v>44</v>
      </c>
      <c r="N62" s="37">
        <v>62.102499999999999</v>
      </c>
      <c r="O62" s="40">
        <f>N62/SUM($N$37:$N$62)</f>
        <v>0.26481660887708947</v>
      </c>
    </row>
    <row r="63" spans="9:15" x14ac:dyDescent="0.3">
      <c r="I63" t="s">
        <v>45</v>
      </c>
      <c r="J63" s="37">
        <v>2.9966199999999998E-2</v>
      </c>
      <c r="K63" s="39">
        <f>J63/SUM(J$63:J$66)</f>
        <v>4.823174983832991E-2</v>
      </c>
      <c r="M63" t="s">
        <v>45</v>
      </c>
      <c r="N63" s="37">
        <v>25.1982</v>
      </c>
      <c r="O63" s="38">
        <f>N63/SUM($N$63:$N$66)</f>
        <v>6.2744111013416412E-2</v>
      </c>
    </row>
    <row r="64" spans="9:15" x14ac:dyDescent="0.3">
      <c r="I64" t="s">
        <v>46</v>
      </c>
      <c r="J64" s="37">
        <v>4.0555799999999996E-3</v>
      </c>
      <c r="K64" s="39">
        <f t="shared" ref="K64:K66" si="25">J64/SUM(J$63:J$66)</f>
        <v>6.527611776245704E-3</v>
      </c>
      <c r="M64" t="s">
        <v>46</v>
      </c>
      <c r="N64" s="37">
        <v>1.5834999999999999</v>
      </c>
      <c r="O64" s="39">
        <f>N64/SUM($N$63:$N$66)</f>
        <v>3.9429522660247513E-3</v>
      </c>
    </row>
    <row r="65" spans="9:15" x14ac:dyDescent="0.3">
      <c r="I65" t="s">
        <v>47</v>
      </c>
      <c r="J65" s="37">
        <v>5.1293600000000003E-3</v>
      </c>
      <c r="K65" s="39">
        <f t="shared" si="25"/>
        <v>8.255901927863258E-3</v>
      </c>
      <c r="M65" t="s">
        <v>47</v>
      </c>
      <c r="N65" s="37">
        <v>1.85293</v>
      </c>
      <c r="O65" s="39">
        <f>N65/SUM($N$63:$N$66)</f>
        <v>4.6138393067794393E-3</v>
      </c>
    </row>
    <row r="66" spans="9:15" ht="15" thickBot="1" x14ac:dyDescent="0.35">
      <c r="I66" t="s">
        <v>48</v>
      </c>
      <c r="J66" s="37">
        <v>0.58214500000000002</v>
      </c>
      <c r="K66" s="40">
        <f t="shared" si="25"/>
        <v>0.9369847364575612</v>
      </c>
      <c r="M66" t="s">
        <v>48</v>
      </c>
      <c r="N66" s="37">
        <v>372.96800000000002</v>
      </c>
      <c r="O66" s="40">
        <f>N66/SUM($N$63:$N$66)</f>
        <v>0.92869909741377932</v>
      </c>
    </row>
  </sheetData>
  <mergeCells count="4">
    <mergeCell ref="G9:G24"/>
    <mergeCell ref="C9:C24"/>
    <mergeCell ref="C4:C8"/>
    <mergeCell ref="G4:G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DFFF5-5CED-4401-B172-5FC93DC7B7A8}">
  <dimension ref="A1:AL34"/>
  <sheetViews>
    <sheetView zoomScale="55" zoomScaleNormal="55" workbookViewId="0">
      <selection activeCell="AA2" sqref="AA2:AL33"/>
    </sheetView>
  </sheetViews>
  <sheetFormatPr defaultRowHeight="14.4" x14ac:dyDescent="0.3"/>
  <cols>
    <col min="1" max="1" width="15" bestFit="1" customWidth="1"/>
    <col min="14" max="14" width="15" bestFit="1" customWidth="1"/>
    <col min="27" max="27" width="14.88671875" bestFit="1" customWidth="1"/>
    <col min="28" max="28" width="13.44140625" bestFit="1" customWidth="1"/>
    <col min="29" max="30" width="13" bestFit="1" customWidth="1"/>
    <col min="31" max="31" width="12.77734375" bestFit="1" customWidth="1"/>
    <col min="32" max="32" width="11.88671875" bestFit="1" customWidth="1"/>
    <col min="33" max="33" width="12.21875" bestFit="1" customWidth="1"/>
    <col min="34" max="34" width="13.77734375" bestFit="1" customWidth="1"/>
    <col min="35" max="35" width="12.77734375" bestFit="1" customWidth="1"/>
    <col min="36" max="36" width="13.77734375" bestFit="1" customWidth="1"/>
    <col min="37" max="37" width="13.33203125" bestFit="1" customWidth="1"/>
    <col min="38" max="38" width="10.77734375" bestFit="1" customWidth="1"/>
  </cols>
  <sheetData>
    <row r="1" spans="1:38" x14ac:dyDescent="0.3"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</row>
    <row r="2" spans="1:38" ht="15" thickBot="1" x14ac:dyDescent="0.35"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O2" s="4" t="s">
        <v>7</v>
      </c>
      <c r="P2" s="4" t="s">
        <v>8</v>
      </c>
      <c r="Q2" s="4" t="s">
        <v>9</v>
      </c>
      <c r="R2" s="4" t="s">
        <v>10</v>
      </c>
      <c r="S2" s="4" t="s">
        <v>11</v>
      </c>
      <c r="T2" s="4" t="s">
        <v>12</v>
      </c>
      <c r="U2" s="4" t="s">
        <v>13</v>
      </c>
      <c r="V2" s="4" t="s">
        <v>14</v>
      </c>
      <c r="W2" s="4" t="s">
        <v>15</v>
      </c>
      <c r="X2" s="4" t="s">
        <v>16</v>
      </c>
      <c r="Y2" s="4" t="s">
        <v>17</v>
      </c>
      <c r="AB2" s="64" t="s">
        <v>7</v>
      </c>
      <c r="AC2" s="64" t="s">
        <v>8</v>
      </c>
      <c r="AD2" s="64" t="s">
        <v>9</v>
      </c>
      <c r="AE2" s="64" t="s">
        <v>10</v>
      </c>
      <c r="AF2" s="64" t="s">
        <v>11</v>
      </c>
      <c r="AG2" s="64" t="s">
        <v>12</v>
      </c>
      <c r="AH2" s="64" t="s">
        <v>13</v>
      </c>
      <c r="AI2" s="64" t="s">
        <v>14</v>
      </c>
      <c r="AJ2" s="64" t="s">
        <v>15</v>
      </c>
      <c r="AK2" s="64" t="s">
        <v>16</v>
      </c>
      <c r="AL2" s="64" t="s">
        <v>17</v>
      </c>
    </row>
    <row r="3" spans="1:38" ht="15" thickBot="1" x14ac:dyDescent="0.35">
      <c r="A3" t="s">
        <v>18</v>
      </c>
      <c r="B3" s="61">
        <v>8.6774000000000004</v>
      </c>
      <c r="C3" s="61">
        <v>11.7065</v>
      </c>
      <c r="D3" s="61">
        <v>11.3611</v>
      </c>
      <c r="E3" s="61">
        <v>1.69085</v>
      </c>
      <c r="F3" s="61">
        <v>1.5001599999999999</v>
      </c>
      <c r="G3" s="61">
        <v>6.2986599999999999</v>
      </c>
      <c r="H3" s="61">
        <v>8.9731400000000008</v>
      </c>
      <c r="I3" s="61">
        <v>2.8198699999999999</v>
      </c>
      <c r="J3" s="61">
        <v>29.2409</v>
      </c>
      <c r="K3" s="61">
        <v>9.1507299999999994</v>
      </c>
      <c r="L3" s="61">
        <v>1.6977199999999999</v>
      </c>
      <c r="N3" t="s">
        <v>18</v>
      </c>
      <c r="O3" s="49"/>
      <c r="P3" s="50"/>
      <c r="Q3" s="50"/>
      <c r="R3" s="50"/>
      <c r="S3" s="50"/>
      <c r="T3" s="50"/>
      <c r="U3" s="50"/>
      <c r="V3" s="50"/>
      <c r="W3" s="50"/>
      <c r="X3" s="50"/>
      <c r="Y3" s="51"/>
      <c r="AA3" s="7" t="s">
        <v>18</v>
      </c>
      <c r="AB3" s="63">
        <f>'R17'!N23</f>
        <v>3013.7449883689551</v>
      </c>
      <c r="AC3" s="63">
        <f>'R17'!O23</f>
        <v>40613.028794254271</v>
      </c>
      <c r="AD3" s="63">
        <f>'R17'!P23</f>
        <v>10134.688716835852</v>
      </c>
      <c r="AE3" s="63">
        <f>'R17'!Q23</f>
        <v>5659.7225029440533</v>
      </c>
      <c r="AF3" s="63">
        <f>'R17'!R23</f>
        <v>14012.492902458791</v>
      </c>
      <c r="AG3" s="63">
        <f>'R17'!S23</f>
        <v>26036.1120361576</v>
      </c>
      <c r="AH3" s="63">
        <f>'R17'!T23</f>
        <v>203725.33954966738</v>
      </c>
      <c r="AI3" s="63">
        <f>'R17'!U23</f>
        <v>24335.925717258258</v>
      </c>
      <c r="AJ3" s="63">
        <f>'R17'!V23</f>
        <v>260012.23677728849</v>
      </c>
      <c r="AK3" s="63">
        <f>'R17'!W23</f>
        <v>74893.657395713381</v>
      </c>
      <c r="AL3" s="63">
        <f>'R17'!X23</f>
        <v>487.99553781470706</v>
      </c>
    </row>
    <row r="4" spans="1:38" x14ac:dyDescent="0.3">
      <c r="A4" t="s">
        <v>19</v>
      </c>
      <c r="B4" s="61">
        <v>0.55101500000000003</v>
      </c>
      <c r="C4" s="61">
        <v>4.7880499999999999E-2</v>
      </c>
      <c r="D4" s="61">
        <v>0.154394</v>
      </c>
      <c r="E4" s="61">
        <v>0.18962100000000001</v>
      </c>
      <c r="F4" s="61">
        <v>0.20752200000000001</v>
      </c>
      <c r="G4" s="61">
        <v>5.9234300000000004E-3</v>
      </c>
      <c r="H4" s="61">
        <v>0.23750499999999999</v>
      </c>
      <c r="I4" s="61">
        <v>8.0176399999999995E-2</v>
      </c>
      <c r="J4" s="61">
        <v>0.55425500000000005</v>
      </c>
      <c r="K4" s="61">
        <v>0.24721799999999999</v>
      </c>
      <c r="L4" s="61">
        <v>0.340665</v>
      </c>
      <c r="N4" t="s">
        <v>19</v>
      </c>
      <c r="O4" s="52">
        <f>B4/SUM(B$4:B$29)</f>
        <v>2.8886542695609439E-3</v>
      </c>
      <c r="P4" s="53">
        <f t="shared" ref="P4:Y19" si="0">C4/SUM(C$4:C$29)</f>
        <v>1.0174827742772687E-3</v>
      </c>
      <c r="Q4" s="53">
        <f t="shared" si="0"/>
        <v>1.0213874012728692E-3</v>
      </c>
      <c r="R4" s="53">
        <f t="shared" si="0"/>
        <v>1.460913148185205E-2</v>
      </c>
      <c r="S4" s="53">
        <f t="shared" si="0"/>
        <v>2.6244087445053525E-2</v>
      </c>
      <c r="T4" s="53">
        <f t="shared" si="0"/>
        <v>1.4092155836074898E-4</v>
      </c>
      <c r="U4" s="53">
        <f t="shared" si="0"/>
        <v>1.2874162652953146E-2</v>
      </c>
      <c r="V4" s="53">
        <f t="shared" si="0"/>
        <v>9.8983108445741333E-3</v>
      </c>
      <c r="W4" s="53">
        <f t="shared" si="0"/>
        <v>1.0817363849499382E-2</v>
      </c>
      <c r="X4" s="53">
        <f t="shared" si="0"/>
        <v>7.7961432923972281E-3</v>
      </c>
      <c r="Y4" s="54">
        <f t="shared" si="0"/>
        <v>2.1851617557088653E-2</v>
      </c>
      <c r="AA4" s="7" t="s">
        <v>19</v>
      </c>
      <c r="AB4" s="63">
        <f>O4*'R17'!N$24</f>
        <v>102.54092334959473</v>
      </c>
      <c r="AC4" s="63">
        <f>P4*'R17'!O$24</f>
        <v>59.399808617589187</v>
      </c>
      <c r="AD4" s="63">
        <f>Q4*'R17'!P$24</f>
        <v>51.574502859013698</v>
      </c>
      <c r="AE4" s="63">
        <f>R4*'R17'!Q$24</f>
        <v>246.91789785039927</v>
      </c>
      <c r="AF4" s="63">
        <f>S4*'R17'!R$24</f>
        <v>366.63989166155545</v>
      </c>
      <c r="AG4" s="63">
        <f>T4*'R17'!S$24</f>
        <v>5.6035149310321959</v>
      </c>
      <c r="AH4" s="63">
        <f>U4*'R17'!T$24</f>
        <v>556.36923516670311</v>
      </c>
      <c r="AI4" s="63">
        <f>V4*'R17'!U$24</f>
        <v>180.66051618852265</v>
      </c>
      <c r="AJ4" s="63">
        <f>W4*'R17'!V$24</f>
        <v>1717.7207377805842</v>
      </c>
      <c r="AK4" s="63">
        <f>X4*'R17'!W$24</f>
        <v>438.87430807301371</v>
      </c>
      <c r="AL4" s="63">
        <f>Y4*'R17'!X$24</f>
        <v>65.255093832988194</v>
      </c>
    </row>
    <row r="5" spans="1:38" x14ac:dyDescent="0.3">
      <c r="A5" t="s">
        <v>20</v>
      </c>
      <c r="B5" s="61">
        <v>1.43004</v>
      </c>
      <c r="C5" s="61">
        <v>0.80056099999999997</v>
      </c>
      <c r="D5" s="61">
        <v>0.225663</v>
      </c>
      <c r="E5" s="61">
        <v>4.6496900000000001E-2</v>
      </c>
      <c r="F5" s="61">
        <v>0.82893499999999998</v>
      </c>
      <c r="G5" s="61">
        <v>3.8958599999999999</v>
      </c>
      <c r="H5" s="61">
        <v>0.174868</v>
      </c>
      <c r="I5" s="61">
        <v>2.5073999999999999E-2</v>
      </c>
      <c r="J5" s="61">
        <v>0.157942</v>
      </c>
      <c r="K5" s="61">
        <v>0.36366900000000002</v>
      </c>
      <c r="L5" s="61">
        <v>2.82261E-2</v>
      </c>
      <c r="N5" t="s">
        <v>20</v>
      </c>
      <c r="O5" s="55">
        <f t="shared" ref="O5:O29" si="1">B5/SUM(B$4:B$29)</f>
        <v>7.4968760408390548E-3</v>
      </c>
      <c r="P5" s="56">
        <f t="shared" si="0"/>
        <v>1.701229158547184E-2</v>
      </c>
      <c r="Q5" s="56">
        <f t="shared" si="0"/>
        <v>1.4928646523403725E-3</v>
      </c>
      <c r="R5" s="56">
        <f t="shared" si="0"/>
        <v>3.5823000912268504E-3</v>
      </c>
      <c r="S5" s="56">
        <f t="shared" si="0"/>
        <v>0.10483053664799608</v>
      </c>
      <c r="T5" s="56">
        <f t="shared" si="0"/>
        <v>9.2684586861887033E-2</v>
      </c>
      <c r="U5" s="56">
        <f t="shared" si="0"/>
        <v>9.4788702334544991E-3</v>
      </c>
      <c r="V5" s="56">
        <f t="shared" si="0"/>
        <v>3.0955523834551293E-3</v>
      </c>
      <c r="W5" s="56">
        <f t="shared" si="0"/>
        <v>3.082545184288155E-3</v>
      </c>
      <c r="X5" s="56">
        <f t="shared" si="0"/>
        <v>1.1468483828049769E-2</v>
      </c>
      <c r="Y5" s="57">
        <f t="shared" si="0"/>
        <v>1.8105351072993704E-3</v>
      </c>
      <c r="AA5" s="7" t="s">
        <v>20</v>
      </c>
      <c r="AB5" s="63">
        <f>O5*'R17'!N$24</f>
        <v>266.1227408089697</v>
      </c>
      <c r="AC5" s="63">
        <f>P5*'R17'!O$24</f>
        <v>993.16360912492166</v>
      </c>
      <c r="AD5" s="63">
        <f>Q5*'R17'!P$24</f>
        <v>75.381537097773275</v>
      </c>
      <c r="AE5" s="63">
        <f>R5*'R17'!Q$24</f>
        <v>60.54665255726016</v>
      </c>
      <c r="AF5" s="63">
        <f>S5*'R17'!R$24</f>
        <v>1464.5225016840211</v>
      </c>
      <c r="AG5" s="63">
        <f>T5*'R17'!S$24</f>
        <v>3685.4507741648149</v>
      </c>
      <c r="AH5" s="63">
        <f>U5*'R17'!T$24</f>
        <v>409.63843041254307</v>
      </c>
      <c r="AI5" s="63">
        <f>V5*'R17'!U$24</f>
        <v>56.49894211901529</v>
      </c>
      <c r="AJ5" s="63">
        <f>W5*'R17'!V$24</f>
        <v>489.48633529068934</v>
      </c>
      <c r="AK5" s="63">
        <f>X5*'R17'!W$24</f>
        <v>645.60420658125554</v>
      </c>
      <c r="AL5" s="63">
        <f>Y5*'R17'!X$24</f>
        <v>5.4067685381219324</v>
      </c>
    </row>
    <row r="6" spans="1:38" x14ac:dyDescent="0.3">
      <c r="A6" t="s">
        <v>21</v>
      </c>
      <c r="B6" s="61">
        <v>1.15656</v>
      </c>
      <c r="C6" s="61">
        <v>0.26385700000000001</v>
      </c>
      <c r="D6" s="61">
        <v>0.25412000000000001</v>
      </c>
      <c r="E6" s="61">
        <v>4.9875900000000001E-2</v>
      </c>
      <c r="F6" s="61">
        <v>0.43570599999999998</v>
      </c>
      <c r="G6" s="61">
        <v>1.1526700000000001</v>
      </c>
      <c r="H6" s="61">
        <v>5.6999500000000002E-2</v>
      </c>
      <c r="I6" s="61">
        <v>0.14186499999999999</v>
      </c>
      <c r="J6" s="61">
        <v>0.189527</v>
      </c>
      <c r="K6" s="61">
        <v>0.391953</v>
      </c>
      <c r="L6" s="61">
        <v>0.23092799999999999</v>
      </c>
      <c r="N6" t="s">
        <v>21</v>
      </c>
      <c r="O6" s="55">
        <f t="shared" si="1"/>
        <v>6.063177920752439E-3</v>
      </c>
      <c r="P6" s="56">
        <f t="shared" si="0"/>
        <v>5.6070833089144284E-3</v>
      </c>
      <c r="Q6" s="56">
        <f t="shared" si="0"/>
        <v>1.6811208104684217E-3</v>
      </c>
      <c r="R6" s="56">
        <f t="shared" si="0"/>
        <v>3.8426312532668038E-3</v>
      </c>
      <c r="S6" s="56">
        <f t="shared" si="0"/>
        <v>5.5101176570843041E-2</v>
      </c>
      <c r="T6" s="56">
        <f t="shared" si="0"/>
        <v>2.742263395966265E-2</v>
      </c>
      <c r="U6" s="56">
        <f t="shared" si="0"/>
        <v>3.0897068867476599E-3</v>
      </c>
      <c r="V6" s="56">
        <f t="shared" si="0"/>
        <v>1.7514179583587058E-2</v>
      </c>
      <c r="W6" s="56">
        <f t="shared" si="0"/>
        <v>3.6989878635358621E-3</v>
      </c>
      <c r="X6" s="56">
        <f t="shared" si="0"/>
        <v>1.2360433916158899E-2</v>
      </c>
      <c r="Y6" s="57">
        <f t="shared" si="0"/>
        <v>1.4812646850199956E-2</v>
      </c>
      <c r="AA6" s="7" t="s">
        <v>21</v>
      </c>
      <c r="AB6" s="63">
        <f>O6*'R17'!N$24</f>
        <v>215.22958596264581</v>
      </c>
      <c r="AC6" s="63">
        <f>P6*'R17'!O$24</f>
        <v>327.33691800234396</v>
      </c>
      <c r="AD6" s="63">
        <f>Q6*'R17'!P$24</f>
        <v>84.887448129671881</v>
      </c>
      <c r="AE6" s="63">
        <f>R6*'R17'!Q$24</f>
        <v>64.9466693108713</v>
      </c>
      <c r="AF6" s="63">
        <f>S6*'R17'!R$24</f>
        <v>769.78441146620435</v>
      </c>
      <c r="AG6" s="63">
        <f>T6*'R17'!S$24</f>
        <v>1090.4161196389391</v>
      </c>
      <c r="AH6" s="63">
        <f>U6*'R17'!T$24</f>
        <v>133.52463409142754</v>
      </c>
      <c r="AI6" s="63">
        <f>V6*'R17'!U$24</f>
        <v>319.66269537026812</v>
      </c>
      <c r="AJ6" s="63">
        <f>W6*'R17'!V$24</f>
        <v>587.37306523051802</v>
      </c>
      <c r="AK6" s="63">
        <f>X6*'R17'!W$24</f>
        <v>695.81544091507067</v>
      </c>
      <c r="AL6" s="63">
        <f>Y6*'R17'!X$24</f>
        <v>44.234741780530129</v>
      </c>
    </row>
    <row r="7" spans="1:38" x14ac:dyDescent="0.3">
      <c r="A7" t="s">
        <v>22</v>
      </c>
      <c r="B7" s="61">
        <v>4.7415700000000003</v>
      </c>
      <c r="C7" s="61">
        <v>1.55128</v>
      </c>
      <c r="D7" s="61">
        <v>1.24613</v>
      </c>
      <c r="E7" s="61">
        <v>0.21010400000000001</v>
      </c>
      <c r="F7" s="61">
        <v>0.41816799999999998</v>
      </c>
      <c r="G7" s="61">
        <v>0.93914699999999995</v>
      </c>
      <c r="H7" s="61">
        <v>1.2804500000000001</v>
      </c>
      <c r="I7" s="61">
        <v>0.12207</v>
      </c>
      <c r="J7" s="61">
        <v>0.71360299999999999</v>
      </c>
      <c r="K7" s="61">
        <v>0.97142700000000004</v>
      </c>
      <c r="L7" s="61">
        <v>1.31307</v>
      </c>
      <c r="N7" t="s">
        <v>22</v>
      </c>
      <c r="O7" s="55">
        <f t="shared" si="1"/>
        <v>2.4857320444855557E-2</v>
      </c>
      <c r="P7" s="56">
        <f t="shared" si="0"/>
        <v>3.2965417614286431E-2</v>
      </c>
      <c r="Q7" s="56">
        <f t="shared" si="0"/>
        <v>8.243723735042556E-3</v>
      </c>
      <c r="R7" s="56">
        <f t="shared" si="0"/>
        <v>1.6187220618301999E-2</v>
      </c>
      <c r="S7" s="56">
        <f t="shared" si="0"/>
        <v>5.2883248806021244E-2</v>
      </c>
      <c r="T7" s="56">
        <f t="shared" si="0"/>
        <v>2.2342807928822036E-2</v>
      </c>
      <c r="U7" s="56">
        <f t="shared" si="0"/>
        <v>6.940789275583191E-2</v>
      </c>
      <c r="V7" s="56">
        <f t="shared" si="0"/>
        <v>1.5070354927349752E-2</v>
      </c>
      <c r="W7" s="56">
        <f t="shared" si="0"/>
        <v>1.3927349857185424E-2</v>
      </c>
      <c r="X7" s="56">
        <f t="shared" si="0"/>
        <v>3.0634436368320923E-2</v>
      </c>
      <c r="Y7" s="57">
        <f t="shared" si="0"/>
        <v>8.4225569006755596E-2</v>
      </c>
      <c r="AA7" s="7" t="s">
        <v>22</v>
      </c>
      <c r="AB7" s="63">
        <f>O7*'R17'!N$24</f>
        <v>882.38063560291084</v>
      </c>
      <c r="AC7" s="63">
        <f>P7*'R17'!O$24</f>
        <v>1924.4940030345081</v>
      </c>
      <c r="AD7" s="63">
        <f>Q7*'R17'!P$24</f>
        <v>416.26316597602715</v>
      </c>
      <c r="AE7" s="63">
        <f>R7*'R17'!Q$24</f>
        <v>273.59015093244045</v>
      </c>
      <c r="AF7" s="63">
        <f>S7*'R17'!R$24</f>
        <v>738.79911631696541</v>
      </c>
      <c r="AG7" s="63">
        <f>T7*'R17'!S$24</f>
        <v>888.4251585540967</v>
      </c>
      <c r="AH7" s="63">
        <f>U7*'R17'!T$24</f>
        <v>2999.5283769571379</v>
      </c>
      <c r="AI7" s="63">
        <f>V7*'R17'!U$24</f>
        <v>275.05886035208573</v>
      </c>
      <c r="AJ7" s="63">
        <f>W7*'R17'!V$24</f>
        <v>2211.5644814073635</v>
      </c>
      <c r="AK7" s="63">
        <f>X7*'R17'!W$24</f>
        <v>1724.5279569790366</v>
      </c>
      <c r="AL7" s="63">
        <f>Y7*'R17'!X$24</f>
        <v>251.52130702972659</v>
      </c>
    </row>
    <row r="8" spans="1:38" x14ac:dyDescent="0.3">
      <c r="A8" t="s">
        <v>23</v>
      </c>
      <c r="B8" s="61">
        <v>14.32</v>
      </c>
      <c r="C8" s="61">
        <v>7.6149500000000003</v>
      </c>
      <c r="D8" s="61">
        <v>13.383599999999999</v>
      </c>
      <c r="E8" s="61">
        <v>1.33125</v>
      </c>
      <c r="F8" s="61">
        <v>0.62094300000000002</v>
      </c>
      <c r="G8" s="61">
        <v>4.6331899999999999</v>
      </c>
      <c r="H8" s="61">
        <v>7.1182600000000003</v>
      </c>
      <c r="I8" s="61">
        <v>0.30335000000000001</v>
      </c>
      <c r="J8" s="61">
        <v>4.3158899999999996</v>
      </c>
      <c r="K8" s="61">
        <v>3.8833799999999998</v>
      </c>
      <c r="L8" s="61">
        <v>2.0186199999999999</v>
      </c>
      <c r="N8" t="s">
        <v>23</v>
      </c>
      <c r="O8" s="55">
        <f t="shared" si="1"/>
        <v>7.5071511919117845E-2</v>
      </c>
      <c r="P8" s="56">
        <f t="shared" si="0"/>
        <v>0.16182121013737719</v>
      </c>
      <c r="Q8" s="56">
        <f t="shared" si="0"/>
        <v>8.8538676526779353E-2</v>
      </c>
      <c r="R8" s="56">
        <f t="shared" si="0"/>
        <v>0.1025646225113017</v>
      </c>
      <c r="S8" s="56">
        <f t="shared" si="0"/>
        <v>7.8527011065785163E-2</v>
      </c>
      <c r="T8" s="56">
        <f t="shared" si="0"/>
        <v>0.11022606074207655</v>
      </c>
      <c r="U8" s="56">
        <f t="shared" si="0"/>
        <v>0.38585140121685974</v>
      </c>
      <c r="V8" s="56">
        <f t="shared" si="0"/>
        <v>3.7450578907279E-2</v>
      </c>
      <c r="W8" s="56">
        <f t="shared" si="0"/>
        <v>8.4232983851144111E-2</v>
      </c>
      <c r="X8" s="56">
        <f t="shared" si="0"/>
        <v>0.12246433082878086</v>
      </c>
      <c r="Y8" s="57">
        <f t="shared" si="0"/>
        <v>0.12948237192869913</v>
      </c>
      <c r="AA8" s="7" t="s">
        <v>23</v>
      </c>
      <c r="AB8" s="63">
        <f>O8*'R17'!N$24</f>
        <v>2664.8748625104522</v>
      </c>
      <c r="AC8" s="63">
        <f>P8*'R17'!O$24</f>
        <v>9446.9893303643621</v>
      </c>
      <c r="AD8" s="63">
        <f>Q8*'R17'!P$24</f>
        <v>4470.7211191101705</v>
      </c>
      <c r="AE8" s="63">
        <f>R8*'R17'!Q$24</f>
        <v>1733.5076363553826</v>
      </c>
      <c r="AF8" s="63">
        <f>S8*'R17'!R$24</f>
        <v>1097.0522366207015</v>
      </c>
      <c r="AG8" s="63">
        <f>T8*'R17'!S$24</f>
        <v>4382.9587491215489</v>
      </c>
      <c r="AH8" s="63">
        <f>U8*'R17'!T$24</f>
        <v>16674.936830457198</v>
      </c>
      <c r="AI8" s="63">
        <f>V8*'R17'!U$24</f>
        <v>683.53490036704522</v>
      </c>
      <c r="AJ8" s="63">
        <f>W8*'R17'!V$24</f>
        <v>13375.601041000702</v>
      </c>
      <c r="AK8" s="63">
        <f>X8*'R17'!W$24</f>
        <v>6893.979040703266</v>
      </c>
      <c r="AL8" s="63">
        <f>Y8*'R17'!X$24</f>
        <v>386.67088639322094</v>
      </c>
    </row>
    <row r="9" spans="1:38" x14ac:dyDescent="0.3">
      <c r="A9" t="s">
        <v>24</v>
      </c>
      <c r="B9" s="61">
        <v>2.6378300000000001</v>
      </c>
      <c r="C9" s="61">
        <v>3.0233300000000001</v>
      </c>
      <c r="D9" s="61">
        <v>4.9371600000000004</v>
      </c>
      <c r="E9" s="61">
        <v>0.81547599999999998</v>
      </c>
      <c r="F9" s="61">
        <v>0.16580600000000001</v>
      </c>
      <c r="G9" s="61">
        <v>2.2733599999999998</v>
      </c>
      <c r="H9" s="61">
        <v>0.92512799999999995</v>
      </c>
      <c r="I9" s="61">
        <v>2.3819400000000002</v>
      </c>
      <c r="J9" s="61">
        <v>5.7646100000000002</v>
      </c>
      <c r="K9" s="61">
        <v>1.2334400000000001</v>
      </c>
      <c r="L9" s="61">
        <v>0.13033700000000001</v>
      </c>
      <c r="N9" t="s">
        <v>24</v>
      </c>
      <c r="O9" s="55">
        <f t="shared" si="1"/>
        <v>1.3828623343966942E-2</v>
      </c>
      <c r="P9" s="56">
        <f t="shared" si="0"/>
        <v>6.424716107717536E-2</v>
      </c>
      <c r="Q9" s="56">
        <f t="shared" si="0"/>
        <v>3.2661586733087805E-2</v>
      </c>
      <c r="R9" s="56">
        <f t="shared" si="0"/>
        <v>6.2827408906686394E-2</v>
      </c>
      <c r="S9" s="56">
        <f t="shared" si="0"/>
        <v>2.0968510147909833E-2</v>
      </c>
      <c r="T9" s="56">
        <f t="shared" si="0"/>
        <v>5.4084446666035096E-2</v>
      </c>
      <c r="U9" s="56">
        <f t="shared" si="0"/>
        <v>5.0147358357934518E-2</v>
      </c>
      <c r="V9" s="56">
        <f t="shared" si="0"/>
        <v>0.2940663653285121</v>
      </c>
      <c r="W9" s="56">
        <f t="shared" si="0"/>
        <v>0.11250757110077966</v>
      </c>
      <c r="X9" s="56">
        <f t="shared" si="0"/>
        <v>3.8897147386413762E-2</v>
      </c>
      <c r="Y9" s="57">
        <f t="shared" si="0"/>
        <v>8.3603372155585803E-3</v>
      </c>
      <c r="AA9" s="7" t="s">
        <v>24</v>
      </c>
      <c r="AB9" s="63">
        <f>O9*'R17'!N$24</f>
        <v>490.88595381116932</v>
      </c>
      <c r="AC9" s="63">
        <f>P9*'R17'!O$24</f>
        <v>3750.6964920545092</v>
      </c>
      <c r="AD9" s="63">
        <f>Q9*'R17'!P$24</f>
        <v>1649.2323052411884</v>
      </c>
      <c r="AE9" s="63">
        <f>R9*'R17'!Q$24</f>
        <v>1061.8845996353366</v>
      </c>
      <c r="AF9" s="63">
        <f>S9*'R17'!R$24</f>
        <v>292.93806862325852</v>
      </c>
      <c r="AG9" s="63">
        <f>T9*'R17'!S$24</f>
        <v>2150.5794284074177</v>
      </c>
      <c r="AH9" s="63">
        <f>U9*'R17'!T$24</f>
        <v>2167.1659872057503</v>
      </c>
      <c r="AI9" s="63">
        <f>V9*'R17'!U$24</f>
        <v>5367.1967053907356</v>
      </c>
      <c r="AJ9" s="63">
        <f>W9*'R17'!V$24</f>
        <v>17865.405169492984</v>
      </c>
      <c r="AK9" s="63">
        <f>X9*'R17'!W$24</f>
        <v>2189.667121931162</v>
      </c>
      <c r="AL9" s="63">
        <f>Y9*'R17'!X$24</f>
        <v>24.96632517256009</v>
      </c>
    </row>
    <row r="10" spans="1:38" x14ac:dyDescent="0.3">
      <c r="A10" t="s">
        <v>25</v>
      </c>
      <c r="B10" s="61">
        <v>2.1160600000000001</v>
      </c>
      <c r="C10" s="61">
        <v>0.809639</v>
      </c>
      <c r="D10" s="61">
        <v>1.9005099999999999</v>
      </c>
      <c r="E10" s="61">
        <v>0.24787100000000001</v>
      </c>
      <c r="F10" s="61">
        <v>6.3712400000000002E-2</v>
      </c>
      <c r="G10" s="61">
        <v>0.46068900000000002</v>
      </c>
      <c r="H10" s="61">
        <v>0.34102300000000002</v>
      </c>
      <c r="I10" s="61">
        <v>0.155088</v>
      </c>
      <c r="J10" s="61">
        <v>0.15845000000000001</v>
      </c>
      <c r="K10" s="61">
        <v>0.46244299999999999</v>
      </c>
      <c r="L10" s="61">
        <v>0.35319699999999998</v>
      </c>
      <c r="N10" t="s">
        <v>25</v>
      </c>
      <c r="O10" s="55">
        <f t="shared" si="1"/>
        <v>1.1093283764774337E-2</v>
      </c>
      <c r="P10" s="56">
        <f t="shared" si="0"/>
        <v>1.7205203284908755E-2</v>
      </c>
      <c r="Q10" s="56">
        <f t="shared" si="0"/>
        <v>1.2572748746668267E-2</v>
      </c>
      <c r="R10" s="56">
        <f t="shared" si="0"/>
        <v>1.9096935621783186E-2</v>
      </c>
      <c r="S10" s="56">
        <f t="shared" si="0"/>
        <v>8.0573327017580219E-3</v>
      </c>
      <c r="T10" s="56">
        <f t="shared" si="0"/>
        <v>1.0960036971763841E-2</v>
      </c>
      <c r="U10" s="56">
        <f t="shared" si="0"/>
        <v>1.8485444813364102E-2</v>
      </c>
      <c r="V10" s="56">
        <f t="shared" si="0"/>
        <v>1.9146647046553767E-2</v>
      </c>
      <c r="W10" s="56">
        <f t="shared" si="0"/>
        <v>3.0924597918885297E-3</v>
      </c>
      <c r="X10" s="56">
        <f t="shared" si="0"/>
        <v>1.4583371326384209E-2</v>
      </c>
      <c r="Y10" s="57">
        <f t="shared" si="0"/>
        <v>2.2655470231197922E-2</v>
      </c>
      <c r="AA10" s="7" t="s">
        <v>25</v>
      </c>
      <c r="AB10" s="63">
        <f>O10*'R17'!N$24</f>
        <v>393.78736742764431</v>
      </c>
      <c r="AC10" s="63">
        <f>P10*'R17'!O$24</f>
        <v>1004.4256356833429</v>
      </c>
      <c r="AD10" s="63">
        <f>Q10*'R17'!P$24</f>
        <v>634.85535984937314</v>
      </c>
      <c r="AE10" s="63">
        <f>R10*'R17'!Q$24</f>
        <v>322.76903010782729</v>
      </c>
      <c r="AF10" s="63">
        <f>S10*'R17'!R$24</f>
        <v>112.5640049416336</v>
      </c>
      <c r="AG10" s="63">
        <f>T10*'R17'!S$24</f>
        <v>435.80791704507203</v>
      </c>
      <c r="AH10" s="63">
        <f>U10*'R17'!T$24</f>
        <v>798.86615306732324</v>
      </c>
      <c r="AI10" s="63">
        <f>V10*'R17'!U$24</f>
        <v>349.45792196513696</v>
      </c>
      <c r="AJ10" s="63">
        <f>W10*'R17'!V$24</f>
        <v>491.06070473217846</v>
      </c>
      <c r="AK10" s="63">
        <f>X10*'R17'!W$24</f>
        <v>820.95297125698244</v>
      </c>
      <c r="AL10" s="63">
        <f>Y10*'R17'!X$24</f>
        <v>67.655624665081334</v>
      </c>
    </row>
    <row r="11" spans="1:38" x14ac:dyDescent="0.3">
      <c r="A11" t="s">
        <v>26</v>
      </c>
      <c r="B11" s="61">
        <v>6.30131</v>
      </c>
      <c r="C11" s="61">
        <v>1.57498</v>
      </c>
      <c r="D11" s="61">
        <v>5.7594000000000003</v>
      </c>
      <c r="E11" s="61">
        <v>0.42775999999999997</v>
      </c>
      <c r="F11" s="61">
        <v>5.4081400000000002E-2</v>
      </c>
      <c r="G11" s="61">
        <v>0.56195300000000004</v>
      </c>
      <c r="H11" s="61">
        <v>0.33743800000000002</v>
      </c>
      <c r="I11" s="61">
        <v>0.13817299999999999</v>
      </c>
      <c r="J11" s="61">
        <v>0.79379999999999995</v>
      </c>
      <c r="K11" s="61">
        <v>0.871888</v>
      </c>
      <c r="L11" s="61">
        <v>0.28423500000000002</v>
      </c>
      <c r="N11" t="s">
        <v>26</v>
      </c>
      <c r="O11" s="55">
        <f t="shared" si="1"/>
        <v>3.3034138880660362E-2</v>
      </c>
      <c r="P11" s="56">
        <f t="shared" si="0"/>
        <v>3.346905357778663E-2</v>
      </c>
      <c r="Q11" s="56">
        <f t="shared" si="0"/>
        <v>3.810108293645454E-2</v>
      </c>
      <c r="R11" s="56">
        <f t="shared" si="0"/>
        <v>3.2956276375913175E-2</v>
      </c>
      <c r="S11" s="56">
        <f t="shared" si="0"/>
        <v>6.839356746518044E-3</v>
      </c>
      <c r="T11" s="56">
        <f t="shared" si="0"/>
        <v>1.3369161530649975E-2</v>
      </c>
      <c r="U11" s="56">
        <f t="shared" si="0"/>
        <v>1.8291116807171236E-2</v>
      </c>
      <c r="V11" s="56">
        <f t="shared" si="0"/>
        <v>1.7058377581524512E-2</v>
      </c>
      <c r="W11" s="56">
        <f t="shared" si="0"/>
        <v>1.5492550222790247E-2</v>
      </c>
      <c r="X11" s="56">
        <f t="shared" si="0"/>
        <v>2.7495424212321248E-2</v>
      </c>
      <c r="Y11" s="57">
        <f t="shared" si="0"/>
        <v>1.8231971339407023E-2</v>
      </c>
      <c r="AA11" s="7" t="s">
        <v>26</v>
      </c>
      <c r="AB11" s="63">
        <f>O11*'R17'!N$24</f>
        <v>1172.6398477573837</v>
      </c>
      <c r="AC11" s="63">
        <f>P11*'R17'!O$24</f>
        <v>1953.8958569048073</v>
      </c>
      <c r="AD11" s="63">
        <f>Q11*'R17'!P$24</f>
        <v>1923.8972483788455</v>
      </c>
      <c r="AE11" s="63">
        <f>R11*'R17'!Q$24</f>
        <v>557.0142546684533</v>
      </c>
      <c r="AF11" s="63">
        <f>S11*'R17'!R$24</f>
        <v>95.548417213140013</v>
      </c>
      <c r="AG11" s="63">
        <f>T11*'R17'!S$24</f>
        <v>531.60280885202246</v>
      </c>
      <c r="AH11" s="63">
        <f>U11*'R17'!T$24</f>
        <v>790.4680826769204</v>
      </c>
      <c r="AI11" s="63">
        <f>V11*'R17'!U$24</f>
        <v>311.34355624992821</v>
      </c>
      <c r="AJ11" s="63">
        <f>W11*'R17'!V$24</f>
        <v>2460.1072099489002</v>
      </c>
      <c r="AK11" s="63">
        <f>X11*'R17'!W$24</f>
        <v>1547.8211243403141</v>
      </c>
      <c r="AL11" s="63">
        <f>Y11*'R17'!X$24</f>
        <v>54.445809213213572</v>
      </c>
    </row>
    <row r="12" spans="1:38" x14ac:dyDescent="0.3">
      <c r="A12" t="s">
        <v>27</v>
      </c>
      <c r="B12" s="61">
        <v>0.48960199999999998</v>
      </c>
      <c r="C12" s="61">
        <v>0.245588</v>
      </c>
      <c r="D12" s="61">
        <v>0.26254499999999997</v>
      </c>
      <c r="E12" s="61">
        <v>3.7302500000000002E-2</v>
      </c>
      <c r="F12" s="61">
        <v>0.12008199999999999</v>
      </c>
      <c r="G12" s="61">
        <v>0.94808800000000004</v>
      </c>
      <c r="H12" s="61">
        <v>5.9282500000000002E-2</v>
      </c>
      <c r="I12" s="61">
        <v>8.4193799999999999E-2</v>
      </c>
      <c r="J12" s="61">
        <v>0.15659300000000001</v>
      </c>
      <c r="K12" s="61">
        <v>0.19750799999999999</v>
      </c>
      <c r="L12" s="61">
        <v>3.0493300000000001E-2</v>
      </c>
      <c r="N12" t="s">
        <v>27</v>
      </c>
      <c r="O12" s="55">
        <f t="shared" si="1"/>
        <v>2.566701283423459E-3</v>
      </c>
      <c r="P12" s="56">
        <f t="shared" si="0"/>
        <v>5.2188586077673771E-3</v>
      </c>
      <c r="Q12" s="56">
        <f t="shared" si="0"/>
        <v>1.736856064789988E-3</v>
      </c>
      <c r="R12" s="56">
        <f t="shared" si="0"/>
        <v>2.8739281361335827E-3</v>
      </c>
      <c r="S12" s="56">
        <f t="shared" si="0"/>
        <v>1.5186064651347409E-2</v>
      </c>
      <c r="T12" s="56">
        <f t="shared" si="0"/>
        <v>2.2555519086597763E-2</v>
      </c>
      <c r="U12" s="56">
        <f t="shared" si="0"/>
        <v>3.2134588639131595E-3</v>
      </c>
      <c r="V12" s="56">
        <f t="shared" si="0"/>
        <v>1.0394285644976648E-2</v>
      </c>
      <c r="W12" s="56">
        <f t="shared" si="0"/>
        <v>3.0562168267036956E-3</v>
      </c>
      <c r="X12" s="56">
        <f t="shared" si="0"/>
        <v>6.2285135766602419E-3</v>
      </c>
      <c r="Y12" s="57">
        <f t="shared" si="0"/>
        <v>1.9559623960593879E-3</v>
      </c>
      <c r="AA12" s="7" t="s">
        <v>27</v>
      </c>
      <c r="AB12" s="63">
        <f>O12*'R17'!N$24</f>
        <v>91.112294862768309</v>
      </c>
      <c r="AC12" s="63">
        <f>P12*'R17'!O$24</f>
        <v>304.67267883118382</v>
      </c>
      <c r="AD12" s="63">
        <f>Q12*'R17'!P$24</f>
        <v>87.701775024416435</v>
      </c>
      <c r="AE12" s="63">
        <f>R12*'R17'!Q$24</f>
        <v>48.574023365368383</v>
      </c>
      <c r="AF12" s="63">
        <f>S12*'R17'!R$24</f>
        <v>212.15510389502268</v>
      </c>
      <c r="AG12" s="63">
        <f>T12*'R17'!S$24</f>
        <v>896.88326931059407</v>
      </c>
      <c r="AH12" s="63">
        <f>U12*'R17'!T$24</f>
        <v>138.87269398021127</v>
      </c>
      <c r="AI12" s="63">
        <f>V12*'R17'!U$24</f>
        <v>189.71287520858058</v>
      </c>
      <c r="AJ12" s="63">
        <f>W12*'R17'!V$24</f>
        <v>485.30557864390045</v>
      </c>
      <c r="AK12" s="63">
        <f>X12*'R17'!W$24</f>
        <v>350.62651926188545</v>
      </c>
      <c r="AL12" s="63">
        <f>Y12*'R17'!X$24</f>
        <v>5.841055443845006</v>
      </c>
    </row>
    <row r="13" spans="1:38" x14ac:dyDescent="0.3">
      <c r="A13" t="s">
        <v>28</v>
      </c>
      <c r="B13" s="61">
        <v>12.728300000000001</v>
      </c>
      <c r="C13" s="61">
        <v>4.1257799999999998</v>
      </c>
      <c r="D13" s="61">
        <v>16.1462</v>
      </c>
      <c r="E13" s="61">
        <v>1.2255</v>
      </c>
      <c r="F13" s="61">
        <v>0.23389499999999999</v>
      </c>
      <c r="G13" s="61">
        <v>2.3648899999999999</v>
      </c>
      <c r="H13" s="61">
        <v>0.78330500000000003</v>
      </c>
      <c r="I13" s="61">
        <v>0.60567199999999999</v>
      </c>
      <c r="J13" s="61">
        <v>2.8592399999999998</v>
      </c>
      <c r="K13" s="61">
        <v>2.8584700000000001</v>
      </c>
      <c r="L13" s="61">
        <v>0.75378100000000003</v>
      </c>
      <c r="N13" t="s">
        <v>28</v>
      </c>
      <c r="O13" s="55">
        <f t="shared" si="1"/>
        <v>6.6727145611739355E-2</v>
      </c>
      <c r="P13" s="56">
        <f t="shared" si="0"/>
        <v>8.7674733564972587E-2</v>
      </c>
      <c r="Q13" s="56">
        <f t="shared" si="0"/>
        <v>0.10681454757589025</v>
      </c>
      <c r="R13" s="56">
        <f t="shared" si="0"/>
        <v>9.4417235596319427E-2</v>
      </c>
      <c r="S13" s="56">
        <f t="shared" si="0"/>
        <v>2.9579325724312572E-2</v>
      </c>
      <c r="T13" s="56">
        <f t="shared" si="0"/>
        <v>5.6261994174279364E-2</v>
      </c>
      <c r="U13" s="56">
        <f t="shared" si="0"/>
        <v>4.2459720750600893E-2</v>
      </c>
      <c r="V13" s="56">
        <f t="shared" si="0"/>
        <v>7.4774244364362891E-2</v>
      </c>
      <c r="W13" s="56">
        <f t="shared" si="0"/>
        <v>5.5803627234833439E-2</v>
      </c>
      <c r="X13" s="56">
        <f t="shared" si="0"/>
        <v>9.0143281302408021E-2</v>
      </c>
      <c r="Y13" s="57">
        <f t="shared" si="0"/>
        <v>4.835053244037351E-2</v>
      </c>
      <c r="AA13" s="7" t="s">
        <v>28</v>
      </c>
      <c r="AB13" s="63">
        <f>O13*'R17'!N$24</f>
        <v>2368.6680665147892</v>
      </c>
      <c r="AC13" s="63">
        <f>P13*'R17'!O$24</f>
        <v>5118.3789308440209</v>
      </c>
      <c r="AD13" s="63">
        <f>Q13*'R17'!P$24</f>
        <v>5393.5531047981585</v>
      </c>
      <c r="AE13" s="63">
        <f>R13*'R17'!Q$24</f>
        <v>1595.8036494674338</v>
      </c>
      <c r="AF13" s="63">
        <f>S13*'R17'!R$24</f>
        <v>413.2344400120445</v>
      </c>
      <c r="AG13" s="63">
        <f>T13*'R17'!S$24</f>
        <v>2237.1660381314082</v>
      </c>
      <c r="AH13" s="63">
        <f>U13*'R17'!T$24</f>
        <v>1834.9373855382178</v>
      </c>
      <c r="AI13" s="63">
        <f>V13*'R17'!U$24</f>
        <v>1364.7534207190008</v>
      </c>
      <c r="AJ13" s="63">
        <f>W13*'R17'!V$24</f>
        <v>8861.2206336284871</v>
      </c>
      <c r="AK13" s="63">
        <f>X13*'R17'!W$24</f>
        <v>5074.5052682145624</v>
      </c>
      <c r="AL13" s="63">
        <f>Y13*'R17'!X$24</f>
        <v>144.38832837104979</v>
      </c>
    </row>
    <row r="14" spans="1:38" x14ac:dyDescent="0.3">
      <c r="A14" t="s">
        <v>29</v>
      </c>
      <c r="B14" s="61">
        <v>2.72235</v>
      </c>
      <c r="C14" s="61">
        <v>1.1433</v>
      </c>
      <c r="D14" s="61">
        <v>3.8859300000000001</v>
      </c>
      <c r="E14" s="61">
        <v>0.38735799999999998</v>
      </c>
      <c r="F14" s="61">
        <v>0.131434</v>
      </c>
      <c r="G14" s="61">
        <v>1.5803199999999999</v>
      </c>
      <c r="H14" s="61">
        <v>0.258633</v>
      </c>
      <c r="I14" s="61">
        <v>0.27607599999999999</v>
      </c>
      <c r="J14" s="61">
        <v>0.75412299999999999</v>
      </c>
      <c r="K14" s="61">
        <v>0.70174999999999998</v>
      </c>
      <c r="L14" s="61">
        <v>0.30401800000000001</v>
      </c>
      <c r="N14" t="s">
        <v>29</v>
      </c>
      <c r="O14" s="55">
        <f t="shared" si="1"/>
        <v>1.4271713021858271E-2</v>
      </c>
      <c r="P14" s="56">
        <f t="shared" si="0"/>
        <v>2.429565388480073E-2</v>
      </c>
      <c r="Q14" s="56">
        <f t="shared" si="0"/>
        <v>2.5707216240451573E-2</v>
      </c>
      <c r="R14" s="56">
        <f t="shared" si="0"/>
        <v>2.9843550833226519E-2</v>
      </c>
      <c r="S14" s="56">
        <f t="shared" si="0"/>
        <v>1.6621685359880709E-2</v>
      </c>
      <c r="T14" s="56">
        <f t="shared" si="0"/>
        <v>3.7596655503426023E-2</v>
      </c>
      <c r="U14" s="56">
        <f t="shared" si="0"/>
        <v>1.4019424051793567E-2</v>
      </c>
      <c r="V14" s="56">
        <f t="shared" si="0"/>
        <v>3.4083421863873267E-2</v>
      </c>
      <c r="W14" s="56">
        <f t="shared" si="0"/>
        <v>1.4718176431923973E-2</v>
      </c>
      <c r="X14" s="56">
        <f t="shared" si="0"/>
        <v>2.2130037276572721E-2</v>
      </c>
      <c r="Y14" s="57">
        <f t="shared" si="0"/>
        <v>1.950093219576704E-2</v>
      </c>
      <c r="AA14" s="7" t="s">
        <v>29</v>
      </c>
      <c r="AB14" s="63">
        <f>O14*'R17'!N$24</f>
        <v>506.61467052760668</v>
      </c>
      <c r="AC14" s="63">
        <f>P14*'R17'!O$24</f>
        <v>1418.3603177178543</v>
      </c>
      <c r="AD14" s="63">
        <f>Q14*'R17'!P$24</f>
        <v>1298.0744581714775</v>
      </c>
      <c r="AE14" s="63">
        <f>R14*'R17'!Q$24</f>
        <v>504.40416976777334</v>
      </c>
      <c r="AF14" s="63">
        <f>S14*'R17'!R$24</f>
        <v>232.2112716755085</v>
      </c>
      <c r="AG14" s="63">
        <f>T14*'R17'!S$24</f>
        <v>1494.9694207256266</v>
      </c>
      <c r="AH14" s="63">
        <f>U14*'R17'!T$24</f>
        <v>605.86280035733955</v>
      </c>
      <c r="AI14" s="63">
        <f>V14*'R17'!U$24</f>
        <v>622.07872475270256</v>
      </c>
      <c r="AJ14" s="63">
        <f>W14*'R17'!V$24</f>
        <v>2337.1421384332257</v>
      </c>
      <c r="AK14" s="63">
        <f>X14*'R17'!W$24</f>
        <v>1245.7832588656061</v>
      </c>
      <c r="AL14" s="63">
        <f>Y14*'R17'!X$24</f>
        <v>58.235284273163984</v>
      </c>
    </row>
    <row r="15" spans="1:38" x14ac:dyDescent="0.3">
      <c r="A15" t="s">
        <v>30</v>
      </c>
      <c r="B15" s="61">
        <v>1.7567900000000001</v>
      </c>
      <c r="C15" s="61">
        <v>0.52473099999999995</v>
      </c>
      <c r="D15" s="61">
        <v>2.94767</v>
      </c>
      <c r="E15" s="61">
        <v>0.29798799999999998</v>
      </c>
      <c r="F15" s="61">
        <v>0.21824499999999999</v>
      </c>
      <c r="G15" s="61">
        <v>0.48184100000000002</v>
      </c>
      <c r="H15" s="61">
        <v>0.122627</v>
      </c>
      <c r="I15" s="61">
        <v>0.20461599999999999</v>
      </c>
      <c r="J15" s="61">
        <v>0.28245100000000001</v>
      </c>
      <c r="K15" s="61">
        <v>0.52198599999999995</v>
      </c>
      <c r="L15" s="61">
        <v>0.25454100000000002</v>
      </c>
      <c r="N15" t="s">
        <v>30</v>
      </c>
      <c r="O15" s="55">
        <f t="shared" si="1"/>
        <v>9.2098380882951834E-3</v>
      </c>
      <c r="P15" s="56">
        <f t="shared" si="0"/>
        <v>1.1150776487908135E-2</v>
      </c>
      <c r="Q15" s="56">
        <f t="shared" si="0"/>
        <v>1.9500194315258353E-2</v>
      </c>
      <c r="R15" s="56">
        <f t="shared" si="0"/>
        <v>2.2958142146777667E-2</v>
      </c>
      <c r="S15" s="56">
        <f t="shared" si="0"/>
        <v>2.7600162221093214E-2</v>
      </c>
      <c r="T15" s="56">
        <f t="shared" si="0"/>
        <v>1.1463254331038208E-2</v>
      </c>
      <c r="U15" s="56">
        <f t="shared" si="0"/>
        <v>6.6471019289854345E-3</v>
      </c>
      <c r="V15" s="56">
        <f t="shared" si="0"/>
        <v>2.52612086820234E-2</v>
      </c>
      <c r="W15" s="56">
        <f t="shared" si="0"/>
        <v>5.5125803766406254E-3</v>
      </c>
      <c r="X15" s="56">
        <f t="shared" si="0"/>
        <v>1.6461089615745047E-2</v>
      </c>
      <c r="Y15" s="57">
        <f t="shared" si="0"/>
        <v>1.6327279246764134E-2</v>
      </c>
      <c r="AA15" s="7" t="s">
        <v>30</v>
      </c>
      <c r="AB15" s="63">
        <f>O15*'R17'!N$24</f>
        <v>326.92915570598717</v>
      </c>
      <c r="AC15" s="63">
        <f>P15*'R17'!O$24</f>
        <v>650.97317228759493</v>
      </c>
      <c r="AD15" s="63">
        <f>Q15*'R17'!P$24</f>
        <v>984.65364484648956</v>
      </c>
      <c r="AE15" s="63">
        <f>R15*'R17'!Q$24</f>
        <v>388.02965148714941</v>
      </c>
      <c r="AF15" s="63">
        <f>S15*'R17'!R$24</f>
        <v>385.584772485212</v>
      </c>
      <c r="AG15" s="63">
        <f>T15*'R17'!S$24</f>
        <v>455.81753103919254</v>
      </c>
      <c r="AH15" s="63">
        <f>U15*'R17'!T$24</f>
        <v>287.26085851155682</v>
      </c>
      <c r="AI15" s="63">
        <f>V15*'R17'!U$24</f>
        <v>461.05876767266619</v>
      </c>
      <c r="AJ15" s="63">
        <f>W15*'R17'!V$24</f>
        <v>875.3587069252668</v>
      </c>
      <c r="AK15" s="63">
        <f>X15*'R17'!W$24</f>
        <v>926.65681533626241</v>
      </c>
      <c r="AL15" s="63">
        <f>Y15*'R17'!X$24</f>
        <v>48.757861357470389</v>
      </c>
    </row>
    <row r="16" spans="1:38" x14ac:dyDescent="0.3">
      <c r="A16" t="s">
        <v>31</v>
      </c>
      <c r="B16" s="61">
        <v>1.9782500000000001</v>
      </c>
      <c r="C16" s="61">
        <v>0.93108500000000005</v>
      </c>
      <c r="D16" s="61">
        <v>2.5796800000000002</v>
      </c>
      <c r="E16" s="61">
        <v>0.174515</v>
      </c>
      <c r="F16" s="61">
        <v>0.33087800000000001</v>
      </c>
      <c r="G16" s="61">
        <v>1.1966300000000001</v>
      </c>
      <c r="H16" s="61">
        <v>0.65188599999999997</v>
      </c>
      <c r="I16" s="61">
        <v>9.6741499999999994E-2</v>
      </c>
      <c r="J16" s="61">
        <v>0.28279300000000002</v>
      </c>
      <c r="K16" s="61">
        <v>0.49331599999999998</v>
      </c>
      <c r="L16" s="61">
        <v>0.29571500000000001</v>
      </c>
      <c r="N16" t="s">
        <v>31</v>
      </c>
      <c r="O16" s="55">
        <f t="shared" si="1"/>
        <v>1.0370825311033161E-2</v>
      </c>
      <c r="P16" s="56">
        <f t="shared" si="0"/>
        <v>1.9785986965214459E-2</v>
      </c>
      <c r="Q16" s="56">
        <f t="shared" si="0"/>
        <v>1.7065771022938683E-2</v>
      </c>
      <c r="R16" s="56">
        <f t="shared" si="0"/>
        <v>1.344530711553789E-2</v>
      </c>
      <c r="S16" s="56">
        <f t="shared" si="0"/>
        <v>4.184419563055685E-2</v>
      </c>
      <c r="T16" s="56">
        <f t="shared" si="0"/>
        <v>2.8468465801271065E-2</v>
      </c>
      <c r="U16" s="56">
        <f t="shared" si="0"/>
        <v>3.5336040905172582E-2</v>
      </c>
      <c r="V16" s="56">
        <f t="shared" si="0"/>
        <v>1.1943382823004882E-2</v>
      </c>
      <c r="W16" s="56">
        <f t="shared" si="0"/>
        <v>5.5192551715211929E-3</v>
      </c>
      <c r="X16" s="56">
        <f t="shared" si="0"/>
        <v>1.5556966824552544E-2</v>
      </c>
      <c r="Y16" s="57">
        <f t="shared" si="0"/>
        <v>1.8968344519966745E-2</v>
      </c>
      <c r="AA16" s="7" t="s">
        <v>31</v>
      </c>
      <c r="AB16" s="63">
        <f>O16*'R17'!N$24</f>
        <v>368.14166876824731</v>
      </c>
      <c r="AC16" s="63">
        <f>P16*'R17'!O$24</f>
        <v>1155.0896671235271</v>
      </c>
      <c r="AD16" s="63">
        <f>Q16*'R17'!P$24</f>
        <v>861.72852271034139</v>
      </c>
      <c r="AE16" s="63">
        <f>R16*'R17'!Q$24</f>
        <v>227.24738791253301</v>
      </c>
      <c r="AF16" s="63">
        <f>S16*'R17'!R$24</f>
        <v>584.57934133822982</v>
      </c>
      <c r="AG16" s="63">
        <f>T16*'R17'!S$24</f>
        <v>1132.0019096910162</v>
      </c>
      <c r="AH16" s="63">
        <f>U16*'R17'!T$24</f>
        <v>1527.0807571877704</v>
      </c>
      <c r="AI16" s="63">
        <f>V16*'R17'!U$24</f>
        <v>217.98645644917914</v>
      </c>
      <c r="AJ16" s="63">
        <f>W16*'R17'!V$24</f>
        <v>876.4186170610725</v>
      </c>
      <c r="AK16" s="63">
        <f>X16*'R17'!W$24</f>
        <v>875.76033363811223</v>
      </c>
      <c r="AL16" s="63">
        <f>Y16*'R17'!X$24</f>
        <v>56.644827243251008</v>
      </c>
    </row>
    <row r="17" spans="1:38" x14ac:dyDescent="0.3">
      <c r="A17" t="s">
        <v>32</v>
      </c>
      <c r="B17" s="61">
        <v>36.223599999999998</v>
      </c>
      <c r="C17" s="61">
        <v>5.2904099999999996</v>
      </c>
      <c r="D17" s="61">
        <v>38.423099999999998</v>
      </c>
      <c r="E17" s="61">
        <v>3.2237100000000001</v>
      </c>
      <c r="F17" s="61">
        <v>0.479852</v>
      </c>
      <c r="G17" s="61">
        <v>4.4307100000000004</v>
      </c>
      <c r="H17" s="61">
        <v>0.92022700000000002</v>
      </c>
      <c r="I17" s="61">
        <v>1.2396499999999999</v>
      </c>
      <c r="J17" s="61">
        <v>4.1748700000000003</v>
      </c>
      <c r="K17" s="61">
        <v>6.6887600000000003</v>
      </c>
      <c r="L17" s="61">
        <v>1.2577799999999999</v>
      </c>
      <c r="N17" t="s">
        <v>32</v>
      </c>
      <c r="O17" s="55">
        <f t="shared" si="1"/>
        <v>0.18989947061126791</v>
      </c>
      <c r="P17" s="56">
        <f t="shared" si="0"/>
        <v>0.11242365981692348</v>
      </c>
      <c r="Q17" s="56">
        <f t="shared" si="0"/>
        <v>0.25418649855465608</v>
      </c>
      <c r="R17" s="56">
        <f t="shared" si="0"/>
        <v>0.2483670229002129</v>
      </c>
      <c r="S17" s="56">
        <f t="shared" si="0"/>
        <v>6.0684061683502578E-2</v>
      </c>
      <c r="T17" s="56">
        <f t="shared" si="0"/>
        <v>0.10540895356990024</v>
      </c>
      <c r="U17" s="56">
        <f t="shared" si="0"/>
        <v>4.9881695440681738E-2</v>
      </c>
      <c r="V17" s="56">
        <f t="shared" si="0"/>
        <v>0.15304305304898105</v>
      </c>
      <c r="W17" s="56">
        <f t="shared" si="0"/>
        <v>8.1480704394835388E-2</v>
      </c>
      <c r="X17" s="56">
        <f t="shared" si="0"/>
        <v>0.21093339242472184</v>
      </c>
      <c r="Y17" s="57">
        <f t="shared" si="0"/>
        <v>8.0679046955087735E-2</v>
      </c>
      <c r="AA17" s="7" t="s">
        <v>32</v>
      </c>
      <c r="AB17" s="63">
        <f>O17*'R17'!N$24</f>
        <v>6741.0168344716194</v>
      </c>
      <c r="AC17" s="63">
        <f>P17*'R17'!O$24</f>
        <v>6563.2009170451438</v>
      </c>
      <c r="AD17" s="63">
        <f>Q17*'R17'!P$24</f>
        <v>12835.034268185091</v>
      </c>
      <c r="AE17" s="63">
        <f>R17*'R17'!Q$24</f>
        <v>4197.8034947569658</v>
      </c>
      <c r="AF17" s="63">
        <f>S17*'R17'!R$24</f>
        <v>847.77944166681448</v>
      </c>
      <c r="AG17" s="63">
        <f>T17*'R17'!S$24</f>
        <v>4191.414373103702</v>
      </c>
      <c r="AH17" s="63">
        <f>U17*'R17'!T$24</f>
        <v>2155.6851105018832</v>
      </c>
      <c r="AI17" s="63">
        <f>V17*'R17'!U$24</f>
        <v>2793.2884102192429</v>
      </c>
      <c r="AJ17" s="63">
        <f>W17*'R17'!V$24</f>
        <v>12938.558563365288</v>
      </c>
      <c r="AK17" s="63">
        <f>X17*'R17'!W$24</f>
        <v>11874.236167538169</v>
      </c>
      <c r="AL17" s="63">
        <f>Y17*'R17'!X$24</f>
        <v>240.93039179621002</v>
      </c>
    </row>
    <row r="18" spans="1:38" x14ac:dyDescent="0.3">
      <c r="A18" t="s">
        <v>33</v>
      </c>
      <c r="B18" s="61">
        <v>11.5685</v>
      </c>
      <c r="C18" s="61">
        <v>2.7755399999999999</v>
      </c>
      <c r="D18" s="61">
        <v>10.9419</v>
      </c>
      <c r="E18" s="61">
        <v>0.90874900000000003</v>
      </c>
      <c r="F18" s="61">
        <v>0.257739</v>
      </c>
      <c r="G18" s="61">
        <v>1.9313400000000001</v>
      </c>
      <c r="H18" s="61">
        <v>0.68861700000000003</v>
      </c>
      <c r="I18" s="61">
        <v>0.17138500000000001</v>
      </c>
      <c r="J18" s="61">
        <v>2.48509</v>
      </c>
      <c r="K18" s="61">
        <v>1.21591</v>
      </c>
      <c r="L18" s="61">
        <v>0.50403200000000004</v>
      </c>
      <c r="N18" t="s">
        <v>33</v>
      </c>
      <c r="O18" s="55">
        <f t="shared" si="1"/>
        <v>6.0646982237172818E-2</v>
      </c>
      <c r="P18" s="56">
        <f t="shared" si="0"/>
        <v>5.8981508950773913E-2</v>
      </c>
      <c r="Q18" s="56">
        <f t="shared" si="0"/>
        <v>7.2385706737228175E-2</v>
      </c>
      <c r="R18" s="56">
        <f t="shared" si="0"/>
        <v>7.0013519731472615E-2</v>
      </c>
      <c r="S18" s="56">
        <f t="shared" si="0"/>
        <v>3.2594736240016235E-2</v>
      </c>
      <c r="T18" s="56">
        <f t="shared" si="0"/>
        <v>4.5947608484349256E-2</v>
      </c>
      <c r="U18" s="56">
        <f t="shared" si="0"/>
        <v>3.7327076329292594E-2</v>
      </c>
      <c r="V18" s="56">
        <f t="shared" si="0"/>
        <v>2.1158620293469627E-2</v>
      </c>
      <c r="W18" s="56">
        <f t="shared" si="0"/>
        <v>4.850136260160471E-2</v>
      </c>
      <c r="X18" s="56">
        <f t="shared" si="0"/>
        <v>3.8344330067627413E-2</v>
      </c>
      <c r="Y18" s="57">
        <f t="shared" si="0"/>
        <v>3.2330631266888316E-2</v>
      </c>
      <c r="AA18" s="7" t="s">
        <v>33</v>
      </c>
      <c r="AB18" s="63">
        <f>O18*'R17'!N$24</f>
        <v>2152.8355340050393</v>
      </c>
      <c r="AC18" s="63">
        <f>P18*'R17'!O$24</f>
        <v>3443.2920460409455</v>
      </c>
      <c r="AD18" s="63">
        <f>Q18*'R17'!P$24</f>
        <v>3655.0840889739366</v>
      </c>
      <c r="AE18" s="63">
        <f>R18*'R17'!Q$24</f>
        <v>1183.3414693185484</v>
      </c>
      <c r="AF18" s="63">
        <f>S18*'R17'!R$24</f>
        <v>455.36087276027422</v>
      </c>
      <c r="AG18" s="63">
        <f>T18*'R17'!S$24</f>
        <v>1827.0313866965118</v>
      </c>
      <c r="AH18" s="63">
        <f>U18*'R17'!T$24</f>
        <v>1613.1252546800683</v>
      </c>
      <c r="AI18" s="63">
        <f>V18*'R17'!U$24</f>
        <v>386.17975572574926</v>
      </c>
      <c r="AJ18" s="63">
        <f>W18*'R17'!V$24</f>
        <v>7701.6727467522205</v>
      </c>
      <c r="AK18" s="63">
        <f>X18*'R17'!W$24</f>
        <v>2158.5469501778111</v>
      </c>
      <c r="AL18" s="63">
        <f>Y18*'R17'!X$24</f>
        <v>96.548384644236151</v>
      </c>
    </row>
    <row r="19" spans="1:38" x14ac:dyDescent="0.3">
      <c r="A19" t="s">
        <v>34</v>
      </c>
      <c r="B19" s="61">
        <v>27.7043</v>
      </c>
      <c r="C19" s="61">
        <v>2.3663500000000002</v>
      </c>
      <c r="D19" s="61">
        <v>7.9406800000000004</v>
      </c>
      <c r="E19" s="61">
        <v>0.64837599999999995</v>
      </c>
      <c r="F19" s="61">
        <v>0.20835300000000001</v>
      </c>
      <c r="G19" s="61">
        <v>1.2022299999999999</v>
      </c>
      <c r="H19" s="61">
        <v>0.40882800000000002</v>
      </c>
      <c r="I19" s="61">
        <v>0.59612699999999996</v>
      </c>
      <c r="J19" s="61">
        <v>0.51290100000000005</v>
      </c>
      <c r="K19" s="61">
        <v>0.81080300000000005</v>
      </c>
      <c r="L19" s="61">
        <v>0.26342599999999999</v>
      </c>
      <c r="N19" t="s">
        <v>34</v>
      </c>
      <c r="O19" s="55">
        <f t="shared" si="1"/>
        <v>0.14523768768581119</v>
      </c>
      <c r="P19" s="56">
        <f t="shared" si="0"/>
        <v>5.0286032161548339E-2</v>
      </c>
      <c r="Q19" s="56">
        <f t="shared" si="0"/>
        <v>5.2531254514679632E-2</v>
      </c>
      <c r="R19" s="56">
        <f t="shared" si="0"/>
        <v>4.9953381923295959E-2</v>
      </c>
      <c r="S19" s="56">
        <f t="shared" si="0"/>
        <v>2.6349179130112647E-2</v>
      </c>
      <c r="T19" s="56">
        <f t="shared" si="0"/>
        <v>2.8601692787463214E-2</v>
      </c>
      <c r="U19" s="56">
        <f t="shared" si="0"/>
        <v>2.2160873114593502E-2</v>
      </c>
      <c r="V19" s="56">
        <f t="shared" si="0"/>
        <v>7.3595850510168134E-2</v>
      </c>
      <c r="W19" s="56">
        <f t="shared" si="0"/>
        <v>1.0010260143385415E-2</v>
      </c>
      <c r="X19" s="56">
        <f t="shared" si="0"/>
        <v>2.5569078181627351E-2</v>
      </c>
      <c r="Y19" s="57">
        <f t="shared" si="0"/>
        <v>1.6897198733634614E-2</v>
      </c>
      <c r="AA19" s="7" t="s">
        <v>34</v>
      </c>
      <c r="AB19" s="63">
        <f>O19*'R17'!N$24</f>
        <v>5155.6209953525349</v>
      </c>
      <c r="AC19" s="63">
        <f>P19*'R17'!O$24</f>
        <v>2935.6572534169904</v>
      </c>
      <c r="AD19" s="63">
        <f>Q19*'R17'!P$24</f>
        <v>2652.5423485531364</v>
      </c>
      <c r="AE19" s="63">
        <f>R19*'R17'!Q$24</f>
        <v>844.29276787196795</v>
      </c>
      <c r="AF19" s="63">
        <f>S19*'R17'!R$24</f>
        <v>368.10806250595147</v>
      </c>
      <c r="AG19" s="63">
        <f>T19*'R17'!S$24</f>
        <v>1137.2994625638921</v>
      </c>
      <c r="AH19" s="63">
        <f>U19*'R17'!T$24</f>
        <v>957.70329750840165</v>
      </c>
      <c r="AI19" s="63">
        <f>V19*'R17'!U$24</f>
        <v>1343.2457872131381</v>
      </c>
      <c r="AJ19" s="63">
        <f>W19*'R17'!V$24</f>
        <v>1589.5583876165294</v>
      </c>
      <c r="AK19" s="63">
        <f>X19*'R17'!W$24</f>
        <v>1439.3798413081724</v>
      </c>
      <c r="AL19" s="63">
        <f>Y19*'R17'!X$24</f>
        <v>50.459801705630895</v>
      </c>
    </row>
    <row r="20" spans="1:38" x14ac:dyDescent="0.3">
      <c r="A20" t="s">
        <v>35</v>
      </c>
      <c r="B20" s="61">
        <v>2.7208899999999998</v>
      </c>
      <c r="C20" s="61">
        <v>0.97823199999999999</v>
      </c>
      <c r="D20" s="61">
        <v>2.2060900000000001</v>
      </c>
      <c r="E20" s="61">
        <v>0.35295799999999999</v>
      </c>
      <c r="F20" s="61">
        <v>0.54177600000000004</v>
      </c>
      <c r="G20" s="61">
        <v>0.89046400000000003</v>
      </c>
      <c r="H20" s="61">
        <v>0.28070699999999998</v>
      </c>
      <c r="I20" s="61">
        <v>0.36798399999999998</v>
      </c>
      <c r="J20" s="61">
        <v>3.45343</v>
      </c>
      <c r="K20" s="61">
        <v>0.59402500000000003</v>
      </c>
      <c r="L20" s="61">
        <v>0.361431</v>
      </c>
      <c r="N20" t="s">
        <v>35</v>
      </c>
      <c r="O20" s="55">
        <f t="shared" si="1"/>
        <v>1.4264059082793891E-2</v>
      </c>
      <c r="P20" s="56">
        <f t="shared" ref="P20:P29" si="2">C20/SUM(C$4:C$29)</f>
        <v>2.0787882525178332E-2</v>
      </c>
      <c r="Q20" s="56">
        <f t="shared" ref="Q20:Q29" si="3">D20/SUM(D$4:D$29)</f>
        <v>1.4594301152078862E-2</v>
      </c>
      <c r="R20" s="56">
        <f t="shared" ref="R20:R29" si="4">E20/SUM(E$4:E$29)</f>
        <v>2.7193242465610536E-2</v>
      </c>
      <c r="S20" s="56">
        <f t="shared" ref="S20:S29" si="5">F20/SUM(F$4:F$29)</f>
        <v>6.8515225950170663E-2</v>
      </c>
      <c r="T20" s="56">
        <f t="shared" ref="T20:T29" si="6">G20/SUM(G$4:G$29)</f>
        <v>2.1184613398680489E-2</v>
      </c>
      <c r="U20" s="56">
        <f t="shared" ref="U20:U29" si="7">H20/SUM(H$4:H$29)</f>
        <v>1.5215964193690739E-2</v>
      </c>
      <c r="V20" s="56">
        <f t="shared" ref="V20:V29" si="8">I20/SUM(I$4:I$29)</f>
        <v>4.5430076903300323E-2</v>
      </c>
      <c r="W20" s="56">
        <f t="shared" ref="W20:W29" si="9">J20/SUM(J$4:J$29)</f>
        <v>6.7400400246775669E-2</v>
      </c>
      <c r="X20" s="56">
        <f t="shared" ref="X20:X29" si="10">K20/SUM(K$4:K$29)</f>
        <v>1.8732875515804933E-2</v>
      </c>
      <c r="Y20" s="57">
        <f t="shared" ref="Y20:Y29" si="11">L20/SUM(L$4:L$29)</f>
        <v>2.3183631970634225E-2</v>
      </c>
      <c r="AA20" s="7" t="s">
        <v>35</v>
      </c>
      <c r="AB20" s="63">
        <f>O20*'R17'!N$24</f>
        <v>506.34297239218313</v>
      </c>
      <c r="AC20" s="63">
        <f>P20*'R17'!O$24</f>
        <v>1213.5795069725987</v>
      </c>
      <c r="AD20" s="63">
        <f>Q20*'R17'!P$24</f>
        <v>736.93275005661826</v>
      </c>
      <c r="AE20" s="63">
        <f>R20*'R17'!Q$24</f>
        <v>459.60968136166991</v>
      </c>
      <c r="AF20" s="63">
        <f>S20*'R17'!R$24</f>
        <v>957.18378747713905</v>
      </c>
      <c r="AG20" s="63">
        <f>T20*'R17'!S$24</f>
        <v>842.37145024869926</v>
      </c>
      <c r="AH20" s="63">
        <f>U20*'R17'!T$24</f>
        <v>657.57242540552716</v>
      </c>
      <c r="AI20" s="63">
        <f>V20*'R17'!U$24</f>
        <v>829.17391388385272</v>
      </c>
      <c r="AJ20" s="63">
        <f>W20*'R17'!V$24</f>
        <v>10702.706024255267</v>
      </c>
      <c r="AK20" s="63">
        <f>X20*'R17'!W$24</f>
        <v>1054.5442113967106</v>
      </c>
      <c r="AL20" s="63">
        <f>Y20*'R17'!X$24</f>
        <v>69.232864600562891</v>
      </c>
    </row>
    <row r="21" spans="1:38" x14ac:dyDescent="0.3">
      <c r="A21" t="s">
        <v>36</v>
      </c>
      <c r="B21" s="61">
        <v>1.4113899999999999</v>
      </c>
      <c r="C21" s="61">
        <v>4.6764800000000002E-2</v>
      </c>
      <c r="D21" s="61">
        <v>0.49106699999999998</v>
      </c>
      <c r="E21" s="61">
        <v>3.7866499999999997E-2</v>
      </c>
      <c r="F21" s="61">
        <v>0.30793599999999999</v>
      </c>
      <c r="G21" s="61">
        <v>1.99872E-2</v>
      </c>
      <c r="H21" s="61">
        <v>0.145124</v>
      </c>
      <c r="I21" s="61">
        <v>1.0989799999999999E-5</v>
      </c>
      <c r="J21" s="61">
        <v>0.108276</v>
      </c>
      <c r="K21" s="61">
        <v>9.3363700000000001E-3</v>
      </c>
      <c r="L21" s="61">
        <v>5.3118599999999997E-6</v>
      </c>
      <c r="N21" t="s">
        <v>36</v>
      </c>
      <c r="O21" s="55">
        <f t="shared" si="1"/>
        <v>7.3991048329276341E-3</v>
      </c>
      <c r="P21" s="56">
        <f t="shared" si="2"/>
        <v>9.9377363316008847E-4</v>
      </c>
      <c r="Q21" s="56">
        <f t="shared" si="3"/>
        <v>3.248634318567198E-3</v>
      </c>
      <c r="R21" s="56">
        <f t="shared" si="4"/>
        <v>2.9173808663468213E-3</v>
      </c>
      <c r="S21" s="56">
        <f t="shared" si="5"/>
        <v>3.8942855752546725E-2</v>
      </c>
      <c r="T21" s="56">
        <f t="shared" si="6"/>
        <v>4.7550614614639864E-4</v>
      </c>
      <c r="U21" s="56">
        <f t="shared" si="7"/>
        <v>7.8665711494375797E-3</v>
      </c>
      <c r="V21" s="56">
        <f t="shared" si="8"/>
        <v>1.3567640417841261E-6</v>
      </c>
      <c r="W21" s="56">
        <f t="shared" si="9"/>
        <v>2.1132166388546699E-3</v>
      </c>
      <c r="X21" s="56">
        <f t="shared" si="10"/>
        <v>2.944270981515857E-4</v>
      </c>
      <c r="Y21" s="57">
        <f t="shared" si="11"/>
        <v>3.4072397586132103E-7</v>
      </c>
      <c r="AA21" s="7" t="s">
        <v>36</v>
      </c>
      <c r="AB21" s="63">
        <f>O21*'R17'!N$24</f>
        <v>262.6520762708538</v>
      </c>
      <c r="AC21" s="63">
        <f>P21*'R17'!O$24</f>
        <v>58.015688433492443</v>
      </c>
      <c r="AD21" s="63">
        <f>Q21*'R17'!P$24</f>
        <v>164.0383460203588</v>
      </c>
      <c r="AE21" s="63">
        <f>R21*'R17'!Q$24</f>
        <v>49.308444628770772</v>
      </c>
      <c r="AF21" s="63">
        <f>S21*'R17'!R$24</f>
        <v>544.04651882062012</v>
      </c>
      <c r="AG21" s="63">
        <f>T21*'R17'!S$24</f>
        <v>18.907722996562246</v>
      </c>
      <c r="AH21" s="63">
        <f>U21*'R17'!T$24</f>
        <v>339.96138558907234</v>
      </c>
      <c r="AI21" s="63">
        <f>V21*'R17'!U$24</f>
        <v>2.4763183939521184E-2</v>
      </c>
      <c r="AJ21" s="63">
        <f>W21*'R17'!V$24</f>
        <v>335.56383001313571</v>
      </c>
      <c r="AK21" s="63">
        <f>X21*'R17'!W$24</f>
        <v>16.574411748592915</v>
      </c>
      <c r="AL21" s="63">
        <f>Y21*'R17'!X$24</f>
        <v>1.0174979018322888E-3</v>
      </c>
    </row>
    <row r="22" spans="1:38" x14ac:dyDescent="0.3">
      <c r="A22" t="s">
        <v>37</v>
      </c>
      <c r="B22" s="61">
        <v>1.6475599999999999</v>
      </c>
      <c r="C22" s="61">
        <v>3.1288000000000003E-2</v>
      </c>
      <c r="D22" s="61">
        <v>0.17535100000000001</v>
      </c>
      <c r="E22" s="61">
        <v>0.173067</v>
      </c>
      <c r="F22" s="61">
        <v>0.32256800000000002</v>
      </c>
      <c r="G22" s="61">
        <v>7.5924599999999995E-2</v>
      </c>
      <c r="H22" s="61">
        <v>0.30330200000000002</v>
      </c>
      <c r="I22" s="61">
        <v>9.6032900000000004E-2</v>
      </c>
      <c r="J22" s="61">
        <v>3.7916699999999999</v>
      </c>
      <c r="K22" s="61">
        <v>0.230238</v>
      </c>
      <c r="L22" s="61">
        <v>3.9814700000000001E-2</v>
      </c>
      <c r="N22" t="s">
        <v>37</v>
      </c>
      <c r="O22" s="55">
        <f t="shared" si="1"/>
        <v>8.6372081129512408E-3</v>
      </c>
      <c r="P22" s="56">
        <f t="shared" si="2"/>
        <v>6.6488447367064223E-4</v>
      </c>
      <c r="Q22" s="56">
        <f t="shared" si="3"/>
        <v>1.1600276059989306E-3</v>
      </c>
      <c r="R22" s="56">
        <f t="shared" si="4"/>
        <v>1.3333747623784753E-2</v>
      </c>
      <c r="S22" s="56">
        <f t="shared" si="5"/>
        <v>4.0793278779965615E-2</v>
      </c>
      <c r="T22" s="56">
        <f t="shared" si="6"/>
        <v>1.8062867206865821E-3</v>
      </c>
      <c r="U22" s="56">
        <f t="shared" si="7"/>
        <v>1.6440745588370751E-2</v>
      </c>
      <c r="V22" s="56">
        <f t="shared" si="8"/>
        <v>1.1855901431168067E-2</v>
      </c>
      <c r="W22" s="56">
        <f t="shared" si="9"/>
        <v>7.4001811417544847E-2</v>
      </c>
      <c r="X22" s="56">
        <f t="shared" si="10"/>
        <v>7.2606704987296759E-3</v>
      </c>
      <c r="Y22" s="57">
        <f t="shared" si="11"/>
        <v>2.5538743268319832E-3</v>
      </c>
      <c r="AA22" s="7" t="s">
        <v>37</v>
      </c>
      <c r="AB22" s="63">
        <f>O22*'R17'!N$24</f>
        <v>306.60204109481282</v>
      </c>
      <c r="AC22" s="63">
        <f>P22*'R17'!O$24</f>
        <v>38.815409447000988</v>
      </c>
      <c r="AD22" s="63">
        <f>Q22*'R17'!P$24</f>
        <v>58.575078376302912</v>
      </c>
      <c r="AE22" s="63">
        <f>R22*'R17'!Q$24</f>
        <v>225.36185247032262</v>
      </c>
      <c r="AF22" s="63">
        <f>S22*'R17'!R$24</f>
        <v>569.89763289426958</v>
      </c>
      <c r="AG22" s="63">
        <f>T22*'R17'!S$24</f>
        <v>71.82403265213685</v>
      </c>
      <c r="AH22" s="63">
        <f>U22*'R17'!T$24</f>
        <v>710.50252316596027</v>
      </c>
      <c r="AI22" s="63">
        <f>V22*'R17'!U$24</f>
        <v>216.38977660609331</v>
      </c>
      <c r="AJ22" s="63">
        <f>W22*'R17'!V$24</f>
        <v>11750.96334687194</v>
      </c>
      <c r="AK22" s="63">
        <f>X22*'R17'!W$24</f>
        <v>408.7305250512282</v>
      </c>
      <c r="AL22" s="63">
        <f>Y22*'R17'!X$24</f>
        <v>7.6265891254818516</v>
      </c>
    </row>
    <row r="23" spans="1:38" x14ac:dyDescent="0.3">
      <c r="A23" t="s">
        <v>38</v>
      </c>
      <c r="B23" s="61">
        <v>0.29578599999999999</v>
      </c>
      <c r="C23" s="61">
        <v>0.176291</v>
      </c>
      <c r="D23" s="61">
        <v>0.10953499999999999</v>
      </c>
      <c r="E23" s="61">
        <v>1.9266599999999998E-2</v>
      </c>
      <c r="F23" s="61">
        <v>0.260382</v>
      </c>
      <c r="G23" s="61">
        <v>0.33162900000000001</v>
      </c>
      <c r="H23" s="61">
        <v>4.0598700000000001E-2</v>
      </c>
      <c r="I23" s="61">
        <v>1.44253E-2</v>
      </c>
      <c r="J23" s="61">
        <v>8.75412E-2</v>
      </c>
      <c r="K23" s="61">
        <v>0.114403</v>
      </c>
      <c r="L23" s="61">
        <v>1.0158199999999999E-2</v>
      </c>
      <c r="N23" t="s">
        <v>38</v>
      </c>
      <c r="O23" s="55">
        <f t="shared" si="1"/>
        <v>1.5506356302030858E-3</v>
      </c>
      <c r="P23" s="56">
        <f t="shared" si="2"/>
        <v>3.7462653013254662E-3</v>
      </c>
      <c r="Q23" s="56">
        <f t="shared" si="3"/>
        <v>7.2462446078489905E-4</v>
      </c>
      <c r="R23" s="56">
        <f t="shared" si="4"/>
        <v>1.48437299986948E-3</v>
      </c>
      <c r="S23" s="56">
        <f t="shared" si="5"/>
        <v>3.2928980913435331E-2</v>
      </c>
      <c r="T23" s="56">
        <f t="shared" si="6"/>
        <v>7.8896307506996499E-3</v>
      </c>
      <c r="U23" s="56">
        <f t="shared" si="7"/>
        <v>2.2006874267844843E-3</v>
      </c>
      <c r="V23" s="56">
        <f t="shared" si="8"/>
        <v>1.7808994096297074E-3</v>
      </c>
      <c r="W23" s="56">
        <f t="shared" si="9"/>
        <v>1.7085367064289816E-3</v>
      </c>
      <c r="X23" s="56">
        <f t="shared" si="10"/>
        <v>3.6077558312101873E-3</v>
      </c>
      <c r="Y23" s="57">
        <f t="shared" si="11"/>
        <v>6.5158763438691368E-4</v>
      </c>
      <c r="AA23" s="7" t="s">
        <v>38</v>
      </c>
      <c r="AB23" s="63">
        <f>O23*'R17'!N$24</f>
        <v>55.044181290678523</v>
      </c>
      <c r="AC23" s="63">
        <f>P23*'R17'!O$24</f>
        <v>218.70389116662142</v>
      </c>
      <c r="AD23" s="63">
        <f>Q23*'R17'!P$24</f>
        <v>36.589590079031986</v>
      </c>
      <c r="AE23" s="63">
        <f>R23*'R17'!Q$24</f>
        <v>25.088299137355577</v>
      </c>
      <c r="AF23" s="63">
        <f>S23*'R17'!R$24</f>
        <v>460.03039808125948</v>
      </c>
      <c r="AG23" s="63">
        <f>T23*'R17'!S$24</f>
        <v>313.7182431569675</v>
      </c>
      <c r="AH23" s="63">
        <f>U23*'R17'!T$24</f>
        <v>95.104809026178103</v>
      </c>
      <c r="AI23" s="63">
        <f>V23*'R17'!U$24</f>
        <v>32.504354700065065</v>
      </c>
      <c r="AJ23" s="63">
        <f>W23*'R17'!V$24</f>
        <v>271.30352391985218</v>
      </c>
      <c r="AK23" s="63">
        <f>X23*'R17'!W$24</f>
        <v>203.09418192233974</v>
      </c>
      <c r="AL23" s="63">
        <f>Y23*'R17'!X$24</f>
        <v>1.9458244732340002</v>
      </c>
    </row>
    <row r="24" spans="1:38" x14ac:dyDescent="0.3">
      <c r="A24" t="s">
        <v>39</v>
      </c>
      <c r="B24" s="61">
        <v>1.9940800000000002E-2</v>
      </c>
      <c r="C24" s="61">
        <v>0.109695</v>
      </c>
      <c r="D24" s="61">
        <v>2.3758700000000001E-2</v>
      </c>
      <c r="E24" s="61">
        <v>5.7771200000000002E-3</v>
      </c>
      <c r="F24" s="61">
        <v>1.5509E-2</v>
      </c>
      <c r="G24" s="61">
        <v>0.17518900000000001</v>
      </c>
      <c r="H24" s="61">
        <v>2.46766E-2</v>
      </c>
      <c r="I24" s="61">
        <v>9.6983499999999995E-4</v>
      </c>
      <c r="J24" s="61">
        <v>4.2373000000000001E-2</v>
      </c>
      <c r="K24" s="61">
        <v>1.7006899999999998E-2</v>
      </c>
      <c r="L24" s="61">
        <v>3.2604399999999999E-3</v>
      </c>
      <c r="N24" t="s">
        <v>39</v>
      </c>
      <c r="O24" s="55">
        <f t="shared" si="1"/>
        <v>1.0453812883217493E-4</v>
      </c>
      <c r="P24" s="56">
        <f t="shared" si="2"/>
        <v>2.3310694943525024E-3</v>
      </c>
      <c r="Q24" s="56">
        <f t="shared" si="3"/>
        <v>1.5717474027890797E-4</v>
      </c>
      <c r="R24" s="56">
        <f t="shared" si="4"/>
        <v>4.45091554555862E-4</v>
      </c>
      <c r="S24" s="56">
        <f t="shared" si="5"/>
        <v>1.9613320620721422E-3</v>
      </c>
      <c r="T24" s="56">
        <f t="shared" si="6"/>
        <v>4.1678397292888164E-3</v>
      </c>
      <c r="U24" s="56">
        <f t="shared" si="7"/>
        <v>1.3376163117486521E-3</v>
      </c>
      <c r="V24" s="56">
        <f t="shared" si="8"/>
        <v>1.1973259335599448E-4</v>
      </c>
      <c r="W24" s="56">
        <f t="shared" si="9"/>
        <v>8.2699147214700325E-4</v>
      </c>
      <c r="X24" s="56">
        <f t="shared" si="10"/>
        <v>5.3632109862336238E-4</v>
      </c>
      <c r="Y24" s="57">
        <f t="shared" si="11"/>
        <v>2.0913768055959411E-4</v>
      </c>
      <c r="AA24" s="7" t="s">
        <v>39</v>
      </c>
      <c r="AB24" s="63">
        <f>O24*'R17'!N$24</f>
        <v>3.7108754649684648</v>
      </c>
      <c r="AC24" s="63">
        <f>P24*'R17'!O$24</f>
        <v>136.08592237563195</v>
      </c>
      <c r="AD24" s="63">
        <f>Q24*'R17'!P$24</f>
        <v>7.9364686521266936</v>
      </c>
      <c r="AE24" s="63">
        <f>R24*'R17'!Q$24</f>
        <v>7.5227655482752356</v>
      </c>
      <c r="AF24" s="63">
        <f>S24*'R17'!R$24</f>
        <v>27.400555506303252</v>
      </c>
      <c r="AG24" s="63">
        <f>T24*'R17'!S$24</f>
        <v>165.72731968683672</v>
      </c>
      <c r="AH24" s="63">
        <f>U24*'R17'!T$24</f>
        <v>57.806366470241329</v>
      </c>
      <c r="AI24" s="63">
        <f>V24*'R17'!U$24</f>
        <v>2.1853175213366511</v>
      </c>
      <c r="AJ24" s="63">
        <f>W24*'R17'!V$24</f>
        <v>131.32038650436476</v>
      </c>
      <c r="AK24" s="63">
        <f>X24*'R17'!W$24</f>
        <v>30.191537307020266</v>
      </c>
      <c r="AL24" s="63">
        <f>Y24*'R17'!X$24</f>
        <v>0.62454410678181804</v>
      </c>
    </row>
    <row r="25" spans="1:38" x14ac:dyDescent="0.3">
      <c r="A25" t="s">
        <v>40</v>
      </c>
      <c r="B25" s="61">
        <v>0.22412699999999999</v>
      </c>
      <c r="C25" s="61">
        <v>3.7982399999999999E-2</v>
      </c>
      <c r="D25" s="61">
        <v>0.26159500000000002</v>
      </c>
      <c r="E25" s="61">
        <v>9.2142400000000003E-3</v>
      </c>
      <c r="F25" s="61">
        <v>3.4841199999999998E-3</v>
      </c>
      <c r="G25" s="61">
        <v>8.3844000000000002E-3</v>
      </c>
      <c r="H25" s="61">
        <v>1.7263000000000001E-2</v>
      </c>
      <c r="I25" s="61">
        <v>5.4374800000000004E-4</v>
      </c>
      <c r="J25" s="61">
        <v>1.8286500000000001E-2</v>
      </c>
      <c r="K25" s="61">
        <v>3.41384E-3</v>
      </c>
      <c r="L25" s="61">
        <v>4.0014899999999999E-3</v>
      </c>
      <c r="N25" t="s">
        <v>40</v>
      </c>
      <c r="O25" s="55">
        <f t="shared" si="1"/>
        <v>1.1749687675905113E-3</v>
      </c>
      <c r="P25" s="56">
        <f t="shared" si="2"/>
        <v>8.0714357046624268E-4</v>
      </c>
      <c r="Q25" s="56">
        <f t="shared" si="3"/>
        <v>1.7305713773590697E-3</v>
      </c>
      <c r="R25" s="56">
        <f t="shared" si="4"/>
        <v>7.0990050503552053E-4</v>
      </c>
      <c r="S25" s="56">
        <f t="shared" si="5"/>
        <v>4.4061617538892198E-4</v>
      </c>
      <c r="T25" s="56">
        <f t="shared" si="6"/>
        <v>1.9946934696955375E-4</v>
      </c>
      <c r="U25" s="56">
        <f t="shared" si="7"/>
        <v>9.3575575199650611E-4</v>
      </c>
      <c r="V25" s="56">
        <f t="shared" si="8"/>
        <v>6.7129313926735261E-5</v>
      </c>
      <c r="W25" s="56">
        <f t="shared" si="9"/>
        <v>3.5689659819734679E-4</v>
      </c>
      <c r="X25" s="56">
        <f t="shared" si="10"/>
        <v>1.0765715205736376E-4</v>
      </c>
      <c r="Y25" s="57">
        <f t="shared" si="11"/>
        <v>2.5667159566880859E-4</v>
      </c>
      <c r="AA25" s="7" t="s">
        <v>40</v>
      </c>
      <c r="AB25" s="63">
        <f>O25*'R17'!N$24</f>
        <v>41.708827395941334</v>
      </c>
      <c r="AC25" s="63">
        <f>P25*'R17'!O$24</f>
        <v>47.12037866849176</v>
      </c>
      <c r="AD25" s="63">
        <f>Q25*'R17'!P$24</f>
        <v>87.384432525899243</v>
      </c>
      <c r="AE25" s="63">
        <f>R25*'R17'!Q$24</f>
        <v>11.998464152646926</v>
      </c>
      <c r="AF25" s="63">
        <f>S25*'R17'!R$24</f>
        <v>6.1555756947979408</v>
      </c>
      <c r="AG25" s="63">
        <f>T25*'R17'!S$24</f>
        <v>7.9315718405968063</v>
      </c>
      <c r="AH25" s="63">
        <f>U25*'R17'!T$24</f>
        <v>40.439578563326229</v>
      </c>
      <c r="AI25" s="63">
        <f>V25*'R17'!U$24</f>
        <v>1.2252208175532555</v>
      </c>
      <c r="AJ25" s="63">
        <f>W25*'R17'!V$24</f>
        <v>56.672651164941506</v>
      </c>
      <c r="AK25" s="63">
        <f>X25*'R17'!W$24</f>
        <v>6.0604271043046101</v>
      </c>
      <c r="AL25" s="63">
        <f>Y25*'R17'!X$24</f>
        <v>0.7664937854542262</v>
      </c>
    </row>
    <row r="26" spans="1:38" x14ac:dyDescent="0.3">
      <c r="A26" t="s">
        <v>41</v>
      </c>
      <c r="B26" s="61">
        <v>2.7385300000000001E-2</v>
      </c>
      <c r="C26" s="61">
        <v>5.1764200000000002E-3</v>
      </c>
      <c r="D26" s="61">
        <v>7.6372099999999998E-2</v>
      </c>
      <c r="E26" s="61">
        <v>2.10684E-3</v>
      </c>
      <c r="F26" s="61">
        <v>1.8565400000000001E-3</v>
      </c>
      <c r="G26" s="61">
        <v>4.9126999999999999E-3</v>
      </c>
      <c r="H26" s="61">
        <v>2.30438E-2</v>
      </c>
      <c r="I26" s="61">
        <v>1.0511499999999999E-5</v>
      </c>
      <c r="J26" s="61">
        <v>7.58277E-3</v>
      </c>
      <c r="K26" s="61">
        <v>8.5207200000000007E-3</v>
      </c>
      <c r="L26" s="61">
        <v>1.6057300000000001E-3</v>
      </c>
      <c r="N26" t="s">
        <v>41</v>
      </c>
      <c r="O26" s="55">
        <f t="shared" si="1"/>
        <v>1.4356535442448448E-4</v>
      </c>
      <c r="P26" s="56">
        <f t="shared" si="2"/>
        <v>1.100013195857257E-4</v>
      </c>
      <c r="Q26" s="56">
        <f t="shared" si="3"/>
        <v>5.0523660730826124E-4</v>
      </c>
      <c r="R26" s="56">
        <f t="shared" si="4"/>
        <v>1.6231906050081569E-4</v>
      </c>
      <c r="S26" s="56">
        <f t="shared" si="5"/>
        <v>2.3478570033654103E-4</v>
      </c>
      <c r="T26" s="56">
        <f t="shared" si="6"/>
        <v>1.1687575269039247E-4</v>
      </c>
      <c r="U26" s="56">
        <f t="shared" si="7"/>
        <v>1.2491089844092619E-3</v>
      </c>
      <c r="V26" s="56">
        <f t="shared" si="8"/>
        <v>1.2977147195775939E-6</v>
      </c>
      <c r="W26" s="56">
        <f t="shared" si="9"/>
        <v>1.4799249817695542E-4</v>
      </c>
      <c r="X26" s="56">
        <f t="shared" si="10"/>
        <v>2.6870516740041145E-4</v>
      </c>
      <c r="Y26" s="57">
        <f t="shared" si="11"/>
        <v>1.0299795359060651E-4</v>
      </c>
      <c r="AA26" s="7" t="s">
        <v>41</v>
      </c>
      <c r="AB26" s="63">
        <f>O26*'R17'!N$24</f>
        <v>5.0962568137086226</v>
      </c>
      <c r="AC26" s="63">
        <f>P26*'R17'!O$24</f>
        <v>6.4217866840208648</v>
      </c>
      <c r="AD26" s="63">
        <f>Q26*'R17'!P$24</f>
        <v>25.511697927373344</v>
      </c>
      <c r="AE26" s="63">
        <f>R26*'R17'!Q$24</f>
        <v>2.7434540684161308</v>
      </c>
      <c r="AF26" s="63">
        <f>S26*'R17'!R$24</f>
        <v>3.2800456070457309</v>
      </c>
      <c r="AG26" s="63">
        <f>T26*'R17'!S$24</f>
        <v>4.6473728568889756</v>
      </c>
      <c r="AH26" s="63">
        <f>U26*'R17'!T$24</f>
        <v>53.981437785875976</v>
      </c>
      <c r="AI26" s="63">
        <f>V26*'R17'!U$24</f>
        <v>2.3685436311878007E-2</v>
      </c>
      <c r="AJ26" s="63">
        <f>W26*'R17'!V$24</f>
        <v>23.500160176850873</v>
      </c>
      <c r="AK26" s="63">
        <f>X26*'R17'!W$24</f>
        <v>15.126427259681293</v>
      </c>
      <c r="AL26" s="63">
        <f>Y26*'R17'!X$24</f>
        <v>0.30758094262822466</v>
      </c>
    </row>
    <row r="27" spans="1:38" x14ac:dyDescent="0.3">
      <c r="A27" t="s">
        <v>42</v>
      </c>
      <c r="B27" s="61">
        <v>0.44273699999999999</v>
      </c>
      <c r="C27" s="61">
        <v>0.31370399999999998</v>
      </c>
      <c r="D27" s="61">
        <v>0.157334</v>
      </c>
      <c r="E27" s="61">
        <v>3.04782E-2</v>
      </c>
      <c r="F27" s="61">
        <v>7.6224600000000003E-2</v>
      </c>
      <c r="G27" s="61">
        <v>3.2395199999999999E-2</v>
      </c>
      <c r="H27" s="61">
        <v>0.111247</v>
      </c>
      <c r="I27" s="61">
        <v>0.122797</v>
      </c>
      <c r="J27" s="61">
        <v>0.232042</v>
      </c>
      <c r="K27" s="61">
        <v>2.77174E-2</v>
      </c>
      <c r="L27" s="61">
        <v>9.7178400000000002E-3</v>
      </c>
      <c r="N27" t="s">
        <v>42</v>
      </c>
      <c r="O27" s="55">
        <f t="shared" si="1"/>
        <v>2.3210150818808988E-3</v>
      </c>
      <c r="P27" s="56">
        <f t="shared" si="2"/>
        <v>6.6663551178846566E-3</v>
      </c>
      <c r="Q27" s="56">
        <f t="shared" si="3"/>
        <v>1.0408368550064483E-3</v>
      </c>
      <c r="R27" s="56">
        <f t="shared" si="4"/>
        <v>2.3481578049381825E-3</v>
      </c>
      <c r="S27" s="56">
        <f t="shared" si="5"/>
        <v>9.6396770841849378E-3</v>
      </c>
      <c r="T27" s="56">
        <f t="shared" si="6"/>
        <v>7.7069908269501535E-4</v>
      </c>
      <c r="U27" s="56">
        <f t="shared" si="7"/>
        <v>6.030239248239316E-3</v>
      </c>
      <c r="V27" s="56">
        <f t="shared" si="8"/>
        <v>1.5160107921797063E-2</v>
      </c>
      <c r="W27" s="56">
        <f t="shared" si="9"/>
        <v>4.5287507417443871E-3</v>
      </c>
      <c r="X27" s="56">
        <f t="shared" si="10"/>
        <v>8.7408207368674983E-4</v>
      </c>
      <c r="Y27" s="57">
        <f t="shared" si="11"/>
        <v>6.2334118022391025E-4</v>
      </c>
      <c r="AA27" s="7" t="s">
        <v>42</v>
      </c>
      <c r="AB27" s="63">
        <f>O27*'R17'!N$24</f>
        <v>82.390970810285594</v>
      </c>
      <c r="AC27" s="63">
        <f>P27*'R17'!O$24</f>
        <v>389.17633614043712</v>
      </c>
      <c r="AD27" s="63">
        <f>Q27*'R17'!P$24</f>
        <v>52.556594380740577</v>
      </c>
      <c r="AE27" s="63">
        <f>R27*'R17'!Q$24</f>
        <v>39.68765629473549</v>
      </c>
      <c r="AF27" s="63">
        <f>S27*'R17'!R$24</f>
        <v>134.66995829813416</v>
      </c>
      <c r="AG27" s="63">
        <f>T27*'R17'!S$24</f>
        <v>30.645586576320504</v>
      </c>
      <c r="AH27" s="63">
        <f>U27*'R17'!T$24</f>
        <v>260.60254859725154</v>
      </c>
      <c r="AI27" s="63">
        <f>V27*'R17'!U$24</f>
        <v>276.69700069349608</v>
      </c>
      <c r="AJ27" s="63">
        <f>W27*'R17'!V$24</f>
        <v>719.13353138191314</v>
      </c>
      <c r="AK27" s="63">
        <f>X27*'R17'!W$24</f>
        <v>49.205376415078796</v>
      </c>
      <c r="AL27" s="63">
        <f>Y27*'R17'!X$24</f>
        <v>1.861472593468557</v>
      </c>
    </row>
    <row r="28" spans="1:38" x14ac:dyDescent="0.3">
      <c r="A28" t="s">
        <v>43</v>
      </c>
      <c r="B28" s="61">
        <v>9.9560200000000001E-2</v>
      </c>
      <c r="C28" s="61">
        <v>8.4804000000000004E-2</v>
      </c>
      <c r="D28" s="61">
        <v>0.38017299999999998</v>
      </c>
      <c r="E28" s="61">
        <v>2.0003900000000002E-2</v>
      </c>
      <c r="F28" s="61">
        <v>8.8353000000000001E-2</v>
      </c>
      <c r="G28" s="61">
        <v>3.49856E-3</v>
      </c>
      <c r="H28" s="61">
        <v>3.0431E-2</v>
      </c>
      <c r="I28" s="61">
        <v>3.9031599999999998E-4</v>
      </c>
      <c r="J28" s="61">
        <v>8.5900899999999999E-3</v>
      </c>
      <c r="K28" s="61">
        <v>7.8072299999999997E-2</v>
      </c>
      <c r="L28" s="61">
        <v>3.99228E-3</v>
      </c>
      <c r="N28" t="s">
        <v>43</v>
      </c>
      <c r="O28" s="55">
        <f t="shared" si="1"/>
        <v>5.2193678358727349E-4</v>
      </c>
      <c r="P28" s="56">
        <f t="shared" si="2"/>
        <v>1.8021242299017242E-3</v>
      </c>
      <c r="Q28" s="56">
        <f t="shared" si="3"/>
        <v>2.5150194470258589E-3</v>
      </c>
      <c r="R28" s="56">
        <f t="shared" si="4"/>
        <v>1.5411774289230634E-3</v>
      </c>
      <c r="S28" s="56">
        <f t="shared" si="5"/>
        <v>1.1173484536737376E-2</v>
      </c>
      <c r="T28" s="56">
        <f t="shared" si="6"/>
        <v>8.3232608002218632E-5</v>
      </c>
      <c r="U28" s="56">
        <f t="shared" si="7"/>
        <v>1.6495385094714521E-3</v>
      </c>
      <c r="V28" s="56">
        <f t="shared" si="8"/>
        <v>4.8187111115126118E-5</v>
      </c>
      <c r="W28" s="56">
        <f t="shared" si="9"/>
        <v>1.6765230630295827E-4</v>
      </c>
      <c r="X28" s="56">
        <f t="shared" si="10"/>
        <v>2.4620490335130292E-3</v>
      </c>
      <c r="Y28" s="57">
        <f t="shared" si="11"/>
        <v>2.5608082938022363E-4</v>
      </c>
      <c r="AA28" s="7" t="s">
        <v>43</v>
      </c>
      <c r="AB28" s="63">
        <f>O28*'R17'!N$24</f>
        <v>18.52761691944924</v>
      </c>
      <c r="AC28" s="63">
        <f>P28*'R17'!O$24</f>
        <v>105.20653230450881</v>
      </c>
      <c r="AD28" s="63">
        <f>Q28*'R17'!P$24</f>
        <v>126.9947891460796</v>
      </c>
      <c r="AE28" s="63">
        <f>R28*'R17'!Q$24</f>
        <v>26.048385657757322</v>
      </c>
      <c r="AF28" s="63">
        <f>S28*'R17'!R$24</f>
        <v>156.09783226825783</v>
      </c>
      <c r="AG28" s="63">
        <f>T28*'R17'!S$24</f>
        <v>3.3096083176659463</v>
      </c>
      <c r="AH28" s="63">
        <f>U28*'R17'!T$24</f>
        <v>71.286382161882671</v>
      </c>
      <c r="AI28" s="63">
        <f>V28*'R17'!U$24</f>
        <v>0.87949434043732833</v>
      </c>
      <c r="AJ28" s="63">
        <f>W28*'R17'!V$24</f>
        <v>26.621998416616208</v>
      </c>
      <c r="AK28" s="63">
        <f>X28*'R17'!W$24</f>
        <v>138.59802539527359</v>
      </c>
      <c r="AL28" s="63">
        <f>Y28*'R17'!X$24</f>
        <v>0.76472959067577273</v>
      </c>
    </row>
    <row r="29" spans="1:38" ht="15" thickBot="1" x14ac:dyDescent="0.35">
      <c r="A29" t="s">
        <v>44</v>
      </c>
      <c r="B29" s="61">
        <v>55.436</v>
      </c>
      <c r="C29" s="61">
        <v>12.1846</v>
      </c>
      <c r="D29" s="61">
        <v>36.2911</v>
      </c>
      <c r="E29" s="61">
        <v>2.1069300000000002</v>
      </c>
      <c r="F29" s="61">
        <v>1.5139400000000001</v>
      </c>
      <c r="G29" s="61">
        <v>12.4323</v>
      </c>
      <c r="H29" s="61">
        <v>3.1067200000000001</v>
      </c>
      <c r="I29" s="61">
        <v>0.87464600000000003</v>
      </c>
      <c r="J29" s="61">
        <v>19.331600000000002</v>
      </c>
      <c r="K29" s="61">
        <v>8.7136399999999998</v>
      </c>
      <c r="L29" s="61">
        <v>6.7928699999999997</v>
      </c>
      <c r="N29" t="s">
        <v>44</v>
      </c>
      <c r="O29" s="55">
        <f t="shared" si="1"/>
        <v>0.29061901778967991</v>
      </c>
      <c r="P29" s="56">
        <f t="shared" si="2"/>
        <v>0.258928386534368</v>
      </c>
      <c r="Q29" s="56">
        <f t="shared" si="3"/>
        <v>0.24008233686758437</v>
      </c>
      <c r="R29" s="56">
        <f t="shared" si="4"/>
        <v>0.16232599444712634</v>
      </c>
      <c r="S29" s="56">
        <f t="shared" si="5"/>
        <v>0.19145909227245464</v>
      </c>
      <c r="T29" s="56">
        <f t="shared" si="6"/>
        <v>0.29577104650655778</v>
      </c>
      <c r="U29" s="56">
        <f t="shared" si="7"/>
        <v>0.16840242772650094</v>
      </c>
      <c r="V29" s="56">
        <f t="shared" si="8"/>
        <v>0.10798087700325019</v>
      </c>
      <c r="W29" s="56">
        <f t="shared" si="9"/>
        <v>0.37729375647126728</v>
      </c>
      <c r="X29" s="56">
        <f t="shared" si="10"/>
        <v>0.27478899610208068</v>
      </c>
      <c r="Y29" s="57">
        <f t="shared" si="11"/>
        <v>0.43572188911399995</v>
      </c>
      <c r="AA29" s="7" t="s">
        <v>44</v>
      </c>
      <c r="AB29" s="63">
        <f>O29*'R17'!N$24</f>
        <v>10316.340983109594</v>
      </c>
      <c r="AC29" s="63">
        <f>P29*'R17'!O$24</f>
        <v>15116.026526077989</v>
      </c>
      <c r="AD29" s="63">
        <f>Q29*'R17'!P$24</f>
        <v>12122.850892565462</v>
      </c>
      <c r="AE29" s="63">
        <f>R29*'R17'!Q$24</f>
        <v>2743.5712632985892</v>
      </c>
      <c r="AF29" s="63">
        <f>S29*'R17'!R$24</f>
        <v>2674.7563997171155</v>
      </c>
      <c r="AG29" s="63">
        <f>T29*'R17'!S$24</f>
        <v>11760.851175260206</v>
      </c>
      <c r="AH29" s="63">
        <f>U29*'R17'!T$24</f>
        <v>7277.6717554455699</v>
      </c>
      <c r="AI29" s="63">
        <f>V29*'R17'!U$24</f>
        <v>1970.8292944336067</v>
      </c>
      <c r="AJ29" s="63">
        <f>W29*'R17'!V$24</f>
        <v>59911.575384036485</v>
      </c>
      <c r="AK29" s="63">
        <f>X29*'R17'!W$24</f>
        <v>15468.908921669681</v>
      </c>
      <c r="AL29" s="63">
        <f>Y29*'R17'!X$24</f>
        <v>1301.1884673955074</v>
      </c>
    </row>
    <row r="30" spans="1:38" x14ac:dyDescent="0.3">
      <c r="A30" t="s">
        <v>45</v>
      </c>
      <c r="B30" s="61">
        <v>19.385200000000001</v>
      </c>
      <c r="C30" s="61">
        <v>7.3518299999999996</v>
      </c>
      <c r="D30" s="61">
        <v>16.027699999999999</v>
      </c>
      <c r="E30" s="61">
        <v>1.5607500000000001</v>
      </c>
      <c r="F30" s="61">
        <v>0.59164600000000001</v>
      </c>
      <c r="G30" s="61">
        <v>2.9831099999999999</v>
      </c>
      <c r="H30" s="61">
        <v>2.3904100000000001</v>
      </c>
      <c r="I30" s="61">
        <v>0.25218299999999999</v>
      </c>
      <c r="J30" s="61">
        <v>9.5821799999999993</v>
      </c>
      <c r="K30" s="61">
        <v>2.9182299999999999</v>
      </c>
      <c r="L30" s="61">
        <v>2.15089</v>
      </c>
      <c r="N30" t="s">
        <v>45</v>
      </c>
      <c r="O30" s="52">
        <f>B30/SUM(B$30:B$33)</f>
        <v>2.4470954530171132E-2</v>
      </c>
      <c r="P30" s="53">
        <f t="shared" ref="P30:Y33" si="12">C30/SUM(C$30:C$33)</f>
        <v>5.2186247227372924E-2</v>
      </c>
      <c r="Q30" s="53">
        <f t="shared" si="12"/>
        <v>3.6040543447060973E-2</v>
      </c>
      <c r="R30" s="53">
        <f t="shared" si="12"/>
        <v>6.02391314625342E-2</v>
      </c>
      <c r="S30" s="53">
        <f t="shared" si="12"/>
        <v>4.7977458510651709E-2</v>
      </c>
      <c r="T30" s="53">
        <f t="shared" si="12"/>
        <v>4.248877503766698E-2</v>
      </c>
      <c r="U30" s="53">
        <f t="shared" si="12"/>
        <v>4.8976315489746056E-2</v>
      </c>
      <c r="V30" s="53">
        <f t="shared" si="12"/>
        <v>3.8039079085122308E-2</v>
      </c>
      <c r="W30" s="53">
        <f t="shared" si="12"/>
        <v>0.10412802712293981</v>
      </c>
      <c r="X30" s="53">
        <f t="shared" si="12"/>
        <v>4.088411386625624E-2</v>
      </c>
      <c r="Y30" s="54">
        <f t="shared" si="12"/>
        <v>3.5603701564012713E-2</v>
      </c>
      <c r="AA30" s="7" t="s">
        <v>45</v>
      </c>
      <c r="AB30" s="63">
        <f>O30*'R17'!N$25</f>
        <v>3503.8434487738887</v>
      </c>
      <c r="AC30" s="63">
        <f>P30*'R17'!O$25</f>
        <v>9722.3484401190181</v>
      </c>
      <c r="AD30" s="63">
        <f>Q30*'R17'!P$25</f>
        <v>5945.5716199329108</v>
      </c>
      <c r="AE30" s="63">
        <f>R30*'R17'!Q$25</f>
        <v>1893.9582655899351</v>
      </c>
      <c r="AF30" s="63">
        <f>S30*'R17'!R$25</f>
        <v>1629.9755548809092</v>
      </c>
      <c r="AG30" s="63">
        <f>T30*'R17'!S$25</f>
        <v>3610.3300190430668</v>
      </c>
      <c r="AH30" s="63">
        <f>U30*'R17'!T$25</f>
        <v>6960.6572258488786</v>
      </c>
      <c r="AI30" s="63">
        <f>V30*'R17'!U$25</f>
        <v>906.60150365185336</v>
      </c>
      <c r="AJ30" s="63">
        <f>W30*'R17'!V$25</f>
        <v>23661.278142146552</v>
      </c>
      <c r="AK30" s="63">
        <f>X30*'R17'!W$25</f>
        <v>5402.6774827575637</v>
      </c>
      <c r="AL30" s="63">
        <f>Y30*'R17'!X$25</f>
        <v>431.87128955562127</v>
      </c>
    </row>
    <row r="31" spans="1:38" x14ac:dyDescent="0.3">
      <c r="A31" t="s">
        <v>46</v>
      </c>
      <c r="B31" s="61">
        <v>0.68539600000000001</v>
      </c>
      <c r="C31" s="61">
        <v>0.379388</v>
      </c>
      <c r="D31" s="61">
        <v>1.93127</v>
      </c>
      <c r="E31" s="61">
        <v>6.7693100000000006E-2</v>
      </c>
      <c r="F31" s="61">
        <v>6.2010799999999998E-2</v>
      </c>
      <c r="G31" s="61">
        <v>0.31239899999999998</v>
      </c>
      <c r="H31" s="61">
        <v>0.15324299999999999</v>
      </c>
      <c r="I31" s="61">
        <v>8.0850900000000003E-2</v>
      </c>
      <c r="J31" s="61">
        <v>0.35387000000000002</v>
      </c>
      <c r="K31" s="61">
        <v>1.04043</v>
      </c>
      <c r="L31" s="61">
        <v>0.151444</v>
      </c>
      <c r="N31" t="s">
        <v>46</v>
      </c>
      <c r="O31" s="55">
        <f t="shared" ref="O31:O33" si="13">B31/SUM(B$30:B$33)</f>
        <v>8.6521131332981723E-4</v>
      </c>
      <c r="P31" s="56">
        <f t="shared" si="12"/>
        <v>2.6930486644955827E-3</v>
      </c>
      <c r="Q31" s="56">
        <f t="shared" si="12"/>
        <v>4.3427329150786112E-3</v>
      </c>
      <c r="R31" s="56">
        <f t="shared" si="12"/>
        <v>2.6127012974572956E-3</v>
      </c>
      <c r="S31" s="56">
        <f t="shared" si="12"/>
        <v>5.0285484634601113E-3</v>
      </c>
      <c r="T31" s="56">
        <f t="shared" si="12"/>
        <v>4.4495344901770723E-3</v>
      </c>
      <c r="U31" s="56">
        <f t="shared" si="12"/>
        <v>3.1397448615907535E-3</v>
      </c>
      <c r="V31" s="56">
        <f t="shared" si="12"/>
        <v>1.2195484149222254E-2</v>
      </c>
      <c r="W31" s="56">
        <f t="shared" si="12"/>
        <v>3.8454490479196504E-3</v>
      </c>
      <c r="X31" s="56">
        <f t="shared" si="12"/>
        <v>1.4576321465363931E-2</v>
      </c>
      <c r="Y31" s="57">
        <f t="shared" si="12"/>
        <v>2.5068538975309483E-3</v>
      </c>
      <c r="AA31" s="7" t="s">
        <v>46</v>
      </c>
      <c r="AB31" s="63">
        <f>O31*'R17'!N$25</f>
        <v>123.88421498957082</v>
      </c>
      <c r="AC31" s="63">
        <f>P31*'R17'!O$25</f>
        <v>501.71757644013445</v>
      </c>
      <c r="AD31" s="63">
        <f>Q31*'R17'!P$25</f>
        <v>716.41621083672851</v>
      </c>
      <c r="AE31" s="63">
        <f>R31*'R17'!Q$25</f>
        <v>82.145062481759439</v>
      </c>
      <c r="AF31" s="63">
        <f>S31*'R17'!R$25</f>
        <v>170.83879234983266</v>
      </c>
      <c r="AG31" s="63">
        <f>T31*'R17'!S$25</f>
        <v>378.08310374710788</v>
      </c>
      <c r="AH31" s="63">
        <f>U31*'R17'!T$25</f>
        <v>446.22972429865985</v>
      </c>
      <c r="AI31" s="63">
        <f>V31*'R17'!U$25</f>
        <v>290.66014565456686</v>
      </c>
      <c r="AJ31" s="63">
        <f>W31*'R17'!V$25</f>
        <v>873.81123044666253</v>
      </c>
      <c r="AK31" s="63">
        <f>X31*'R17'!W$25</f>
        <v>1926.204491553254</v>
      </c>
      <c r="AL31" s="63">
        <f>Y31*'R17'!X$25</f>
        <v>30.40802438779366</v>
      </c>
    </row>
    <row r="32" spans="1:38" x14ac:dyDescent="0.3">
      <c r="A32" t="s">
        <v>47</v>
      </c>
      <c r="B32" s="61">
        <v>4.4791999999999996</v>
      </c>
      <c r="C32" s="61">
        <v>0.54055299999999995</v>
      </c>
      <c r="D32" s="61">
        <v>1.8870800000000001</v>
      </c>
      <c r="E32" s="61">
        <v>0.13969500000000001</v>
      </c>
      <c r="F32" s="61">
        <v>7.2492699999999993E-2</v>
      </c>
      <c r="G32" s="61">
        <v>0.46085799999999999</v>
      </c>
      <c r="H32" s="61">
        <v>0.31601600000000002</v>
      </c>
      <c r="I32" s="61">
        <v>0.130243</v>
      </c>
      <c r="J32" s="61">
        <v>0.33181300000000002</v>
      </c>
      <c r="K32" s="61">
        <v>0.87183100000000002</v>
      </c>
      <c r="L32" s="61">
        <v>0.47914299999999999</v>
      </c>
      <c r="N32" t="s">
        <v>47</v>
      </c>
      <c r="O32" s="55">
        <f t="shared" si="13"/>
        <v>5.6543290516240493E-3</v>
      </c>
      <c r="P32" s="56">
        <f t="shared" si="12"/>
        <v>3.8370626765714269E-3</v>
      </c>
      <c r="Q32" s="56">
        <f t="shared" si="12"/>
        <v>4.243365469036719E-3</v>
      </c>
      <c r="R32" s="56">
        <f t="shared" si="12"/>
        <v>5.3917062115385016E-3</v>
      </c>
      <c r="S32" s="56">
        <f t="shared" si="12"/>
        <v>5.8785414024182039E-3</v>
      </c>
      <c r="T32" s="56">
        <f t="shared" si="12"/>
        <v>6.5640529133384725E-3</v>
      </c>
      <c r="U32" s="56">
        <f t="shared" si="12"/>
        <v>6.4747467237032926E-3</v>
      </c>
      <c r="V32" s="56">
        <f t="shared" si="12"/>
        <v>1.9645748433810308E-2</v>
      </c>
      <c r="W32" s="56">
        <f t="shared" si="12"/>
        <v>3.6057591345334812E-3</v>
      </c>
      <c r="X32" s="56">
        <f t="shared" si="12"/>
        <v>1.221426613945167E-2</v>
      </c>
      <c r="Y32" s="57">
        <f t="shared" si="12"/>
        <v>7.931258399307143E-3</v>
      </c>
      <c r="AA32" s="7" t="s">
        <v>47</v>
      </c>
      <c r="AB32" s="63">
        <f>O32*'R17'!N$25</f>
        <v>809.60813278934449</v>
      </c>
      <c r="AC32" s="63">
        <f>P32*'R17'!O$25</f>
        <v>714.84849572849953</v>
      </c>
      <c r="AD32" s="63">
        <f>Q32*'R17'!P$25</f>
        <v>700.02366481422769</v>
      </c>
      <c r="AE32" s="63">
        <f>R32*'R17'!Q$25</f>
        <v>169.51882102296076</v>
      </c>
      <c r="AF32" s="63">
        <f>S32*'R17'!R$25</f>
        <v>199.71626429877878</v>
      </c>
      <c r="AG32" s="63">
        <f>T32*'R17'!S$25</f>
        <v>557.75666063810922</v>
      </c>
      <c r="AH32" s="63">
        <f>U32*'R17'!T$25</f>
        <v>920.20994468892741</v>
      </c>
      <c r="AI32" s="63">
        <f>V32*'R17'!U$25</f>
        <v>468.22545389708404</v>
      </c>
      <c r="AJ32" s="63">
        <f>W32*'R17'!V$25</f>
        <v>819.34587788792055</v>
      </c>
      <c r="AK32" s="63">
        <f>X32*'R17'!W$25</f>
        <v>1614.0680181034427</v>
      </c>
      <c r="AL32" s="63">
        <f>Y32*'R17'!X$25</f>
        <v>96.205805639316281</v>
      </c>
    </row>
    <row r="33" spans="1:38" ht="15" thickBot="1" x14ac:dyDescent="0.35">
      <c r="A33" t="s">
        <v>48</v>
      </c>
      <c r="B33" s="61">
        <v>767.62199999999996</v>
      </c>
      <c r="C33" s="61">
        <v>132.60499999999999</v>
      </c>
      <c r="D33" s="61">
        <v>424.86700000000002</v>
      </c>
      <c r="E33" s="61">
        <v>24.141100000000002</v>
      </c>
      <c r="F33" s="61">
        <v>11.605600000000001</v>
      </c>
      <c r="G33" s="61">
        <v>66.453000000000003</v>
      </c>
      <c r="H33" s="61">
        <v>45.947800000000001</v>
      </c>
      <c r="I33" s="61">
        <v>6.1662999999999997</v>
      </c>
      <c r="J33" s="61">
        <v>81.755200000000002</v>
      </c>
      <c r="K33" s="61">
        <v>66.547600000000003</v>
      </c>
      <c r="L33" s="61">
        <v>57.630499999999998</v>
      </c>
      <c r="N33" t="s">
        <v>48</v>
      </c>
      <c r="O33" s="58">
        <f t="shared" si="13"/>
        <v>0.96900950510487494</v>
      </c>
      <c r="P33" s="59">
        <f t="shared" si="12"/>
        <v>0.94128364143156007</v>
      </c>
      <c r="Q33" s="59">
        <f t="shared" si="12"/>
        <v>0.95537335816882374</v>
      </c>
      <c r="R33" s="59">
        <f t="shared" si="12"/>
        <v>0.93175646102846998</v>
      </c>
      <c r="S33" s="59">
        <f t="shared" si="12"/>
        <v>0.94111545162346999</v>
      </c>
      <c r="T33" s="59">
        <f t="shared" si="12"/>
        <v>0.94649763755881755</v>
      </c>
      <c r="U33" s="59">
        <f t="shared" si="12"/>
        <v>0.94140919292495995</v>
      </c>
      <c r="V33" s="59">
        <f t="shared" si="12"/>
        <v>0.93011968833184511</v>
      </c>
      <c r="W33" s="59">
        <f t="shared" si="12"/>
        <v>0.88842076469460696</v>
      </c>
      <c r="X33" s="59">
        <f t="shared" si="12"/>
        <v>0.9323252985289282</v>
      </c>
      <c r="Y33" s="60">
        <f t="shared" si="12"/>
        <v>0.95395818613914918</v>
      </c>
      <c r="AA33" s="7" t="s">
        <v>48</v>
      </c>
      <c r="AB33" s="63">
        <f>O33*'R17'!N$25</f>
        <v>138746.43108323409</v>
      </c>
      <c r="AC33" s="63">
        <f>P33*'R17'!O$25</f>
        <v>175362.05474038195</v>
      </c>
      <c r="AD33" s="63">
        <f>Q33*'R17'!P$25</f>
        <v>157606.96652957294</v>
      </c>
      <c r="AE33" s="63">
        <f>R33*'R17'!Q$25</f>
        <v>29295.041413059866</v>
      </c>
      <c r="AF33" s="63">
        <f>S33*'R17'!R$25</f>
        <v>31973.248022847922</v>
      </c>
      <c r="AG33" s="63">
        <f>T33*'R17'!S$25</f>
        <v>80425.214207812969</v>
      </c>
      <c r="AH33" s="63">
        <f>U33*'R17'!T$25</f>
        <v>133795.82836494956</v>
      </c>
      <c r="AI33" s="63">
        <f>V33*'R17'!U$25</f>
        <v>22167.936982145598</v>
      </c>
      <c r="AJ33" s="63">
        <f>W33*'R17'!V$25</f>
        <v>201878.12447343086</v>
      </c>
      <c r="AK33" s="63">
        <f>X33*'R17'!W$25</f>
        <v>123203.18139816164</v>
      </c>
      <c r="AL33" s="63">
        <f>Y33*'R17'!X$25</f>
        <v>11571.469648719938</v>
      </c>
    </row>
    <row r="34" spans="1:38" x14ac:dyDescent="0.3">
      <c r="B34" s="61">
        <f t="shared" ref="B34:L34" si="14">SUM(B3:B33)</f>
        <v>991.60064929999999</v>
      </c>
      <c r="C34" s="61">
        <f t="shared" si="14"/>
        <v>199.64107011999999</v>
      </c>
      <c r="D34" s="61">
        <f t="shared" si="14"/>
        <v>607.23520780000013</v>
      </c>
      <c r="E34" s="61">
        <f t="shared" si="14"/>
        <v>40.579709800000003</v>
      </c>
      <c r="F34" s="61">
        <f t="shared" si="14"/>
        <v>21.739290560000001</v>
      </c>
      <c r="G34" s="61">
        <f t="shared" si="14"/>
        <v>118.54155309000001</v>
      </c>
      <c r="H34" s="61">
        <f t="shared" si="14"/>
        <v>76.228799100000003</v>
      </c>
      <c r="I34" s="61">
        <f t="shared" si="14"/>
        <v>17.549455200300002</v>
      </c>
      <c r="J34" s="61">
        <f t="shared" si="14"/>
        <v>172.50149255999997</v>
      </c>
      <c r="K34" s="61">
        <f t="shared" si="14"/>
        <v>112.23911552999999</v>
      </c>
      <c r="L34" s="61">
        <f t="shared" si="14"/>
        <v>77.69961839186</v>
      </c>
      <c r="AB34" s="62">
        <f>SUM(AB3:AB33)</f>
        <v>181695.32980715769</v>
      </c>
      <c r="AC34" s="62">
        <f t="shared" ref="AC34:AL34" si="15">SUM(AC3:AC33)</f>
        <v>285293.17666228832</v>
      </c>
      <c r="AD34" s="62">
        <f t="shared" si="15"/>
        <v>225598.22227962775</v>
      </c>
      <c r="AE34" s="62">
        <f t="shared" si="15"/>
        <v>54001.999837082825</v>
      </c>
      <c r="AF34" s="62">
        <f t="shared" si="15"/>
        <v>61956.65219606772</v>
      </c>
      <c r="AG34" s="62">
        <f t="shared" si="15"/>
        <v>150770.8579729686</v>
      </c>
      <c r="AH34" s="62">
        <f t="shared" si="15"/>
        <v>389064.21990996471</v>
      </c>
      <c r="AI34" s="62">
        <f t="shared" si="15"/>
        <v>66421.000920187042</v>
      </c>
      <c r="AJ34" s="62">
        <f t="shared" si="15"/>
        <v>646037.71145525156</v>
      </c>
      <c r="AK34" s="62">
        <f t="shared" si="15"/>
        <v>263333.56015667989</v>
      </c>
      <c r="AL34" s="62">
        <f t="shared" si="15"/>
        <v>15604.232381689373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8D43-7096-4414-9D34-2280A87B15A5}">
  <dimension ref="A1:X25"/>
  <sheetViews>
    <sheetView topLeftCell="F1" workbookViewId="0">
      <selection activeCell="H21" sqref="H21:X21"/>
    </sheetView>
  </sheetViews>
  <sheetFormatPr defaultRowHeight="14.4" x14ac:dyDescent="0.3"/>
  <cols>
    <col min="1" max="1" width="8.77734375" bestFit="1" customWidth="1"/>
    <col min="2" max="2" width="20.33203125" bestFit="1" customWidth="1"/>
    <col min="3" max="3" width="18.77734375" bestFit="1" customWidth="1"/>
    <col min="4" max="4" width="16.44140625" bestFit="1" customWidth="1"/>
    <col min="5" max="5" width="16.21875" bestFit="1" customWidth="1"/>
    <col min="8" max="8" width="25.6640625" bestFit="1" customWidth="1"/>
    <col min="9" max="9" width="24" bestFit="1" customWidth="1"/>
    <col min="10" max="10" width="21.77734375" bestFit="1" customWidth="1"/>
    <col min="11" max="11" width="21.5546875" bestFit="1" customWidth="1"/>
    <col min="12" max="12" width="9.33203125" bestFit="1" customWidth="1"/>
    <col min="13" max="13" width="10.21875" bestFit="1" customWidth="1"/>
    <col min="14" max="16" width="11.21875" bestFit="1" customWidth="1"/>
    <col min="17" max="18" width="10.21875" bestFit="1" customWidth="1"/>
    <col min="19" max="20" width="11.21875" bestFit="1" customWidth="1"/>
    <col min="21" max="21" width="10.21875" bestFit="1" customWidth="1"/>
    <col min="22" max="23" width="11.21875" bestFit="1" customWidth="1"/>
    <col min="24" max="24" width="10.21875" bestFit="1" customWidth="1"/>
  </cols>
  <sheetData>
    <row r="1" spans="1:11" x14ac:dyDescent="0.3">
      <c r="A1" s="41" t="s">
        <v>81</v>
      </c>
      <c r="B1" s="41" t="s">
        <v>82</v>
      </c>
      <c r="C1" s="41" t="s">
        <v>83</v>
      </c>
      <c r="D1" s="41" t="s">
        <v>84</v>
      </c>
      <c r="E1" s="41" t="s">
        <v>85</v>
      </c>
      <c r="G1" s="41" t="s">
        <v>81</v>
      </c>
      <c r="H1" s="41" t="s">
        <v>90</v>
      </c>
      <c r="I1" s="41" t="s">
        <v>91</v>
      </c>
      <c r="J1" s="41" t="s">
        <v>92</v>
      </c>
      <c r="K1" s="41" t="s">
        <v>93</v>
      </c>
    </row>
    <row r="2" spans="1:11" x14ac:dyDescent="0.3">
      <c r="A2" s="41" t="s">
        <v>1</v>
      </c>
      <c r="B2" s="7">
        <v>27729654.115820002</v>
      </c>
      <c r="C2" s="7">
        <v>1426133.522449923</v>
      </c>
      <c r="D2" s="7">
        <v>6815421.0833582385</v>
      </c>
      <c r="E2" s="7">
        <v>19488096.512146462</v>
      </c>
      <c r="G2" s="41" t="s">
        <v>1</v>
      </c>
      <c r="H2" s="42">
        <f>B2/1000</f>
        <v>27729.654115820002</v>
      </c>
      <c r="I2" s="42">
        <f t="shared" ref="I2:K17" si="0">C2/1000</f>
        <v>1426.133522449923</v>
      </c>
      <c r="J2" s="42">
        <f t="shared" si="0"/>
        <v>6815.4210833582383</v>
      </c>
      <c r="K2" s="42">
        <f t="shared" si="0"/>
        <v>19488.096512146461</v>
      </c>
    </row>
    <row r="3" spans="1:11" x14ac:dyDescent="0.3">
      <c r="A3" s="41" t="s">
        <v>2</v>
      </c>
      <c r="B3" s="7">
        <v>743849647.68306005</v>
      </c>
      <c r="C3" s="7">
        <v>182943040.44704449</v>
      </c>
      <c r="D3" s="7">
        <v>230111229.800235</v>
      </c>
      <c r="E3" s="7">
        <v>330795377.43578053</v>
      </c>
      <c r="G3" s="41" t="s">
        <v>2</v>
      </c>
      <c r="H3" s="42">
        <f t="shared" ref="H3:H18" si="1">B3/1000</f>
        <v>743849.64768306003</v>
      </c>
      <c r="I3" s="42">
        <f t="shared" si="0"/>
        <v>182943.04044704448</v>
      </c>
      <c r="J3" s="42">
        <f t="shared" si="0"/>
        <v>230111.22980023501</v>
      </c>
      <c r="K3" s="42">
        <f t="shared" si="0"/>
        <v>330795.37743578054</v>
      </c>
    </row>
    <row r="4" spans="1:11" x14ac:dyDescent="0.3">
      <c r="A4" s="41" t="s">
        <v>3</v>
      </c>
      <c r="B4" s="7">
        <v>67422270.566190004</v>
      </c>
      <c r="C4" s="7">
        <v>2201769.7312775608</v>
      </c>
      <c r="D4" s="7">
        <v>16349851.90922273</v>
      </c>
      <c r="E4" s="7">
        <v>48870648.925689667</v>
      </c>
      <c r="G4" s="41" t="s">
        <v>3</v>
      </c>
      <c r="H4" s="42">
        <f t="shared" si="1"/>
        <v>67422.270566190011</v>
      </c>
      <c r="I4" s="42">
        <f t="shared" si="0"/>
        <v>2201.7697312775608</v>
      </c>
      <c r="J4" s="42">
        <f t="shared" si="0"/>
        <v>16349.851909222729</v>
      </c>
      <c r="K4" s="42">
        <f t="shared" si="0"/>
        <v>48870.648925689668</v>
      </c>
    </row>
    <row r="5" spans="1:11" x14ac:dyDescent="0.3">
      <c r="A5" s="41" t="s">
        <v>4</v>
      </c>
      <c r="B5" s="7">
        <v>70799173.311199993</v>
      </c>
      <c r="C5" s="7">
        <v>4129911.2886182559</v>
      </c>
      <c r="D5" s="7">
        <v>18963269.32693797</v>
      </c>
      <c r="E5" s="7">
        <v>47705992.695643753</v>
      </c>
      <c r="G5" s="41" t="s">
        <v>4</v>
      </c>
      <c r="H5" s="42">
        <f t="shared" si="1"/>
        <v>70799.173311199993</v>
      </c>
      <c r="I5" s="42">
        <f t="shared" si="0"/>
        <v>4129.9112886182556</v>
      </c>
      <c r="J5" s="42">
        <f t="shared" si="0"/>
        <v>18963.269326937971</v>
      </c>
      <c r="K5" s="42">
        <f t="shared" si="0"/>
        <v>47705.992695643756</v>
      </c>
    </row>
    <row r="6" spans="1:11" x14ac:dyDescent="0.3">
      <c r="A6" s="41" t="s">
        <v>5</v>
      </c>
      <c r="B6" s="7">
        <v>1260073.0353099999</v>
      </c>
      <c r="C6" s="7">
        <v>350490.53264950839</v>
      </c>
      <c r="D6" s="7">
        <v>262762.5034193637</v>
      </c>
      <c r="E6" s="7">
        <v>646819.9992411281</v>
      </c>
      <c r="G6" s="41" t="s">
        <v>5</v>
      </c>
      <c r="H6" s="42">
        <f t="shared" si="1"/>
        <v>1260.07303531</v>
      </c>
      <c r="I6" s="42">
        <f t="shared" si="0"/>
        <v>350.4905326495084</v>
      </c>
      <c r="J6" s="42">
        <f t="shared" si="0"/>
        <v>262.76250341936372</v>
      </c>
      <c r="K6" s="42">
        <f t="shared" si="0"/>
        <v>646.81999924112813</v>
      </c>
    </row>
    <row r="7" spans="1:11" x14ac:dyDescent="0.3">
      <c r="A7" s="41" t="s">
        <v>6</v>
      </c>
      <c r="B7" s="7">
        <v>15088295.724579999</v>
      </c>
      <c r="C7" s="7">
        <v>6849611.3371382877</v>
      </c>
      <c r="D7" s="7">
        <v>1899895.2166196839</v>
      </c>
      <c r="E7" s="7">
        <v>6338790.1704974854</v>
      </c>
      <c r="G7" s="41" t="s">
        <v>6</v>
      </c>
      <c r="H7" s="42">
        <f t="shared" si="1"/>
        <v>15088.295724579999</v>
      </c>
      <c r="I7" s="42">
        <f t="shared" si="0"/>
        <v>6849.611337138288</v>
      </c>
      <c r="J7" s="42">
        <f t="shared" si="0"/>
        <v>1899.8952166196839</v>
      </c>
      <c r="K7" s="42">
        <f t="shared" si="0"/>
        <v>6338.7901704974856</v>
      </c>
    </row>
    <row r="8" spans="1:11" x14ac:dyDescent="0.3">
      <c r="A8" s="41" t="s">
        <v>7</v>
      </c>
      <c r="B8" s="7">
        <v>181695330.83017001</v>
      </c>
      <c r="C8" s="7">
        <v>3013744.988368955</v>
      </c>
      <c r="D8" s="7">
        <v>35497817.939001843</v>
      </c>
      <c r="E8" s="7">
        <v>143183766.87978691</v>
      </c>
      <c r="G8" s="41" t="s">
        <v>7</v>
      </c>
      <c r="H8" s="42">
        <f t="shared" si="1"/>
        <v>181695.33083017002</v>
      </c>
      <c r="I8" s="42">
        <f t="shared" si="0"/>
        <v>3013.7449883689551</v>
      </c>
      <c r="J8" s="42">
        <f t="shared" si="0"/>
        <v>35497.817939001841</v>
      </c>
      <c r="K8" s="42">
        <f t="shared" si="0"/>
        <v>143183.76687978691</v>
      </c>
    </row>
    <row r="9" spans="1:11" x14ac:dyDescent="0.3">
      <c r="A9" s="41" t="s">
        <v>8</v>
      </c>
      <c r="B9" s="7">
        <v>285293181.6246323</v>
      </c>
      <c r="C9" s="7">
        <v>40613028.794254273</v>
      </c>
      <c r="D9" s="7">
        <v>58379178.615364417</v>
      </c>
      <c r="E9" s="7">
        <v>186300969.2526696</v>
      </c>
      <c r="G9" s="41" t="s">
        <v>8</v>
      </c>
      <c r="H9" s="42">
        <f t="shared" si="1"/>
        <v>285293.18162463227</v>
      </c>
      <c r="I9" s="42">
        <f t="shared" si="0"/>
        <v>40613.028794254271</v>
      </c>
      <c r="J9" s="42">
        <f t="shared" si="0"/>
        <v>58379.178615364421</v>
      </c>
      <c r="K9" s="42">
        <f t="shared" si="0"/>
        <v>186300.9692526696</v>
      </c>
    </row>
    <row r="10" spans="1:11" x14ac:dyDescent="0.3">
      <c r="A10" s="41" t="s">
        <v>9</v>
      </c>
      <c r="B10" s="7">
        <v>225598219.25845</v>
      </c>
      <c r="C10" s="7">
        <v>10134688.716835851</v>
      </c>
      <c r="D10" s="7">
        <v>50494555.537635118</v>
      </c>
      <c r="E10" s="7">
        <v>164968978.0251568</v>
      </c>
      <c r="G10" s="41" t="s">
        <v>9</v>
      </c>
      <c r="H10" s="42">
        <f t="shared" si="1"/>
        <v>225598.21925845</v>
      </c>
      <c r="I10" s="42">
        <f t="shared" si="0"/>
        <v>10134.688716835852</v>
      </c>
      <c r="J10" s="42">
        <f t="shared" si="0"/>
        <v>50494.555537635119</v>
      </c>
      <c r="K10" s="42">
        <f t="shared" si="0"/>
        <v>164968.9780251568</v>
      </c>
    </row>
    <row r="11" spans="1:11" x14ac:dyDescent="0.3">
      <c r="A11" s="41" t="s">
        <v>10</v>
      </c>
      <c r="B11" s="7">
        <v>54002000.827830002</v>
      </c>
      <c r="C11" s="7">
        <v>5659722.5029440532</v>
      </c>
      <c r="D11" s="7">
        <v>16901613.771984249</v>
      </c>
      <c r="E11" s="7">
        <v>31440663.56215452</v>
      </c>
      <c r="G11" s="41" t="s">
        <v>10</v>
      </c>
      <c r="H11" s="42">
        <f t="shared" si="1"/>
        <v>54002.000827830001</v>
      </c>
      <c r="I11" s="42">
        <f t="shared" si="0"/>
        <v>5659.7225029440533</v>
      </c>
      <c r="J11" s="42">
        <f t="shared" si="0"/>
        <v>16901.613771984248</v>
      </c>
      <c r="K11" s="42">
        <f t="shared" si="0"/>
        <v>31440.663562154521</v>
      </c>
    </row>
    <row r="12" spans="1:11" x14ac:dyDescent="0.3">
      <c r="A12" s="41" t="s">
        <v>86</v>
      </c>
      <c r="B12" s="7">
        <v>61956649.353739999</v>
      </c>
      <c r="C12" s="7">
        <v>14012492.902458791</v>
      </c>
      <c r="D12" s="7">
        <v>13970380.65923148</v>
      </c>
      <c r="E12" s="7">
        <v>33973778.634377442</v>
      </c>
      <c r="G12" s="41" t="s">
        <v>86</v>
      </c>
      <c r="H12" s="42">
        <f t="shared" si="1"/>
        <v>61956.649353740002</v>
      </c>
      <c r="I12" s="42">
        <f t="shared" si="0"/>
        <v>14012.492902458791</v>
      </c>
      <c r="J12" s="42">
        <f t="shared" si="0"/>
        <v>13970.38065923148</v>
      </c>
      <c r="K12" s="42">
        <f t="shared" si="0"/>
        <v>33973.778634377442</v>
      </c>
    </row>
    <row r="13" spans="1:11" x14ac:dyDescent="0.3">
      <c r="A13" s="41" t="s">
        <v>12</v>
      </c>
      <c r="B13" s="7">
        <v>150770860.96713999</v>
      </c>
      <c r="C13" s="7">
        <v>26036112.036157601</v>
      </c>
      <c r="D13" s="7">
        <v>39763361.945569769</v>
      </c>
      <c r="E13" s="7">
        <v>84971383.991241246</v>
      </c>
      <c r="G13" s="41" t="s">
        <v>12</v>
      </c>
      <c r="H13" s="42">
        <f t="shared" si="1"/>
        <v>150770.86096713998</v>
      </c>
      <c r="I13" s="42">
        <f t="shared" si="0"/>
        <v>26036.1120361576</v>
      </c>
      <c r="J13" s="42">
        <f t="shared" si="0"/>
        <v>39763.36194556977</v>
      </c>
      <c r="K13" s="42">
        <f t="shared" si="0"/>
        <v>84971.383991241251</v>
      </c>
    </row>
    <row r="14" spans="1:11" x14ac:dyDescent="0.3">
      <c r="A14" s="41" t="s">
        <v>13</v>
      </c>
      <c r="B14" s="7">
        <v>389064218.88493001</v>
      </c>
      <c r="C14" s="7">
        <v>203725339.54966739</v>
      </c>
      <c r="D14" s="7">
        <v>43215955.100511342</v>
      </c>
      <c r="E14" s="7">
        <v>142122925.25978601</v>
      </c>
      <c r="G14" s="41" t="s">
        <v>13</v>
      </c>
      <c r="H14" s="42">
        <f t="shared" si="1"/>
        <v>389064.21888493001</v>
      </c>
      <c r="I14" s="42">
        <f t="shared" si="0"/>
        <v>203725.33954966738</v>
      </c>
      <c r="J14" s="42">
        <f t="shared" si="0"/>
        <v>43215.955100511339</v>
      </c>
      <c r="K14" s="42">
        <f t="shared" si="0"/>
        <v>142122.92525978602</v>
      </c>
    </row>
    <row r="15" spans="1:11" x14ac:dyDescent="0.3">
      <c r="A15" s="41" t="s">
        <v>87</v>
      </c>
      <c r="B15" s="7">
        <v>66420999.911499999</v>
      </c>
      <c r="C15" s="7">
        <v>24335925.71725826</v>
      </c>
      <c r="D15" s="7">
        <v>18251651.117579691</v>
      </c>
      <c r="E15" s="7">
        <v>23833424.085349102</v>
      </c>
      <c r="G15" s="41" t="s">
        <v>87</v>
      </c>
      <c r="H15" s="42">
        <f t="shared" si="1"/>
        <v>66420.999911499996</v>
      </c>
      <c r="I15" s="42">
        <f t="shared" si="0"/>
        <v>24335.925717258258</v>
      </c>
      <c r="J15" s="42">
        <f t="shared" si="0"/>
        <v>18251.651117579691</v>
      </c>
      <c r="K15" s="42">
        <f t="shared" si="0"/>
        <v>23833.424085349103</v>
      </c>
    </row>
    <row r="16" spans="1:11" x14ac:dyDescent="0.3">
      <c r="A16" s="41" t="s">
        <v>15</v>
      </c>
      <c r="B16" s="7">
        <v>646037657.47425997</v>
      </c>
      <c r="C16" s="7">
        <v>260012236.7772885</v>
      </c>
      <c r="D16" s="7">
        <v>158792914.95405129</v>
      </c>
      <c r="E16" s="7">
        <v>227232559.723912</v>
      </c>
      <c r="G16" s="41" t="s">
        <v>15</v>
      </c>
      <c r="H16" s="42">
        <f t="shared" si="1"/>
        <v>646037.65747425996</v>
      </c>
      <c r="I16" s="42">
        <f t="shared" si="0"/>
        <v>260012.23677728849</v>
      </c>
      <c r="J16" s="42">
        <f t="shared" si="0"/>
        <v>158792.91495405129</v>
      </c>
      <c r="K16" s="42">
        <f t="shared" si="0"/>
        <v>227232.55972391201</v>
      </c>
    </row>
    <row r="17" spans="1:24" x14ac:dyDescent="0.3">
      <c r="A17" s="41" t="s">
        <v>88</v>
      </c>
      <c r="B17" s="7">
        <v>263333550.13022</v>
      </c>
      <c r="C17" s="7">
        <v>74893657.395713374</v>
      </c>
      <c r="D17" s="7">
        <v>56293771.370390587</v>
      </c>
      <c r="E17" s="7">
        <v>132146131.3905759</v>
      </c>
      <c r="G17" s="41" t="s">
        <v>88</v>
      </c>
      <c r="H17" s="42">
        <f t="shared" si="1"/>
        <v>263333.55013022001</v>
      </c>
      <c r="I17" s="42">
        <f t="shared" si="0"/>
        <v>74893.657395713381</v>
      </c>
      <c r="J17" s="42">
        <f t="shared" si="0"/>
        <v>56293.77137039059</v>
      </c>
      <c r="K17" s="42">
        <f t="shared" si="0"/>
        <v>132146.1313905759</v>
      </c>
    </row>
    <row r="18" spans="1:24" x14ac:dyDescent="0.3">
      <c r="A18" s="41" t="s">
        <v>89</v>
      </c>
      <c r="B18" s="7">
        <v>15604231.38256</v>
      </c>
      <c r="C18" s="7">
        <v>487995.53781470709</v>
      </c>
      <c r="D18" s="7">
        <v>2986282.0755719971</v>
      </c>
      <c r="E18" s="7">
        <v>12129954.76830267</v>
      </c>
      <c r="G18" s="41" t="s">
        <v>89</v>
      </c>
      <c r="H18" s="42">
        <f t="shared" si="1"/>
        <v>15604.231382559999</v>
      </c>
      <c r="I18" s="42">
        <f t="shared" ref="I18" si="2">C18/1000</f>
        <v>487.99553781470706</v>
      </c>
      <c r="J18" s="42">
        <f t="shared" ref="J18" si="3">D18/1000</f>
        <v>2986.2820755719972</v>
      </c>
      <c r="K18" s="42">
        <f t="shared" ref="K18" si="4">E18/1000</f>
        <v>12129.95476830267</v>
      </c>
    </row>
    <row r="21" spans="1:24" x14ac:dyDescent="0.3">
      <c r="G21" s="41" t="s">
        <v>81</v>
      </c>
      <c r="H21" s="41" t="s">
        <v>1</v>
      </c>
      <c r="I21" s="41" t="s">
        <v>2</v>
      </c>
      <c r="J21" s="41" t="s">
        <v>3</v>
      </c>
      <c r="K21" s="41" t="s">
        <v>4</v>
      </c>
      <c r="L21" s="41" t="s">
        <v>5</v>
      </c>
      <c r="M21" s="41" t="s">
        <v>6</v>
      </c>
      <c r="N21" s="41" t="s">
        <v>7</v>
      </c>
      <c r="O21" s="41" t="s">
        <v>8</v>
      </c>
      <c r="P21" s="41" t="s">
        <v>9</v>
      </c>
      <c r="Q21" s="41" t="s">
        <v>10</v>
      </c>
      <c r="R21" s="41" t="s">
        <v>86</v>
      </c>
      <c r="S21" s="41" t="s">
        <v>12</v>
      </c>
      <c r="T21" s="41" t="s">
        <v>13</v>
      </c>
      <c r="U21" s="41" t="s">
        <v>87</v>
      </c>
      <c r="V21" s="41" t="s">
        <v>15</v>
      </c>
      <c r="W21" s="41" t="s">
        <v>88</v>
      </c>
      <c r="X21" s="41" t="s">
        <v>89</v>
      </c>
    </row>
    <row r="22" spans="1:24" x14ac:dyDescent="0.3">
      <c r="G22" s="41" t="s">
        <v>90</v>
      </c>
      <c r="H22" s="42">
        <f t="array" ref="H22:X25">TRANSPOSE(H2:K18)</f>
        <v>27729.654115820002</v>
      </c>
      <c r="I22" s="42">
        <v>743849.64768306003</v>
      </c>
      <c r="J22" s="42">
        <v>67422.270566190011</v>
      </c>
      <c r="K22" s="42">
        <v>70799.173311199993</v>
      </c>
      <c r="L22" s="42">
        <v>1260.07303531</v>
      </c>
      <c r="M22" s="42">
        <v>15088.295724579999</v>
      </c>
      <c r="N22" s="42">
        <v>181695.33083017002</v>
      </c>
      <c r="O22" s="42">
        <v>285293.18162463227</v>
      </c>
      <c r="P22" s="42">
        <v>225598.21925845</v>
      </c>
      <c r="Q22" s="42">
        <v>54002.000827830001</v>
      </c>
      <c r="R22" s="42">
        <v>61956.649353740002</v>
      </c>
      <c r="S22" s="42">
        <v>150770.86096713998</v>
      </c>
      <c r="T22" s="42">
        <v>389064.21888493001</v>
      </c>
      <c r="U22" s="42">
        <v>66420.999911499996</v>
      </c>
      <c r="V22" s="42">
        <v>646037.65747425996</v>
      </c>
      <c r="W22" s="42">
        <v>263333.55013022001</v>
      </c>
      <c r="X22" s="42">
        <v>15604.231382559999</v>
      </c>
    </row>
    <row r="23" spans="1:24" x14ac:dyDescent="0.3">
      <c r="G23" s="41" t="s">
        <v>91</v>
      </c>
      <c r="H23" s="42">
        <v>1426.133522449923</v>
      </c>
      <c r="I23" s="42">
        <v>182943.04044704448</v>
      </c>
      <c r="J23" s="42">
        <v>2201.7697312775608</v>
      </c>
      <c r="K23" s="42">
        <v>4129.9112886182556</v>
      </c>
      <c r="L23" s="42">
        <v>350.4905326495084</v>
      </c>
      <c r="M23" s="42">
        <v>6849.611337138288</v>
      </c>
      <c r="N23" s="42">
        <v>3013.7449883689551</v>
      </c>
      <c r="O23" s="42">
        <v>40613.028794254271</v>
      </c>
      <c r="P23" s="42">
        <v>10134.688716835852</v>
      </c>
      <c r="Q23" s="42">
        <v>5659.7225029440533</v>
      </c>
      <c r="R23" s="42">
        <v>14012.492902458791</v>
      </c>
      <c r="S23" s="42">
        <v>26036.1120361576</v>
      </c>
      <c r="T23" s="42">
        <v>203725.33954966738</v>
      </c>
      <c r="U23" s="42">
        <v>24335.925717258258</v>
      </c>
      <c r="V23" s="42">
        <v>260012.23677728849</v>
      </c>
      <c r="W23" s="42">
        <v>74893.657395713381</v>
      </c>
      <c r="X23" s="42">
        <v>487.99553781470706</v>
      </c>
    </row>
    <row r="24" spans="1:24" x14ac:dyDescent="0.3">
      <c r="G24" s="41" t="s">
        <v>92</v>
      </c>
      <c r="H24" s="42">
        <v>6815.4210833582383</v>
      </c>
      <c r="I24" s="42">
        <v>230111.22980023501</v>
      </c>
      <c r="J24" s="42">
        <v>16349.851909222729</v>
      </c>
      <c r="K24" s="42">
        <v>18963.269326937971</v>
      </c>
      <c r="L24" s="42">
        <v>262.76250341936372</v>
      </c>
      <c r="M24" s="42">
        <v>1899.8952166196839</v>
      </c>
      <c r="N24" s="42">
        <v>35497.817939001841</v>
      </c>
      <c r="O24" s="42">
        <v>58379.178615364421</v>
      </c>
      <c r="P24" s="42">
        <v>50494.555537635119</v>
      </c>
      <c r="Q24" s="42">
        <v>16901.613771984248</v>
      </c>
      <c r="R24" s="42">
        <v>13970.38065923148</v>
      </c>
      <c r="S24" s="42">
        <v>39763.36194556977</v>
      </c>
      <c r="T24" s="42">
        <v>43215.955100511339</v>
      </c>
      <c r="U24" s="42">
        <v>18251.651117579691</v>
      </c>
      <c r="V24" s="42">
        <v>158792.91495405129</v>
      </c>
      <c r="W24" s="42">
        <v>56293.77137039059</v>
      </c>
      <c r="X24" s="42">
        <v>2986.2820755719972</v>
      </c>
    </row>
    <row r="25" spans="1:24" x14ac:dyDescent="0.3">
      <c r="G25" s="41" t="s">
        <v>93</v>
      </c>
      <c r="H25" s="42">
        <v>19488.096512146461</v>
      </c>
      <c r="I25" s="42">
        <v>330795.37743578054</v>
      </c>
      <c r="J25" s="42">
        <v>48870.648925689668</v>
      </c>
      <c r="K25" s="42">
        <v>47705.992695643756</v>
      </c>
      <c r="L25" s="42">
        <v>646.81999924112813</v>
      </c>
      <c r="M25" s="42">
        <v>6338.7901704974856</v>
      </c>
      <c r="N25" s="42">
        <v>143183.76687978691</v>
      </c>
      <c r="O25" s="42">
        <v>186300.9692526696</v>
      </c>
      <c r="P25" s="42">
        <v>164968.9780251568</v>
      </c>
      <c r="Q25" s="42">
        <v>31440.663562154521</v>
      </c>
      <c r="R25" s="42">
        <v>33973.778634377442</v>
      </c>
      <c r="S25" s="42">
        <v>84971.383991241251</v>
      </c>
      <c r="T25" s="42">
        <v>142122.92525978602</v>
      </c>
      <c r="U25" s="42">
        <v>23833.424085349103</v>
      </c>
      <c r="V25" s="42">
        <v>227232.55972391201</v>
      </c>
      <c r="W25" s="42">
        <v>132146.1313905759</v>
      </c>
      <c r="X25" s="42">
        <v>12129.95476830267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89C4B-2106-41F2-A399-FE96C4C35A93}">
  <dimension ref="A1:R32"/>
  <sheetViews>
    <sheetView tabSelected="1" workbookViewId="0">
      <selection activeCell="H16" sqref="H16"/>
    </sheetView>
  </sheetViews>
  <sheetFormatPr defaultRowHeight="14.4" x14ac:dyDescent="0.3"/>
  <cols>
    <col min="1" max="1" width="15" bestFit="1" customWidth="1"/>
    <col min="2" max="2" width="12.21875" bestFit="1" customWidth="1"/>
    <col min="3" max="3" width="12.5546875" bestFit="1" customWidth="1"/>
    <col min="4" max="7" width="12.21875" bestFit="1" customWidth="1"/>
    <col min="8" max="10" width="12.5546875" bestFit="1" customWidth="1"/>
    <col min="11" max="13" width="11.5546875" bestFit="1" customWidth="1"/>
    <col min="14" max="14" width="12.5546875" bestFit="1" customWidth="1"/>
    <col min="15" max="15" width="11.5546875" bestFit="1" customWidth="1"/>
    <col min="16" max="17" width="12.5546875" bestFit="1" customWidth="1"/>
    <col min="18" max="18" width="11.5546875" bestFit="1" customWidth="1"/>
  </cols>
  <sheetData>
    <row r="1" spans="1:18" x14ac:dyDescent="0.3"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86</v>
      </c>
      <c r="M1" s="65" t="s">
        <v>12</v>
      </c>
      <c r="N1" s="65" t="s">
        <v>13</v>
      </c>
      <c r="O1" s="65" t="s">
        <v>87</v>
      </c>
      <c r="P1" s="65" t="s">
        <v>15</v>
      </c>
      <c r="Q1" s="65" t="s">
        <v>88</v>
      </c>
      <c r="R1" s="65" t="s">
        <v>89</v>
      </c>
    </row>
    <row r="2" spans="1:18" x14ac:dyDescent="0.3">
      <c r="A2" s="7" t="s">
        <v>18</v>
      </c>
      <c r="B2" s="66">
        <f>Employment_NEA!Z2</f>
        <v>1394.9179999999999</v>
      </c>
      <c r="C2" s="66">
        <f>Employment_NEA!AA2</f>
        <v>182943.04044704448</v>
      </c>
      <c r="D2" s="66">
        <f>Employment_NEA!AB2</f>
        <v>2180.4499999999998</v>
      </c>
      <c r="E2" s="66">
        <f>Employment_NEA!AC2</f>
        <v>4131.2960000000003</v>
      </c>
      <c r="F2" s="66">
        <f>Employment_NEA!AD2</f>
        <v>330.05099999999999</v>
      </c>
      <c r="G2" s="66">
        <f>Employment_NEA!AE2</f>
        <v>6849.611337138288</v>
      </c>
      <c r="H2" s="66">
        <f>Employment_R11!AB3</f>
        <v>3013.7449883689551</v>
      </c>
      <c r="I2" s="66">
        <f>Employment_R11!AC3</f>
        <v>40613.028794254271</v>
      </c>
      <c r="J2" s="66">
        <f>Employment_R11!AD3</f>
        <v>10134.688716835852</v>
      </c>
      <c r="K2" s="66">
        <f>Employment_R11!AE3</f>
        <v>5659.7225029440533</v>
      </c>
      <c r="L2" s="66">
        <f>Employment_R11!AF3</f>
        <v>14012.492902458791</v>
      </c>
      <c r="M2" s="66">
        <f>Employment_R11!AG3</f>
        <v>26036.1120361576</v>
      </c>
      <c r="N2" s="66">
        <f>Employment_R11!AH3</f>
        <v>203725.33954966738</v>
      </c>
      <c r="O2" s="66">
        <f>Employment_R11!AI3</f>
        <v>24335.925717258258</v>
      </c>
      <c r="P2" s="66">
        <f>Employment_R11!AJ3</f>
        <v>260012.23677728849</v>
      </c>
      <c r="Q2" s="66">
        <f>Employment_R11!AK3</f>
        <v>74893.657395713381</v>
      </c>
      <c r="R2" s="66">
        <f>Employment_R11!AL3</f>
        <v>487.99553781470706</v>
      </c>
    </row>
    <row r="3" spans="1:18" x14ac:dyDescent="0.3">
      <c r="A3" s="7" t="s">
        <v>19</v>
      </c>
      <c r="B3" s="66">
        <f>Employment_NEA!Z3</f>
        <v>0.3029869442533869</v>
      </c>
      <c r="C3" s="66">
        <f>Employment_NEA!AA3</f>
        <v>3842.3183315920678</v>
      </c>
      <c r="D3" s="66">
        <f>Employment_NEA!AB3</f>
        <v>0.11028650332494723</v>
      </c>
      <c r="E3" s="66">
        <f>Employment_NEA!AC3</f>
        <v>166.58809437003262</v>
      </c>
      <c r="F3" s="66">
        <f>Employment_NEA!AD3</f>
        <v>27.191600817785535</v>
      </c>
      <c r="G3" s="66">
        <f>Employment_NEA!AE3</f>
        <v>13.399308477760645</v>
      </c>
      <c r="H3" s="66">
        <f>Employment_R11!AB4</f>
        <v>102.54092334959473</v>
      </c>
      <c r="I3" s="66">
        <f>Employment_R11!AC4</f>
        <v>59.399808617589187</v>
      </c>
      <c r="J3" s="66">
        <f>Employment_R11!AD4</f>
        <v>51.574502859013698</v>
      </c>
      <c r="K3" s="66">
        <f>Employment_R11!AE4</f>
        <v>246.91789785039927</v>
      </c>
      <c r="L3" s="66">
        <f>Employment_R11!AF4</f>
        <v>366.63989166155545</v>
      </c>
      <c r="M3" s="66">
        <f>Employment_R11!AG4</f>
        <v>5.6035149310321959</v>
      </c>
      <c r="N3" s="66">
        <f>Employment_R11!AH4</f>
        <v>556.36923516670311</v>
      </c>
      <c r="O3" s="66">
        <f>Employment_R11!AI4</f>
        <v>180.66051618852265</v>
      </c>
      <c r="P3" s="66">
        <f>Employment_R11!AJ4</f>
        <v>1717.7207377805842</v>
      </c>
      <c r="Q3" s="66">
        <f>Employment_R11!AK4</f>
        <v>438.87430807301371</v>
      </c>
      <c r="R3" s="66">
        <f>Employment_R11!AL4</f>
        <v>65.255093832988194</v>
      </c>
    </row>
    <row r="4" spans="1:18" x14ac:dyDescent="0.3">
      <c r="A4" s="7" t="s">
        <v>20</v>
      </c>
      <c r="B4" s="66">
        <f>Employment_NEA!Z4</f>
        <v>0.12803021164921635</v>
      </c>
      <c r="C4" s="66">
        <f>Employment_NEA!AA4</f>
        <v>631.62524982208163</v>
      </c>
      <c r="D4" s="66">
        <f>Employment_NEA!AB4</f>
        <v>0.17236411978258104</v>
      </c>
      <c r="E4" s="66">
        <f>Employment_NEA!AC4</f>
        <v>343.77866577292599</v>
      </c>
      <c r="F4" s="66">
        <f>Employment_NEA!AD4</f>
        <v>0.84783845785409806</v>
      </c>
      <c r="G4" s="66">
        <f>Employment_NEA!AE4</f>
        <v>0.10277343979361128</v>
      </c>
      <c r="H4" s="66">
        <f>Employment_R11!AB5</f>
        <v>266.1227408089697</v>
      </c>
      <c r="I4" s="66">
        <f>Employment_R11!AC5</f>
        <v>993.16360912492166</v>
      </c>
      <c r="J4" s="66">
        <f>Employment_R11!AD5</f>
        <v>75.381537097773275</v>
      </c>
      <c r="K4" s="66">
        <f>Employment_R11!AE5</f>
        <v>60.54665255726016</v>
      </c>
      <c r="L4" s="66">
        <f>Employment_R11!AF5</f>
        <v>1464.5225016840211</v>
      </c>
      <c r="M4" s="66">
        <f>Employment_R11!AG5</f>
        <v>3685.4507741648149</v>
      </c>
      <c r="N4" s="66">
        <f>Employment_R11!AH5</f>
        <v>409.63843041254307</v>
      </c>
      <c r="O4" s="66">
        <f>Employment_R11!AI5</f>
        <v>56.49894211901529</v>
      </c>
      <c r="P4" s="66">
        <f>Employment_R11!AJ5</f>
        <v>489.48633529068934</v>
      </c>
      <c r="Q4" s="66">
        <f>Employment_R11!AK5</f>
        <v>645.60420658125554</v>
      </c>
      <c r="R4" s="66">
        <f>Employment_R11!AL5</f>
        <v>5.4067685381219324</v>
      </c>
    </row>
    <row r="5" spans="1:18" x14ac:dyDescent="0.3">
      <c r="A5" s="7" t="s">
        <v>21</v>
      </c>
      <c r="B5" s="66">
        <f>Employment_NEA!Z5</f>
        <v>7.099402473890018E-2</v>
      </c>
      <c r="C5" s="66">
        <f>Employment_NEA!AA5</f>
        <v>24.856893868046186</v>
      </c>
      <c r="D5" s="66">
        <f>Employment_NEA!AB5</f>
        <v>1.39623688229558</v>
      </c>
      <c r="E5" s="66">
        <f>Employment_NEA!AC5</f>
        <v>561.51598110337534</v>
      </c>
      <c r="F5" s="66">
        <f>Employment_NEA!AD5</f>
        <v>6.5498463947811933E-2</v>
      </c>
      <c r="G5" s="66">
        <f>Employment_NEA!AE5</f>
        <v>0.17442000581366568</v>
      </c>
      <c r="H5" s="66">
        <f>Employment_R11!AB6</f>
        <v>215.22958596264581</v>
      </c>
      <c r="I5" s="66">
        <f>Employment_R11!AC6</f>
        <v>327.33691800234396</v>
      </c>
      <c r="J5" s="66">
        <f>Employment_R11!AD6</f>
        <v>84.887448129671881</v>
      </c>
      <c r="K5" s="66">
        <f>Employment_R11!AE6</f>
        <v>64.9466693108713</v>
      </c>
      <c r="L5" s="66">
        <f>Employment_R11!AF6</f>
        <v>769.78441146620435</v>
      </c>
      <c r="M5" s="66">
        <f>Employment_R11!AG6</f>
        <v>1090.4161196389391</v>
      </c>
      <c r="N5" s="66">
        <f>Employment_R11!AH6</f>
        <v>133.52463409142754</v>
      </c>
      <c r="O5" s="66">
        <f>Employment_R11!AI6</f>
        <v>319.66269537026812</v>
      </c>
      <c r="P5" s="66">
        <f>Employment_R11!AJ6</f>
        <v>587.37306523051802</v>
      </c>
      <c r="Q5" s="66">
        <f>Employment_R11!AK6</f>
        <v>695.81544091507067</v>
      </c>
      <c r="R5" s="66">
        <f>Employment_R11!AL6</f>
        <v>44.234741780530129</v>
      </c>
    </row>
    <row r="6" spans="1:18" x14ac:dyDescent="0.3">
      <c r="A6" s="7" t="s">
        <v>22</v>
      </c>
      <c r="B6" s="66">
        <f>Employment_NEA!Z6</f>
        <v>13.999988819358496</v>
      </c>
      <c r="C6" s="66">
        <f>Employment_NEA!AA6</f>
        <v>4919.3437714450956</v>
      </c>
      <c r="D6" s="66">
        <f>Employment_NEA!AB6</f>
        <v>21.183112494596891</v>
      </c>
      <c r="E6" s="66">
        <f>Employment_NEA!AC6</f>
        <v>528.45125875366602</v>
      </c>
      <c r="F6" s="66">
        <f>Employment_NEA!AD6</f>
        <v>29.81806226041255</v>
      </c>
      <c r="G6" s="66">
        <f>Employment_NEA!AE6</f>
        <v>117.71333684931153</v>
      </c>
      <c r="H6" s="66">
        <f>Employment_R11!AB7</f>
        <v>882.38063560291084</v>
      </c>
      <c r="I6" s="66">
        <f>Employment_R11!AC7</f>
        <v>1924.4940030345081</v>
      </c>
      <c r="J6" s="66">
        <f>Employment_R11!AD7</f>
        <v>416.26316597602715</v>
      </c>
      <c r="K6" s="66">
        <f>Employment_R11!AE7</f>
        <v>273.59015093244045</v>
      </c>
      <c r="L6" s="66">
        <f>Employment_R11!AF7</f>
        <v>738.79911631696541</v>
      </c>
      <c r="M6" s="66">
        <f>Employment_R11!AG7</f>
        <v>888.4251585540967</v>
      </c>
      <c r="N6" s="66">
        <f>Employment_R11!AH7</f>
        <v>2999.5283769571379</v>
      </c>
      <c r="O6" s="66">
        <f>Employment_R11!AI7</f>
        <v>275.05886035208573</v>
      </c>
      <c r="P6" s="66">
        <f>Employment_R11!AJ7</f>
        <v>2211.5644814073635</v>
      </c>
      <c r="Q6" s="66">
        <f>Employment_R11!AK7</f>
        <v>1724.5279569790366</v>
      </c>
      <c r="R6" s="66">
        <f>Employment_R11!AL7</f>
        <v>251.52130702972659</v>
      </c>
    </row>
    <row r="7" spans="1:18" x14ac:dyDescent="0.3">
      <c r="A7" s="7" t="s">
        <v>23</v>
      </c>
      <c r="B7" s="66">
        <f>Employment_NEA!Z7</f>
        <v>247.44940499001945</v>
      </c>
      <c r="C7" s="66">
        <f>Employment_NEA!AA7</f>
        <v>18249.047147816731</v>
      </c>
      <c r="D7" s="66">
        <f>Employment_NEA!AB7</f>
        <v>988.93617348272539</v>
      </c>
      <c r="E7" s="66">
        <f>Employment_NEA!AC7</f>
        <v>1905.3582866061406</v>
      </c>
      <c r="F7" s="66">
        <f>Employment_NEA!AD7</f>
        <v>18.00683872215771</v>
      </c>
      <c r="G7" s="66">
        <f>Employment_NEA!AE7</f>
        <v>281.2762674796893</v>
      </c>
      <c r="H7" s="66">
        <f>Employment_R11!AB8</f>
        <v>2664.8748625104522</v>
      </c>
      <c r="I7" s="66">
        <f>Employment_R11!AC8</f>
        <v>9446.9893303643621</v>
      </c>
      <c r="J7" s="66">
        <f>Employment_R11!AD8</f>
        <v>4470.7211191101705</v>
      </c>
      <c r="K7" s="66">
        <f>Employment_R11!AE8</f>
        <v>1733.5076363553826</v>
      </c>
      <c r="L7" s="66">
        <f>Employment_R11!AF8</f>
        <v>1097.0522366207015</v>
      </c>
      <c r="M7" s="66">
        <f>Employment_R11!AG8</f>
        <v>4382.9587491215489</v>
      </c>
      <c r="N7" s="66">
        <f>Employment_R11!AH8</f>
        <v>16674.936830457198</v>
      </c>
      <c r="O7" s="66">
        <f>Employment_R11!AI8</f>
        <v>683.53490036704522</v>
      </c>
      <c r="P7" s="66">
        <f>Employment_R11!AJ8</f>
        <v>13375.601041000702</v>
      </c>
      <c r="Q7" s="66">
        <f>Employment_R11!AK8</f>
        <v>6893.979040703266</v>
      </c>
      <c r="R7" s="66">
        <f>Employment_R11!AL8</f>
        <v>386.67088639322094</v>
      </c>
    </row>
    <row r="8" spans="1:18" x14ac:dyDescent="0.3">
      <c r="A8" s="7" t="s">
        <v>24</v>
      </c>
      <c r="B8" s="66">
        <f>Employment_NEA!Z8</f>
        <v>139.00760303930852</v>
      </c>
      <c r="C8" s="66">
        <f>Employment_NEA!AA8</f>
        <v>16625.492281122595</v>
      </c>
      <c r="D8" s="66">
        <f>Employment_NEA!AB8</f>
        <v>253.94219382576895</v>
      </c>
      <c r="E8" s="66">
        <f>Employment_NEA!AC8</f>
        <v>289.82478303043928</v>
      </c>
      <c r="F8" s="66">
        <f>Employment_NEA!AD8</f>
        <v>13.012450042523403</v>
      </c>
      <c r="G8" s="66">
        <f>Employment_NEA!AE8</f>
        <v>294.5681426304194</v>
      </c>
      <c r="H8" s="66">
        <f>Employment_R11!AB9</f>
        <v>490.88595381116932</v>
      </c>
      <c r="I8" s="66">
        <f>Employment_R11!AC9</f>
        <v>3750.6964920545092</v>
      </c>
      <c r="J8" s="66">
        <f>Employment_R11!AD9</f>
        <v>1649.2323052411884</v>
      </c>
      <c r="K8" s="66">
        <f>Employment_R11!AE9</f>
        <v>1061.8845996353366</v>
      </c>
      <c r="L8" s="66">
        <f>Employment_R11!AF9</f>
        <v>292.93806862325852</v>
      </c>
      <c r="M8" s="66">
        <f>Employment_R11!AG9</f>
        <v>2150.5794284074177</v>
      </c>
      <c r="N8" s="66">
        <f>Employment_R11!AH9</f>
        <v>2167.1659872057503</v>
      </c>
      <c r="O8" s="66">
        <f>Employment_R11!AI9</f>
        <v>5367.1967053907356</v>
      </c>
      <c r="P8" s="66">
        <f>Employment_R11!AJ9</f>
        <v>17865.405169492984</v>
      </c>
      <c r="Q8" s="66">
        <f>Employment_R11!AK9</f>
        <v>2189.667121931162</v>
      </c>
      <c r="R8" s="66">
        <f>Employment_R11!AL9</f>
        <v>24.96632517256009</v>
      </c>
    </row>
    <row r="9" spans="1:18" x14ac:dyDescent="0.3">
      <c r="A9" s="7" t="s">
        <v>25</v>
      </c>
      <c r="B9" s="66">
        <f>Employment_NEA!Z9</f>
        <v>27.467590605835525</v>
      </c>
      <c r="C9" s="66">
        <f>Employment_NEA!AA9</f>
        <v>2559.6648499981829</v>
      </c>
      <c r="D9" s="66">
        <f>Employment_NEA!AB9</f>
        <v>95.862754510110634</v>
      </c>
      <c r="E9" s="66">
        <f>Employment_NEA!AC9</f>
        <v>289.15560296034369</v>
      </c>
      <c r="F9" s="66">
        <f>Employment_NEA!AD9</f>
        <v>2.3729579470023348</v>
      </c>
      <c r="G9" s="66">
        <f>Employment_NEA!AE9</f>
        <v>22.287128110738792</v>
      </c>
      <c r="H9" s="66">
        <f>Employment_R11!AB10</f>
        <v>393.78736742764431</v>
      </c>
      <c r="I9" s="66">
        <f>Employment_R11!AC10</f>
        <v>1004.4256356833429</v>
      </c>
      <c r="J9" s="66">
        <f>Employment_R11!AD10</f>
        <v>634.85535984937314</v>
      </c>
      <c r="K9" s="66">
        <f>Employment_R11!AE10</f>
        <v>322.76903010782729</v>
      </c>
      <c r="L9" s="66">
        <f>Employment_R11!AF10</f>
        <v>112.5640049416336</v>
      </c>
      <c r="M9" s="66">
        <f>Employment_R11!AG10</f>
        <v>435.80791704507203</v>
      </c>
      <c r="N9" s="66">
        <f>Employment_R11!AH10</f>
        <v>798.86615306732324</v>
      </c>
      <c r="O9" s="66">
        <f>Employment_R11!AI10</f>
        <v>349.45792196513696</v>
      </c>
      <c r="P9" s="66">
        <f>Employment_R11!AJ10</f>
        <v>491.06070473217846</v>
      </c>
      <c r="Q9" s="66">
        <f>Employment_R11!AK10</f>
        <v>820.95297125698244</v>
      </c>
      <c r="R9" s="66">
        <f>Employment_R11!AL10</f>
        <v>67.655624665081334</v>
      </c>
    </row>
    <row r="10" spans="1:18" x14ac:dyDescent="0.3">
      <c r="A10" s="7" t="s">
        <v>26</v>
      </c>
      <c r="B10" s="66">
        <f>Employment_NEA!Z10</f>
        <v>118.96618518262325</v>
      </c>
      <c r="C10" s="66">
        <f>Employment_NEA!AA10</f>
        <v>5808.3936245626001</v>
      </c>
      <c r="D10" s="66">
        <f>Employment_NEA!AB10</f>
        <v>535.93521620877971</v>
      </c>
      <c r="E10" s="66">
        <f>Employment_NEA!AC10</f>
        <v>289.09770951916494</v>
      </c>
      <c r="F10" s="66">
        <f>Employment_NEA!AD10</f>
        <v>3.0786144695781574E-5</v>
      </c>
      <c r="G10" s="66">
        <f>Employment_NEA!AE10</f>
        <v>55.210599904067415</v>
      </c>
      <c r="H10" s="66">
        <f>Employment_R11!AB11</f>
        <v>1172.6398477573837</v>
      </c>
      <c r="I10" s="66">
        <f>Employment_R11!AC11</f>
        <v>1953.8958569048073</v>
      </c>
      <c r="J10" s="66">
        <f>Employment_R11!AD11</f>
        <v>1923.8972483788455</v>
      </c>
      <c r="K10" s="66">
        <f>Employment_R11!AE11</f>
        <v>557.0142546684533</v>
      </c>
      <c r="L10" s="66">
        <f>Employment_R11!AF11</f>
        <v>95.548417213140013</v>
      </c>
      <c r="M10" s="66">
        <f>Employment_R11!AG11</f>
        <v>531.60280885202246</v>
      </c>
      <c r="N10" s="66">
        <f>Employment_R11!AH11</f>
        <v>790.4680826769204</v>
      </c>
      <c r="O10" s="66">
        <f>Employment_R11!AI11</f>
        <v>311.34355624992821</v>
      </c>
      <c r="P10" s="66">
        <f>Employment_R11!AJ11</f>
        <v>2460.1072099489002</v>
      </c>
      <c r="Q10" s="66">
        <f>Employment_R11!AK11</f>
        <v>1547.8211243403141</v>
      </c>
      <c r="R10" s="66">
        <f>Employment_R11!AL11</f>
        <v>54.445809213213572</v>
      </c>
    </row>
    <row r="11" spans="1:18" x14ac:dyDescent="0.3">
      <c r="A11" s="7" t="s">
        <v>27</v>
      </c>
      <c r="B11" s="66">
        <f>Employment_NEA!Z11</f>
        <v>13.817026483695495</v>
      </c>
      <c r="C11" s="66">
        <f>Employment_NEA!AA11</f>
        <v>1079.2528480165688</v>
      </c>
      <c r="D11" s="66">
        <f>Employment_NEA!AB11</f>
        <v>30.63652767229711</v>
      </c>
      <c r="E11" s="66">
        <f>Employment_NEA!AC11</f>
        <v>108.46625672044593</v>
      </c>
      <c r="F11" s="66">
        <f>Employment_NEA!AD11</f>
        <v>0.73963438458236608</v>
      </c>
      <c r="G11" s="66">
        <f>Employment_NEA!AE11</f>
        <v>1.4609492922892096</v>
      </c>
      <c r="H11" s="66">
        <f>Employment_R11!AB12</f>
        <v>91.112294862768309</v>
      </c>
      <c r="I11" s="66">
        <f>Employment_R11!AC12</f>
        <v>304.67267883118382</v>
      </c>
      <c r="J11" s="66">
        <f>Employment_R11!AD12</f>
        <v>87.701775024416435</v>
      </c>
      <c r="K11" s="66">
        <f>Employment_R11!AE12</f>
        <v>48.574023365368383</v>
      </c>
      <c r="L11" s="66">
        <f>Employment_R11!AF12</f>
        <v>212.15510389502268</v>
      </c>
      <c r="M11" s="66">
        <f>Employment_R11!AG12</f>
        <v>896.88326931059407</v>
      </c>
      <c r="N11" s="66">
        <f>Employment_R11!AH12</f>
        <v>138.87269398021127</v>
      </c>
      <c r="O11" s="66">
        <f>Employment_R11!AI12</f>
        <v>189.71287520858058</v>
      </c>
      <c r="P11" s="66">
        <f>Employment_R11!AJ12</f>
        <v>485.30557864390045</v>
      </c>
      <c r="Q11" s="66">
        <f>Employment_R11!AK12</f>
        <v>350.62651926188545</v>
      </c>
      <c r="R11" s="66">
        <f>Employment_R11!AL12</f>
        <v>5.841055443845006</v>
      </c>
    </row>
    <row r="12" spans="1:18" x14ac:dyDescent="0.3">
      <c r="A12" s="7" t="s">
        <v>28</v>
      </c>
      <c r="B12" s="66">
        <f>Employment_NEA!Z12</f>
        <v>548.27616367738767</v>
      </c>
      <c r="C12" s="66">
        <f>Employment_NEA!AA12</f>
        <v>18526.933487867365</v>
      </c>
      <c r="D12" s="66">
        <f>Employment_NEA!AB12</f>
        <v>1214.9771519926269</v>
      </c>
      <c r="E12" s="66">
        <f>Employment_NEA!AC12</f>
        <v>792.99541054591975</v>
      </c>
      <c r="F12" s="66">
        <f>Employment_NEA!AD12</f>
        <v>2.2379747908278288E-3</v>
      </c>
      <c r="G12" s="66">
        <f>Employment_NEA!AE12</f>
        <v>68.637011082195571</v>
      </c>
      <c r="H12" s="66">
        <f>Employment_R11!AB13</f>
        <v>2368.6680665147892</v>
      </c>
      <c r="I12" s="66">
        <f>Employment_R11!AC13</f>
        <v>5118.3789308440209</v>
      </c>
      <c r="J12" s="66">
        <f>Employment_R11!AD13</f>
        <v>5393.5531047981585</v>
      </c>
      <c r="K12" s="66">
        <f>Employment_R11!AE13</f>
        <v>1595.8036494674338</v>
      </c>
      <c r="L12" s="66">
        <f>Employment_R11!AF13</f>
        <v>413.2344400120445</v>
      </c>
      <c r="M12" s="66">
        <f>Employment_R11!AG13</f>
        <v>2237.1660381314082</v>
      </c>
      <c r="N12" s="66">
        <f>Employment_R11!AH13</f>
        <v>1834.9373855382178</v>
      </c>
      <c r="O12" s="66">
        <f>Employment_R11!AI13</f>
        <v>1364.7534207190008</v>
      </c>
      <c r="P12" s="66">
        <f>Employment_R11!AJ13</f>
        <v>8861.2206336284871</v>
      </c>
      <c r="Q12" s="66">
        <f>Employment_R11!AK13</f>
        <v>5074.5052682145624</v>
      </c>
      <c r="R12" s="66">
        <f>Employment_R11!AL13</f>
        <v>144.38832837104979</v>
      </c>
    </row>
    <row r="13" spans="1:18" x14ac:dyDescent="0.3">
      <c r="A13" s="7" t="s">
        <v>29</v>
      </c>
      <c r="B13" s="66">
        <f>Employment_NEA!Z13</f>
        <v>137.11501764620638</v>
      </c>
      <c r="C13" s="66">
        <f>Employment_NEA!AA13</f>
        <v>12635.48795715404</v>
      </c>
      <c r="D13" s="66">
        <f>Employment_NEA!AB13</f>
        <v>364.60416082848849</v>
      </c>
      <c r="E13" s="66">
        <f>Employment_NEA!AC13</f>
        <v>512.33481870442267</v>
      </c>
      <c r="F13" s="66">
        <f>Employment_NEA!AD13</f>
        <v>6.5369598123762023</v>
      </c>
      <c r="G13" s="66">
        <f>Employment_NEA!AE13</f>
        <v>26.31627775029223</v>
      </c>
      <c r="H13" s="66">
        <f>Employment_R11!AB14</f>
        <v>506.61467052760668</v>
      </c>
      <c r="I13" s="66">
        <f>Employment_R11!AC14</f>
        <v>1418.3603177178543</v>
      </c>
      <c r="J13" s="66">
        <f>Employment_R11!AD14</f>
        <v>1298.0744581714775</v>
      </c>
      <c r="K13" s="66">
        <f>Employment_R11!AE14</f>
        <v>504.40416976777334</v>
      </c>
      <c r="L13" s="66">
        <f>Employment_R11!AF14</f>
        <v>232.2112716755085</v>
      </c>
      <c r="M13" s="66">
        <f>Employment_R11!AG14</f>
        <v>1494.9694207256266</v>
      </c>
      <c r="N13" s="66">
        <f>Employment_R11!AH14</f>
        <v>605.86280035733955</v>
      </c>
      <c r="O13" s="66">
        <f>Employment_R11!AI14</f>
        <v>622.07872475270256</v>
      </c>
      <c r="P13" s="66">
        <f>Employment_R11!AJ14</f>
        <v>2337.1421384332257</v>
      </c>
      <c r="Q13" s="66">
        <f>Employment_R11!AK14</f>
        <v>1245.7832588656061</v>
      </c>
      <c r="R13" s="66">
        <f>Employment_R11!AL14</f>
        <v>58.235284273163984</v>
      </c>
    </row>
    <row r="14" spans="1:18" x14ac:dyDescent="0.3">
      <c r="A14" s="7" t="s">
        <v>30</v>
      </c>
      <c r="B14" s="66">
        <f>Employment_NEA!Z14</f>
        <v>166.50316405260969</v>
      </c>
      <c r="C14" s="66">
        <f>Employment_NEA!AA14</f>
        <v>6507.7801631730881</v>
      </c>
      <c r="D14" s="66">
        <f>Employment_NEA!AB14</f>
        <v>432.40064757708774</v>
      </c>
      <c r="E14" s="66">
        <f>Employment_NEA!AC14</f>
        <v>357.44091683067859</v>
      </c>
      <c r="F14" s="66">
        <f>Employment_NEA!AD14</f>
        <v>9.4426918257588935E-2</v>
      </c>
      <c r="G14" s="66">
        <f>Employment_NEA!AE14</f>
        <v>9.7042240570978002</v>
      </c>
      <c r="H14" s="66">
        <f>Employment_R11!AB15</f>
        <v>326.92915570598717</v>
      </c>
      <c r="I14" s="66">
        <f>Employment_R11!AC15</f>
        <v>650.97317228759493</v>
      </c>
      <c r="J14" s="66">
        <f>Employment_R11!AD15</f>
        <v>984.65364484648956</v>
      </c>
      <c r="K14" s="66">
        <f>Employment_R11!AE15</f>
        <v>388.02965148714941</v>
      </c>
      <c r="L14" s="66">
        <f>Employment_R11!AF15</f>
        <v>385.584772485212</v>
      </c>
      <c r="M14" s="66">
        <f>Employment_R11!AG15</f>
        <v>455.81753103919254</v>
      </c>
      <c r="N14" s="66">
        <f>Employment_R11!AH15</f>
        <v>287.26085851155682</v>
      </c>
      <c r="O14" s="66">
        <f>Employment_R11!AI15</f>
        <v>461.05876767266619</v>
      </c>
      <c r="P14" s="66">
        <f>Employment_R11!AJ15</f>
        <v>875.3587069252668</v>
      </c>
      <c r="Q14" s="66">
        <f>Employment_R11!AK15</f>
        <v>926.65681533626241</v>
      </c>
      <c r="R14" s="66">
        <f>Employment_R11!AL15</f>
        <v>48.757861357470389</v>
      </c>
    </row>
    <row r="15" spans="1:18" x14ac:dyDescent="0.3">
      <c r="A15" s="7" t="s">
        <v>31</v>
      </c>
      <c r="B15" s="66">
        <f>Employment_NEA!Z15</f>
        <v>59.937389959926129</v>
      </c>
      <c r="C15" s="66">
        <f>Employment_NEA!AA15</f>
        <v>4481.6924106068745</v>
      </c>
      <c r="D15" s="66">
        <f>Employment_NEA!AB15</f>
        <v>295.68281776881884</v>
      </c>
      <c r="E15" s="66">
        <f>Employment_NEA!AC15</f>
        <v>501.80672615124007</v>
      </c>
      <c r="F15" s="66">
        <f>Employment_NEA!AD15</f>
        <v>46.862850437126255</v>
      </c>
      <c r="G15" s="66">
        <f>Employment_NEA!AE15</f>
        <v>2.1038982112830285</v>
      </c>
      <c r="H15" s="66">
        <f>Employment_R11!AB16</f>
        <v>368.14166876824731</v>
      </c>
      <c r="I15" s="66">
        <f>Employment_R11!AC16</f>
        <v>1155.0896671235271</v>
      </c>
      <c r="J15" s="66">
        <f>Employment_R11!AD16</f>
        <v>861.72852271034139</v>
      </c>
      <c r="K15" s="66">
        <f>Employment_R11!AE16</f>
        <v>227.24738791253301</v>
      </c>
      <c r="L15" s="66">
        <f>Employment_R11!AF16</f>
        <v>584.57934133822982</v>
      </c>
      <c r="M15" s="66">
        <f>Employment_R11!AG16</f>
        <v>1132.0019096910162</v>
      </c>
      <c r="N15" s="66">
        <f>Employment_R11!AH16</f>
        <v>1527.0807571877704</v>
      </c>
      <c r="O15" s="66">
        <f>Employment_R11!AI16</f>
        <v>217.98645644917914</v>
      </c>
      <c r="P15" s="66">
        <f>Employment_R11!AJ16</f>
        <v>876.4186170610725</v>
      </c>
      <c r="Q15" s="66">
        <f>Employment_R11!AK16</f>
        <v>875.76033363811223</v>
      </c>
      <c r="R15" s="66">
        <f>Employment_R11!AL16</f>
        <v>56.644827243251008</v>
      </c>
    </row>
    <row r="16" spans="1:18" x14ac:dyDescent="0.3">
      <c r="A16" s="7" t="s">
        <v>32</v>
      </c>
      <c r="B16" s="66">
        <f>Employment_NEA!Z16</f>
        <v>1955.9209214659002</v>
      </c>
      <c r="C16" s="66">
        <f>Employment_NEA!AA16</f>
        <v>48530.31769818606</v>
      </c>
      <c r="D16" s="66">
        <f>Employment_NEA!AB16</f>
        <v>4359.1122854791201</v>
      </c>
      <c r="E16" s="66">
        <f>Employment_NEA!AC16</f>
        <v>2982.7211719772681</v>
      </c>
      <c r="F16" s="66">
        <f>Employment_NEA!AD16</f>
        <v>1.9273600064356121E-5</v>
      </c>
      <c r="G16" s="66">
        <f>Employment_NEA!AE16</f>
        <v>121.01417917013664</v>
      </c>
      <c r="H16" s="66">
        <f>Employment_R11!AB17</f>
        <v>6741.0168344716194</v>
      </c>
      <c r="I16" s="66">
        <f>Employment_R11!AC17</f>
        <v>6563.2009170451438</v>
      </c>
      <c r="J16" s="66">
        <f>Employment_R11!AD17</f>
        <v>12835.034268185091</v>
      </c>
      <c r="K16" s="66">
        <f>Employment_R11!AE17</f>
        <v>4197.8034947569658</v>
      </c>
      <c r="L16" s="66">
        <f>Employment_R11!AF17</f>
        <v>847.77944166681448</v>
      </c>
      <c r="M16" s="66">
        <f>Employment_R11!AG17</f>
        <v>4191.414373103702</v>
      </c>
      <c r="N16" s="66">
        <f>Employment_R11!AH17</f>
        <v>2155.6851105018832</v>
      </c>
      <c r="O16" s="66">
        <f>Employment_R11!AI17</f>
        <v>2793.2884102192429</v>
      </c>
      <c r="P16" s="66">
        <f>Employment_R11!AJ17</f>
        <v>12938.558563365288</v>
      </c>
      <c r="Q16" s="66">
        <f>Employment_R11!AK17</f>
        <v>11874.236167538169</v>
      </c>
      <c r="R16" s="66">
        <f>Employment_R11!AL17</f>
        <v>240.93039179621002</v>
      </c>
    </row>
    <row r="17" spans="1:18" x14ac:dyDescent="0.3">
      <c r="A17" s="7" t="s">
        <v>33</v>
      </c>
      <c r="B17" s="66">
        <f>Employment_NEA!Z17</f>
        <v>494.0620631182237</v>
      </c>
      <c r="C17" s="66">
        <f>Employment_NEA!AA17</f>
        <v>9779.1460770912054</v>
      </c>
      <c r="D17" s="66">
        <f>Employment_NEA!AB17</f>
        <v>1563.627468409202</v>
      </c>
      <c r="E17" s="66">
        <f>Employment_NEA!AC17</f>
        <v>1588.6454056447121</v>
      </c>
      <c r="F17" s="66">
        <f>Employment_NEA!AD17</f>
        <v>3.8083232720542336E-6</v>
      </c>
      <c r="G17" s="66">
        <f>Employment_NEA!AE17</f>
        <v>104.42306120220971</v>
      </c>
      <c r="H17" s="66">
        <f>Employment_R11!AB18</f>
        <v>2152.8355340050393</v>
      </c>
      <c r="I17" s="66">
        <f>Employment_R11!AC18</f>
        <v>3443.2920460409455</v>
      </c>
      <c r="J17" s="66">
        <f>Employment_R11!AD18</f>
        <v>3655.0840889739366</v>
      </c>
      <c r="K17" s="66">
        <f>Employment_R11!AE18</f>
        <v>1183.3414693185484</v>
      </c>
      <c r="L17" s="66">
        <f>Employment_R11!AF18</f>
        <v>455.36087276027422</v>
      </c>
      <c r="M17" s="66">
        <f>Employment_R11!AG18</f>
        <v>1827.0313866965118</v>
      </c>
      <c r="N17" s="66">
        <f>Employment_R11!AH18</f>
        <v>1613.1252546800683</v>
      </c>
      <c r="O17" s="66">
        <f>Employment_R11!AI18</f>
        <v>386.17975572574926</v>
      </c>
      <c r="P17" s="66">
        <f>Employment_R11!AJ18</f>
        <v>7701.6727467522205</v>
      </c>
      <c r="Q17" s="66">
        <f>Employment_R11!AK18</f>
        <v>2158.5469501778111</v>
      </c>
      <c r="R17" s="66">
        <f>Employment_R11!AL18</f>
        <v>96.548384644236151</v>
      </c>
    </row>
    <row r="18" spans="1:18" x14ac:dyDescent="0.3">
      <c r="A18" s="7" t="s">
        <v>34</v>
      </c>
      <c r="B18" s="66">
        <f>Employment_NEA!Z18</f>
        <v>520.59846977826385</v>
      </c>
      <c r="C18" s="66">
        <f>Employment_NEA!AA18</f>
        <v>5744.073534201304</v>
      </c>
      <c r="D18" s="66">
        <f>Employment_NEA!AB18</f>
        <v>470.97660224497258</v>
      </c>
      <c r="E18" s="66">
        <f>Employment_NEA!AC18</f>
        <v>317.84691130922391</v>
      </c>
      <c r="F18" s="66">
        <f>Employment_NEA!AD18</f>
        <v>2.626589893115276</v>
      </c>
      <c r="G18" s="66">
        <f>Employment_NEA!AE18</f>
        <v>20.597341388808832</v>
      </c>
      <c r="H18" s="66">
        <f>Employment_R11!AB19</f>
        <v>5155.6209953525349</v>
      </c>
      <c r="I18" s="66">
        <f>Employment_R11!AC19</f>
        <v>2935.6572534169904</v>
      </c>
      <c r="J18" s="66">
        <f>Employment_R11!AD19</f>
        <v>2652.5423485531364</v>
      </c>
      <c r="K18" s="66">
        <f>Employment_R11!AE19</f>
        <v>844.29276787196795</v>
      </c>
      <c r="L18" s="66">
        <f>Employment_R11!AF19</f>
        <v>368.10806250595147</v>
      </c>
      <c r="M18" s="66">
        <f>Employment_R11!AG19</f>
        <v>1137.2994625638921</v>
      </c>
      <c r="N18" s="66">
        <f>Employment_R11!AH19</f>
        <v>957.70329750840165</v>
      </c>
      <c r="O18" s="66">
        <f>Employment_R11!AI19</f>
        <v>1343.2457872131381</v>
      </c>
      <c r="P18" s="66">
        <f>Employment_R11!AJ19</f>
        <v>1589.5583876165294</v>
      </c>
      <c r="Q18" s="66">
        <f>Employment_R11!AK19</f>
        <v>1439.3798413081724</v>
      </c>
      <c r="R18" s="66">
        <f>Employment_R11!AL19</f>
        <v>50.459801705630895</v>
      </c>
    </row>
    <row r="19" spans="1:18" x14ac:dyDescent="0.3">
      <c r="A19" s="7" t="s">
        <v>35</v>
      </c>
      <c r="B19" s="66">
        <f>Employment_NEA!Z19</f>
        <v>44.823693385882265</v>
      </c>
      <c r="C19" s="66">
        <f>Employment_NEA!AA19</f>
        <v>4924.4952660964573</v>
      </c>
      <c r="D19" s="66">
        <f>Employment_NEA!AB19</f>
        <v>115.74558566835162</v>
      </c>
      <c r="E19" s="66">
        <f>Employment_NEA!AC19</f>
        <v>621.00906108046115</v>
      </c>
      <c r="F19" s="66">
        <f>Employment_NEA!AD19</f>
        <v>8.1764120522504502</v>
      </c>
      <c r="G19" s="66">
        <f>Employment_NEA!AE19</f>
        <v>33.032771207925478</v>
      </c>
      <c r="H19" s="66">
        <f>Employment_R11!AB20</f>
        <v>506.34297239218313</v>
      </c>
      <c r="I19" s="66">
        <f>Employment_R11!AC20</f>
        <v>1213.5795069725987</v>
      </c>
      <c r="J19" s="66">
        <f>Employment_R11!AD20</f>
        <v>736.93275005661826</v>
      </c>
      <c r="K19" s="66">
        <f>Employment_R11!AE20</f>
        <v>459.60968136166991</v>
      </c>
      <c r="L19" s="66">
        <f>Employment_R11!AF20</f>
        <v>957.18378747713905</v>
      </c>
      <c r="M19" s="66">
        <f>Employment_R11!AG20</f>
        <v>842.37145024869926</v>
      </c>
      <c r="N19" s="66">
        <f>Employment_R11!AH20</f>
        <v>657.57242540552716</v>
      </c>
      <c r="O19" s="66">
        <f>Employment_R11!AI20</f>
        <v>829.17391388385272</v>
      </c>
      <c r="P19" s="66">
        <f>Employment_R11!AJ20</f>
        <v>10702.706024255267</v>
      </c>
      <c r="Q19" s="66">
        <f>Employment_R11!AK20</f>
        <v>1054.5442113967106</v>
      </c>
      <c r="R19" s="66">
        <f>Employment_R11!AL20</f>
        <v>69.232864600562891</v>
      </c>
    </row>
    <row r="20" spans="1:18" x14ac:dyDescent="0.3">
      <c r="A20" s="7" t="s">
        <v>36</v>
      </c>
      <c r="B20" s="66">
        <f>Employment_NEA!Z20</f>
        <v>10.328303810289549</v>
      </c>
      <c r="C20" s="66">
        <f>Employment_NEA!AA20</f>
        <v>407.04461394959236</v>
      </c>
      <c r="D20" s="66">
        <f>Employment_NEA!AB20</f>
        <v>18.381635035812838</v>
      </c>
      <c r="E20" s="66">
        <f>Employment_NEA!AC20</f>
        <v>172.17659457689231</v>
      </c>
      <c r="F20" s="66">
        <f>Employment_NEA!AD20</f>
        <v>3.1089846415063987E-3</v>
      </c>
      <c r="G20" s="66">
        <f>Employment_NEA!AE20</f>
        <v>1.0021227903953758E-2</v>
      </c>
      <c r="H20" s="66">
        <f>Employment_R11!AB21</f>
        <v>262.6520762708538</v>
      </c>
      <c r="I20" s="66">
        <f>Employment_R11!AC21</f>
        <v>58.015688433492443</v>
      </c>
      <c r="J20" s="66">
        <f>Employment_R11!AD21</f>
        <v>164.0383460203588</v>
      </c>
      <c r="K20" s="66">
        <f>Employment_R11!AE21</f>
        <v>49.308444628770772</v>
      </c>
      <c r="L20" s="66">
        <f>Employment_R11!AF21</f>
        <v>544.04651882062012</v>
      </c>
      <c r="M20" s="66">
        <f>Employment_R11!AG21</f>
        <v>18.907722996562246</v>
      </c>
      <c r="N20" s="66">
        <f>Employment_R11!AH21</f>
        <v>339.96138558907234</v>
      </c>
      <c r="O20" s="66">
        <f>Employment_R11!AI21</f>
        <v>2.4763183939521184E-2</v>
      </c>
      <c r="P20" s="66">
        <f>Employment_R11!AJ21</f>
        <v>335.56383001313571</v>
      </c>
      <c r="Q20" s="66">
        <f>Employment_R11!AK21</f>
        <v>16.574411748592915</v>
      </c>
      <c r="R20" s="66">
        <f>Employment_R11!AL21</f>
        <v>1.0174979018322888E-3</v>
      </c>
    </row>
    <row r="21" spans="1:18" x14ac:dyDescent="0.3">
      <c r="A21" s="7" t="s">
        <v>37</v>
      </c>
      <c r="B21" s="66">
        <f>Employment_NEA!Z21</f>
        <v>6.5544071072595029</v>
      </c>
      <c r="C21" s="66">
        <f>Employment_NEA!AA21</f>
        <v>2928.4039309573209</v>
      </c>
      <c r="D21" s="66">
        <f>Employment_NEA!AB21</f>
        <v>52.091249851153435</v>
      </c>
      <c r="E21" s="66">
        <f>Employment_NEA!AC21</f>
        <v>203.6765486995549</v>
      </c>
      <c r="F21" s="66">
        <f>Employment_NEA!AD21</f>
        <v>10.720426774413095</v>
      </c>
      <c r="G21" s="66">
        <f>Employment_NEA!AE21</f>
        <v>2.5140642583530903</v>
      </c>
      <c r="H21" s="66">
        <f>Employment_R11!AB22</f>
        <v>306.60204109481282</v>
      </c>
      <c r="I21" s="66">
        <f>Employment_R11!AC22</f>
        <v>38.815409447000988</v>
      </c>
      <c r="J21" s="66">
        <f>Employment_R11!AD22</f>
        <v>58.575078376302912</v>
      </c>
      <c r="K21" s="66">
        <f>Employment_R11!AE22</f>
        <v>225.36185247032262</v>
      </c>
      <c r="L21" s="66">
        <f>Employment_R11!AF22</f>
        <v>569.89763289426958</v>
      </c>
      <c r="M21" s="66">
        <f>Employment_R11!AG22</f>
        <v>71.82403265213685</v>
      </c>
      <c r="N21" s="66">
        <f>Employment_R11!AH22</f>
        <v>710.50252316596027</v>
      </c>
      <c r="O21" s="66">
        <f>Employment_R11!AI22</f>
        <v>216.38977660609331</v>
      </c>
      <c r="P21" s="66">
        <f>Employment_R11!AJ22</f>
        <v>11750.96334687194</v>
      </c>
      <c r="Q21" s="66">
        <f>Employment_R11!AK22</f>
        <v>408.7305250512282</v>
      </c>
      <c r="R21" s="66">
        <f>Employment_R11!AL22</f>
        <v>7.6265891254818516</v>
      </c>
    </row>
    <row r="22" spans="1:18" x14ac:dyDescent="0.3">
      <c r="A22" s="7" t="s">
        <v>38</v>
      </c>
      <c r="B22" s="66">
        <f>Employment_NEA!Z22</f>
        <v>2.6353713900745919</v>
      </c>
      <c r="C22" s="66">
        <f>Employment_NEA!AA22</f>
        <v>145.29079267287213</v>
      </c>
      <c r="D22" s="66">
        <f>Employment_NEA!AB22</f>
        <v>23.112379734417967</v>
      </c>
      <c r="E22" s="66">
        <f>Employment_NEA!AC22</f>
        <v>441.59181486348336</v>
      </c>
      <c r="F22" s="66">
        <f>Employment_NEA!AD22</f>
        <v>3.1422930170608748E-3</v>
      </c>
      <c r="G22" s="66">
        <f>Employment_NEA!AE22</f>
        <v>0.14026793751121824</v>
      </c>
      <c r="H22" s="66">
        <f>Employment_R11!AB23</f>
        <v>55.044181290678523</v>
      </c>
      <c r="I22" s="66">
        <f>Employment_R11!AC23</f>
        <v>218.70389116662142</v>
      </c>
      <c r="J22" s="66">
        <f>Employment_R11!AD23</f>
        <v>36.589590079031986</v>
      </c>
      <c r="K22" s="66">
        <f>Employment_R11!AE23</f>
        <v>25.088299137355577</v>
      </c>
      <c r="L22" s="66">
        <f>Employment_R11!AF23</f>
        <v>460.03039808125948</v>
      </c>
      <c r="M22" s="66">
        <f>Employment_R11!AG23</f>
        <v>313.7182431569675</v>
      </c>
      <c r="N22" s="66">
        <f>Employment_R11!AH23</f>
        <v>95.104809026178103</v>
      </c>
      <c r="O22" s="66">
        <f>Employment_R11!AI23</f>
        <v>32.504354700065065</v>
      </c>
      <c r="P22" s="66">
        <f>Employment_R11!AJ23</f>
        <v>271.30352391985218</v>
      </c>
      <c r="Q22" s="66">
        <f>Employment_R11!AK23</f>
        <v>203.09418192233974</v>
      </c>
      <c r="R22" s="66">
        <f>Employment_R11!AL23</f>
        <v>1.9458244732340002</v>
      </c>
    </row>
    <row r="23" spans="1:18" x14ac:dyDescent="0.3">
      <c r="A23" s="7" t="s">
        <v>39</v>
      </c>
      <c r="B23" s="66">
        <f>Employment_NEA!Z23</f>
        <v>1.1533027270409142</v>
      </c>
      <c r="C23" s="66">
        <f>Employment_NEA!AA23</f>
        <v>44.662084895404945</v>
      </c>
      <c r="D23" s="66">
        <f>Employment_NEA!AB23</f>
        <v>10.059652830770821</v>
      </c>
      <c r="E23" s="66">
        <f>Employment_NEA!AC23</f>
        <v>30.919041539420785</v>
      </c>
      <c r="F23" s="66">
        <f>Employment_NEA!AD23</f>
        <v>0.19328973461279192</v>
      </c>
      <c r="G23" s="66">
        <f>Employment_NEA!AE23</f>
        <v>3.0340273433710201</v>
      </c>
      <c r="H23" s="66">
        <f>Employment_R11!AB24</f>
        <v>3.7108754649684648</v>
      </c>
      <c r="I23" s="66">
        <f>Employment_R11!AC24</f>
        <v>136.08592237563195</v>
      </c>
      <c r="J23" s="66">
        <f>Employment_R11!AD24</f>
        <v>7.9364686521266936</v>
      </c>
      <c r="K23" s="66">
        <f>Employment_R11!AE24</f>
        <v>7.5227655482752356</v>
      </c>
      <c r="L23" s="66">
        <f>Employment_R11!AF24</f>
        <v>27.400555506303252</v>
      </c>
      <c r="M23" s="66">
        <f>Employment_R11!AG24</f>
        <v>165.72731968683672</v>
      </c>
      <c r="N23" s="66">
        <f>Employment_R11!AH24</f>
        <v>57.806366470241329</v>
      </c>
      <c r="O23" s="66">
        <f>Employment_R11!AI24</f>
        <v>2.1853175213366511</v>
      </c>
      <c r="P23" s="66">
        <f>Employment_R11!AJ24</f>
        <v>131.32038650436476</v>
      </c>
      <c r="Q23" s="66">
        <f>Employment_R11!AK24</f>
        <v>30.191537307020266</v>
      </c>
      <c r="R23" s="66">
        <f>Employment_R11!AL24</f>
        <v>0.62454410678181804</v>
      </c>
    </row>
    <row r="24" spans="1:18" x14ac:dyDescent="0.3">
      <c r="A24" s="7" t="s">
        <v>40</v>
      </c>
      <c r="B24" s="66">
        <f>Employment_NEA!Z24</f>
        <v>0.22940283707906492</v>
      </c>
      <c r="C24" s="66">
        <f>Employment_NEA!AA24</f>
        <v>175.84847770767743</v>
      </c>
      <c r="D24" s="66">
        <f>Employment_NEA!AB24</f>
        <v>3.0257574019040199</v>
      </c>
      <c r="E24" s="66">
        <f>Employment_NEA!AC24</f>
        <v>7.4334704045019448E-2</v>
      </c>
      <c r="F24" s="66">
        <f>Employment_NEA!AD24</f>
        <v>0.2087927534396449</v>
      </c>
      <c r="G24" s="66">
        <f>Employment_NEA!AE24</f>
        <v>9.9884025350496283E-3</v>
      </c>
      <c r="H24" s="66">
        <f>Employment_R11!AB25</f>
        <v>41.708827395941334</v>
      </c>
      <c r="I24" s="66">
        <f>Employment_R11!AC25</f>
        <v>47.12037866849176</v>
      </c>
      <c r="J24" s="66">
        <f>Employment_R11!AD25</f>
        <v>87.384432525899243</v>
      </c>
      <c r="K24" s="66">
        <f>Employment_R11!AE25</f>
        <v>11.998464152646926</v>
      </c>
      <c r="L24" s="66">
        <f>Employment_R11!AF25</f>
        <v>6.1555756947979408</v>
      </c>
      <c r="M24" s="66">
        <f>Employment_R11!AG25</f>
        <v>7.9315718405968063</v>
      </c>
      <c r="N24" s="66">
        <f>Employment_R11!AH25</f>
        <v>40.439578563326229</v>
      </c>
      <c r="O24" s="66">
        <f>Employment_R11!AI25</f>
        <v>1.2252208175532555</v>
      </c>
      <c r="P24" s="66">
        <f>Employment_R11!AJ25</f>
        <v>56.672651164941506</v>
      </c>
      <c r="Q24" s="66">
        <f>Employment_R11!AK25</f>
        <v>6.0604271043046101</v>
      </c>
      <c r="R24" s="66">
        <f>Employment_R11!AL25</f>
        <v>0.7664937854542262</v>
      </c>
    </row>
    <row r="25" spans="1:18" x14ac:dyDescent="0.3">
      <c r="A25" s="7" t="s">
        <v>41</v>
      </c>
      <c r="B25" s="66">
        <f>Employment_NEA!Z25</f>
        <v>0.23738162427920073</v>
      </c>
      <c r="C25" s="66">
        <f>Employment_NEA!AA25</f>
        <v>36.675698206470912</v>
      </c>
      <c r="D25" s="66">
        <f>Employment_NEA!AB25</f>
        <v>7.1273480167260379</v>
      </c>
      <c r="E25" s="66">
        <f>Employment_NEA!AC25</f>
        <v>0.45514071046247634</v>
      </c>
      <c r="F25" s="66">
        <f>Employment_NEA!AD25</f>
        <v>1.2867230993536387E-2</v>
      </c>
      <c r="G25" s="66">
        <f>Employment_NEA!AE25</f>
        <v>9.2024064521292019E-3</v>
      </c>
      <c r="H25" s="66">
        <f>Employment_R11!AB26</f>
        <v>5.0962568137086226</v>
      </c>
      <c r="I25" s="66">
        <f>Employment_R11!AC26</f>
        <v>6.4217866840208648</v>
      </c>
      <c r="J25" s="66">
        <f>Employment_R11!AD26</f>
        <v>25.511697927373344</v>
      </c>
      <c r="K25" s="66">
        <f>Employment_R11!AE26</f>
        <v>2.7434540684161308</v>
      </c>
      <c r="L25" s="66">
        <f>Employment_R11!AF26</f>
        <v>3.2800456070457309</v>
      </c>
      <c r="M25" s="66">
        <f>Employment_R11!AG26</f>
        <v>4.6473728568889756</v>
      </c>
      <c r="N25" s="66">
        <f>Employment_R11!AH26</f>
        <v>53.981437785875976</v>
      </c>
      <c r="O25" s="66">
        <f>Employment_R11!AI26</f>
        <v>2.3685436311878007E-2</v>
      </c>
      <c r="P25" s="66">
        <f>Employment_R11!AJ26</f>
        <v>23.500160176850873</v>
      </c>
      <c r="Q25" s="66">
        <f>Employment_R11!AK26</f>
        <v>15.126427259681293</v>
      </c>
      <c r="R25" s="66">
        <f>Employment_R11!AL26</f>
        <v>0.30758094262822466</v>
      </c>
    </row>
    <row r="26" spans="1:18" x14ac:dyDescent="0.3">
      <c r="A26" s="7" t="s">
        <v>42</v>
      </c>
      <c r="B26" s="66">
        <f>Employment_NEA!Z26</f>
        <v>0.13811320170335639</v>
      </c>
      <c r="C26" s="66">
        <f>Employment_NEA!AA26</f>
        <v>387.43949716212177</v>
      </c>
      <c r="D26" s="66">
        <f>Employment_NEA!AB26</f>
        <v>24.981431491602724</v>
      </c>
      <c r="E26" s="66">
        <f>Employment_NEA!AC26</f>
        <v>125.07428642145159</v>
      </c>
      <c r="F26" s="66">
        <f>Employment_NEA!AD26</f>
        <v>2.6795047901560551E-2</v>
      </c>
      <c r="G26" s="66">
        <f>Employment_NEA!AE26</f>
        <v>14.787215548252842</v>
      </c>
      <c r="H26" s="66">
        <f>Employment_R11!AB27</f>
        <v>82.390970810285594</v>
      </c>
      <c r="I26" s="66">
        <f>Employment_R11!AC27</f>
        <v>389.17633614043712</v>
      </c>
      <c r="J26" s="66">
        <f>Employment_R11!AD27</f>
        <v>52.556594380740577</v>
      </c>
      <c r="K26" s="66">
        <f>Employment_R11!AE27</f>
        <v>39.68765629473549</v>
      </c>
      <c r="L26" s="66">
        <f>Employment_R11!AF27</f>
        <v>134.66995829813416</v>
      </c>
      <c r="M26" s="66">
        <f>Employment_R11!AG27</f>
        <v>30.645586576320504</v>
      </c>
      <c r="N26" s="66">
        <f>Employment_R11!AH27</f>
        <v>260.60254859725154</v>
      </c>
      <c r="O26" s="66">
        <f>Employment_R11!AI27</f>
        <v>276.69700069349608</v>
      </c>
      <c r="P26" s="66">
        <f>Employment_R11!AJ27</f>
        <v>719.13353138191314</v>
      </c>
      <c r="Q26" s="66">
        <f>Employment_R11!AK27</f>
        <v>49.205376415078796</v>
      </c>
      <c r="R26" s="66">
        <f>Employment_R11!AL27</f>
        <v>1.861472593468557</v>
      </c>
    </row>
    <row r="27" spans="1:18" x14ac:dyDescent="0.3">
      <c r="A27" s="7" t="s">
        <v>43</v>
      </c>
      <c r="B27" s="66">
        <f>Employment_NEA!Z27</f>
        <v>1.8160239163915697</v>
      </c>
      <c r="C27" s="66">
        <f>Employment_NEA!AA27</f>
        <v>178.66757182831819</v>
      </c>
      <c r="D27" s="66">
        <f>Employment_NEA!AB27</f>
        <v>23.982959969260513</v>
      </c>
      <c r="E27" s="66">
        <f>Employment_NEA!AC27</f>
        <v>227.24317740422842</v>
      </c>
      <c r="F27" s="66">
        <f>Employment_NEA!AD27</f>
        <v>3.1651287303549906E-3</v>
      </c>
      <c r="G27" s="66">
        <f>Employment_NEA!AE27</f>
        <v>0.35259102535819525</v>
      </c>
      <c r="H27" s="66">
        <f>Employment_R11!AB28</f>
        <v>18.52761691944924</v>
      </c>
      <c r="I27" s="66">
        <f>Employment_R11!AC28</f>
        <v>105.20653230450881</v>
      </c>
      <c r="J27" s="66">
        <f>Employment_R11!AD28</f>
        <v>126.9947891460796</v>
      </c>
      <c r="K27" s="66">
        <f>Employment_R11!AE28</f>
        <v>26.048385657757322</v>
      </c>
      <c r="L27" s="66">
        <f>Employment_R11!AF28</f>
        <v>156.09783226825783</v>
      </c>
      <c r="M27" s="66">
        <f>Employment_R11!AG28</f>
        <v>3.3096083176659463</v>
      </c>
      <c r="N27" s="66">
        <f>Employment_R11!AH28</f>
        <v>71.286382161882671</v>
      </c>
      <c r="O27" s="66">
        <f>Employment_R11!AI28</f>
        <v>0.87949434043732833</v>
      </c>
      <c r="P27" s="66">
        <f>Employment_R11!AJ28</f>
        <v>26.621998416616208</v>
      </c>
      <c r="Q27" s="66">
        <f>Employment_R11!AK28</f>
        <v>138.59802539527359</v>
      </c>
      <c r="R27" s="66">
        <f>Employment_R11!AL28</f>
        <v>0.76472959067577273</v>
      </c>
    </row>
    <row r="28" spans="1:18" x14ac:dyDescent="0.3">
      <c r="A28" s="7" t="s">
        <v>44</v>
      </c>
      <c r="B28" s="66">
        <f>Employment_NEA!Z28</f>
        <v>2019.588</v>
      </c>
      <c r="C28" s="66">
        <f>Employment_NEA!AA28</f>
        <v>60937.275540234892</v>
      </c>
      <c r="D28" s="66">
        <f>Employment_NEA!AB28</f>
        <v>4960.6779999999999</v>
      </c>
      <c r="E28" s="66">
        <f>Employment_NEA!AC28</f>
        <v>4842.88</v>
      </c>
      <c r="F28" s="66">
        <f>Employment_NEA!AD28</f>
        <v>68.847999999999999</v>
      </c>
      <c r="G28" s="66">
        <f>Employment_NEA!AE28</f>
        <v>707.01614821011333</v>
      </c>
      <c r="H28" s="66">
        <f>Employment_R11!AB29</f>
        <v>10316.340983109594</v>
      </c>
      <c r="I28" s="66">
        <f>Employment_R11!AC29</f>
        <v>15116.026526077989</v>
      </c>
      <c r="J28" s="66">
        <f>Employment_R11!AD29</f>
        <v>12122.850892565462</v>
      </c>
      <c r="K28" s="66">
        <f>Employment_R11!AE29</f>
        <v>2743.5712632985892</v>
      </c>
      <c r="L28" s="66">
        <f>Employment_R11!AF29</f>
        <v>2674.7563997171155</v>
      </c>
      <c r="M28" s="66">
        <f>Employment_R11!AG29</f>
        <v>11760.851175260206</v>
      </c>
      <c r="N28" s="66">
        <f>Employment_R11!AH29</f>
        <v>7277.6717554455699</v>
      </c>
      <c r="O28" s="66">
        <f>Employment_R11!AI29</f>
        <v>1970.8292944336067</v>
      </c>
      <c r="P28" s="66">
        <f>Employment_R11!AJ29</f>
        <v>59911.575384036485</v>
      </c>
      <c r="Q28" s="66">
        <f>Employment_R11!AK29</f>
        <v>15468.908921669681</v>
      </c>
      <c r="R28" s="66">
        <f>Employment_R11!AL29</f>
        <v>1301.1884673955074</v>
      </c>
    </row>
    <row r="29" spans="1:18" x14ac:dyDescent="0.3">
      <c r="A29" s="7" t="s">
        <v>45</v>
      </c>
      <c r="B29" s="66">
        <f>Employment_NEA!Z29</f>
        <v>1157.2140168883764</v>
      </c>
      <c r="C29" s="66">
        <f>Employment_NEA!AA29</f>
        <v>20755.461884555596</v>
      </c>
      <c r="D29" s="66">
        <f>Employment_NEA!AB29</f>
        <v>3359.7805227726908</v>
      </c>
      <c r="E29" s="66">
        <f>Employment_NEA!AC29</f>
        <v>5009.3815179380908</v>
      </c>
      <c r="F29" s="66">
        <f>Employment_NEA!AD29</f>
        <v>50.502225411922808</v>
      </c>
      <c r="G29" s="66">
        <f>Employment_NEA!AE29</f>
        <v>305.73094178109932</v>
      </c>
      <c r="H29" s="66">
        <f>Employment_R11!AB30</f>
        <v>3503.8434487738887</v>
      </c>
      <c r="I29" s="66">
        <f>Employment_R11!AC30</f>
        <v>9722.3484401190181</v>
      </c>
      <c r="J29" s="66">
        <f>Employment_R11!AD30</f>
        <v>5945.5716199329108</v>
      </c>
      <c r="K29" s="66">
        <f>Employment_R11!AE30</f>
        <v>1893.9582655899351</v>
      </c>
      <c r="L29" s="66">
        <f>Employment_R11!AF30</f>
        <v>1629.9755548809092</v>
      </c>
      <c r="M29" s="66">
        <f>Employment_R11!AG30</f>
        <v>3610.3300190430668</v>
      </c>
      <c r="N29" s="66">
        <f>Employment_R11!AH30</f>
        <v>6960.6572258488786</v>
      </c>
      <c r="O29" s="66">
        <f>Employment_R11!AI30</f>
        <v>906.60150365185336</v>
      </c>
      <c r="P29" s="66">
        <f>Employment_R11!AJ30</f>
        <v>23661.278142146552</v>
      </c>
      <c r="Q29" s="66">
        <f>Employment_R11!AK30</f>
        <v>5402.6774827575637</v>
      </c>
      <c r="R29" s="66">
        <f>Employment_R11!AL30</f>
        <v>431.87128955562127</v>
      </c>
    </row>
    <row r="30" spans="1:18" x14ac:dyDescent="0.3">
      <c r="A30" s="7" t="s">
        <v>46</v>
      </c>
      <c r="B30" s="66">
        <f>Employment_NEA!Z30</f>
        <v>119.26573580096631</v>
      </c>
      <c r="C30" s="66">
        <f>Employment_NEA!AA30</f>
        <v>1304.3103830509237</v>
      </c>
      <c r="D30" s="66">
        <f>Employment_NEA!AB30</f>
        <v>259.45287892872506</v>
      </c>
      <c r="E30" s="66">
        <f>Employment_NEA!AC30</f>
        <v>420.22632071622843</v>
      </c>
      <c r="F30" s="66">
        <f>Employment_NEA!AD30</f>
        <v>1.1339634508115755</v>
      </c>
      <c r="G30" s="66">
        <f>Employment_NEA!AE30</f>
        <v>41.377161364089901</v>
      </c>
      <c r="H30" s="66">
        <f>Employment_R11!AB31</f>
        <v>123.88421498957082</v>
      </c>
      <c r="I30" s="66">
        <f>Employment_R11!AC31</f>
        <v>501.71757644013445</v>
      </c>
      <c r="J30" s="66">
        <f>Employment_R11!AD31</f>
        <v>716.41621083672851</v>
      </c>
      <c r="K30" s="66">
        <f>Employment_R11!AE31</f>
        <v>82.145062481759439</v>
      </c>
      <c r="L30" s="66">
        <f>Employment_R11!AF31</f>
        <v>170.83879234983266</v>
      </c>
      <c r="M30" s="66">
        <f>Employment_R11!AG31</f>
        <v>378.08310374710788</v>
      </c>
      <c r="N30" s="66">
        <f>Employment_R11!AH31</f>
        <v>446.22972429865985</v>
      </c>
      <c r="O30" s="66">
        <f>Employment_R11!AI31</f>
        <v>290.66014565456686</v>
      </c>
      <c r="P30" s="66">
        <f>Employment_R11!AJ31</f>
        <v>873.81123044666253</v>
      </c>
      <c r="Q30" s="66">
        <f>Employment_R11!AK31</f>
        <v>1926.204491553254</v>
      </c>
      <c r="R30" s="66">
        <f>Employment_R11!AL31</f>
        <v>30.40802438779366</v>
      </c>
    </row>
    <row r="31" spans="1:18" x14ac:dyDescent="0.3">
      <c r="A31" s="7" t="s">
        <v>47</v>
      </c>
      <c r="B31" s="66">
        <f>Employment_NEA!Z31</f>
        <v>154.88024731065721</v>
      </c>
      <c r="C31" s="66">
        <f>Employment_NEA!AA31</f>
        <v>1526.2367149141446</v>
      </c>
      <c r="D31" s="66">
        <f>Employment_NEA!AB31</f>
        <v>103.89759829858373</v>
      </c>
      <c r="E31" s="66">
        <f>Employment_NEA!AC31</f>
        <v>711.40816134568058</v>
      </c>
      <c r="F31" s="66">
        <f>Employment_NEA!AD31</f>
        <v>9.4868111372656152</v>
      </c>
      <c r="G31" s="66">
        <f>Employment_NEA!AE31</f>
        <v>52.332429988930862</v>
      </c>
      <c r="H31" s="66">
        <f>Employment_R11!AB32</f>
        <v>809.60813278934449</v>
      </c>
      <c r="I31" s="66">
        <f>Employment_R11!AC32</f>
        <v>714.84849572849953</v>
      </c>
      <c r="J31" s="66">
        <f>Employment_R11!AD32</f>
        <v>700.02366481422769</v>
      </c>
      <c r="K31" s="66">
        <f>Employment_R11!AE32</f>
        <v>169.51882102296076</v>
      </c>
      <c r="L31" s="66">
        <f>Employment_R11!AF32</f>
        <v>199.71626429877878</v>
      </c>
      <c r="M31" s="66">
        <f>Employment_R11!AG32</f>
        <v>557.75666063810922</v>
      </c>
      <c r="N31" s="66">
        <f>Employment_R11!AH32</f>
        <v>920.20994468892741</v>
      </c>
      <c r="O31" s="66">
        <f>Employment_R11!AI32</f>
        <v>468.22545389708404</v>
      </c>
      <c r="P31" s="66">
        <f>Employment_R11!AJ32</f>
        <v>819.34587788792055</v>
      </c>
      <c r="Q31" s="66">
        <f>Employment_R11!AK32</f>
        <v>1614.0680181034427</v>
      </c>
      <c r="R31" s="66">
        <f>Employment_R11!AL32</f>
        <v>96.205805639316281</v>
      </c>
    </row>
    <row r="32" spans="1:18" x14ac:dyDescent="0.3">
      <c r="A32" s="7" t="s">
        <v>48</v>
      </c>
      <c r="B32" s="66">
        <f>Employment_NEA!Z32</f>
        <v>17873.965</v>
      </c>
      <c r="C32" s="66">
        <f>Employment_NEA!AA32</f>
        <v>307209.36845325987</v>
      </c>
      <c r="D32" s="66">
        <f>Employment_NEA!AB32</f>
        <v>44997.080999999998</v>
      </c>
      <c r="E32" s="66">
        <f>Employment_NEA!AC32</f>
        <v>41628.824000000001</v>
      </c>
      <c r="F32" s="66">
        <f>Employment_NEA!AD32</f>
        <v>575.29200000000003</v>
      </c>
      <c r="G32" s="66">
        <f>Employment_NEA!AE32</f>
        <v>5939.3496373633661</v>
      </c>
      <c r="H32" s="66">
        <f>Employment_R11!AB33</f>
        <v>138746.43108323409</v>
      </c>
      <c r="I32" s="66">
        <f>Employment_R11!AC33</f>
        <v>175362.05474038195</v>
      </c>
      <c r="J32" s="66">
        <f>Employment_R11!AD33</f>
        <v>157606.96652957294</v>
      </c>
      <c r="K32" s="66">
        <f>Employment_R11!AE33</f>
        <v>29295.041413059866</v>
      </c>
      <c r="L32" s="66">
        <f>Employment_R11!AF33</f>
        <v>31973.248022847922</v>
      </c>
      <c r="M32" s="66">
        <f>Employment_R11!AG33</f>
        <v>80425.214207812969</v>
      </c>
      <c r="N32" s="66">
        <f>Employment_R11!AH33</f>
        <v>133795.82836494956</v>
      </c>
      <c r="O32" s="66">
        <f>Employment_R11!AI33</f>
        <v>22167.936982145598</v>
      </c>
      <c r="P32" s="66">
        <f>Employment_R11!AJ33</f>
        <v>201878.12447343086</v>
      </c>
      <c r="Q32" s="66">
        <f>Employment_R11!AK33</f>
        <v>123203.18139816164</v>
      </c>
      <c r="R32" s="66">
        <f>Employment_R11!AL33</f>
        <v>11571.469648719938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LDC, LS</vt:lpstr>
      <vt:lpstr>Employment_NEA</vt:lpstr>
      <vt:lpstr>Employment_R11</vt:lpstr>
      <vt:lpstr>R17</vt:lpstr>
      <vt:lpstr>Employment_2019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김진태</dc:creator>
  <cp:lastModifiedBy>김진태</cp:lastModifiedBy>
  <dcterms:created xsi:type="dcterms:W3CDTF">2024-07-10T09:27:39Z</dcterms:created>
  <dcterms:modified xsi:type="dcterms:W3CDTF">2024-07-11T00:39:58Z</dcterms:modified>
</cp:coreProperties>
</file>