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BAU\Input_CGE\"/>
    </mc:Choice>
  </mc:AlternateContent>
  <xr:revisionPtr revIDLastSave="0" documentId="13_ncr:1_{E4D52C75-F551-44D6-A6E6-F8247467AD4B}" xr6:coauthVersionLast="36" xr6:coauthVersionMax="36" xr10:uidLastSave="{00000000-0000-0000-0000-000000000000}"/>
  <bookViews>
    <workbookView xWindow="0" yWindow="0" windowWidth="23040" windowHeight="9684" tabRatio="907" activeTab="1" xr2:uid="{F15F39B2-9333-4C81-A44C-4FDD4B656403}"/>
  </bookViews>
  <sheets>
    <sheet name="Baseyear" sheetId="12" r:id="rId1"/>
    <sheet name="GDP" sheetId="2" r:id="rId2"/>
    <sheet name="Sheet1" sheetId="33" r:id="rId3"/>
    <sheet name="TOT_POP" sheetId="4" r:id="rId4"/>
    <sheet name="GDP_Projection" sheetId="3" r:id="rId5"/>
    <sheet name="TOT_POP_Projection" sheetId="5" r:id="rId6"/>
    <sheet name="Saving rate" sheetId="19" r:id="rId7"/>
    <sheet name="g_SDR" sheetId="20" r:id="rId8"/>
    <sheet name="AEEI_low" sheetId="22" r:id="rId9"/>
    <sheet name="AEEI_medium" sheetId="32" r:id="rId10"/>
    <sheet name="AEEI_high" sheetId="11" r:id="rId11"/>
    <sheet name="PERMIT_NDC_old" sheetId="30" r:id="rId12"/>
    <sheet name="PERMIT_NZ" sheetId="29" r:id="rId13"/>
    <sheet name="PERMIT_NEA_NZ" sheetId="31" r:id="rId14"/>
  </sheets>
  <definedNames>
    <definedName name="_xlnm._FilterDatabase" localSheetId="4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3" i="2"/>
  <c r="E52" i="33"/>
  <c r="D2" i="11" l="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/>
  <c r="F14" i="1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/>
  <c r="F18" i="1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C2" i="30" l="1"/>
  <c r="D2" i="30"/>
  <c r="E2" i="30"/>
  <c r="F2" i="30"/>
  <c r="G2" i="30"/>
  <c r="H2" i="30"/>
  <c r="I2" i="30"/>
  <c r="J2" i="30"/>
  <c r="K2" i="30"/>
  <c r="L2" i="30"/>
  <c r="M2" i="30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C3" i="30"/>
  <c r="D3" i="30"/>
  <c r="E3" i="30"/>
  <c r="F3" i="30"/>
  <c r="G3" i="30"/>
  <c r="H3" i="30"/>
  <c r="I3" i="30"/>
  <c r="J3" i="30"/>
  <c r="K3" i="30"/>
  <c r="L3" i="30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C4" i="30"/>
  <c r="D4" i="30"/>
  <c r="E4" i="30"/>
  <c r="F4" i="30"/>
  <c r="G4" i="30"/>
  <c r="H4" i="30"/>
  <c r="I4" i="30"/>
  <c r="J4" i="30"/>
  <c r="K4" i="30"/>
  <c r="L4" i="30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C5" i="30"/>
  <c r="D5" i="30"/>
  <c r="E5" i="30"/>
  <c r="F5" i="30"/>
  <c r="G5" i="30"/>
  <c r="H5" i="30"/>
  <c r="I5" i="30"/>
  <c r="J5" i="30"/>
  <c r="K5" i="30"/>
  <c r="L5" i="30"/>
  <c r="M5" i="30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C6" i="30"/>
  <c r="D6" i="30"/>
  <c r="E6" i="30"/>
  <c r="F6" i="30"/>
  <c r="G6" i="30"/>
  <c r="H6" i="30"/>
  <c r="I6" i="30"/>
  <c r="J6" i="30"/>
  <c r="K6" i="30"/>
  <c r="L6" i="30"/>
  <c r="M6" i="30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C7" i="30"/>
  <c r="D7" i="30"/>
  <c r="E7" i="30"/>
  <c r="F7" i="30"/>
  <c r="G7" i="30"/>
  <c r="H7" i="30"/>
  <c r="I7" i="30"/>
  <c r="J7" i="30"/>
  <c r="K7" i="30"/>
  <c r="L7" i="30"/>
  <c r="M7" i="30"/>
  <c r="N7" i="30" s="1"/>
  <c r="O7" i="30" s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C8" i="30"/>
  <c r="D8" i="30"/>
  <c r="E8" i="30"/>
  <c r="F8" i="30"/>
  <c r="G8" i="30"/>
  <c r="H8" i="30"/>
  <c r="I8" i="30"/>
  <c r="J8" i="30"/>
  <c r="K8" i="30"/>
  <c r="L8" i="30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C9" i="30"/>
  <c r="D9" i="30"/>
  <c r="E9" i="30"/>
  <c r="F9" i="30"/>
  <c r="G9" i="30"/>
  <c r="H9" i="30"/>
  <c r="I9" i="30"/>
  <c r="J9" i="30"/>
  <c r="K9" i="30"/>
  <c r="L9" i="30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C10" i="30"/>
  <c r="D10" i="30"/>
  <c r="E10" i="30"/>
  <c r="F10" i="30"/>
  <c r="G10" i="30"/>
  <c r="H10" i="30"/>
  <c r="I10" i="30"/>
  <c r="J10" i="30"/>
  <c r="K10" i="30"/>
  <c r="L10" i="30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C11" i="30"/>
  <c r="D11" i="30"/>
  <c r="E11" i="30"/>
  <c r="F11" i="30"/>
  <c r="G11" i="30"/>
  <c r="H11" i="30"/>
  <c r="I11" i="30"/>
  <c r="J11" i="30"/>
  <c r="K11" i="30"/>
  <c r="L11" i="30"/>
  <c r="C12" i="30"/>
  <c r="D12" i="30"/>
  <c r="E12" i="30"/>
  <c r="F12" i="30"/>
  <c r="G12" i="30"/>
  <c r="H12" i="30"/>
  <c r="I12" i="30"/>
  <c r="J12" i="30"/>
  <c r="K12" i="30"/>
  <c r="L12" i="30"/>
  <c r="M12" i="30"/>
  <c r="N12" i="30" s="1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C13" i="30"/>
  <c r="D13" i="30"/>
  <c r="E13" i="30"/>
  <c r="F13" i="30"/>
  <c r="G13" i="30"/>
  <c r="H13" i="30"/>
  <c r="I13" i="30"/>
  <c r="J13" i="30"/>
  <c r="K13" i="30"/>
  <c r="L13" i="30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C14" i="30"/>
  <c r="D14" i="30"/>
  <c r="E14" i="30"/>
  <c r="F14" i="30"/>
  <c r="G14" i="30"/>
  <c r="H14" i="30"/>
  <c r="I14" i="30"/>
  <c r="J14" i="30"/>
  <c r="K14" i="30"/>
  <c r="L14" i="30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C15" i="30"/>
  <c r="D15" i="30"/>
  <c r="E15" i="30"/>
  <c r="F15" i="30"/>
  <c r="G15" i="30"/>
  <c r="H15" i="30"/>
  <c r="I15" i="30"/>
  <c r="J15" i="30"/>
  <c r="K15" i="30"/>
  <c r="L15" i="30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C16" i="30"/>
  <c r="D16" i="30"/>
  <c r="E16" i="30"/>
  <c r="F16" i="30"/>
  <c r="G16" i="30"/>
  <c r="H16" i="30"/>
  <c r="I16" i="30"/>
  <c r="J16" i="30"/>
  <c r="K16" i="30"/>
  <c r="L16" i="30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C17" i="30"/>
  <c r="D17" i="30"/>
  <c r="E17" i="30"/>
  <c r="F17" i="30"/>
  <c r="G17" i="30"/>
  <c r="H17" i="30"/>
  <c r="I17" i="30"/>
  <c r="J17" i="30"/>
  <c r="K17" i="30"/>
  <c r="L17" i="30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C18" i="30"/>
  <c r="D18" i="30"/>
  <c r="E18" i="30"/>
  <c r="F18" i="30"/>
  <c r="G18" i="30"/>
  <c r="H18" i="30"/>
  <c r="I18" i="30"/>
  <c r="J18" i="30"/>
  <c r="K18" i="30"/>
  <c r="L18" i="30"/>
  <c r="M18" i="30"/>
  <c r="N18" i="30" s="1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C2" i="31" l="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AG2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AA3" i="31"/>
  <c r="AG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AA4" i="31"/>
  <c r="AB4" i="31"/>
  <c r="AG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AG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AG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AA7" i="31"/>
  <c r="AB7" i="31"/>
  <c r="AC7" i="31"/>
  <c r="AD7" i="31"/>
  <c r="AE7" i="31"/>
  <c r="AF7" i="31"/>
  <c r="AG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AC8" i="31"/>
  <c r="AD8" i="31"/>
  <c r="AE8" i="31"/>
  <c r="AF8" i="31"/>
  <c r="AG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G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AG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G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Y12" i="31"/>
  <c r="AG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G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AG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AG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AG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AG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AG18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AF3" i="31"/>
  <c r="AF4" i="31"/>
  <c r="X5" i="31"/>
  <c r="X6" i="31"/>
  <c r="AF9" i="31"/>
  <c r="X10" i="31"/>
  <c r="AF11" i="31"/>
  <c r="AF12" i="31"/>
  <c r="AF13" i="31"/>
  <c r="Z14" i="31"/>
  <c r="AF15" i="31"/>
  <c r="AF16" i="31"/>
  <c r="X18" i="31" l="1"/>
  <c r="Z17" i="31"/>
  <c r="X16" i="31"/>
  <c r="AE16" i="31"/>
  <c r="AD16" i="31"/>
  <c r="AC16" i="31"/>
  <c r="Y16" i="31"/>
  <c r="AB16" i="31"/>
  <c r="AA16" i="31"/>
  <c r="Z16" i="31"/>
  <c r="AE15" i="31"/>
  <c r="AD15" i="31"/>
  <c r="AC15" i="31"/>
  <c r="AB15" i="31"/>
  <c r="AA15" i="31"/>
  <c r="Z15" i="31"/>
  <c r="AE13" i="31"/>
  <c r="AD13" i="31"/>
  <c r="AC13" i="31"/>
  <c r="AB13" i="31"/>
  <c r="AA13" i="31"/>
  <c r="X12" i="31"/>
  <c r="AE12" i="31"/>
  <c r="AD12" i="31"/>
  <c r="AC12" i="31"/>
  <c r="AB12" i="31"/>
  <c r="AA12" i="31"/>
  <c r="Z12" i="31"/>
  <c r="AE11" i="31"/>
  <c r="AD11" i="31"/>
  <c r="AC11" i="31"/>
  <c r="AB11" i="31"/>
  <c r="AE9" i="31"/>
  <c r="AD9" i="31"/>
  <c r="AC9" i="31"/>
  <c r="AB9" i="31"/>
  <c r="AA9" i="31"/>
  <c r="Z7" i="31"/>
  <c r="Y7" i="31"/>
  <c r="X7" i="31"/>
  <c r="Z6" i="31"/>
  <c r="Y6" i="31"/>
  <c r="Y18" i="31"/>
  <c r="Z4" i="31"/>
  <c r="Y4" i="31"/>
  <c r="X4" i="31"/>
  <c r="AE4" i="31"/>
  <c r="AD4" i="31"/>
  <c r="AC4" i="31"/>
  <c r="Y3" i="31"/>
  <c r="X3" i="31"/>
  <c r="Z3" i="31"/>
  <c r="AE3" i="31"/>
  <c r="AD3" i="31"/>
  <c r="AC3" i="31"/>
  <c r="AB3" i="31"/>
  <c r="Y2" i="31"/>
  <c r="AB8" i="31"/>
  <c r="AA8" i="31"/>
  <c r="Z8" i="31"/>
  <c r="Y8" i="31"/>
  <c r="X8" i="31"/>
  <c r="AA17" i="31" l="1"/>
  <c r="AA14" i="31"/>
  <c r="Y10" i="31"/>
  <c r="AA6" i="31"/>
  <c r="Y5" i="31"/>
  <c r="Z18" i="31"/>
  <c r="Z2" i="31"/>
  <c r="AB17" i="31" l="1"/>
  <c r="AB14" i="31"/>
  <c r="Z10" i="31"/>
  <c r="AB6" i="31"/>
  <c r="Z5" i="31"/>
  <c r="AA18" i="31"/>
  <c r="AA2" i="31"/>
  <c r="AC17" i="31" l="1"/>
  <c r="AC14" i="31"/>
  <c r="AA10" i="31"/>
  <c r="AC6" i="31"/>
  <c r="AA5" i="31"/>
  <c r="AB18" i="31"/>
  <c r="AB2" i="31"/>
  <c r="D2" i="22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AD17" i="31" l="1"/>
  <c r="AD14" i="31"/>
  <c r="AB10" i="31"/>
  <c r="AD6" i="31"/>
  <c r="AB5" i="31"/>
  <c r="AC18" i="31"/>
  <c r="AC2" i="31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AF17" i="31" l="1"/>
  <c r="AE17" i="31"/>
  <c r="AF14" i="31"/>
  <c r="AE14" i="31"/>
  <c r="AC10" i="31"/>
  <c r="AF6" i="31"/>
  <c r="AE6" i="31"/>
  <c r="AC5" i="31"/>
  <c r="AD18" i="31"/>
  <c r="AD2" i="31"/>
  <c r="B3" i="20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AD10" i="31" l="1"/>
  <c r="AD5" i="31"/>
  <c r="AF18" i="31"/>
  <c r="AE18" i="31"/>
  <c r="AF2" i="31"/>
  <c r="AE2" i="31"/>
  <c r="B24" i="12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AF10" i="31" l="1"/>
  <c r="AE10" i="31"/>
  <c r="AF5" i="31"/>
  <c r="AE5" i="31"/>
  <c r="B3" i="5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<sst xmlns="http://schemas.openxmlformats.org/spreadsheetml/2006/main" count="497" uniqueCount="89">
  <si>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</si>
  <si>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</si>
  <si>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</si>
  <si>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</si>
  <si>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</si>
  <si>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</si>
  <si>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</si>
  <si>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</si>
  <si>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</si>
  <si>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</si>
  <si>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</si>
  <si>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</si>
  <si>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</si>
  <si>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</si>
  <si>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</si>
  <si>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</si>
  <si>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</si>
  <si>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</si>
  <si>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</si>
  <si>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</si>
  <si>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</si>
  <si>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</si>
  <si>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</si>
  <si>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</si>
  <si>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</si>
  <si>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</si>
  <si>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</si>
  <si>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</si>
  <si>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</si>
  <si>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</si>
  <si>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</si>
  <si>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</si>
  <si>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</si>
  <si>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</si>
  <si>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</si>
  <si>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</si>
  <si>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</si>
  <si>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</si>
  <si>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</si>
  <si>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</si>
  <si>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</si>
  <si>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</si>
  <si>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</si>
  <si>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</si>
  <si>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</si>
  <si>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</si>
  <si>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</si>
  <si>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</si>
  <si>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</si>
  <si>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</si>
  <si>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</si>
  <si>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</si>
  <si>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</si>
  <si>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</si>
  <si>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</si>
  <si>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</si>
  <si>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</si>
  <si>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</si>
  <si>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</si>
  <si>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</si>
  <si>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</si>
  <si>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</si>
  <si>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</si>
  <si>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</si>
  <si>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</si>
  <si>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</si>
  <si>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</si>
  <si>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</si>
  <si>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</si>
  <si>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</si>
  <si>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</si>
  <si>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</si>
  <si>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</si>
  <si>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</si>
  <si>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</si>
  <si>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</si>
  <si>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</si>
  <si>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</si>
  <si>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</si>
  <si>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</si>
  <si>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</si>
  <si>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</si>
  <si>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</si>
  <si>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Country or Area</t>
  </si>
  <si>
    <t>Year</t>
  </si>
  <si>
    <t>Item</t>
  </si>
  <si>
    <t>Value</t>
  </si>
  <si>
    <t>Democratic People's Republic of Korea</t>
  </si>
  <si>
    <t>Gross Domestic Product (GDP)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</si>
</sst>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0"/>
    <numFmt numFmtId="166" formatCode="_(* #,##0_);_(* \(#,##0\);_(* &quot;-&quot;??_);_(@_)"/>
    <numFmt numFmtId="167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166" fontId="0" fillId="0" borderId="0" xfId="1" applyNumberFormat="1" applyFont="1"/>
    <xf numFmtId="167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GDP!$G$2:$G$84</c:f>
              <c:numCache>
                <c:formatCode>0.00</c:formatCode>
                <c:ptCount val="83"/>
                <c:pt idx="0">
                  <c:v>47.318146727013904</c:v>
                </c:pt>
                <c:pt idx="1">
                  <c:v>47.436589188118987</c:v>
                </c:pt>
                <c:pt idx="2">
                  <c:v>47.555328123569808</c:v>
                </c:pt>
                <c:pt idx="3">
                  <c:v>47.674364275473863</c:v>
                </c:pt>
                <c:pt idx="4">
                  <c:v>47.793698387796219</c:v>
                </c:pt>
                <c:pt idx="5">
                  <c:v>47.91333120636417</c:v>
                </c:pt>
                <c:pt idx="6">
                  <c:v>48.033263478871895</c:v>
                </c:pt>
                <c:pt idx="7">
                  <c:v>48.15349595488513</c:v>
                </c:pt>
                <c:pt idx="8">
                  <c:v>48.274029385845857</c:v>
                </c:pt>
                <c:pt idx="9">
                  <c:v>48.394864525077004</c:v>
                </c:pt>
                <c:pt idx="10">
                  <c:v>48.516002127787146</c:v>
                </c:pt>
                <c:pt idx="11">
                  <c:v>48.637442951075222</c:v>
                </c:pt>
                <c:pt idx="12">
                  <c:v>48.759187753935272</c:v>
                </c:pt>
                <c:pt idx="13">
                  <c:v>48.881237297261194</c:v>
                </c:pt>
                <c:pt idx="14">
                  <c:v>49.003592343851466</c:v>
                </c:pt>
                <c:pt idx="15">
                  <c:v>49.126253658413951</c:v>
                </c:pt>
                <c:pt idx="16">
                  <c:v>49.249222007570644</c:v>
                </c:pt>
                <c:pt idx="17">
                  <c:v>49.372498159862488</c:v>
                </c:pt>
                <c:pt idx="18">
                  <c:v>49.49608288575417</c:v>
                </c:pt>
                <c:pt idx="19">
                  <c:v>49.619976957638919</c:v>
                </c:pt>
                <c:pt idx="20">
                  <c:v>49.744181149843364</c:v>
                </c:pt>
                <c:pt idx="21">
                  <c:v>49.868696238632353</c:v>
                </c:pt>
                <c:pt idx="22">
                  <c:v>49.993523002213806</c:v>
                </c:pt>
                <c:pt idx="23">
                  <c:v>50.11866222074358</c:v>
                </c:pt>
                <c:pt idx="24">
                  <c:v>50.244114676330355</c:v>
                </c:pt>
                <c:pt idx="25">
                  <c:v>50.36988115304051</c:v>
                </c:pt>
                <c:pt idx="26">
                  <c:v>50.495962436903021</c:v>
                </c:pt>
                <c:pt idx="27">
                  <c:v>50.622359315914387</c:v>
                </c:pt>
                <c:pt idx="28">
                  <c:v>50.749072580043553</c:v>
                </c:pt>
                <c:pt idx="29">
                  <c:v>50.87610302123683</c:v>
                </c:pt>
                <c:pt idx="30">
                  <c:v>51.00345143342286</c:v>
                </c:pt>
                <c:pt idx="31">
                  <c:v>51.131118612517582</c:v>
                </c:pt>
                <c:pt idx="32">
                  <c:v>51.259105356429195</c:v>
                </c:pt>
                <c:pt idx="33">
                  <c:v>51.387412465063143</c:v>
                </c:pt>
                <c:pt idx="34">
                  <c:v>51.516040740327128</c:v>
                </c:pt>
                <c:pt idx="35">
                  <c:v>51.644990986136115</c:v>
                </c:pt>
                <c:pt idx="36">
                  <c:v>51.774264008417347</c:v>
                </c:pt>
                <c:pt idx="37">
                  <c:v>51.903860615115391</c:v>
                </c:pt>
                <c:pt idx="38">
                  <c:v>52.033781616197196</c:v>
                </c:pt>
                <c:pt idx="39">
                  <c:v>52.164027823657143</c:v>
                </c:pt>
                <c:pt idx="40">
                  <c:v>52.294600051522117</c:v>
                </c:pt>
                <c:pt idx="41">
                  <c:v>52.42549911585661</c:v>
                </c:pt>
                <c:pt idx="42">
                  <c:v>52.556725834767803</c:v>
                </c:pt>
                <c:pt idx="43">
                  <c:v>52.688281028410692</c:v>
                </c:pt>
                <c:pt idx="44">
                  <c:v>52.820165518993214</c:v>
                </c:pt>
                <c:pt idx="45">
                  <c:v>52.952380130781371</c:v>
                </c:pt>
                <c:pt idx="46">
                  <c:v>53.084925690104406</c:v>
                </c:pt>
                <c:pt idx="47">
                  <c:v>53.217803025359949</c:v>
                </c:pt>
                <c:pt idx="48">
                  <c:v>53.351012967019194</c:v>
                </c:pt>
                <c:pt idx="49">
                  <c:v>53.4845563476321</c:v>
                </c:pt>
                <c:pt idx="50">
                  <c:v>53.618434001832583</c:v>
                </c:pt>
                <c:pt idx="51">
                  <c:v>53.752646766343744</c:v>
                </c:pt>
                <c:pt idx="52">
                  <c:v>53.887195479983099</c:v>
                </c:pt>
                <c:pt idx="53">
                  <c:v>54.022080983667799</c:v>
                </c:pt>
                <c:pt idx="54">
                  <c:v>54.157304120419916</c:v>
                </c:pt>
                <c:pt idx="55">
                  <c:v>54.292865735371691</c:v>
                </c:pt>
                <c:pt idx="56">
                  <c:v>54.428766675770824</c:v>
                </c:pt>
                <c:pt idx="57">
                  <c:v>54.565007790985767</c:v>
                </c:pt>
                <c:pt idx="58">
                  <c:v>54.701589932511034</c:v>
                </c:pt>
                <c:pt idx="59">
                  <c:v>54.838513953972523</c:v>
                </c:pt>
                <c:pt idx="60">
                  <c:v>54.975780711132856</c:v>
                </c:pt>
                <c:pt idx="61">
                  <c:v>55.113391061896706</c:v>
                </c:pt>
                <c:pt idx="62">
                  <c:v>55.251345866316193</c:v>
                </c:pt>
                <c:pt idx="63">
                  <c:v>55.389645986596236</c:v>
                </c:pt>
                <c:pt idx="64">
                  <c:v>55.528292287099937</c:v>
                </c:pt>
                <c:pt idx="65">
                  <c:v>55.667285634353995</c:v>
                </c:pt>
                <c:pt idx="66">
                  <c:v>55.80662689705413</c:v>
                </c:pt>
                <c:pt idx="67">
                  <c:v>55.946316946070496</c:v>
                </c:pt>
                <c:pt idx="68">
                  <c:v>56.086356654453127</c:v>
                </c:pt>
                <c:pt idx="69">
                  <c:v>56.226746897437394</c:v>
                </c:pt>
                <c:pt idx="70">
                  <c:v>56.367488552449487</c:v>
                </c:pt>
                <c:pt idx="71">
                  <c:v>56.508582499111881</c:v>
                </c:pt>
                <c:pt idx="72">
                  <c:v>56.650029619248841</c:v>
                </c:pt>
                <c:pt idx="73">
                  <c:v>56.791830796891944</c:v>
                </c:pt>
                <c:pt idx="74">
                  <c:v>56.933986918285576</c:v>
                </c:pt>
                <c:pt idx="75">
                  <c:v>57.076498871892511</c:v>
                </c:pt>
                <c:pt idx="76">
                  <c:v>57.219367548399426</c:v>
                </c:pt>
                <c:pt idx="77">
                  <c:v>57.362593840722482</c:v>
                </c:pt>
                <c:pt idx="78">
                  <c:v>57.50617864401292</c:v>
                </c:pt>
                <c:pt idx="79">
                  <c:v>57.65012285566263</c:v>
                </c:pt>
                <c:pt idx="80">
                  <c:v>57.79442737530978</c:v>
                </c:pt>
                <c:pt idx="81">
                  <c:v>57.939093104844417</c:v>
                </c:pt>
                <c:pt idx="82">
                  <c:v>58.084120948414132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7-405C-B427-7F74E96B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153183"/>
        <c:axId val="537705023"/>
      </c:lineChart>
      <c:catAx>
        <c:axId val="647153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05023"/>
        <c:crosses val="autoZero"/>
        <c:auto val="1"/>
        <c:lblAlgn val="ctr"/>
        <c:lblOffset val="100"/>
        <c:noMultiLvlLbl val="0"/>
      </c:catAx>
      <c:valAx>
        <c:axId val="53770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0.97</c:v>
                </c:pt>
                <c:pt idx="2">
                  <c:v>0.94</c:v>
                </c:pt>
                <c:pt idx="3">
                  <c:v>0.90999999999999992</c:v>
                </c:pt>
                <c:pt idx="4">
                  <c:v>0.87999999999999989</c:v>
                </c:pt>
                <c:pt idx="5">
                  <c:v>0.84999999999999987</c:v>
                </c:pt>
                <c:pt idx="6">
                  <c:v>0.81999999999999984</c:v>
                </c:pt>
                <c:pt idx="7">
                  <c:v>0.78999999999999981</c:v>
                </c:pt>
                <c:pt idx="8">
                  <c:v>0.75999999999999979</c:v>
                </c:pt>
                <c:pt idx="9">
                  <c:v>0.72999999999999976</c:v>
                </c:pt>
                <c:pt idx="10">
                  <c:v>0.69999999999999973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0.67</c:v>
                </c:pt>
                <c:pt idx="22">
                  <c:v>0.67</c:v>
                </c:pt>
                <c:pt idx="23">
                  <c:v>0.67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0.67</c:v>
                </c:pt>
                <c:pt idx="31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0.63100000000000001</c:v>
                </c:pt>
                <c:pt idx="13">
                  <c:v>0.60199999999999998</c:v>
                </c:pt>
                <c:pt idx="14">
                  <c:v>0.57299999999999995</c:v>
                </c:pt>
                <c:pt idx="15">
                  <c:v>0.54399999999999993</c:v>
                </c:pt>
                <c:pt idx="16">
                  <c:v>0.5149999999999999</c:v>
                </c:pt>
                <c:pt idx="17">
                  <c:v>0.48599999999999988</c:v>
                </c:pt>
                <c:pt idx="18">
                  <c:v>0.45699999999999985</c:v>
                </c:pt>
                <c:pt idx="19">
                  <c:v>0.42799999999999983</c:v>
                </c:pt>
                <c:pt idx="20">
                  <c:v>0.3989999999999998</c:v>
                </c:pt>
                <c:pt idx="21">
                  <c:v>0.37</c:v>
                </c:pt>
                <c:pt idx="22">
                  <c:v>0.34210000000000002</c:v>
                </c:pt>
                <c:pt idx="23">
                  <c:v>0.31440000000000001</c:v>
                </c:pt>
                <c:pt idx="24">
                  <c:v>0.28699999999999998</c:v>
                </c:pt>
                <c:pt idx="25">
                  <c:v>0.25969999999999999</c:v>
                </c:pt>
                <c:pt idx="26">
                  <c:v>0.23250000000000001</c:v>
                </c:pt>
                <c:pt idx="27">
                  <c:v>0.2056</c:v>
                </c:pt>
                <c:pt idx="28">
                  <c:v>0.1789</c:v>
                </c:pt>
                <c:pt idx="29">
                  <c:v>0.15240000000000001</c:v>
                </c:pt>
                <c:pt idx="30">
                  <c:v>0.12609999999999999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0.64890000000000003</c:v>
                </c:pt>
                <c:pt idx="23">
                  <c:v>0.61739999999999995</c:v>
                </c:pt>
                <c:pt idx="24">
                  <c:v>0.58540000000000003</c:v>
                </c:pt>
                <c:pt idx="25">
                  <c:v>0.55300000000000005</c:v>
                </c:pt>
                <c:pt idx="26">
                  <c:v>0.5202</c:v>
                </c:pt>
                <c:pt idx="27">
                  <c:v>0.4869</c:v>
                </c:pt>
                <c:pt idx="28">
                  <c:v>0.45329999999999998</c:v>
                </c:pt>
                <c:pt idx="29">
                  <c:v>0.41920000000000002</c:v>
                </c:pt>
                <c:pt idx="30">
                  <c:v>0.38479999999999998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</c:v>
                </c:pt>
                <c:pt idx="2">
                  <c:v>0.94</c:v>
                </c:pt>
                <c:pt idx="3">
                  <c:v>0.90999999999999992</c:v>
                </c:pt>
                <c:pt idx="4">
                  <c:v>0.87999999999999989</c:v>
                </c:pt>
                <c:pt idx="5">
                  <c:v>0.84999999999999987</c:v>
                </c:pt>
                <c:pt idx="6">
                  <c:v>0.81999999999999984</c:v>
                </c:pt>
                <c:pt idx="7">
                  <c:v>0.78999999999999981</c:v>
                </c:pt>
                <c:pt idx="8">
                  <c:v>0.75999999999999979</c:v>
                </c:pt>
                <c:pt idx="9">
                  <c:v>0.72999999999999976</c:v>
                </c:pt>
                <c:pt idx="10">
                  <c:v>0.69999999999999973</c:v>
                </c:pt>
                <c:pt idx="11">
                  <c:v>0.67</c:v>
                </c:pt>
                <c:pt idx="12">
                  <c:v>0.64100000000000001</c:v>
                </c:pt>
                <c:pt idx="13">
                  <c:v>0.61199999999999999</c:v>
                </c:pt>
                <c:pt idx="14">
                  <c:v>0.58299999999999996</c:v>
                </c:pt>
                <c:pt idx="15">
                  <c:v>0.55399999999999994</c:v>
                </c:pt>
                <c:pt idx="16">
                  <c:v>0.52499999999999991</c:v>
                </c:pt>
                <c:pt idx="17">
                  <c:v>0.49599999999999989</c:v>
                </c:pt>
                <c:pt idx="18">
                  <c:v>0.46699999999999986</c:v>
                </c:pt>
                <c:pt idx="19">
                  <c:v>0.43799999999999983</c:v>
                </c:pt>
                <c:pt idx="20">
                  <c:v>0.40899999999999981</c:v>
                </c:pt>
                <c:pt idx="21">
                  <c:v>0.38</c:v>
                </c:pt>
                <c:pt idx="22">
                  <c:v>0.35160000000000002</c:v>
                </c:pt>
                <c:pt idx="23">
                  <c:v>0.32319999999999999</c:v>
                </c:pt>
                <c:pt idx="24">
                  <c:v>0.29499999999999998</c:v>
                </c:pt>
                <c:pt idx="25">
                  <c:v>0.26679999999999998</c:v>
                </c:pt>
                <c:pt idx="26">
                  <c:v>0.23880000000000001</c:v>
                </c:pt>
                <c:pt idx="27">
                  <c:v>0.21079999999999999</c:v>
                </c:pt>
                <c:pt idx="28">
                  <c:v>0.183</c:v>
                </c:pt>
                <c:pt idx="29">
                  <c:v>0.1552</c:v>
                </c:pt>
                <c:pt idx="30">
                  <c:v>0.12759999999999999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0.96799999999999997</c:v>
                </c:pt>
                <c:pt idx="13">
                  <c:v>0.96599999999999997</c:v>
                </c:pt>
                <c:pt idx="14">
                  <c:v>0.96399999999999997</c:v>
                </c:pt>
                <c:pt idx="15">
                  <c:v>0.96199999999999997</c:v>
                </c:pt>
                <c:pt idx="16">
                  <c:v>0.96</c:v>
                </c:pt>
                <c:pt idx="17">
                  <c:v>0.95799999999999996</c:v>
                </c:pt>
                <c:pt idx="18">
                  <c:v>0.95599999999999996</c:v>
                </c:pt>
                <c:pt idx="19">
                  <c:v>0.95399999999999996</c:v>
                </c:pt>
                <c:pt idx="20">
                  <c:v>0.95199999999999996</c:v>
                </c:pt>
                <c:pt idx="21">
                  <c:v>0.95</c:v>
                </c:pt>
                <c:pt idx="22">
                  <c:v>0.94689999999999996</c:v>
                </c:pt>
                <c:pt idx="23">
                  <c:v>0.94320000000000004</c:v>
                </c:pt>
                <c:pt idx="24">
                  <c:v>0.93910000000000005</c:v>
                </c:pt>
                <c:pt idx="25">
                  <c:v>0.9345</c:v>
                </c:pt>
                <c:pt idx="26">
                  <c:v>0.92959999999999998</c:v>
                </c:pt>
                <c:pt idx="27">
                  <c:v>0.92420000000000002</c:v>
                </c:pt>
                <c:pt idx="28">
                  <c:v>0.91859999999999997</c:v>
                </c:pt>
                <c:pt idx="29">
                  <c:v>0.91259999999999997</c:v>
                </c:pt>
                <c:pt idx="30">
                  <c:v>0.90639999999999998</c:v>
                </c:pt>
                <c:pt idx="3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0.96799999999999997</c:v>
                </c:pt>
                <c:pt idx="13">
                  <c:v>0.96599999999999997</c:v>
                </c:pt>
                <c:pt idx="14">
                  <c:v>0.96399999999999997</c:v>
                </c:pt>
                <c:pt idx="15">
                  <c:v>0.96199999999999997</c:v>
                </c:pt>
                <c:pt idx="16">
                  <c:v>0.96</c:v>
                </c:pt>
                <c:pt idx="17">
                  <c:v>0.95799999999999996</c:v>
                </c:pt>
                <c:pt idx="18">
                  <c:v>0.95599999999999996</c:v>
                </c:pt>
                <c:pt idx="19">
                  <c:v>0.95399999999999996</c:v>
                </c:pt>
                <c:pt idx="20">
                  <c:v>0.95199999999999996</c:v>
                </c:pt>
                <c:pt idx="21">
                  <c:v>0.95</c:v>
                </c:pt>
                <c:pt idx="22">
                  <c:v>0.94689999999999996</c:v>
                </c:pt>
                <c:pt idx="23">
                  <c:v>0.94320000000000004</c:v>
                </c:pt>
                <c:pt idx="24">
                  <c:v>0.93910000000000005</c:v>
                </c:pt>
                <c:pt idx="25">
                  <c:v>0.9345</c:v>
                </c:pt>
                <c:pt idx="26">
                  <c:v>0.92959999999999998</c:v>
                </c:pt>
                <c:pt idx="27">
                  <c:v>0.92420000000000002</c:v>
                </c:pt>
                <c:pt idx="28">
                  <c:v>0.91859999999999997</c:v>
                </c:pt>
                <c:pt idx="29">
                  <c:v>0.91259999999999997</c:v>
                </c:pt>
                <c:pt idx="30">
                  <c:v>0.90639999999999998</c:v>
                </c:pt>
                <c:pt idx="3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0.96799999999999997</c:v>
                </c:pt>
                <c:pt idx="13">
                  <c:v>0.96599999999999997</c:v>
                </c:pt>
                <c:pt idx="14">
                  <c:v>0.96399999999999997</c:v>
                </c:pt>
                <c:pt idx="15">
                  <c:v>0.96199999999999997</c:v>
                </c:pt>
                <c:pt idx="16">
                  <c:v>0.96</c:v>
                </c:pt>
                <c:pt idx="17">
                  <c:v>0.95799999999999996</c:v>
                </c:pt>
                <c:pt idx="18">
                  <c:v>0.95599999999999996</c:v>
                </c:pt>
                <c:pt idx="19">
                  <c:v>0.95399999999999996</c:v>
                </c:pt>
                <c:pt idx="20">
                  <c:v>0.95199999999999996</c:v>
                </c:pt>
                <c:pt idx="21">
                  <c:v>0.95</c:v>
                </c:pt>
                <c:pt idx="22">
                  <c:v>0.94689999999999996</c:v>
                </c:pt>
                <c:pt idx="23">
                  <c:v>0.94320000000000004</c:v>
                </c:pt>
                <c:pt idx="24">
                  <c:v>0.93910000000000005</c:v>
                </c:pt>
                <c:pt idx="25">
                  <c:v>0.9345</c:v>
                </c:pt>
                <c:pt idx="26">
                  <c:v>0.92959999999999998</c:v>
                </c:pt>
                <c:pt idx="27">
                  <c:v>0.92420000000000002</c:v>
                </c:pt>
                <c:pt idx="28">
                  <c:v>0.91859999999999997</c:v>
                </c:pt>
                <c:pt idx="29">
                  <c:v>0.91259999999999997</c:v>
                </c:pt>
                <c:pt idx="30">
                  <c:v>0.90639999999999998</c:v>
                </c:pt>
                <c:pt idx="3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0.27750000000000002</c:v>
                </c:pt>
                <c:pt idx="23">
                  <c:v>0.25440000000000002</c:v>
                </c:pt>
                <c:pt idx="24">
                  <c:v>0.23069999999999999</c:v>
                </c:pt>
                <c:pt idx="25">
                  <c:v>0.2064</c:v>
                </c:pt>
                <c:pt idx="26">
                  <c:v>0.18160000000000001</c:v>
                </c:pt>
                <c:pt idx="27">
                  <c:v>0.15629999999999999</c:v>
                </c:pt>
                <c:pt idx="28">
                  <c:v>0.13039999999999999</c:v>
                </c:pt>
                <c:pt idx="29">
                  <c:v>0.1041</c:v>
                </c:pt>
                <c:pt idx="30">
                  <c:v>7.7299999999999994E-2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0.27750000000000002</c:v>
                </c:pt>
                <c:pt idx="23">
                  <c:v>0.25440000000000002</c:v>
                </c:pt>
                <c:pt idx="24">
                  <c:v>0.23069999999999999</c:v>
                </c:pt>
                <c:pt idx="25">
                  <c:v>0.2064</c:v>
                </c:pt>
                <c:pt idx="26">
                  <c:v>0.18160000000000001</c:v>
                </c:pt>
                <c:pt idx="27">
                  <c:v>0.15629999999999999</c:v>
                </c:pt>
                <c:pt idx="28">
                  <c:v>0.13039999999999999</c:v>
                </c:pt>
                <c:pt idx="29">
                  <c:v>0.1041</c:v>
                </c:pt>
                <c:pt idx="30">
                  <c:v>7.7299999999999994E-2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0.27750000000000002</c:v>
                </c:pt>
                <c:pt idx="23">
                  <c:v>0.25440000000000002</c:v>
                </c:pt>
                <c:pt idx="24">
                  <c:v>0.23069999999999999</c:v>
                </c:pt>
                <c:pt idx="25">
                  <c:v>0.2064</c:v>
                </c:pt>
                <c:pt idx="26">
                  <c:v>0.18160000000000001</c:v>
                </c:pt>
                <c:pt idx="27">
                  <c:v>0.15629999999999999</c:v>
                </c:pt>
                <c:pt idx="28">
                  <c:v>0.13039999999999999</c:v>
                </c:pt>
                <c:pt idx="29">
                  <c:v>0.1041</c:v>
                </c:pt>
                <c:pt idx="30">
                  <c:v>7.7299999999999994E-2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0.65810000000000002</c:v>
                </c:pt>
                <c:pt idx="23">
                  <c:v>0.63680000000000003</c:v>
                </c:pt>
                <c:pt idx="24">
                  <c:v>0.61629999999999996</c:v>
                </c:pt>
                <c:pt idx="25">
                  <c:v>0.59670000000000001</c:v>
                </c:pt>
                <c:pt idx="26">
                  <c:v>0.57789999999999997</c:v>
                </c:pt>
                <c:pt idx="27">
                  <c:v>0.56000000000000005</c:v>
                </c:pt>
                <c:pt idx="28">
                  <c:v>0.54330000000000001</c:v>
                </c:pt>
                <c:pt idx="29">
                  <c:v>0.52759999999999996</c:v>
                </c:pt>
                <c:pt idx="30">
                  <c:v>0.51319999999999999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0.63100000000000001</c:v>
                </c:pt>
                <c:pt idx="13">
                  <c:v>0.60199999999999998</c:v>
                </c:pt>
                <c:pt idx="14">
                  <c:v>0.57299999999999995</c:v>
                </c:pt>
                <c:pt idx="15">
                  <c:v>0.54399999999999993</c:v>
                </c:pt>
                <c:pt idx="16">
                  <c:v>0.5149999999999999</c:v>
                </c:pt>
                <c:pt idx="17">
                  <c:v>0.48599999999999988</c:v>
                </c:pt>
                <c:pt idx="18">
                  <c:v>0.45699999999999985</c:v>
                </c:pt>
                <c:pt idx="19">
                  <c:v>0.42799999999999983</c:v>
                </c:pt>
                <c:pt idx="20">
                  <c:v>0.3989999999999998</c:v>
                </c:pt>
                <c:pt idx="21">
                  <c:v>0.37</c:v>
                </c:pt>
                <c:pt idx="22">
                  <c:v>0.34210000000000002</c:v>
                </c:pt>
                <c:pt idx="23">
                  <c:v>0.31440000000000001</c:v>
                </c:pt>
                <c:pt idx="24">
                  <c:v>0.28699999999999998</c:v>
                </c:pt>
                <c:pt idx="25">
                  <c:v>0.25969999999999999</c:v>
                </c:pt>
                <c:pt idx="26">
                  <c:v>0.23250000000000001</c:v>
                </c:pt>
                <c:pt idx="27">
                  <c:v>0.2056</c:v>
                </c:pt>
                <c:pt idx="28">
                  <c:v>0.1789</c:v>
                </c:pt>
                <c:pt idx="29">
                  <c:v>0.15240000000000001</c:v>
                </c:pt>
                <c:pt idx="30">
                  <c:v>0.12609999999999999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300317</xdr:colOff>
      <xdr:row>59</xdr:row>
      <xdr:rowOff>129988</xdr:rowOff>
    </xdr:from>
    <xdr:to>
      <xdr:col>15</xdr:col>
      <xdr:colOff>138953</xdr:colOff>
      <xdr:row>75</xdr:row>
      <xdr:rowOff>4482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8C42B-7A37-40F2-B362-3F7DD94ED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526472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tabSelected="1" zoomScale="85" zoomScaleNormal="85" workbookViewId="0">
      <selection activeCell="H6" sqref="H6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v>47.318146727013904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/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G2+G2*Sheet1!$E$52</f>
        <v>47.436589188118987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/>
      <c r="U3" s="32"/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f>G3+G3*Sheet1!$E$52</f>
        <v>47.555328123569808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/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f>G4+G4*Sheet1!$E$52</f>
        <v>47.674364275473863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f>G5+G5*Sheet1!$E$52</f>
        <v>47.793698387796219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f>G6+G6*Sheet1!$E$52</f>
        <v>47.91333120636417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f>G7+G7*Sheet1!$E$52</f>
        <v>48.033263478871895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f>G8+G8*Sheet1!$E$52</f>
        <v>48.15349595488513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f>G9+G9*Sheet1!$E$52</f>
        <v>48.274029385845857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f>G10+G10*Sheet1!$E$52</f>
        <v>48.394864525077004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f>G11+G11*Sheet1!$E$52</f>
        <v>48.516002127787146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f>G12+G12*Sheet1!$E$52</f>
        <v>48.637442951075222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f>G13+G13*Sheet1!$E$52</f>
        <v>48.759187753935272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f>G14+G14*Sheet1!$E$52</f>
        <v>48.881237297261194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f>G15+G15*Sheet1!$E$52</f>
        <v>49.003592343851466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f>G16+G16*Sheet1!$E$52</f>
        <v>49.126253658413951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f>G17+G17*Sheet1!$E$52</f>
        <v>49.249222007570644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f>G18+G18*Sheet1!$E$52</f>
        <v>49.372498159862488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f>G19+G19*Sheet1!$E$52</f>
        <v>49.49608288575417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f>G20+G20*Sheet1!$E$52</f>
        <v>49.619976957638919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f>G21+G21*Sheet1!$E$52</f>
        <v>49.744181149843364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f>G22+G22*Sheet1!$E$52</f>
        <v>49.868696238632353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f>G23+G23*Sheet1!$E$52</f>
        <v>49.993523002213806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f>G24+G24*Sheet1!$E$52</f>
        <v>50.11866222074358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f>G25+G25*Sheet1!$E$52</f>
        <v>50.244114676330355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f>G26+G26*Sheet1!$E$52</f>
        <v>50.36988115304051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f>G27+G27*Sheet1!$E$52</f>
        <v>50.495962436903021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f>G28+G28*Sheet1!$E$52</f>
        <v>50.622359315914387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f>G29+G29*Sheet1!$E$52</f>
        <v>50.749072580043553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f>G30+G30*Sheet1!$E$52</f>
        <v>50.87610302123683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f>G31+G31*Sheet1!$E$52</f>
        <v>51.00345143342286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f>G32+G32*Sheet1!$E$52</f>
        <v>51.131118612517582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f>G33+G33*Sheet1!$E$52</f>
        <v>51.259105356429195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>G34+G34*Sheet1!$E$52</f>
        <v>51.387412465063143</v>
      </c>
      <c r="H35" s="4">
        <f t="shared" ref="H35" si="251">(H39-H34)/5+H34</f>
        <v>35646.203895999999</v>
      </c>
      <c r="I35" s="4">
        <f t="shared" ref="I35" si="252">(I39-I34)/5+I34</f>
        <v>21332.940164</v>
      </c>
      <c r="J35" s="4">
        <f t="shared" ref="J35" si="253">(J39-J34)/5+J34</f>
        <v>35747.529119999999</v>
      </c>
      <c r="K35" s="4">
        <f t="shared" ref="K35" si="254">(K39-K34)/5+K34</f>
        <v>5994.5823600000003</v>
      </c>
      <c r="L35" s="4">
        <f t="shared" ref="L35" si="255">(L39-L34)/5+L34</f>
        <v>4322.4436800000003</v>
      </c>
      <c r="M35" s="4">
        <f t="shared" ref="M35" si="256">(M39-M34)/5+M34</f>
        <v>21483.535717999999</v>
      </c>
      <c r="N35" s="4">
        <f t="shared" ref="N35" si="257">(N39-N34)/5+N34</f>
        <v>16877.119350000001</v>
      </c>
      <c r="O35" s="4">
        <f t="shared" ref="O35" si="258">(O39-O34)/5+O34</f>
        <v>4568.3928000000005</v>
      </c>
      <c r="P35" s="4">
        <f t="shared" ref="P35" si="259">(P39-P34)/5+P34</f>
        <v>46014.082260000003</v>
      </c>
      <c r="Q35" s="4">
        <f t="shared" ref="Q35" si="260">(Q39-Q34)/5+Q34</f>
        <v>21019.496383999998</v>
      </c>
      <c r="R35" s="4">
        <f t="shared" ref="R35" si="261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2">(C39-C34)/5+C35</f>
        <v>56338.543799999985</v>
      </c>
      <c r="D36" s="3">
        <f t="shared" ref="D36" si="263">(D39-D34)/5+D35</f>
        <v>6685.4040000000005</v>
      </c>
      <c r="E36" s="3">
        <f t="shared" ref="E36" si="264">(E39-E34)/5+E35</f>
        <v>6117.0319999999992</v>
      </c>
      <c r="F36" s="3">
        <f t="shared" ref="F36" si="265">(F39-F34)/5+F35</f>
        <v>117.9542</v>
      </c>
      <c r="G36" s="22">
        <f>G35+G35*Sheet1!$E$52</f>
        <v>51.516040740327128</v>
      </c>
      <c r="H36" s="3">
        <f t="shared" ref="H36" si="266">(H39-H34)/5+H35</f>
        <v>36061.376321999996</v>
      </c>
      <c r="I36" s="3">
        <f t="shared" ref="I36" si="267">(I39-I34)/5+I35</f>
        <v>21907.726287999998</v>
      </c>
      <c r="J36" s="3">
        <f t="shared" ref="J36" si="268">(J39-J34)/5+J35</f>
        <v>36225.546040000001</v>
      </c>
      <c r="K36" s="3">
        <f t="shared" ref="K36" si="269">(K39-K34)/5+K35</f>
        <v>6038.6982200000002</v>
      </c>
      <c r="L36" s="3">
        <f t="shared" ref="L36" si="270">(L39-L34)/5+L35</f>
        <v>4416.1143600000005</v>
      </c>
      <c r="M36" s="3">
        <f t="shared" ref="M36" si="271">(M39-M34)/5+M35</f>
        <v>22110.785725999998</v>
      </c>
      <c r="N36" s="3">
        <f t="shared" ref="N36" si="272">(N39-N34)/5+N35</f>
        <v>17701.857750000003</v>
      </c>
      <c r="O36" s="3">
        <f t="shared" ref="O36" si="273">(O39-O34)/5+O35</f>
        <v>4682.5346000000009</v>
      </c>
      <c r="P36" s="3">
        <f t="shared" ref="P36" si="274">(P39-P34)/5+P35</f>
        <v>47555.750120000004</v>
      </c>
      <c r="Q36" s="3">
        <f t="shared" ref="Q36" si="275">(Q39-Q34)/5+Q35</f>
        <v>21415.703522999996</v>
      </c>
      <c r="R36" s="3">
        <f t="shared" ref="R36" si="276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7">(C39-C34)/5+C36</f>
        <v>57023.769199999981</v>
      </c>
      <c r="D37" s="3">
        <f t="shared" ref="D37" si="278">(D39-D34)/5+D36</f>
        <v>6728.8060000000005</v>
      </c>
      <c r="E37" s="3">
        <f t="shared" ref="E37" si="279">(E39-E34)/5+E36</f>
        <v>6212.3079999999991</v>
      </c>
      <c r="F37" s="3">
        <f t="shared" ref="F37" si="280">(F39-F34)/5+F36</f>
        <v>121.6498</v>
      </c>
      <c r="G37" s="22">
        <f>G36+G36*Sheet1!$E$52</f>
        <v>51.644990986136115</v>
      </c>
      <c r="H37" s="3">
        <f t="shared" ref="H37" si="281">(H39-H34)/5+H36</f>
        <v>36476.548747999994</v>
      </c>
      <c r="I37" s="3">
        <f t="shared" ref="I37" si="282">(I39-I34)/5+I36</f>
        <v>22482.512411999996</v>
      </c>
      <c r="J37" s="3">
        <f t="shared" ref="J37" si="283">(J39-J34)/5+J36</f>
        <v>36703.562960000003</v>
      </c>
      <c r="K37" s="3">
        <f t="shared" ref="K37" si="284">(K39-K34)/5+K36</f>
        <v>6082.8140800000001</v>
      </c>
      <c r="L37" s="3">
        <f t="shared" ref="L37" si="285">(L39-L34)/5+L36</f>
        <v>4509.7850400000007</v>
      </c>
      <c r="M37" s="3">
        <f t="shared" ref="M37" si="286">(M39-M34)/5+M36</f>
        <v>22738.035733999997</v>
      </c>
      <c r="N37" s="3">
        <f t="shared" ref="N37" si="287">(N39-N34)/5+N36</f>
        <v>18526.596150000005</v>
      </c>
      <c r="O37" s="3">
        <f t="shared" ref="O37" si="288">(O39-O34)/5+O36</f>
        <v>4796.6764000000012</v>
      </c>
      <c r="P37" s="3">
        <f t="shared" ref="P37" si="289">(P39-P34)/5+P36</f>
        <v>49097.417980000006</v>
      </c>
      <c r="Q37" s="3">
        <f t="shared" ref="Q37" si="290">(Q39-Q34)/5+Q36</f>
        <v>21811.910661999995</v>
      </c>
      <c r="R37" s="3">
        <f t="shared" ref="R37" si="291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2">(C39-C34)/5+C37</f>
        <v>57708.994599999976</v>
      </c>
      <c r="D38" s="3">
        <f t="shared" ref="D38" si="293">(D39-D34)/5+D37</f>
        <v>6772.2080000000005</v>
      </c>
      <c r="E38" s="3">
        <f t="shared" ref="E38" si="294">(E39-E34)/5+E37</f>
        <v>6307.5839999999989</v>
      </c>
      <c r="F38" s="3">
        <f t="shared" ref="F38" si="295">(F39-F34)/5+F37</f>
        <v>125.3454</v>
      </c>
      <c r="G38" s="22">
        <f>G37+G37*Sheet1!$E$52</f>
        <v>51.774264008417347</v>
      </c>
      <c r="H38" s="3">
        <f t="shared" ref="H38" si="296">(H39-H34)/5+H37</f>
        <v>36891.721173999991</v>
      </c>
      <c r="I38" s="3">
        <f t="shared" ref="I38" si="297">(I39-I34)/5+I37</f>
        <v>23057.298535999995</v>
      </c>
      <c r="J38" s="3">
        <f t="shared" ref="J38" si="298">(J39-J34)/5+J37</f>
        <v>37181.579880000005</v>
      </c>
      <c r="K38" s="3">
        <f t="shared" ref="K38" si="299">(K39-K34)/5+K37</f>
        <v>6126.92994</v>
      </c>
      <c r="L38" s="3">
        <f t="shared" ref="L38" si="300">(L39-L34)/5+L37</f>
        <v>4603.4557200000008</v>
      </c>
      <c r="M38" s="3">
        <f t="shared" ref="M38" si="301">(M39-M34)/5+M37</f>
        <v>23365.285741999996</v>
      </c>
      <c r="N38" s="3">
        <f t="shared" ref="N38" si="302">(N39-N34)/5+N37</f>
        <v>19351.334550000007</v>
      </c>
      <c r="O38" s="3">
        <f t="shared" ref="O38" si="303">(O39-O34)/5+O37</f>
        <v>4910.8182000000015</v>
      </c>
      <c r="P38" s="3">
        <f t="shared" ref="P38" si="304">(P39-P34)/5+P37</f>
        <v>50639.085840000007</v>
      </c>
      <c r="Q38" s="3">
        <f t="shared" ref="Q38" si="305">(Q39-Q34)/5+Q37</f>
        <v>22208.117800999993</v>
      </c>
      <c r="R38" s="3">
        <f t="shared" ref="R38" si="306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>G38+G38*Sheet1!$E$52</f>
        <v>51.903860615115391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7">(C44-C39)/5+C39</f>
        <v>59054.77659999999</v>
      </c>
      <c r="D40" s="4">
        <f t="shared" ref="D40" si="308">(D44-D39)/5+D39</f>
        <v>6854.0639999999994</v>
      </c>
      <c r="E40" s="4">
        <f t="shared" ref="E40" si="309">(E44-E39)/5+E39</f>
        <v>6512.924</v>
      </c>
      <c r="F40" s="4">
        <f t="shared" ref="F40" si="310">(F44-F39)/5+F39</f>
        <v>133.334</v>
      </c>
      <c r="G40" s="22">
        <f>G39+G39*Sheet1!$E$52</f>
        <v>52.033781616197196</v>
      </c>
      <c r="H40" s="4">
        <f t="shared" ref="H40" si="311">(H44-H39)/5+H39</f>
        <v>37733.159478000001</v>
      </c>
      <c r="I40" s="4">
        <f t="shared" ref="I40" si="312">(I44-I39)/5+I39</f>
        <v>24240.384512000001</v>
      </c>
      <c r="J40" s="4">
        <f t="shared" ref="J40" si="313">(J44-J39)/5+J39</f>
        <v>38136.56162</v>
      </c>
      <c r="K40" s="4">
        <f t="shared" ref="K40" si="314">(K44-K39)/5+K39</f>
        <v>6212.4034000000001</v>
      </c>
      <c r="L40" s="4">
        <f t="shared" ref="L40" si="315">(L44-L39)/5+L39</f>
        <v>4799.75198</v>
      </c>
      <c r="M40" s="4">
        <f t="shared" ref="M40" si="316">(M44-M39)/5+M39</f>
        <v>24685.544355999999</v>
      </c>
      <c r="N40" s="4">
        <f t="shared" ref="N40" si="317">(N44-N39)/5+N39</f>
        <v>21181.827412000002</v>
      </c>
      <c r="O40" s="4">
        <f t="shared" ref="O40" si="318">(O44-O39)/5+O39</f>
        <v>5139.3432000000003</v>
      </c>
      <c r="P40" s="4">
        <f t="shared" ref="P40" si="319">(P44-P39)/5+P39</f>
        <v>53855.116600000001</v>
      </c>
      <c r="Q40" s="4">
        <f t="shared" ref="Q40" si="320">(Q44-Q39)/5+Q39</f>
        <v>23007.638177999997</v>
      </c>
      <c r="R40" s="4">
        <f t="shared" ref="R40" si="321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2">(C44-C39)/5+C40</f>
        <v>59715.333199999994</v>
      </c>
      <c r="D41" s="3">
        <f t="shared" ref="D41" si="323">(D44-D39)/5+D40</f>
        <v>6892.5179999999991</v>
      </c>
      <c r="E41" s="3">
        <f t="shared" ref="E41" si="324">(E44-E39)/5+E40</f>
        <v>6622.9880000000003</v>
      </c>
      <c r="F41" s="3">
        <f t="shared" ref="F41" si="325">(F44-F39)/5+F40</f>
        <v>137.62700000000001</v>
      </c>
      <c r="G41" s="22">
        <f>G40+G40*Sheet1!$E$52</f>
        <v>52.164027823657143</v>
      </c>
      <c r="H41" s="3">
        <f t="shared" ref="H41" si="326">(H44-H39)/5+H40</f>
        <v>38159.425356</v>
      </c>
      <c r="I41" s="3">
        <f t="shared" ref="I41" si="327">(I44-I39)/5+I40</f>
        <v>24848.684364000001</v>
      </c>
      <c r="J41" s="3">
        <f t="shared" ref="J41" si="328">(J44-J39)/5+J40</f>
        <v>38613.526440000001</v>
      </c>
      <c r="K41" s="3">
        <f t="shared" ref="K41" si="329">(K44-K39)/5+K40</f>
        <v>6253.7610000000004</v>
      </c>
      <c r="L41" s="3">
        <f t="shared" ref="L41" si="330">(L44-L39)/5+L40</f>
        <v>4902.3775599999999</v>
      </c>
      <c r="M41" s="3">
        <f t="shared" ref="M41" si="331">(M44-M39)/5+M40</f>
        <v>25378.552961999998</v>
      </c>
      <c r="N41" s="3">
        <f t="shared" ref="N41" si="332">(N44-N39)/5+N40</f>
        <v>22187.581874000003</v>
      </c>
      <c r="O41" s="3">
        <f t="shared" ref="O41" si="333">(O44-O39)/5+O40</f>
        <v>5253.7264000000005</v>
      </c>
      <c r="P41" s="3">
        <f t="shared" ref="P41" si="334">(P44-P39)/5+P40</f>
        <v>55529.479500000001</v>
      </c>
      <c r="Q41" s="3">
        <f t="shared" ref="Q41" si="335">(Q44-Q39)/5+Q40</f>
        <v>23410.951415999996</v>
      </c>
      <c r="R41" s="3">
        <f t="shared" ref="R41" si="336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7">(C44-C39)/5+C41</f>
        <v>60375.889799999997</v>
      </c>
      <c r="D42" s="3">
        <f t="shared" ref="D42" si="338">(D44-D39)/5+D41</f>
        <v>6930.9719999999988</v>
      </c>
      <c r="E42" s="3">
        <f t="shared" ref="E42" si="339">(E44-E39)/5+E41</f>
        <v>6733.0520000000006</v>
      </c>
      <c r="F42" s="3">
        <f t="shared" ref="F42" si="340">(F44-F39)/5+F41</f>
        <v>141.92000000000002</v>
      </c>
      <c r="G42" s="22">
        <f>G41+G41*Sheet1!$E$52</f>
        <v>52.294600051522117</v>
      </c>
      <c r="H42" s="3">
        <f t="shared" ref="H42" si="341">(H44-H39)/5+H41</f>
        <v>38585.691233999998</v>
      </c>
      <c r="I42" s="3">
        <f t="shared" ref="I42" si="342">(I44-I39)/5+I41</f>
        <v>25456.984216000001</v>
      </c>
      <c r="J42" s="3">
        <f t="shared" ref="J42" si="343">(J44-J39)/5+J41</f>
        <v>39090.491260000003</v>
      </c>
      <c r="K42" s="3">
        <f t="shared" ref="K42" si="344">(K44-K39)/5+K41</f>
        <v>6295.1186000000007</v>
      </c>
      <c r="L42" s="3">
        <f t="shared" ref="L42" si="345">(L44-L39)/5+L41</f>
        <v>5005.0031399999998</v>
      </c>
      <c r="M42" s="3">
        <f t="shared" ref="M42" si="346">(M44-M39)/5+M41</f>
        <v>26071.561567999997</v>
      </c>
      <c r="N42" s="3">
        <f t="shared" ref="N42" si="347">(N44-N39)/5+N41</f>
        <v>23193.336336000004</v>
      </c>
      <c r="O42" s="3">
        <f t="shared" ref="O42" si="348">(O44-O39)/5+O41</f>
        <v>5368.1096000000007</v>
      </c>
      <c r="P42" s="3">
        <f t="shared" ref="P42" si="349">(P44-P39)/5+P41</f>
        <v>57203.842400000001</v>
      </c>
      <c r="Q42" s="3">
        <f t="shared" ref="Q42" si="350">(Q44-Q39)/5+Q41</f>
        <v>23814.264653999995</v>
      </c>
      <c r="R42" s="3">
        <f t="shared" ref="R42" si="351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2">(C44-C39)/5+C42</f>
        <v>61036.446400000001</v>
      </c>
      <c r="D43" s="3">
        <f t="shared" ref="D43" si="353">(D44-D39)/5+D42</f>
        <v>6969.4259999999986</v>
      </c>
      <c r="E43" s="3">
        <f t="shared" ref="E43" si="354">(E44-E39)/5+E42</f>
        <v>6843.1160000000009</v>
      </c>
      <c r="F43" s="3">
        <f t="shared" ref="F43" si="355">(F44-F39)/5+F42</f>
        <v>146.21300000000002</v>
      </c>
      <c r="G43" s="22">
        <f>G42+G42*Sheet1!$E$52</f>
        <v>52.42549911585661</v>
      </c>
      <c r="H43" s="3">
        <f t="shared" ref="H43" si="356">(H44-H39)/5+H42</f>
        <v>39011.957111999996</v>
      </c>
      <c r="I43" s="3">
        <f t="shared" ref="I43" si="357">(I44-I39)/5+I42</f>
        <v>26065.284068000001</v>
      </c>
      <c r="J43" s="3">
        <f t="shared" ref="J43" si="358">(J44-J39)/5+J42</f>
        <v>39567.456080000004</v>
      </c>
      <c r="K43" s="3">
        <f t="shared" ref="K43" si="359">(K44-K39)/5+K42</f>
        <v>6336.476200000001</v>
      </c>
      <c r="L43" s="3">
        <f t="shared" ref="L43" si="360">(L44-L39)/5+L42</f>
        <v>5107.6287199999997</v>
      </c>
      <c r="M43" s="3">
        <f t="shared" ref="M43" si="361">(M44-M39)/5+M42</f>
        <v>26764.570173999997</v>
      </c>
      <c r="N43" s="3">
        <f t="shared" ref="N43" si="362">(N44-N39)/5+N42</f>
        <v>24199.090798000005</v>
      </c>
      <c r="O43" s="3">
        <f t="shared" ref="O43" si="363">(O44-O39)/5+O42</f>
        <v>5482.4928000000009</v>
      </c>
      <c r="P43" s="3">
        <f t="shared" ref="P43" si="364">(P44-P39)/5+P42</f>
        <v>58878.205300000001</v>
      </c>
      <c r="Q43" s="3">
        <f t="shared" ref="Q43" si="365">(Q44-Q39)/5+Q42</f>
        <v>24217.577891999994</v>
      </c>
      <c r="R43" s="3">
        <f t="shared" ref="R43" si="366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>G43+G43*Sheet1!$E$52</f>
        <v>52.556725834767803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7">(C49-C44)/5+C44</f>
        <v>62322.84</v>
      </c>
      <c r="D45" s="4">
        <f t="shared" ref="D45" si="368">(D49-D44)/5+D44</f>
        <v>7041.0240000000003</v>
      </c>
      <c r="E45" s="4">
        <f t="shared" ref="E45" si="369">(E49-E44)/5+E44</f>
        <v>7069.9140000000007</v>
      </c>
      <c r="F45" s="4">
        <f t="shared" ref="F45" si="370">(F49-F44)/5+F44</f>
        <v>155.4462</v>
      </c>
      <c r="G45" s="22">
        <f>G44+G44*Sheet1!$E$52</f>
        <v>52.688281028410692</v>
      </c>
      <c r="H45" s="4">
        <f t="shared" ref="H45" si="371">(H49-H44)/5+H44</f>
        <v>39876.915574000006</v>
      </c>
      <c r="I45" s="4">
        <f t="shared" ref="I45" si="372">(I49-I44)/5+I44</f>
        <v>27318.845670000002</v>
      </c>
      <c r="J45" s="4">
        <f t="shared" ref="J45" si="373">(J49-J44)/5+J44</f>
        <v>40512.958679999996</v>
      </c>
      <c r="K45" s="4">
        <f t="shared" ref="K45" si="374">(K49-K44)/5+K44</f>
        <v>6417.26746</v>
      </c>
      <c r="L45" s="4">
        <f t="shared" ref="L45" si="375">(L49-L44)/5+L44</f>
        <v>5322.1086999999998</v>
      </c>
      <c r="M45" s="4">
        <f t="shared" ref="M45" si="376">(M49-M44)/5+M44</f>
        <v>28211.438303999999</v>
      </c>
      <c r="N45" s="4">
        <f t="shared" ref="N45" si="377">(N49-N44)/5+N44</f>
        <v>26417.704497999999</v>
      </c>
      <c r="O45" s="4">
        <f t="shared" ref="O45" si="378">(O49-O44)/5+O44</f>
        <v>5711.4768000000004</v>
      </c>
      <c r="P45" s="4">
        <f t="shared" ref="P45" si="379">(P49-P44)/5+P44</f>
        <v>62347.467779999992</v>
      </c>
      <c r="Q45" s="4">
        <f t="shared" ref="Q45" si="380">(Q49-Q44)/5+Q44</f>
        <v>25029.608307999999</v>
      </c>
      <c r="R45" s="4">
        <f t="shared" ref="R45" si="381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2">(C49-C44)/5+C45</f>
        <v>62948.676999999996</v>
      </c>
      <c r="D46" s="3">
        <f t="shared" ref="D46" si="383">(D49-D44)/5+D45</f>
        <v>7074.1680000000006</v>
      </c>
      <c r="E46" s="3">
        <f t="shared" ref="E46" si="384">(E49-E44)/5+E45</f>
        <v>7186.648000000001</v>
      </c>
      <c r="F46" s="3">
        <f t="shared" ref="F46" si="385">(F49-F44)/5+F45</f>
        <v>160.38640000000001</v>
      </c>
      <c r="G46" s="22">
        <f>G45+G45*Sheet1!$E$52</f>
        <v>52.820165518993214</v>
      </c>
      <c r="H46" s="3">
        <f t="shared" ref="H46" si="386">(H49-H44)/5+H45</f>
        <v>40315.60815800001</v>
      </c>
      <c r="I46" s="3">
        <f t="shared" ref="I46" si="387">(I49-I44)/5+I45</f>
        <v>27964.107420000004</v>
      </c>
      <c r="J46" s="3">
        <f t="shared" ref="J46" si="388">(J49-J44)/5+J45</f>
        <v>40981.496459999995</v>
      </c>
      <c r="K46" s="3">
        <f t="shared" ref="K46" si="389">(K49-K44)/5+K45</f>
        <v>6456.7011199999997</v>
      </c>
      <c r="L46" s="3">
        <f t="shared" ref="L46" si="390">(L49-L44)/5+L45</f>
        <v>5433.9630999999999</v>
      </c>
      <c r="M46" s="3">
        <f t="shared" ref="M46" si="391">(M49-M44)/5+M45</f>
        <v>28965.297827999999</v>
      </c>
      <c r="N46" s="3">
        <f t="shared" ref="N46" si="392">(N49-N44)/5+N45</f>
        <v>27630.563736</v>
      </c>
      <c r="O46" s="3">
        <f t="shared" ref="O46" si="393">(O49-O44)/5+O45</f>
        <v>5826.0776000000005</v>
      </c>
      <c r="P46" s="3">
        <f t="shared" ref="P46" si="394">(P49-P44)/5+P45</f>
        <v>64142.367359999997</v>
      </c>
      <c r="Q46" s="3">
        <f t="shared" ref="Q46" si="395">(Q49-Q44)/5+Q45</f>
        <v>25438.325485999998</v>
      </c>
      <c r="R46" s="3">
        <f t="shared" ref="R46" si="396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7">(C49-C44)/5+C46</f>
        <v>63574.513999999996</v>
      </c>
      <c r="D47" s="3">
        <f t="shared" ref="D47" si="398">(D49-D44)/5+D46</f>
        <v>7107.3120000000008</v>
      </c>
      <c r="E47" s="3">
        <f t="shared" ref="E47" si="399">(E49-E44)/5+E46</f>
        <v>7303.3820000000014</v>
      </c>
      <c r="F47" s="3">
        <f t="shared" ref="F47" si="400">(F49-F44)/5+F46</f>
        <v>165.32660000000001</v>
      </c>
      <c r="G47" s="22">
        <f>G46+G46*Sheet1!$E$52</f>
        <v>52.952380130781371</v>
      </c>
      <c r="H47" s="3">
        <f t="shared" ref="H47" si="401">(H49-H44)/5+H46</f>
        <v>40754.300742000014</v>
      </c>
      <c r="I47" s="3">
        <f t="shared" ref="I47" si="402">(I49-I44)/5+I46</f>
        <v>28609.369170000005</v>
      </c>
      <c r="J47" s="3">
        <f t="shared" ref="J47" si="403">(J49-J44)/5+J46</f>
        <v>41450.034239999994</v>
      </c>
      <c r="K47" s="3">
        <f t="shared" ref="K47" si="404">(K49-K44)/5+K46</f>
        <v>6496.1347799999994</v>
      </c>
      <c r="L47" s="3">
        <f t="shared" ref="L47" si="405">(L49-L44)/5+L46</f>
        <v>5545.8175000000001</v>
      </c>
      <c r="M47" s="3">
        <f t="shared" ref="M47" si="406">(M49-M44)/5+M46</f>
        <v>29719.157351999998</v>
      </c>
      <c r="N47" s="3">
        <f t="shared" ref="N47" si="407">(N49-N44)/5+N46</f>
        <v>28843.422974000001</v>
      </c>
      <c r="O47" s="3">
        <f t="shared" ref="O47" si="408">(O49-O44)/5+O46</f>
        <v>5940.6784000000007</v>
      </c>
      <c r="P47" s="3">
        <f t="shared" ref="P47" si="409">(P49-P44)/5+P46</f>
        <v>65937.266940000001</v>
      </c>
      <c r="Q47" s="3">
        <f t="shared" ref="Q47" si="410">(Q49-Q44)/5+Q46</f>
        <v>25847.042663999997</v>
      </c>
      <c r="R47" s="3">
        <f t="shared" ref="R47" si="411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2">(C49-C44)/5+C47</f>
        <v>64200.350999999995</v>
      </c>
      <c r="D48" s="3">
        <f t="shared" ref="D48" si="413">(D49-D44)/5+D47</f>
        <v>7140.456000000001</v>
      </c>
      <c r="E48" s="3">
        <f t="shared" ref="E48" si="414">(E49-E44)/5+E47</f>
        <v>7420.1160000000018</v>
      </c>
      <c r="F48" s="3">
        <f t="shared" ref="F48" si="415">(F49-F44)/5+F47</f>
        <v>170.26680000000002</v>
      </c>
      <c r="G48" s="22">
        <f>G47+G47*Sheet1!$E$52</f>
        <v>53.084925690104406</v>
      </c>
      <c r="H48" s="3">
        <f t="shared" ref="H48" si="416">(H49-H44)/5+H47</f>
        <v>41192.993326000018</v>
      </c>
      <c r="I48" s="3">
        <f t="shared" ref="I48" si="417">(I49-I44)/5+I47</f>
        <v>29254.630920000007</v>
      </c>
      <c r="J48" s="3">
        <f t="shared" ref="J48" si="418">(J49-J44)/5+J47</f>
        <v>41918.572019999992</v>
      </c>
      <c r="K48" s="3">
        <f t="shared" ref="K48" si="419">(K49-K44)/5+K47</f>
        <v>6535.5684399999991</v>
      </c>
      <c r="L48" s="3">
        <f t="shared" ref="L48" si="420">(L49-L44)/5+L47</f>
        <v>5657.6719000000003</v>
      </c>
      <c r="M48" s="3">
        <f t="shared" ref="M48" si="421">(M49-M44)/5+M47</f>
        <v>30473.016875999998</v>
      </c>
      <c r="N48" s="3">
        <f t="shared" ref="N48" si="422">(N49-N44)/5+N47</f>
        <v>30056.282212000002</v>
      </c>
      <c r="O48" s="3">
        <f t="shared" ref="O48" si="423">(O49-O44)/5+O47</f>
        <v>6055.2792000000009</v>
      </c>
      <c r="P48" s="3">
        <f t="shared" ref="P48" si="424">(P49-P44)/5+P47</f>
        <v>67732.166519999999</v>
      </c>
      <c r="Q48" s="3">
        <f t="shared" ref="Q48" si="425">(Q49-Q44)/5+Q47</f>
        <v>26255.759841999996</v>
      </c>
      <c r="R48" s="3">
        <f t="shared" ref="R48" si="426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>G48+G48*Sheet1!$E$52</f>
        <v>53.217803025359949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7">(C54-C49)/5+C49</f>
        <v>65329.606</v>
      </c>
      <c r="D50" s="4">
        <f t="shared" ref="D50" si="428">(D54-D49)/5+D49</f>
        <v>7200.2400000000007</v>
      </c>
      <c r="E50" s="4">
        <f t="shared" ref="E50" si="429">(E54-E49)/5+E49</f>
        <v>7658.5300000000007</v>
      </c>
      <c r="F50" s="4">
        <f t="shared" ref="F50" si="430">(F54-F49)/5+F49</f>
        <v>180.63339999999999</v>
      </c>
      <c r="G50" s="22">
        <f>G49+G49*Sheet1!$E$52</f>
        <v>53.351012967019194</v>
      </c>
      <c r="H50" s="4">
        <f t="shared" ref="H50" si="431">(H54-H49)/5+H49</f>
        <v>42066.690824000005</v>
      </c>
      <c r="I50" s="4">
        <f t="shared" ref="I50" si="432">(I54-I49)/5+I49</f>
        <v>30567.527312000002</v>
      </c>
      <c r="J50" s="4">
        <f t="shared" ref="J50" si="433">(J54-J49)/5+J49</f>
        <v>42826.903480000001</v>
      </c>
      <c r="K50" s="4">
        <f t="shared" ref="K50" si="434">(K54-K49)/5+K49</f>
        <v>6609.6416199999994</v>
      </c>
      <c r="L50" s="4">
        <f t="shared" ref="L50" si="435">(L54-L49)/5+L49</f>
        <v>5887.5141400000002</v>
      </c>
      <c r="M50" s="4">
        <f t="shared" ref="M50" si="436">(M54-M49)/5+M49</f>
        <v>32014.023983999999</v>
      </c>
      <c r="N50" s="4">
        <f t="shared" ref="N50" si="437">(N54-N49)/5+N49</f>
        <v>32700.140414000001</v>
      </c>
      <c r="O50" s="4">
        <f t="shared" ref="O50" si="438">(O54-O49)/5+O49</f>
        <v>6281.8271999999997</v>
      </c>
      <c r="P50" s="4">
        <f t="shared" ref="P50" si="439">(P54-P49)/5+P49</f>
        <v>71387.577619999996</v>
      </c>
      <c r="Q50" s="4">
        <f t="shared" ref="Q50" si="440">(Q54-Q49)/5+Q49</f>
        <v>27070.129161999997</v>
      </c>
      <c r="R50" s="4">
        <f t="shared" ref="R50" si="441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2">(C54-C49)/5+C50</f>
        <v>65833.024000000005</v>
      </c>
      <c r="D51" s="3">
        <f t="shared" ref="D51" si="443">(D54-D49)/5+D50</f>
        <v>7226.880000000001</v>
      </c>
      <c r="E51" s="3">
        <f t="shared" ref="E51" si="444">(E54-E49)/5+E50</f>
        <v>7780.2100000000009</v>
      </c>
      <c r="F51" s="3">
        <f t="shared" ref="F51" si="445">(F54-F49)/5+F50</f>
        <v>186.0598</v>
      </c>
      <c r="G51" s="22">
        <f>G50+G50*Sheet1!$E$52</f>
        <v>53.4845563476321</v>
      </c>
      <c r="H51" s="3">
        <f t="shared" ref="H51" si="446">(H54-H49)/5+H50</f>
        <v>42501.695738000002</v>
      </c>
      <c r="I51" s="3">
        <f t="shared" ref="I51" si="447">(I54-I49)/5+I50</f>
        <v>31235.161954000003</v>
      </c>
      <c r="J51" s="3">
        <f t="shared" ref="J51" si="448">(J54-J49)/5+J50</f>
        <v>43266.697160000003</v>
      </c>
      <c r="K51" s="3">
        <f t="shared" ref="K51" si="449">(K54-K49)/5+K50</f>
        <v>6644.2811399999991</v>
      </c>
      <c r="L51" s="3">
        <f t="shared" ref="L51" si="450">(L54-L49)/5+L50</f>
        <v>6005.50198</v>
      </c>
      <c r="M51" s="3">
        <f t="shared" ref="M51" si="451">(M54-M49)/5+M50</f>
        <v>32801.171567999998</v>
      </c>
      <c r="N51" s="3">
        <f t="shared" ref="N51" si="452">(N54-N49)/5+N50</f>
        <v>34131.139378</v>
      </c>
      <c r="O51" s="3">
        <f t="shared" ref="O51" si="453">(O54-O49)/5+O50</f>
        <v>6393.7744000000002</v>
      </c>
      <c r="P51" s="3">
        <f t="shared" ref="P51" si="454">(P54-P49)/5+P50</f>
        <v>73248.089139999996</v>
      </c>
      <c r="Q51" s="3">
        <f t="shared" ref="Q51" si="455">(Q54-Q49)/5+Q50</f>
        <v>27475.781303999996</v>
      </c>
      <c r="R51" s="3">
        <f t="shared" ref="R51" si="456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7">(C54-C49)/5+C51</f>
        <v>66336.44200000001</v>
      </c>
      <c r="D52" s="3">
        <f t="shared" ref="D52" si="458">(D54-D49)/5+D51</f>
        <v>7253.5200000000013</v>
      </c>
      <c r="E52" s="3">
        <f t="shared" ref="E52" si="459">(E54-E49)/5+E51</f>
        <v>7901.8900000000012</v>
      </c>
      <c r="F52" s="3">
        <f t="shared" ref="F52" si="460">(F54-F49)/5+F51</f>
        <v>191.4862</v>
      </c>
      <c r="G52" s="22">
        <f>G51+G51*Sheet1!$E$52</f>
        <v>53.618434001832583</v>
      </c>
      <c r="H52" s="3">
        <f t="shared" ref="H52" si="461">(H54-H49)/5+H51</f>
        <v>42936.700652</v>
      </c>
      <c r="I52" s="3">
        <f t="shared" ref="I52" si="462">(I54-I49)/5+I51</f>
        <v>31902.796596000004</v>
      </c>
      <c r="J52" s="3">
        <f t="shared" ref="J52" si="463">(J54-J49)/5+J51</f>
        <v>43706.490840000006</v>
      </c>
      <c r="K52" s="3">
        <f t="shared" ref="K52" si="464">(K54-K49)/5+K51</f>
        <v>6678.9206599999989</v>
      </c>
      <c r="L52" s="3">
        <f t="shared" ref="L52" si="465">(L54-L49)/5+L51</f>
        <v>6123.4898199999998</v>
      </c>
      <c r="M52" s="3">
        <f t="shared" ref="M52" si="466">(M54-M49)/5+M51</f>
        <v>33588.319151999996</v>
      </c>
      <c r="N52" s="3">
        <f t="shared" ref="N52" si="467">(N54-N49)/5+N51</f>
        <v>35562.138341999998</v>
      </c>
      <c r="O52" s="3">
        <f t="shared" ref="O52" si="468">(O54-O49)/5+O51</f>
        <v>6505.7216000000008</v>
      </c>
      <c r="P52" s="3">
        <f t="shared" ref="P52" si="469">(P54-P49)/5+P51</f>
        <v>75108.600659999996</v>
      </c>
      <c r="Q52" s="3">
        <f t="shared" ref="Q52" si="470">(Q54-Q49)/5+Q51</f>
        <v>27881.433445999995</v>
      </c>
      <c r="R52" s="3">
        <f t="shared" ref="R52" si="471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2">(C54-C49)/5+C52</f>
        <v>66839.860000000015</v>
      </c>
      <c r="D53" s="3">
        <f t="shared" ref="D53" si="473">(D54-D49)/5+D52</f>
        <v>7280.1600000000017</v>
      </c>
      <c r="E53" s="3">
        <f t="shared" ref="E53" si="474">(E54-E49)/5+E52</f>
        <v>8023.5700000000015</v>
      </c>
      <c r="F53" s="3">
        <f t="shared" ref="F53" si="475">(F54-F49)/5+F52</f>
        <v>196.9126</v>
      </c>
      <c r="G53" s="22">
        <f>G52+G52*Sheet1!$E$52</f>
        <v>53.752646766343744</v>
      </c>
      <c r="H53" s="3">
        <f t="shared" ref="H53" si="476">(H54-H49)/5+H52</f>
        <v>43371.705565999997</v>
      </c>
      <c r="I53" s="3">
        <f t="shared" ref="I53" si="477">(I54-I49)/5+I52</f>
        <v>32570.431238000005</v>
      </c>
      <c r="J53" s="3">
        <f t="shared" ref="J53" si="478">(J54-J49)/5+J52</f>
        <v>44146.284520000008</v>
      </c>
      <c r="K53" s="3">
        <f t="shared" ref="K53" si="479">(K54-K49)/5+K52</f>
        <v>6713.5601799999986</v>
      </c>
      <c r="L53" s="3">
        <f t="shared" ref="L53" si="480">(L54-L49)/5+L52</f>
        <v>6241.4776599999996</v>
      </c>
      <c r="M53" s="3">
        <f t="shared" ref="M53" si="481">(M54-M49)/5+M52</f>
        <v>34375.466735999995</v>
      </c>
      <c r="N53" s="3">
        <f t="shared" ref="N53" si="482">(N54-N49)/5+N52</f>
        <v>36993.137305999997</v>
      </c>
      <c r="O53" s="3">
        <f t="shared" ref="O53" si="483">(O54-O49)/5+O52</f>
        <v>6617.6688000000013</v>
      </c>
      <c r="P53" s="3">
        <f t="shared" ref="P53" si="484">(P54-P49)/5+P52</f>
        <v>76969.112179999996</v>
      </c>
      <c r="Q53" s="3">
        <f t="shared" ref="Q53" si="485">(Q54-Q49)/5+Q52</f>
        <v>28287.085587999994</v>
      </c>
      <c r="R53" s="3">
        <f t="shared" ref="R53" si="486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>G53+G53*Sheet1!$E$52</f>
        <v>53.887195479983099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7">(C59-C54)/5+C54</f>
        <v>67717.769</v>
      </c>
      <c r="D55" s="4">
        <f t="shared" ref="D55" si="488">(D59-D54)/5+D54</f>
        <v>7328.06</v>
      </c>
      <c r="E55" s="4">
        <f t="shared" ref="E55" si="489">(E59-E54)/5+E54</f>
        <v>8268.4699999999993</v>
      </c>
      <c r="F55" s="4">
        <f t="shared" ref="F55" si="490">(F59-F54)/5+F54</f>
        <v>208.17599999999999</v>
      </c>
      <c r="G55" s="22">
        <f>G54+G54*Sheet1!$E$52</f>
        <v>54.022080983667799</v>
      </c>
      <c r="H55" s="4">
        <f t="shared" ref="H55" si="491">(H59-H54)/5+H54</f>
        <v>44232.836614</v>
      </c>
      <c r="I55" s="4">
        <f t="shared" ref="I55" si="492">(I59-I54)/5+I54</f>
        <v>33919.444007999999</v>
      </c>
      <c r="J55" s="4">
        <f t="shared" ref="J55" si="493">(J59-J54)/5+J54</f>
        <v>44994.813480000004</v>
      </c>
      <c r="K55" s="4">
        <f t="shared" ref="K55" si="494">(K59-K54)/5+K54</f>
        <v>6777.3133399999997</v>
      </c>
      <c r="L55" s="4">
        <f t="shared" ref="L55" si="495">(L59-L54)/5+L54</f>
        <v>6481.2070000000003</v>
      </c>
      <c r="M55" s="4">
        <f t="shared" ref="M55" si="496">(M59-M54)/5+M54</f>
        <v>35982.545923999998</v>
      </c>
      <c r="N55" s="4">
        <f t="shared" ref="N55" si="497">(N59-N54)/5+N54</f>
        <v>40094.010898</v>
      </c>
      <c r="O55" s="4">
        <f t="shared" ref="O55" si="498">(O59-O54)/5+O54</f>
        <v>6834.2695999999996</v>
      </c>
      <c r="P55" s="4">
        <f t="shared" ref="P55" si="499">(P59-P54)/5+P54</f>
        <v>80749.214540000001</v>
      </c>
      <c r="Q55" s="4">
        <f t="shared" ref="Q55" si="500">(Q59-Q54)/5+Q54</f>
        <v>29093.015943999999</v>
      </c>
      <c r="R55" s="4">
        <f t="shared" ref="R55" si="501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2">(C59-C54)/5+C55</f>
        <v>68092.260000000009</v>
      </c>
      <c r="D56" s="3">
        <f t="shared" ref="D56" si="503">(D59-D54)/5+D55</f>
        <v>7349.3200000000006</v>
      </c>
      <c r="E56" s="3">
        <f t="shared" ref="E56" si="504">(E59-E54)/5+E55</f>
        <v>8391.6899999999987</v>
      </c>
      <c r="F56" s="3">
        <f t="shared" ref="F56" si="505">(F59-F54)/5+F55</f>
        <v>214.01299999999998</v>
      </c>
      <c r="G56" s="22">
        <f>G55+G55*Sheet1!$E$52</f>
        <v>54.157304120419916</v>
      </c>
      <c r="H56" s="3">
        <f t="shared" ref="H56" si="506">(H59-H54)/5+H55</f>
        <v>44658.962747999998</v>
      </c>
      <c r="I56" s="3">
        <f t="shared" ref="I56" si="507">(I59-I54)/5+I55</f>
        <v>34600.822135999995</v>
      </c>
      <c r="J56" s="3">
        <f t="shared" ref="J56" si="508">(J59-J54)/5+J55</f>
        <v>45403.548760000005</v>
      </c>
      <c r="K56" s="3">
        <f t="shared" ref="K56" si="509">(K59-K54)/5+K55</f>
        <v>6806.4269799999993</v>
      </c>
      <c r="L56" s="3">
        <f t="shared" ref="L56" si="510">(L59-L54)/5+L55</f>
        <v>6602.9485000000004</v>
      </c>
      <c r="M56" s="3">
        <f t="shared" ref="M56" si="511">(M59-M54)/5+M55</f>
        <v>36802.477527999996</v>
      </c>
      <c r="N56" s="3">
        <f t="shared" ref="N56" si="512">(N59-N54)/5+N55</f>
        <v>41763.885525999998</v>
      </c>
      <c r="O56" s="3">
        <f t="shared" ref="O56" si="513">(O59-O54)/5+O55</f>
        <v>6938.9231999999993</v>
      </c>
      <c r="P56" s="3">
        <f t="shared" ref="P56" si="514">(P59-P54)/5+P55</f>
        <v>82668.805380000005</v>
      </c>
      <c r="Q56" s="3">
        <f t="shared" ref="Q56" si="515">(Q59-Q54)/5+Q55</f>
        <v>29493.294157999997</v>
      </c>
      <c r="R56" s="3">
        <f t="shared" ref="R56" si="516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7">(C59-C54)/5+C56</f>
        <v>68466.751000000018</v>
      </c>
      <c r="D57" s="3">
        <f t="shared" ref="D57" si="518">(D59-D54)/5+D56</f>
        <v>7370.5800000000008</v>
      </c>
      <c r="E57" s="3">
        <f t="shared" ref="E57" si="519">(E59-E54)/5+E56</f>
        <v>8514.909999999998</v>
      </c>
      <c r="F57" s="3">
        <f t="shared" ref="F57" si="520">(F59-F54)/5+F56</f>
        <v>219.84999999999997</v>
      </c>
      <c r="G57" s="22">
        <f>G56+G56*Sheet1!$E$52</f>
        <v>54.292865735371691</v>
      </c>
      <c r="H57" s="3">
        <f t="shared" ref="H57" si="521">(H59-H54)/5+H56</f>
        <v>45085.088881999996</v>
      </c>
      <c r="I57" s="3">
        <f t="shared" ref="I57" si="522">(I59-I54)/5+I56</f>
        <v>35282.200263999992</v>
      </c>
      <c r="J57" s="3">
        <f t="shared" ref="J57" si="523">(J59-J54)/5+J56</f>
        <v>45812.284040000006</v>
      </c>
      <c r="K57" s="3">
        <f t="shared" ref="K57" si="524">(K59-K54)/5+K56</f>
        <v>6835.5406199999989</v>
      </c>
      <c r="L57" s="3">
        <f t="shared" ref="L57" si="525">(L59-L54)/5+L56</f>
        <v>6724.6900000000005</v>
      </c>
      <c r="M57" s="3">
        <f t="shared" ref="M57" si="526">(M59-M54)/5+M56</f>
        <v>37622.409131999993</v>
      </c>
      <c r="N57" s="3">
        <f t="shared" ref="N57" si="527">(N59-N54)/5+N56</f>
        <v>43433.760153999996</v>
      </c>
      <c r="O57" s="3">
        <f t="shared" ref="O57" si="528">(O59-O54)/5+O56</f>
        <v>7043.5767999999989</v>
      </c>
      <c r="P57" s="3">
        <f t="shared" ref="P57" si="529">(P59-P54)/5+P56</f>
        <v>84588.39622000001</v>
      </c>
      <c r="Q57" s="3">
        <f t="shared" ref="Q57" si="530">(Q59-Q54)/5+Q56</f>
        <v>29893.572371999995</v>
      </c>
      <c r="R57" s="3">
        <f t="shared" ref="R57" si="531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2">(C59-C54)/5+C57</f>
        <v>68841.242000000027</v>
      </c>
      <c r="D58" s="3">
        <f t="shared" ref="D58" si="533">(D59-D54)/5+D57</f>
        <v>7391.8400000000011</v>
      </c>
      <c r="E58" s="3">
        <f t="shared" ref="E58" si="534">(E59-E54)/5+E57</f>
        <v>8638.1299999999974</v>
      </c>
      <c r="F58" s="3">
        <f t="shared" ref="F58" si="535">(F59-F54)/5+F57</f>
        <v>225.68699999999995</v>
      </c>
      <c r="G58" s="22">
        <f>G57+G57*Sheet1!$E$52</f>
        <v>54.428766675770824</v>
      </c>
      <c r="H58" s="3">
        <f t="shared" ref="H58" si="536">(H59-H54)/5+H57</f>
        <v>45511.215015999995</v>
      </c>
      <c r="I58" s="3">
        <f t="shared" ref="I58" si="537">(I59-I54)/5+I57</f>
        <v>35963.578391999989</v>
      </c>
      <c r="J58" s="3">
        <f t="shared" ref="J58" si="538">(J59-J54)/5+J57</f>
        <v>46221.019320000007</v>
      </c>
      <c r="K58" s="3">
        <f t="shared" ref="K58" si="539">(K59-K54)/5+K57</f>
        <v>6864.6542599999984</v>
      </c>
      <c r="L58" s="3">
        <f t="shared" ref="L58" si="540">(L59-L54)/5+L57</f>
        <v>6846.4315000000006</v>
      </c>
      <c r="M58" s="3">
        <f t="shared" ref="M58" si="541">(M59-M54)/5+M57</f>
        <v>38442.340735999991</v>
      </c>
      <c r="N58" s="3">
        <f t="shared" ref="N58" si="542">(N59-N54)/5+N57</f>
        <v>45103.634781999994</v>
      </c>
      <c r="O58" s="3">
        <f t="shared" ref="O58" si="543">(O59-O54)/5+O57</f>
        <v>7148.2303999999986</v>
      </c>
      <c r="P58" s="3">
        <f t="shared" ref="P58" si="544">(P59-P54)/5+P57</f>
        <v>86507.987060000014</v>
      </c>
      <c r="Q58" s="3">
        <f t="shared" ref="Q58" si="545">(Q59-Q54)/5+Q57</f>
        <v>30293.850585999993</v>
      </c>
      <c r="R58" s="3">
        <f t="shared" ref="R58" si="546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>G58+G58*Sheet1!$E$52</f>
        <v>54.565007790985767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7">(C64-C59)/5+C59</f>
        <v>69490.551200000002</v>
      </c>
      <c r="D60" s="4">
        <f t="shared" ref="D60" si="548">(D64-D59)/5+D59</f>
        <v>7432.1940000000004</v>
      </c>
      <c r="E60" s="4">
        <f t="shared" ref="E60" si="549">(E64-E59)/5+E59</f>
        <v>8886.5879999999997</v>
      </c>
      <c r="F60" s="4">
        <f t="shared" ref="F60" si="550">(F64-F59)/5+F59</f>
        <v>237.7938</v>
      </c>
      <c r="G60" s="22">
        <f>G59+G59*Sheet1!$E$52</f>
        <v>54.701589932511034</v>
      </c>
      <c r="H60" s="4">
        <f t="shared" ref="H60" si="551">(H64-H59)/5+H59</f>
        <v>46351.629827999997</v>
      </c>
      <c r="I60" s="4">
        <f t="shared" ref="I60" si="552">(I64-I59)/5+I59</f>
        <v>37324.181213999997</v>
      </c>
      <c r="J60" s="4">
        <f t="shared" ref="J60" si="553">(J64-J59)/5+J59</f>
        <v>47005.413099999998</v>
      </c>
      <c r="K60" s="4">
        <f t="shared" ref="K60" si="554">(K64-K59)/5+K59</f>
        <v>6918.4346599999999</v>
      </c>
      <c r="L60" s="4">
        <f t="shared" ref="L60" si="555">(L64-L59)/5+L59</f>
        <v>7094.5455999999995</v>
      </c>
      <c r="M60" s="4">
        <f t="shared" ref="M60" si="556">(M64-M59)/5+M59</f>
        <v>40114.778792000005</v>
      </c>
      <c r="N60" s="4">
        <f t="shared" ref="N60" si="557">(N64-N59)/5+N59</f>
        <v>48690.982087999997</v>
      </c>
      <c r="O60" s="4">
        <f t="shared" ref="O60" si="558">(O64-O59)/5+O59</f>
        <v>7349.9179999999997</v>
      </c>
      <c r="P60" s="4">
        <f t="shared" ref="P60" si="559">(P64-P59)/5+P59</f>
        <v>90357.012119999999</v>
      </c>
      <c r="Q60" s="4">
        <f t="shared" ref="Q60" si="560">(Q64-Q59)/5+Q59</f>
        <v>31084.229987999999</v>
      </c>
      <c r="R60" s="4">
        <f t="shared" ref="R60" si="561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2">(C64-C59)/5+C60</f>
        <v>69765.369399999996</v>
      </c>
      <c r="D61" s="3">
        <f t="shared" ref="D61" si="563">(D64-D59)/5+D60</f>
        <v>7451.2880000000005</v>
      </c>
      <c r="E61" s="3">
        <f t="shared" ref="E61" si="564">(E64-E59)/5+E60</f>
        <v>9011.8259999999991</v>
      </c>
      <c r="F61" s="3">
        <f t="shared" ref="F61" si="565">(F64-F59)/5+F60</f>
        <v>244.06360000000001</v>
      </c>
      <c r="G61" s="22">
        <f>G60+G60*Sheet1!$E$52</f>
        <v>54.838513953972523</v>
      </c>
      <c r="H61" s="3">
        <f t="shared" ref="H61" si="566">(H64-H59)/5+H60</f>
        <v>46765.918505999995</v>
      </c>
      <c r="I61" s="3">
        <f t="shared" ref="I61" si="567">(I64-I59)/5+I60</f>
        <v>38003.405907999993</v>
      </c>
      <c r="J61" s="3">
        <f t="shared" ref="J61" si="568">(J64-J59)/5+J60</f>
        <v>47381.071599999996</v>
      </c>
      <c r="K61" s="3">
        <f t="shared" ref="K61" si="569">(K64-K59)/5+K60</f>
        <v>6943.10142</v>
      </c>
      <c r="L61" s="3">
        <f t="shared" ref="L61" si="570">(L64-L59)/5+L60</f>
        <v>7220.9181999999992</v>
      </c>
      <c r="M61" s="3">
        <f t="shared" ref="M61" si="571">(M64-M59)/5+M60</f>
        <v>40967.285244000006</v>
      </c>
      <c r="N61" s="3">
        <f t="shared" ref="N61" si="572">(N64-N59)/5+N60</f>
        <v>50608.454765999995</v>
      </c>
      <c r="O61" s="3">
        <f t="shared" ref="O61" si="573">(O64-O59)/5+O60</f>
        <v>7446.9519999999993</v>
      </c>
      <c r="P61" s="3">
        <f t="shared" ref="P61" si="574">(P64-P59)/5+P60</f>
        <v>92286.446339999995</v>
      </c>
      <c r="Q61" s="3">
        <f t="shared" ref="Q61" si="575">(Q64-Q59)/5+Q60</f>
        <v>31474.331176</v>
      </c>
      <c r="R61" s="3">
        <f t="shared" ref="R61" si="576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7">(C64-C59)/5+C61</f>
        <v>70040.18759999999</v>
      </c>
      <c r="D62" s="3">
        <f t="shared" ref="D62" si="578">(D64-D59)/5+D61</f>
        <v>7470.3820000000005</v>
      </c>
      <c r="E62" s="3">
        <f t="shared" ref="E62" si="579">(E64-E59)/5+E61</f>
        <v>9137.0639999999985</v>
      </c>
      <c r="F62" s="3">
        <f t="shared" ref="F62" si="580">(F64-F59)/5+F61</f>
        <v>250.33340000000001</v>
      </c>
      <c r="G62" s="22">
        <f>G61+G61*Sheet1!$E$52</f>
        <v>54.975780711132856</v>
      </c>
      <c r="H62" s="3">
        <f t="shared" ref="H62" si="581">(H64-H59)/5+H61</f>
        <v>47180.207183999992</v>
      </c>
      <c r="I62" s="3">
        <f t="shared" ref="I62" si="582">(I64-I59)/5+I61</f>
        <v>38682.63060199999</v>
      </c>
      <c r="J62" s="3">
        <f t="shared" ref="J62" si="583">(J64-J59)/5+J61</f>
        <v>47756.730099999993</v>
      </c>
      <c r="K62" s="3">
        <f t="shared" ref="K62" si="584">(K64-K59)/5+K61</f>
        <v>6967.76818</v>
      </c>
      <c r="L62" s="3">
        <f t="shared" ref="L62" si="585">(L64-L59)/5+L61</f>
        <v>7347.2907999999989</v>
      </c>
      <c r="M62" s="3">
        <f t="shared" ref="M62" si="586">(M64-M59)/5+M61</f>
        <v>41819.791696000008</v>
      </c>
      <c r="N62" s="3">
        <f t="shared" ref="N62" si="587">(N64-N59)/5+N61</f>
        <v>52525.927443999994</v>
      </c>
      <c r="O62" s="3">
        <f t="shared" ref="O62" si="588">(O64-O59)/5+O61</f>
        <v>7543.985999999999</v>
      </c>
      <c r="P62" s="3">
        <f t="shared" ref="P62" si="589">(P64-P59)/5+P61</f>
        <v>94215.880559999991</v>
      </c>
      <c r="Q62" s="3">
        <f t="shared" ref="Q62" si="590">(Q64-Q59)/5+Q61</f>
        <v>31864.432364</v>
      </c>
      <c r="R62" s="3">
        <f t="shared" ref="R62" si="591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2">(C64-C59)/5+C62</f>
        <v>70315.005799999984</v>
      </c>
      <c r="D63" s="3">
        <f t="shared" ref="D63" si="593">(D64-D59)/5+D62</f>
        <v>7489.4760000000006</v>
      </c>
      <c r="E63" s="3">
        <f t="shared" ref="E63" si="594">(E64-E59)/5+E62</f>
        <v>9262.3019999999979</v>
      </c>
      <c r="F63" s="3">
        <f t="shared" ref="F63" si="595">(F64-F59)/5+F62</f>
        <v>256.60320000000002</v>
      </c>
      <c r="G63" s="22">
        <f>G62+G62*Sheet1!$E$52</f>
        <v>55.113391061896706</v>
      </c>
      <c r="H63" s="3">
        <f t="shared" ref="H63" si="596">(H64-H59)/5+H62</f>
        <v>47594.495861999989</v>
      </c>
      <c r="I63" s="3">
        <f t="shared" ref="I63" si="597">(I64-I59)/5+I62</f>
        <v>39361.855295999987</v>
      </c>
      <c r="J63" s="3">
        <f t="shared" ref="J63" si="598">(J64-J59)/5+J62</f>
        <v>48132.388599999991</v>
      </c>
      <c r="K63" s="3">
        <f t="shared" ref="K63" si="599">(K64-K59)/5+K62</f>
        <v>6992.4349400000001</v>
      </c>
      <c r="L63" s="3">
        <f t="shared" ref="L63" si="600">(L64-L59)/5+L62</f>
        <v>7473.6633999999985</v>
      </c>
      <c r="M63" s="3">
        <f t="shared" ref="M63" si="601">(M64-M59)/5+M62</f>
        <v>42672.298148000009</v>
      </c>
      <c r="N63" s="3">
        <f t="shared" ref="N63" si="602">(N64-N59)/5+N62</f>
        <v>54443.400121999992</v>
      </c>
      <c r="O63" s="3">
        <f t="shared" ref="O63" si="603">(O64-O59)/5+O62</f>
        <v>7641.0199999999986</v>
      </c>
      <c r="P63" s="3">
        <f t="shared" ref="P63" si="604">(P64-P59)/5+P62</f>
        <v>96145.314779999986</v>
      </c>
      <c r="Q63" s="3">
        <f t="shared" ref="Q63" si="605">(Q64-Q59)/5+Q62</f>
        <v>32254.533552000001</v>
      </c>
      <c r="R63" s="3">
        <f t="shared" ref="R63" si="606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>G63+G63*Sheet1!$E$52</f>
        <v>55.251345866316193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7">(C69-C64)/5+C64</f>
        <v>70791.722800000003</v>
      </c>
      <c r="D65" s="4">
        <f t="shared" ref="D65" si="608">(D69-D64)/5+D64</f>
        <v>7527.2219999999998</v>
      </c>
      <c r="E65" s="4">
        <f t="shared" ref="E65" si="609">(E69-E64)/5+E64</f>
        <v>9518.7520000000004</v>
      </c>
      <c r="F65" s="4">
        <f t="shared" ref="F65" si="610">(F69-F64)/5+F64</f>
        <v>269.60899999999998</v>
      </c>
      <c r="G65" s="22">
        <f>G64+G64*Sheet1!$E$52</f>
        <v>55.389645986596236</v>
      </c>
      <c r="H65" s="4">
        <f t="shared" ref="H65" si="611">(H69-H64)/5+H64</f>
        <v>48411.809792</v>
      </c>
      <c r="I65" s="4">
        <f t="shared" ref="I65" si="612">(I69-I64)/5+I64</f>
        <v>40715.44427</v>
      </c>
      <c r="J65" s="4">
        <f t="shared" ref="J65" si="613">(J69-J64)/5+J64</f>
        <v>48852.361720000001</v>
      </c>
      <c r="K65" s="4">
        <f t="shared" ref="K65" si="614">(K69-K64)/5+K64</f>
        <v>7039.7509</v>
      </c>
      <c r="L65" s="4">
        <f t="shared" ref="L65" si="615">(L69-L64)/5+L64</f>
        <v>7733.9542000000001</v>
      </c>
      <c r="M65" s="4">
        <f t="shared" ref="M65" si="616">(M69-M64)/5+M64</f>
        <v>44412.80212</v>
      </c>
      <c r="N65" s="4">
        <f t="shared" ref="N65" si="617">(N69-N64)/5+N64</f>
        <v>58537.933239999998</v>
      </c>
      <c r="O65" s="4">
        <f t="shared" ref="O65" si="618">(O69-O64)/5+O64</f>
        <v>7830.0652</v>
      </c>
      <c r="P65" s="4">
        <f t="shared" ref="P65" si="619">(P69-P64)/5+P64</f>
        <v>99997.000140000004</v>
      </c>
      <c r="Q65" s="4">
        <f t="shared" ref="Q65" si="620">(Q69-Q64)/5+Q64</f>
        <v>33025.296225999999</v>
      </c>
      <c r="R65" s="4">
        <f t="shared" ref="R65" si="621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2">(C69-C64)/5+C65</f>
        <v>70993.621599999999</v>
      </c>
      <c r="D66" s="3">
        <f t="shared" ref="D66" si="623">(D69-D64)/5+D65</f>
        <v>7545.8739999999998</v>
      </c>
      <c r="E66" s="3">
        <f t="shared" ref="E66" si="624">(E69-E64)/5+E65</f>
        <v>9649.9639999999999</v>
      </c>
      <c r="F66" s="3">
        <f t="shared" ref="F66" si="625">(F69-F64)/5+F65</f>
        <v>276.34499999999997</v>
      </c>
      <c r="G66" s="22">
        <f>G65+G65*Sheet1!$E$52</f>
        <v>55.528292287099937</v>
      </c>
      <c r="H66" s="3">
        <f t="shared" ref="H66" si="626">(H69-H64)/5+H65</f>
        <v>48814.835043999999</v>
      </c>
      <c r="I66" s="3">
        <f t="shared" ref="I66" si="627">(I69-I64)/5+I65</f>
        <v>41389.808550000002</v>
      </c>
      <c r="J66" s="3">
        <f t="shared" ref="J66" si="628">(J69-J64)/5+J65</f>
        <v>49196.676339999998</v>
      </c>
      <c r="K66" s="3">
        <f t="shared" ref="K66" si="629">(K69-K64)/5+K65</f>
        <v>7062.4000999999998</v>
      </c>
      <c r="L66" s="3">
        <f t="shared" ref="L66" si="630">(L69-L64)/5+L65</f>
        <v>7867.8724000000002</v>
      </c>
      <c r="M66" s="3">
        <f t="shared" ref="M66" si="631">(M69-M64)/5+M65</f>
        <v>45300.799639999997</v>
      </c>
      <c r="N66" s="3">
        <f t="shared" ref="N66" si="632">(N69-N64)/5+N65</f>
        <v>60714.99368</v>
      </c>
      <c r="O66" s="3">
        <f t="shared" ref="O66" si="633">(O69-O64)/5+O65</f>
        <v>7922.0763999999999</v>
      </c>
      <c r="P66" s="3">
        <f t="shared" ref="P66" si="634">(P69-P64)/5+P65</f>
        <v>101919.25128</v>
      </c>
      <c r="Q66" s="3">
        <f t="shared" ref="Q66" si="635">(Q69-Q64)/5+Q65</f>
        <v>33405.957711999996</v>
      </c>
      <c r="R66" s="3">
        <f t="shared" ref="R66" si="636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7">(C69-C64)/5+C66</f>
        <v>71195.520399999994</v>
      </c>
      <c r="D67" s="3">
        <f t="shared" ref="D67" si="638">(D69-D64)/5+D66</f>
        <v>7564.5259999999998</v>
      </c>
      <c r="E67" s="3">
        <f t="shared" ref="E67" si="639">(E69-E64)/5+E66</f>
        <v>9781.1759999999995</v>
      </c>
      <c r="F67" s="3">
        <f t="shared" ref="F67" si="640">(F69-F64)/5+F66</f>
        <v>283.08099999999996</v>
      </c>
      <c r="G67" s="22">
        <f>G66+G66*Sheet1!$E$52</f>
        <v>55.667285634353995</v>
      </c>
      <c r="H67" s="3">
        <f t="shared" ref="H67" si="641">(H69-H64)/5+H66</f>
        <v>49217.860295999999</v>
      </c>
      <c r="I67" s="3">
        <f t="shared" ref="I67" si="642">(I69-I64)/5+I66</f>
        <v>42064.172830000003</v>
      </c>
      <c r="J67" s="3">
        <f t="shared" ref="J67" si="643">(J69-J64)/5+J66</f>
        <v>49540.990959999996</v>
      </c>
      <c r="K67" s="3">
        <f t="shared" ref="K67" si="644">(K69-K64)/5+K66</f>
        <v>7085.0492999999997</v>
      </c>
      <c r="L67" s="3">
        <f t="shared" ref="L67" si="645">(L69-L64)/5+L66</f>
        <v>8001.7906000000003</v>
      </c>
      <c r="M67" s="3">
        <f t="shared" ref="M67" si="646">(M69-M64)/5+M66</f>
        <v>46188.797159999995</v>
      </c>
      <c r="N67" s="3">
        <f t="shared" ref="N67" si="647">(N69-N64)/5+N66</f>
        <v>62892.054120000001</v>
      </c>
      <c r="O67" s="3">
        <f t="shared" ref="O67" si="648">(O69-O64)/5+O66</f>
        <v>8014.0875999999998</v>
      </c>
      <c r="P67" s="3">
        <f t="shared" ref="P67" si="649">(P69-P64)/5+P66</f>
        <v>103841.50241999999</v>
      </c>
      <c r="Q67" s="3">
        <f t="shared" ref="Q67" si="650">(Q69-Q64)/5+Q66</f>
        <v>33786.619197999993</v>
      </c>
      <c r="R67" s="3">
        <f t="shared" ref="R67" si="651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2">(C69-C64)/5+C67</f>
        <v>71397.419199999989</v>
      </c>
      <c r="D68" s="3">
        <f t="shared" ref="D68" si="653">(D69-D64)/5+D67</f>
        <v>7583.1779999999999</v>
      </c>
      <c r="E68" s="3">
        <f t="shared" ref="E68" si="654">(E69-E64)/5+E67</f>
        <v>9912.387999999999</v>
      </c>
      <c r="F68" s="3">
        <f t="shared" ref="F68" si="655">(F69-F64)/5+F67</f>
        <v>289.81699999999995</v>
      </c>
      <c r="G68" s="22">
        <f>G67+G67*Sheet1!$E$52</f>
        <v>55.80662689705413</v>
      </c>
      <c r="H68" s="3">
        <f t="shared" ref="H68" si="656">(H69-H64)/5+H67</f>
        <v>49620.885547999998</v>
      </c>
      <c r="I68" s="3">
        <f t="shared" ref="I68" si="657">(I69-I64)/5+I67</f>
        <v>42738.537110000005</v>
      </c>
      <c r="J68" s="3">
        <f t="shared" ref="J68" si="658">(J69-J64)/5+J67</f>
        <v>49885.305579999993</v>
      </c>
      <c r="K68" s="3">
        <f t="shared" ref="K68" si="659">(K69-K64)/5+K67</f>
        <v>7107.6984999999995</v>
      </c>
      <c r="L68" s="3">
        <f t="shared" ref="L68" si="660">(L69-L64)/5+L67</f>
        <v>8135.7088000000003</v>
      </c>
      <c r="M68" s="3">
        <f t="shared" ref="M68" si="661">(M69-M64)/5+M67</f>
        <v>47076.794679999992</v>
      </c>
      <c r="N68" s="3">
        <f t="shared" ref="N68" si="662">(N69-N64)/5+N67</f>
        <v>65069.114560000002</v>
      </c>
      <c r="O68" s="3">
        <f t="shared" ref="O68" si="663">(O69-O64)/5+O67</f>
        <v>8106.0987999999998</v>
      </c>
      <c r="P68" s="3">
        <f t="shared" ref="P68" si="664">(P69-P64)/5+P67</f>
        <v>105763.75355999998</v>
      </c>
      <c r="Q68" s="3">
        <f t="shared" ref="Q68" si="665">(Q69-Q64)/5+Q67</f>
        <v>34167.28068399999</v>
      </c>
      <c r="R68" s="3">
        <f t="shared" ref="R68" si="666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>G68+G68*Sheet1!$E$52</f>
        <v>55.946316946070496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7">(C74-C69)/5+C69</f>
        <v>71762.502399999998</v>
      </c>
      <c r="D70" s="4">
        <f t="shared" ref="D70" si="668">(D74-D69)/5+D69</f>
        <v>7618.8819999999996</v>
      </c>
      <c r="E70" s="4">
        <f t="shared" ref="E70" si="669">(E74-E69)/5+E69</f>
        <v>10184.32</v>
      </c>
      <c r="F70" s="4">
        <f t="shared" ref="F70" si="670">(F74-F69)/5+F69</f>
        <v>303.79680000000002</v>
      </c>
      <c r="G70" s="22">
        <f>G69+G69*Sheet1!$E$52</f>
        <v>56.086356654453127</v>
      </c>
      <c r="H70" s="4">
        <f t="shared" ref="H70" si="671">(H74-H69)/5+H69</f>
        <v>50417.186326000003</v>
      </c>
      <c r="I70" s="4">
        <f t="shared" ref="I70" si="672">(I74-I69)/5+I69</f>
        <v>44081.031234000002</v>
      </c>
      <c r="J70" s="4">
        <f t="shared" ref="J70" si="673">(J74-J69)/5+J69</f>
        <v>50545.098399999995</v>
      </c>
      <c r="K70" s="4">
        <f t="shared" ref="K70" si="674">(K74-K69)/5+K69</f>
        <v>7153.2662599999994</v>
      </c>
      <c r="L70" s="4">
        <f t="shared" ref="L70" si="675">(L74-L69)/5+L69</f>
        <v>8413.2242000000006</v>
      </c>
      <c r="M70" s="4">
        <f t="shared" ref="M70" si="676">(M74-M69)/5+M69</f>
        <v>48895.882980000002</v>
      </c>
      <c r="N70" s="4">
        <f t="shared" ref="N70" si="677">(N74-N69)/5+N69</f>
        <v>69696.558418000001</v>
      </c>
      <c r="O70" s="4">
        <f t="shared" ref="O70" si="678">(O74-O69)/5+O69</f>
        <v>8287.9704000000002</v>
      </c>
      <c r="P70" s="4">
        <f t="shared" ref="P70" si="679">(P74-P69)/5+P69</f>
        <v>109600.54126</v>
      </c>
      <c r="Q70" s="4">
        <f t="shared" ref="Q70" si="680">(Q74-Q69)/5+Q69</f>
        <v>34918.762174000003</v>
      </c>
      <c r="R70" s="4">
        <f t="shared" ref="R70" si="681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2">(C74-C69)/5+C70</f>
        <v>71925.686799999996</v>
      </c>
      <c r="D71" s="3">
        <f t="shared" ref="D71" si="683">(D74-D69)/5+D70</f>
        <v>7635.9339999999993</v>
      </c>
      <c r="E71" s="3">
        <f t="shared" ref="E71" si="684">(E74-E69)/5+E70</f>
        <v>10325.039999999999</v>
      </c>
      <c r="F71" s="3">
        <f t="shared" ref="F71" si="685">(F74-F69)/5+F70</f>
        <v>311.04060000000004</v>
      </c>
      <c r="G71" s="22">
        <f>G70+G70*Sheet1!$E$52</f>
        <v>56.226746897437394</v>
      </c>
      <c r="H71" s="3">
        <f t="shared" ref="H71" si="686">(H74-H69)/5+H70</f>
        <v>50810.461852000008</v>
      </c>
      <c r="I71" s="3">
        <f t="shared" ref="I71" si="687">(I74-I69)/5+I70</f>
        <v>44749.161078000005</v>
      </c>
      <c r="J71" s="3">
        <f t="shared" ref="J71" si="688">(J74-J69)/5+J70</f>
        <v>50860.576599999993</v>
      </c>
      <c r="K71" s="3">
        <f t="shared" ref="K71" si="689">(K74-K69)/5+K70</f>
        <v>7176.1848199999995</v>
      </c>
      <c r="L71" s="3">
        <f t="shared" ref="L71" si="690">(L74-L69)/5+L70</f>
        <v>8556.8214000000007</v>
      </c>
      <c r="M71" s="3">
        <f t="shared" ref="M71" si="691">(M74-M69)/5+M70</f>
        <v>49826.973760000001</v>
      </c>
      <c r="N71" s="3">
        <f t="shared" ref="N71" si="692">(N74-N69)/5+N70</f>
        <v>72146.941835999998</v>
      </c>
      <c r="O71" s="3">
        <f t="shared" ref="O71" si="693">(O74-O69)/5+O70</f>
        <v>8377.8307999999997</v>
      </c>
      <c r="P71" s="3">
        <f t="shared" ref="P71" si="694">(P74-P69)/5+P70</f>
        <v>111515.07781999999</v>
      </c>
      <c r="Q71" s="3">
        <f t="shared" ref="Q71" si="695">(Q74-Q69)/5+Q70</f>
        <v>35289.582178000004</v>
      </c>
      <c r="R71" s="3">
        <f t="shared" ref="R71" si="696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7">(C74-C69)/5+C71</f>
        <v>72088.871199999994</v>
      </c>
      <c r="D72" s="3">
        <f t="shared" ref="D72" si="698">(D74-D69)/5+D71</f>
        <v>7652.985999999999</v>
      </c>
      <c r="E72" s="3">
        <f t="shared" ref="E72" si="699">(E74-E69)/5+E71</f>
        <v>10465.759999999998</v>
      </c>
      <c r="F72" s="3">
        <f t="shared" ref="F72" si="700">(F74-F69)/5+F71</f>
        <v>318.28440000000006</v>
      </c>
      <c r="G72" s="22">
        <f>G71+G71*Sheet1!$E$52</f>
        <v>56.367488552449487</v>
      </c>
      <c r="H72" s="3">
        <f t="shared" ref="H72" si="701">(H74-H69)/5+H71</f>
        <v>51203.737378000013</v>
      </c>
      <c r="I72" s="3">
        <f t="shared" ref="I72" si="702">(I74-I69)/5+I71</f>
        <v>45417.290922000007</v>
      </c>
      <c r="J72" s="3">
        <f t="shared" ref="J72" si="703">(J74-J69)/5+J71</f>
        <v>51176.054799999991</v>
      </c>
      <c r="K72" s="3">
        <f t="shared" ref="K72" si="704">(K74-K69)/5+K71</f>
        <v>7199.1033799999996</v>
      </c>
      <c r="L72" s="3">
        <f t="shared" ref="L72" si="705">(L74-L69)/5+L71</f>
        <v>8700.4186000000009</v>
      </c>
      <c r="M72" s="3">
        <f t="shared" ref="M72" si="706">(M74-M69)/5+M71</f>
        <v>50758.064539999999</v>
      </c>
      <c r="N72" s="3">
        <f t="shared" ref="N72" si="707">(N74-N69)/5+N71</f>
        <v>74597.325253999996</v>
      </c>
      <c r="O72" s="3">
        <f t="shared" ref="O72" si="708">(O74-O69)/5+O71</f>
        <v>8467.6911999999993</v>
      </c>
      <c r="P72" s="3">
        <f t="shared" ref="P72" si="709">(P74-P69)/5+P71</f>
        <v>113429.61437999998</v>
      </c>
      <c r="Q72" s="3">
        <f t="shared" ref="Q72" si="710">(Q74-Q69)/5+Q71</f>
        <v>35660.402182000005</v>
      </c>
      <c r="R72" s="3">
        <f t="shared" ref="R72" si="711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2">(C74-C69)/5+C72</f>
        <v>72252.055599999992</v>
      </c>
      <c r="D73" s="3">
        <f t="shared" ref="D73" si="713">(D74-D69)/5+D72</f>
        <v>7670.0379999999986</v>
      </c>
      <c r="E73" s="3">
        <f t="shared" ref="E73" si="714">(E74-E69)/5+E72</f>
        <v>10606.479999999998</v>
      </c>
      <c r="F73" s="3">
        <f t="shared" ref="F73" si="715">(F74-F69)/5+F72</f>
        <v>325.52820000000008</v>
      </c>
      <c r="G73" s="22">
        <f>G72+G72*Sheet1!$E$52</f>
        <v>56.508582499111881</v>
      </c>
      <c r="H73" s="3">
        <f t="shared" ref="H73" si="716">(H74-H69)/5+H72</f>
        <v>51597.012904000017</v>
      </c>
      <c r="I73" s="3">
        <f t="shared" ref="I73" si="717">(I74-I69)/5+I72</f>
        <v>46085.42076600001</v>
      </c>
      <c r="J73" s="3">
        <f t="shared" ref="J73" si="718">(J74-J69)/5+J72</f>
        <v>51491.532999999989</v>
      </c>
      <c r="K73" s="3">
        <f t="shared" ref="K73" si="719">(K74-K69)/5+K72</f>
        <v>7222.0219399999996</v>
      </c>
      <c r="L73" s="3">
        <f t="shared" ref="L73" si="720">(L74-L69)/5+L72</f>
        <v>8844.015800000001</v>
      </c>
      <c r="M73" s="3">
        <f t="shared" ref="M73" si="721">(M74-M69)/5+M72</f>
        <v>51689.155319999998</v>
      </c>
      <c r="N73" s="3">
        <f t="shared" ref="N73" si="722">(N74-N69)/5+N72</f>
        <v>77047.708671999993</v>
      </c>
      <c r="O73" s="3">
        <f t="shared" ref="O73" si="723">(O74-O69)/5+O72</f>
        <v>8557.5515999999989</v>
      </c>
      <c r="P73" s="3">
        <f t="shared" ref="P73" si="724">(P74-P69)/5+P72</f>
        <v>115344.15093999998</v>
      </c>
      <c r="Q73" s="3">
        <f t="shared" ref="Q73" si="725">(Q74-Q69)/5+Q72</f>
        <v>36031.222186000006</v>
      </c>
      <c r="R73" s="3">
        <f t="shared" ref="R73" si="726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>G73+G73*Sheet1!$E$52</f>
        <v>56.650029619248841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7">(C79-C74)/5+C74</f>
        <v>72547.917000000001</v>
      </c>
      <c r="D75" s="4">
        <f t="shared" ref="D75" si="728">(D79-D74)/5+D74</f>
        <v>7700.0659999999998</v>
      </c>
      <c r="E75" s="4">
        <f t="shared" ref="E75" si="729">(E79-E74)/5+E74</f>
        <v>10896.44</v>
      </c>
      <c r="F75" s="4">
        <f t="shared" ref="F75" si="730">(F79-F74)/5+F74</f>
        <v>340.5136</v>
      </c>
      <c r="G75" s="22">
        <f>G74+G74*Sheet1!$E$52</f>
        <v>56.791830796891944</v>
      </c>
      <c r="H75" s="4">
        <f t="shared" ref="H75" si="731">(H79-H74)/5+H74</f>
        <v>52374.408198000005</v>
      </c>
      <c r="I75" s="4">
        <f t="shared" ref="I75" si="732">(I79-I74)/5+I74</f>
        <v>47414.346537999998</v>
      </c>
      <c r="J75" s="4">
        <f t="shared" ref="J75" si="733">(J79-J74)/5+J74</f>
        <v>52092.875599999999</v>
      </c>
      <c r="K75" s="4">
        <f t="shared" ref="K75" si="734">(K79-K74)/5+K74</f>
        <v>7268.9374200000002</v>
      </c>
      <c r="L75" s="4">
        <f t="shared" ref="L75" si="735">(L79-L74)/5+L74</f>
        <v>9140.4244000000017</v>
      </c>
      <c r="M75" s="4">
        <f t="shared" ref="M75" si="736">(M79-M74)/5+M74</f>
        <v>53596.033159999999</v>
      </c>
      <c r="N75" s="4">
        <f t="shared" ref="N75" si="737">(N79-N74)/5+N74</f>
        <v>82230.469852000009</v>
      </c>
      <c r="O75" s="4">
        <f t="shared" ref="O75" si="738">(O79-O74)/5+O74</f>
        <v>8737.2766000000011</v>
      </c>
      <c r="P75" s="4">
        <f t="shared" ref="P75" si="739">(P79-P74)/5+P74</f>
        <v>119167.07670000001</v>
      </c>
      <c r="Q75" s="4">
        <f t="shared" ref="Q75" si="740">(Q79-Q74)/5+Q74</f>
        <v>36763.437932000001</v>
      </c>
      <c r="R75" s="4">
        <f t="shared" ref="R75" si="741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2">(C79-C74)/5+C75</f>
        <v>72680.593999999997</v>
      </c>
      <c r="D76" s="3">
        <f t="shared" ref="D76" si="743">(D79-D74)/5+D75</f>
        <v>7713.0419999999995</v>
      </c>
      <c r="E76" s="3">
        <f t="shared" ref="E76" si="744">(E79-E74)/5+E75</f>
        <v>11045.68</v>
      </c>
      <c r="F76" s="3">
        <f t="shared" ref="F76" si="745">(F79-F74)/5+F75</f>
        <v>348.2552</v>
      </c>
      <c r="G76" s="22">
        <f>G75+G75*Sheet1!$E$52</f>
        <v>56.933986918285576</v>
      </c>
      <c r="H76" s="3">
        <f t="shared" ref="H76" si="746">(H79-H74)/5+H75</f>
        <v>52758.527966000001</v>
      </c>
      <c r="I76" s="3">
        <f t="shared" ref="I76" si="747">(I79-I74)/5+I75</f>
        <v>48075.142465999998</v>
      </c>
      <c r="J76" s="3">
        <f t="shared" ref="J76" si="748">(J79-J74)/5+J75</f>
        <v>52378.74</v>
      </c>
      <c r="K76" s="3">
        <f t="shared" ref="K76" si="749">(K79-K74)/5+K75</f>
        <v>7292.9343399999998</v>
      </c>
      <c r="L76" s="3">
        <f t="shared" ref="L76" si="750">(L79-L74)/5+L75</f>
        <v>9293.2358000000022</v>
      </c>
      <c r="M76" s="3">
        <f t="shared" ref="M76" si="751">(M79-M74)/5+M75</f>
        <v>54571.820220000001</v>
      </c>
      <c r="N76" s="3">
        <f t="shared" ref="N76" si="752">(N79-N74)/5+N75</f>
        <v>84962.847614000013</v>
      </c>
      <c r="O76" s="3">
        <f t="shared" ref="O76" si="753">(O79-O74)/5+O75</f>
        <v>8827.1412000000018</v>
      </c>
      <c r="P76" s="3">
        <f t="shared" ref="P76" si="754">(P79-P74)/5+P75</f>
        <v>121075.46590000001</v>
      </c>
      <c r="Q76" s="3">
        <f t="shared" ref="Q76" si="755">(Q79-Q74)/5+Q75</f>
        <v>37124.833674000001</v>
      </c>
      <c r="R76" s="3">
        <f t="shared" ref="R76" si="756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7">(C79-C74)/5+C76</f>
        <v>72813.270999999993</v>
      </c>
      <c r="D77" s="3">
        <f t="shared" ref="D77" si="758">(D79-D74)/5+D76</f>
        <v>7726.0179999999991</v>
      </c>
      <c r="E77" s="3">
        <f t="shared" ref="E77" si="759">(E79-E74)/5+E76</f>
        <v>11194.92</v>
      </c>
      <c r="F77" s="3">
        <f t="shared" ref="F77" si="760">(F79-F74)/5+F76</f>
        <v>355.99680000000001</v>
      </c>
      <c r="G77" s="22">
        <f>G76+G76*Sheet1!$E$52</f>
        <v>57.076498871892511</v>
      </c>
      <c r="H77" s="3">
        <f t="shared" ref="H77" si="761">(H79-H74)/5+H76</f>
        <v>53142.647733999998</v>
      </c>
      <c r="I77" s="3">
        <f t="shared" ref="I77" si="762">(I79-I74)/5+I76</f>
        <v>48735.938393999997</v>
      </c>
      <c r="J77" s="3">
        <f t="shared" ref="J77" si="763">(J79-J74)/5+J76</f>
        <v>52664.604399999997</v>
      </c>
      <c r="K77" s="3">
        <f t="shared" ref="K77" si="764">(K79-K74)/5+K76</f>
        <v>7316.9312599999994</v>
      </c>
      <c r="L77" s="3">
        <f t="shared" ref="L77" si="765">(L79-L74)/5+L76</f>
        <v>9446.0472000000027</v>
      </c>
      <c r="M77" s="3">
        <f t="shared" ref="M77" si="766">(M79-M74)/5+M76</f>
        <v>55547.607280000004</v>
      </c>
      <c r="N77" s="3">
        <f t="shared" ref="N77" si="767">(N79-N74)/5+N76</f>
        <v>87695.225376000017</v>
      </c>
      <c r="O77" s="3">
        <f t="shared" ref="O77" si="768">(O79-O74)/5+O76</f>
        <v>8917.0058000000026</v>
      </c>
      <c r="P77" s="3">
        <f t="shared" ref="P77" si="769">(P79-P74)/5+P76</f>
        <v>122983.85510000002</v>
      </c>
      <c r="Q77" s="3">
        <f t="shared" ref="Q77" si="770">(Q79-Q74)/5+Q76</f>
        <v>37486.229416000002</v>
      </c>
      <c r="R77" s="3">
        <f t="shared" ref="R77" si="771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2">(C79-C74)/5+C77</f>
        <v>72945.947999999989</v>
      </c>
      <c r="D78" s="3">
        <f t="shared" ref="D78" si="773">(D79-D74)/5+D77</f>
        <v>7738.9939999999988</v>
      </c>
      <c r="E78" s="3">
        <f t="shared" ref="E78" si="774">(E79-E74)/5+E77</f>
        <v>11344.16</v>
      </c>
      <c r="F78" s="3">
        <f t="shared" ref="F78" si="775">(F79-F74)/5+F77</f>
        <v>363.73840000000001</v>
      </c>
      <c r="G78" s="22">
        <f>G77+G77*Sheet1!$E$52</f>
        <v>57.219367548399426</v>
      </c>
      <c r="H78" s="3">
        <f t="shared" ref="H78" si="776">(H79-H74)/5+H77</f>
        <v>53526.767501999995</v>
      </c>
      <c r="I78" s="3">
        <f t="shared" ref="I78" si="777">(I79-I74)/5+I77</f>
        <v>49396.734321999997</v>
      </c>
      <c r="J78" s="3">
        <f t="shared" ref="J78" si="778">(J79-J74)/5+J77</f>
        <v>52950.468799999995</v>
      </c>
      <c r="K78" s="3">
        <f t="shared" ref="K78" si="779">(K79-K74)/5+K77</f>
        <v>7340.928179999999</v>
      </c>
      <c r="L78" s="3">
        <f t="shared" ref="L78" si="780">(L79-L74)/5+L77</f>
        <v>9598.8586000000032</v>
      </c>
      <c r="M78" s="3">
        <f t="shared" ref="M78" si="781">(M79-M74)/5+M77</f>
        <v>56523.394340000006</v>
      </c>
      <c r="N78" s="3">
        <f t="shared" ref="N78" si="782">(N79-N74)/5+N77</f>
        <v>90427.60313800002</v>
      </c>
      <c r="O78" s="3">
        <f t="shared" ref="O78" si="783">(O79-O74)/5+O77</f>
        <v>9006.8704000000034</v>
      </c>
      <c r="P78" s="3">
        <f t="shared" ref="P78" si="784">(P79-P74)/5+P77</f>
        <v>124892.24430000002</v>
      </c>
      <c r="Q78" s="3">
        <f t="shared" ref="Q78" si="785">(Q79-Q74)/5+Q77</f>
        <v>37847.625158000003</v>
      </c>
      <c r="R78" s="3">
        <f t="shared" ref="R78" si="786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>G78+G78*Sheet1!$E$52</f>
        <v>57.362593840722482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7">(C84-C79)/5+C79</f>
        <v>73153.642200000002</v>
      </c>
      <c r="D80" s="4">
        <f t="shared" ref="D80" si="788">(D84-D79)/5+D79</f>
        <v>7758.134</v>
      </c>
      <c r="E80" s="4">
        <f t="shared" ref="E80" si="789">(E84-E79)/5+E79</f>
        <v>11645.199999999999</v>
      </c>
      <c r="F80" s="4">
        <f t="shared" ref="F80" si="790">(F84-F79)/5+F79</f>
        <v>379.67340000000002</v>
      </c>
      <c r="G80" s="22">
        <f>G79+G79*Sheet1!$E$52</f>
        <v>57.50617864401292</v>
      </c>
      <c r="H80" s="4">
        <f t="shared" ref="H80" si="791">(H84-H79)/5+H79</f>
        <v>54281.258362000008</v>
      </c>
      <c r="I80" s="4">
        <f t="shared" ref="I80" si="792">(I84-I79)/5+I79</f>
        <v>50710.368376000006</v>
      </c>
      <c r="J80" s="4">
        <f t="shared" ref="J80" si="793">(J84-J79)/5+J79</f>
        <v>53485.151859999998</v>
      </c>
      <c r="K80" s="4">
        <f t="shared" ref="K80" si="794">(K84-K79)/5+K79</f>
        <v>7388.4467799999984</v>
      </c>
      <c r="L80" s="4">
        <f t="shared" ref="L80" si="795">(L84-L79)/5+L79</f>
        <v>9911.3955999999998</v>
      </c>
      <c r="M80" s="4">
        <f t="shared" ref="M80" si="796">(M84-M79)/5+M79</f>
        <v>58511.337220000001</v>
      </c>
      <c r="N80" s="4">
        <f t="shared" ref="N80" si="797">(N84-N79)/5+N79</f>
        <v>96179.556459999993</v>
      </c>
      <c r="O80" s="4">
        <f t="shared" ref="O80" si="798">(O84-O79)/5+O79</f>
        <v>9187.3628000000008</v>
      </c>
      <c r="P80" s="4">
        <f t="shared" ref="P80" si="799">(P84-P79)/5+P79</f>
        <v>128715.61254</v>
      </c>
      <c r="Q80" s="4">
        <f t="shared" ref="Q80" si="800">(Q84-Q79)/5+Q79</f>
        <v>38559.874452000004</v>
      </c>
      <c r="R80" s="4">
        <f t="shared" ref="R80" si="801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2">(C84-C79)/5+C80</f>
        <v>73228.659400000004</v>
      </c>
      <c r="D81" s="3">
        <f t="shared" ref="D81" si="803">(D84-D79)/5+D80</f>
        <v>7764.2979999999998</v>
      </c>
      <c r="E81" s="3">
        <f t="shared" ref="E81" si="804">(E84-E79)/5+E80</f>
        <v>11796.999999999998</v>
      </c>
      <c r="F81" s="3">
        <f t="shared" ref="F81" si="805">(F84-F79)/5+F80</f>
        <v>387.86680000000001</v>
      </c>
      <c r="G81" s="22">
        <f>G80+G80*Sheet1!$E$52</f>
        <v>57.65012285566263</v>
      </c>
      <c r="H81" s="3">
        <f t="shared" ref="H81" si="806">(H84-H79)/5+H80</f>
        <v>54651.629454000009</v>
      </c>
      <c r="I81" s="3">
        <f t="shared" ref="I81" si="807">(I84-I79)/5+I80</f>
        <v>51363.206502000008</v>
      </c>
      <c r="J81" s="3">
        <f t="shared" ref="J81" si="808">(J84-J79)/5+J80</f>
        <v>53733.970519999995</v>
      </c>
      <c r="K81" s="3">
        <f t="shared" ref="K81" si="809">(K84-K79)/5+K80</f>
        <v>7411.9684599999982</v>
      </c>
      <c r="L81" s="3">
        <f t="shared" ref="L81" si="810">(L84-L79)/5+L80</f>
        <v>10071.1212</v>
      </c>
      <c r="M81" s="3">
        <f t="shared" ref="M81" si="811">(M84-M79)/5+M80</f>
        <v>59523.493040000001</v>
      </c>
      <c r="N81" s="3">
        <f t="shared" ref="N81" si="812">(N84-N79)/5+N80</f>
        <v>99199.13201999999</v>
      </c>
      <c r="O81" s="3">
        <f t="shared" ref="O81" si="813">(O84-O79)/5+O80</f>
        <v>9277.990600000001</v>
      </c>
      <c r="P81" s="3">
        <f t="shared" ref="P81" si="814">(P84-P79)/5+P80</f>
        <v>130630.59158000001</v>
      </c>
      <c r="Q81" s="3">
        <f t="shared" ref="Q81" si="815">(Q84-Q79)/5+Q80</f>
        <v>38910.728004000004</v>
      </c>
      <c r="R81" s="3">
        <f t="shared" ref="R81" si="816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7">(C84-C79)/5+C81</f>
        <v>73303.676600000006</v>
      </c>
      <c r="D82" s="3">
        <f t="shared" ref="D82" si="818">(D84-D79)/5+D81</f>
        <v>7770.4619999999995</v>
      </c>
      <c r="E82" s="3">
        <f t="shared" ref="E82" si="819">(E84-E79)/5+E81</f>
        <v>11948.799999999997</v>
      </c>
      <c r="F82" s="3">
        <f t="shared" ref="F82" si="820">(F84-F79)/5+F81</f>
        <v>396.06020000000001</v>
      </c>
      <c r="G82" s="22">
        <f>G81+G81*Sheet1!$E$52</f>
        <v>57.79442737530978</v>
      </c>
      <c r="H82" s="3">
        <f t="shared" ref="H82" si="821">(H84-H79)/5+H81</f>
        <v>55022.00054600001</v>
      </c>
      <c r="I82" s="3">
        <f t="shared" ref="I82" si="822">(I84-I79)/5+I81</f>
        <v>52016.044628000011</v>
      </c>
      <c r="J82" s="3">
        <f t="shared" ref="J82" si="823">(J84-J79)/5+J81</f>
        <v>53982.789179999992</v>
      </c>
      <c r="K82" s="3">
        <f t="shared" ref="K82" si="824">(K84-K79)/5+K81</f>
        <v>7435.4901399999981</v>
      </c>
      <c r="L82" s="3">
        <f t="shared" ref="L82" si="825">(L84-L79)/5+L81</f>
        <v>10230.846799999999</v>
      </c>
      <c r="M82" s="3">
        <f t="shared" ref="M82" si="826">(M84-M79)/5+M81</f>
        <v>60535.648860000001</v>
      </c>
      <c r="N82" s="3">
        <f t="shared" ref="N82" si="827">(N84-N79)/5+N81</f>
        <v>102218.70757999999</v>
      </c>
      <c r="O82" s="3">
        <f t="shared" ref="O82" si="828">(O84-O79)/5+O81</f>
        <v>9368.6184000000012</v>
      </c>
      <c r="P82" s="3">
        <f t="shared" ref="P82" si="829">(P84-P79)/5+P81</f>
        <v>132545.57062000001</v>
      </c>
      <c r="Q82" s="3">
        <f t="shared" ref="Q82" si="830">(Q84-Q79)/5+Q81</f>
        <v>39261.581556000005</v>
      </c>
      <c r="R82" s="3">
        <f t="shared" ref="R82" si="831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2">(C84-C79)/5+C82</f>
        <v>73378.693800000008</v>
      </c>
      <c r="D83" s="3">
        <f t="shared" ref="D83" si="833">(D84-D79)/5+D82</f>
        <v>7776.6259999999993</v>
      </c>
      <c r="E83" s="3">
        <f t="shared" ref="E83" si="834">(E84-E79)/5+E82</f>
        <v>12100.599999999997</v>
      </c>
      <c r="F83" s="3">
        <f t="shared" ref="F83" si="835">(F84-F79)/5+F82</f>
        <v>404.25360000000001</v>
      </c>
      <c r="G83" s="22">
        <f>G82+G82*Sheet1!$E$52</f>
        <v>57.939093104844417</v>
      </c>
      <c r="H83" s="3">
        <f t="shared" ref="H83" si="836">(H84-H79)/5+H82</f>
        <v>55392.371638000011</v>
      </c>
      <c r="I83" s="3">
        <f t="shared" ref="I83" si="837">(I84-I79)/5+I82</f>
        <v>52668.882754000013</v>
      </c>
      <c r="J83" s="3">
        <f t="shared" ref="J83" si="838">(J84-J79)/5+J82</f>
        <v>54231.60783999999</v>
      </c>
      <c r="K83" s="3">
        <f t="shared" ref="K83" si="839">(K84-K79)/5+K82</f>
        <v>7459.0118199999979</v>
      </c>
      <c r="L83" s="3">
        <f t="shared" ref="L83" si="840">(L84-L79)/5+L82</f>
        <v>10390.572399999999</v>
      </c>
      <c r="M83" s="3">
        <f t="shared" ref="M83" si="841">(M84-M79)/5+M82</f>
        <v>61547.804680000001</v>
      </c>
      <c r="N83" s="3">
        <f t="shared" ref="N83" si="842">(N84-N79)/5+N82</f>
        <v>105238.28313999998</v>
      </c>
      <c r="O83" s="3">
        <f t="shared" ref="O83" si="843">(O84-O79)/5+O82</f>
        <v>9459.2462000000014</v>
      </c>
      <c r="P83" s="3">
        <f t="shared" ref="P83" si="844">(P84-P79)/5+P82</f>
        <v>134460.54966000002</v>
      </c>
      <c r="Q83" s="3">
        <f t="shared" ref="Q83" si="845">(Q84-Q79)/5+Q82</f>
        <v>39612.435108000005</v>
      </c>
      <c r="R83" s="3">
        <f t="shared" ref="R83" si="846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>G83+G83*Sheet1!$E$52</f>
        <v>58.084120948414132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5A81-3CCA-4CFD-BBEC-96661DBC8EC0}">
  <dimension ref="A1:E56"/>
  <sheetViews>
    <sheetView topLeftCell="A37" workbookViewId="0">
      <selection activeCell="E52" sqref="E52"/>
    </sheetView>
  </sheetViews>
  <sheetFormatPr defaultRowHeight="14.4" x14ac:dyDescent="0.3"/>
  <cols>
    <col min="1" max="1" width="33" bestFit="1" customWidth="1"/>
    <col min="3" max="3" width="25.88671875" bestFit="1" customWidth="1"/>
    <col min="4" max="4" width="17.21875" bestFit="1" customWidth="1"/>
  </cols>
  <sheetData>
    <row r="1" spans="1:4" x14ac:dyDescent="0.3">
      <c r="A1" t="s">
        <v>83</v>
      </c>
      <c r="B1" t="s">
        <v>84</v>
      </c>
      <c r="C1" t="s">
        <v>85</v>
      </c>
      <c r="D1" t="s">
        <v>86</v>
      </c>
    </row>
    <row r="2" spans="1:4" x14ac:dyDescent="0.3">
      <c r="A2" t="s">
        <v>87</v>
      </c>
      <c r="B2">
        <v>1970</v>
      </c>
      <c r="C2" t="s">
        <v>88</v>
      </c>
      <c r="D2" s="31">
        <v>4927332597.2762699</v>
      </c>
    </row>
    <row r="3" spans="1:4" x14ac:dyDescent="0.3">
      <c r="A3" t="s">
        <v>87</v>
      </c>
      <c r="B3">
        <v>1971</v>
      </c>
      <c r="C3" t="s">
        <v>88</v>
      </c>
      <c r="D3" s="31">
        <v>5439775187.1595297</v>
      </c>
    </row>
    <row r="4" spans="1:4" x14ac:dyDescent="0.3">
      <c r="A4" t="s">
        <v>87</v>
      </c>
      <c r="B4">
        <v>1972</v>
      </c>
      <c r="C4" t="s">
        <v>88</v>
      </c>
      <c r="D4" s="31">
        <v>6005511806.61479</v>
      </c>
    </row>
    <row r="5" spans="1:4" x14ac:dyDescent="0.3">
      <c r="A5" t="s">
        <v>87</v>
      </c>
      <c r="B5">
        <v>1973</v>
      </c>
      <c r="C5" t="s">
        <v>88</v>
      </c>
      <c r="D5" s="31">
        <v>6630085034.6303501</v>
      </c>
    </row>
    <row r="6" spans="1:4" x14ac:dyDescent="0.3">
      <c r="A6" t="s">
        <v>87</v>
      </c>
      <c r="B6">
        <v>1974</v>
      </c>
      <c r="C6" t="s">
        <v>88</v>
      </c>
      <c r="D6" s="31">
        <v>7319613878.2101202</v>
      </c>
    </row>
    <row r="7" spans="1:4" x14ac:dyDescent="0.3">
      <c r="A7" t="s">
        <v>87</v>
      </c>
      <c r="B7">
        <v>1975</v>
      </c>
      <c r="C7" t="s">
        <v>88</v>
      </c>
      <c r="D7" s="31">
        <v>8080853721.4007797</v>
      </c>
    </row>
    <row r="8" spans="1:4" x14ac:dyDescent="0.3">
      <c r="A8" t="s">
        <v>87</v>
      </c>
      <c r="B8">
        <v>1976</v>
      </c>
      <c r="C8" t="s">
        <v>88</v>
      </c>
      <c r="D8" s="31">
        <v>8412168724.1245098</v>
      </c>
    </row>
    <row r="9" spans="1:4" x14ac:dyDescent="0.3">
      <c r="A9" t="s">
        <v>87</v>
      </c>
      <c r="B9">
        <v>1977</v>
      </c>
      <c r="C9" t="s">
        <v>88</v>
      </c>
      <c r="D9" s="31">
        <v>8757067641.6342392</v>
      </c>
    </row>
    <row r="10" spans="1:4" x14ac:dyDescent="0.3">
      <c r="A10" t="s">
        <v>87</v>
      </c>
      <c r="B10">
        <v>1978</v>
      </c>
      <c r="C10" t="s">
        <v>88</v>
      </c>
      <c r="D10" s="31">
        <v>9116107415.1751003</v>
      </c>
    </row>
    <row r="11" spans="1:4" x14ac:dyDescent="0.3">
      <c r="A11" t="s">
        <v>87</v>
      </c>
      <c r="B11">
        <v>1979</v>
      </c>
      <c r="C11" t="s">
        <v>88</v>
      </c>
      <c r="D11" s="31">
        <v>9489867819.0661507</v>
      </c>
    </row>
    <row r="12" spans="1:4" x14ac:dyDescent="0.3">
      <c r="A12" t="s">
        <v>87</v>
      </c>
      <c r="B12">
        <v>1980</v>
      </c>
      <c r="C12" t="s">
        <v>88</v>
      </c>
      <c r="D12" s="31">
        <v>9878952399.6109009</v>
      </c>
    </row>
    <row r="13" spans="1:4" x14ac:dyDescent="0.3">
      <c r="A13" t="s">
        <v>87</v>
      </c>
      <c r="B13">
        <v>1981</v>
      </c>
      <c r="C13" t="s">
        <v>88</v>
      </c>
      <c r="D13" s="31">
        <v>10244473638.5214</v>
      </c>
    </row>
    <row r="14" spans="1:4" x14ac:dyDescent="0.3">
      <c r="A14" t="s">
        <v>87</v>
      </c>
      <c r="B14">
        <v>1982</v>
      </c>
      <c r="C14" t="s">
        <v>88</v>
      </c>
      <c r="D14" s="31">
        <v>12868200912.792801</v>
      </c>
    </row>
    <row r="15" spans="1:4" x14ac:dyDescent="0.3">
      <c r="A15" t="s">
        <v>87</v>
      </c>
      <c r="B15">
        <v>1983</v>
      </c>
      <c r="C15" t="s">
        <v>88</v>
      </c>
      <c r="D15" s="31">
        <v>12855131498.575701</v>
      </c>
    </row>
    <row r="16" spans="1:4" x14ac:dyDescent="0.3">
      <c r="A16" t="s">
        <v>87</v>
      </c>
      <c r="B16">
        <v>1984</v>
      </c>
      <c r="C16" t="s">
        <v>88</v>
      </c>
      <c r="D16" s="31">
        <v>12251319041.579</v>
      </c>
    </row>
    <row r="17" spans="1:4" x14ac:dyDescent="0.3">
      <c r="A17" t="s">
        <v>87</v>
      </c>
      <c r="B17">
        <v>1985</v>
      </c>
      <c r="C17" t="s">
        <v>88</v>
      </c>
      <c r="D17" s="31">
        <v>12074736048.514099</v>
      </c>
    </row>
    <row r="18" spans="1:4" x14ac:dyDescent="0.3">
      <c r="A18" t="s">
        <v>87</v>
      </c>
      <c r="B18">
        <v>1986</v>
      </c>
      <c r="C18" t="s">
        <v>88</v>
      </c>
      <c r="D18" s="31">
        <v>13653901719.041599</v>
      </c>
    </row>
    <row r="19" spans="1:4" x14ac:dyDescent="0.3">
      <c r="A19" t="s">
        <v>87</v>
      </c>
      <c r="B19">
        <v>1987</v>
      </c>
      <c r="C19" t="s">
        <v>88</v>
      </c>
      <c r="D19" s="31">
        <v>14391200030.2274</v>
      </c>
    </row>
    <row r="20" spans="1:4" x14ac:dyDescent="0.3">
      <c r="A20" t="s">
        <v>87</v>
      </c>
      <c r="B20">
        <v>1988</v>
      </c>
      <c r="C20" t="s">
        <v>88</v>
      </c>
      <c r="D20" s="31">
        <v>14192727272.727301</v>
      </c>
    </row>
    <row r="21" spans="1:4" x14ac:dyDescent="0.3">
      <c r="A21" t="s">
        <v>87</v>
      </c>
      <c r="B21">
        <v>1989</v>
      </c>
      <c r="C21" t="s">
        <v>88</v>
      </c>
      <c r="D21" s="31">
        <v>15771363636.3636</v>
      </c>
    </row>
    <row r="22" spans="1:4" x14ac:dyDescent="0.3">
      <c r="A22" t="s">
        <v>87</v>
      </c>
      <c r="B22">
        <v>1990</v>
      </c>
      <c r="C22" t="s">
        <v>88</v>
      </c>
      <c r="D22" s="31">
        <v>14702304147.465401</v>
      </c>
    </row>
    <row r="23" spans="1:4" x14ac:dyDescent="0.3">
      <c r="A23" t="s">
        <v>87</v>
      </c>
      <c r="B23">
        <v>1991</v>
      </c>
      <c r="C23" t="s">
        <v>88</v>
      </c>
      <c r="D23" s="31">
        <v>13687441860.465099</v>
      </c>
    </row>
    <row r="24" spans="1:4" x14ac:dyDescent="0.3">
      <c r="A24" t="s">
        <v>87</v>
      </c>
      <c r="B24">
        <v>1992</v>
      </c>
      <c r="C24" t="s">
        <v>88</v>
      </c>
      <c r="D24" s="31">
        <v>12457619047.618999</v>
      </c>
    </row>
    <row r="25" spans="1:4" x14ac:dyDescent="0.3">
      <c r="A25" t="s">
        <v>87</v>
      </c>
      <c r="B25">
        <v>1993</v>
      </c>
      <c r="C25" t="s">
        <v>88</v>
      </c>
      <c r="D25" s="31">
        <v>10744075829.3839</v>
      </c>
    </row>
    <row r="26" spans="1:4" x14ac:dyDescent="0.3">
      <c r="A26" t="s">
        <v>87</v>
      </c>
      <c r="B26">
        <v>1994</v>
      </c>
      <c r="C26" t="s">
        <v>88</v>
      </c>
      <c r="D26" s="31">
        <v>8307075471.6981096</v>
      </c>
    </row>
    <row r="27" spans="1:4" x14ac:dyDescent="0.3">
      <c r="A27" t="s">
        <v>87</v>
      </c>
      <c r="B27">
        <v>1995</v>
      </c>
      <c r="C27" t="s">
        <v>88</v>
      </c>
      <c r="D27" s="31">
        <v>4849295774.6478901</v>
      </c>
    </row>
    <row r="28" spans="1:4" x14ac:dyDescent="0.3">
      <c r="A28" t="s">
        <v>87</v>
      </c>
      <c r="B28">
        <v>1996</v>
      </c>
      <c r="C28" t="s">
        <v>88</v>
      </c>
      <c r="D28" s="31">
        <v>10587906976.7442</v>
      </c>
    </row>
    <row r="29" spans="1:4" x14ac:dyDescent="0.3">
      <c r="A29" t="s">
        <v>87</v>
      </c>
      <c r="B29">
        <v>1997</v>
      </c>
      <c r="C29" t="s">
        <v>88</v>
      </c>
      <c r="D29" s="31">
        <v>10322790697.6744</v>
      </c>
    </row>
    <row r="30" spans="1:4" x14ac:dyDescent="0.3">
      <c r="A30" t="s">
        <v>87</v>
      </c>
      <c r="B30">
        <v>1998</v>
      </c>
      <c r="C30" t="s">
        <v>88</v>
      </c>
      <c r="D30" s="31">
        <v>10273488372.093</v>
      </c>
    </row>
    <row r="31" spans="1:4" x14ac:dyDescent="0.3">
      <c r="A31" t="s">
        <v>87</v>
      </c>
      <c r="B31">
        <v>1999</v>
      </c>
      <c r="C31" t="s">
        <v>88</v>
      </c>
      <c r="D31" s="31">
        <v>10280000000</v>
      </c>
    </row>
    <row r="32" spans="1:4" x14ac:dyDescent="0.3">
      <c r="A32" t="s">
        <v>87</v>
      </c>
      <c r="B32">
        <v>2000</v>
      </c>
      <c r="C32" t="s">
        <v>88</v>
      </c>
      <c r="D32" s="31">
        <v>10607906976.7442</v>
      </c>
    </row>
    <row r="33" spans="1:4" x14ac:dyDescent="0.3">
      <c r="A33" t="s">
        <v>87</v>
      </c>
      <c r="B33">
        <v>2001</v>
      </c>
      <c r="C33" t="s">
        <v>88</v>
      </c>
      <c r="D33" s="31">
        <v>11021860465.116301</v>
      </c>
    </row>
    <row r="34" spans="1:4" x14ac:dyDescent="0.3">
      <c r="A34" t="s">
        <v>87</v>
      </c>
      <c r="B34">
        <v>2002</v>
      </c>
      <c r="C34" t="s">
        <v>88</v>
      </c>
      <c r="D34" s="31">
        <v>10910000000</v>
      </c>
    </row>
    <row r="35" spans="1:4" x14ac:dyDescent="0.3">
      <c r="A35" t="s">
        <v>87</v>
      </c>
      <c r="B35">
        <v>2003</v>
      </c>
      <c r="C35" t="s">
        <v>88</v>
      </c>
      <c r="D35" s="31">
        <v>11051000000</v>
      </c>
    </row>
    <row r="36" spans="1:4" x14ac:dyDescent="0.3">
      <c r="A36" t="s">
        <v>87</v>
      </c>
      <c r="B36">
        <v>2004</v>
      </c>
      <c r="C36" t="s">
        <v>88</v>
      </c>
      <c r="D36" s="31">
        <v>11168000000</v>
      </c>
    </row>
    <row r="37" spans="1:4" x14ac:dyDescent="0.3">
      <c r="A37" t="s">
        <v>87</v>
      </c>
      <c r="B37">
        <v>2005</v>
      </c>
      <c r="C37" t="s">
        <v>88</v>
      </c>
      <c r="D37" s="31">
        <v>13031196789.6441</v>
      </c>
    </row>
    <row r="38" spans="1:4" x14ac:dyDescent="0.3">
      <c r="A38" t="s">
        <v>87</v>
      </c>
      <c r="B38">
        <v>2006</v>
      </c>
      <c r="C38" t="s">
        <v>88</v>
      </c>
      <c r="D38" s="31">
        <v>13764393534.7372</v>
      </c>
    </row>
    <row r="39" spans="1:4" x14ac:dyDescent="0.3">
      <c r="A39" t="s">
        <v>87</v>
      </c>
      <c r="B39">
        <v>2007</v>
      </c>
      <c r="C39" t="s">
        <v>88</v>
      </c>
      <c r="D39" s="31">
        <v>14374670965.392799</v>
      </c>
    </row>
    <row r="40" spans="1:4" x14ac:dyDescent="0.3">
      <c r="A40" t="s">
        <v>87</v>
      </c>
      <c r="B40">
        <v>2008</v>
      </c>
      <c r="C40" t="s">
        <v>88</v>
      </c>
      <c r="D40" s="31">
        <v>13336798314.546801</v>
      </c>
    </row>
    <row r="41" spans="1:4" x14ac:dyDescent="0.3">
      <c r="A41" t="s">
        <v>87</v>
      </c>
      <c r="B41">
        <v>2009</v>
      </c>
      <c r="C41" t="s">
        <v>88</v>
      </c>
      <c r="D41" s="31">
        <v>12035152491.9496</v>
      </c>
    </row>
    <row r="42" spans="1:4" x14ac:dyDescent="0.3">
      <c r="A42" t="s">
        <v>87</v>
      </c>
      <c r="B42">
        <v>2010</v>
      </c>
      <c r="C42" t="s">
        <v>88</v>
      </c>
      <c r="D42" s="31">
        <v>13945167272.7157</v>
      </c>
    </row>
    <row r="43" spans="1:4" x14ac:dyDescent="0.3">
      <c r="A43" t="s">
        <v>87</v>
      </c>
      <c r="B43">
        <v>2011</v>
      </c>
      <c r="C43" t="s">
        <v>88</v>
      </c>
      <c r="D43" s="31">
        <v>15689234225.1273</v>
      </c>
    </row>
    <row r="44" spans="1:4" x14ac:dyDescent="0.3">
      <c r="A44" t="s">
        <v>87</v>
      </c>
      <c r="B44">
        <v>2012</v>
      </c>
      <c r="C44" t="s">
        <v>88</v>
      </c>
      <c r="D44" s="31">
        <v>15907396534.426701</v>
      </c>
    </row>
    <row r="45" spans="1:4" x14ac:dyDescent="0.3">
      <c r="A45" t="s">
        <v>87</v>
      </c>
      <c r="B45">
        <v>2013</v>
      </c>
      <c r="C45" t="s">
        <v>88</v>
      </c>
      <c r="D45" s="31">
        <v>16565034100.7691</v>
      </c>
    </row>
    <row r="46" spans="1:4" x14ac:dyDescent="0.3">
      <c r="A46" t="s">
        <v>87</v>
      </c>
      <c r="B46">
        <v>2014</v>
      </c>
      <c r="C46" t="s">
        <v>88</v>
      </c>
      <c r="D46" s="31">
        <v>17395832618.271099</v>
      </c>
    </row>
    <row r="47" spans="1:4" x14ac:dyDescent="0.3">
      <c r="A47" t="s">
        <v>87</v>
      </c>
      <c r="B47">
        <v>2015</v>
      </c>
      <c r="C47" t="s">
        <v>88</v>
      </c>
      <c r="D47" s="31">
        <v>16282601357.204</v>
      </c>
    </row>
    <row r="48" spans="1:4" x14ac:dyDescent="0.3">
      <c r="A48" t="s">
        <v>87</v>
      </c>
      <c r="B48">
        <v>2016</v>
      </c>
      <c r="C48" t="s">
        <v>88</v>
      </c>
      <c r="D48" s="31">
        <v>16786184835.500601</v>
      </c>
    </row>
    <row r="49" spans="1:5" x14ac:dyDescent="0.3">
      <c r="A49" t="s">
        <v>87</v>
      </c>
      <c r="B49">
        <v>2017</v>
      </c>
      <c r="C49" t="s">
        <v>88</v>
      </c>
      <c r="D49" s="31">
        <v>17364724930.682999</v>
      </c>
    </row>
    <row r="50" spans="1:5" x14ac:dyDescent="0.3">
      <c r="A50" t="s">
        <v>87</v>
      </c>
      <c r="B50">
        <v>2018</v>
      </c>
      <c r="C50" t="s">
        <v>88</v>
      </c>
      <c r="D50" s="31">
        <v>17487261056.7714</v>
      </c>
    </row>
    <row r="51" spans="1:5" x14ac:dyDescent="0.3">
      <c r="A51" t="s">
        <v>87</v>
      </c>
      <c r="B51">
        <v>2019</v>
      </c>
      <c r="C51" t="s">
        <v>88</v>
      </c>
      <c r="D51" s="31">
        <v>16331452312.8522</v>
      </c>
    </row>
    <row r="52" spans="1:5" x14ac:dyDescent="0.3">
      <c r="A52" t="s">
        <v>87</v>
      </c>
      <c r="B52">
        <v>2020</v>
      </c>
      <c r="C52" t="s">
        <v>88</v>
      </c>
      <c r="D52" s="31">
        <v>15847371619.8307</v>
      </c>
      <c r="E52" s="32">
        <f>(D52/D22)^(1/30)-1</f>
        <v>2.5031086231757094E-3</v>
      </c>
    </row>
    <row r="53" spans="1:5" x14ac:dyDescent="0.3">
      <c r="A53" t="s">
        <v>87</v>
      </c>
      <c r="B53">
        <v>2021</v>
      </c>
      <c r="C53" t="s">
        <v>88</v>
      </c>
      <c r="D53" s="31">
        <v>16750452730.7705</v>
      </c>
    </row>
    <row r="54" spans="1:5" x14ac:dyDescent="0.3">
      <c r="A54" t="s">
        <v>87</v>
      </c>
      <c r="B54">
        <v>2022</v>
      </c>
      <c r="C54" t="s">
        <v>88</v>
      </c>
      <c r="D54" s="31">
        <v>15176134612.575701</v>
      </c>
    </row>
    <row r="55" spans="1:5" x14ac:dyDescent="0.3">
      <c r="A55" t="s">
        <v>87</v>
      </c>
      <c r="B55">
        <v>2023</v>
      </c>
      <c r="C55" t="s">
        <v>88</v>
      </c>
      <c r="D55" s="31">
        <v>16446632290.336399</v>
      </c>
    </row>
    <row r="56" spans="1:5" x14ac:dyDescent="0.3">
      <c r="A56" t="s">
        <v>87</v>
      </c>
      <c r="B56">
        <v>2024</v>
      </c>
      <c r="C56" t="s">
        <v>88</v>
      </c>
      <c r="D56" s="31">
        <v>17199287594.8727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47.318146727013904</v>
      </c>
      <c r="C7">
        <v>47.436589188118987</v>
      </c>
      <c r="D7">
        <v>47.555328123569808</v>
      </c>
      <c r="E7">
        <v>47.674364275473863</v>
      </c>
      <c r="F7">
        <v>47.793698387796219</v>
      </c>
      <c r="G7">
        <v>47.91333120636417</v>
      </c>
      <c r="H7">
        <v>48.033263478871895</v>
      </c>
      <c r="I7">
        <v>48.15349595488513</v>
      </c>
      <c r="J7">
        <v>48.274029385845857</v>
      </c>
      <c r="K7">
        <v>48.394864525077004</v>
      </c>
      <c r="L7">
        <v>48.516002127787146</v>
      </c>
      <c r="M7">
        <v>48.637442951075222</v>
      </c>
      <c r="N7">
        <v>48.759187753935272</v>
      </c>
      <c r="O7">
        <v>48.881237297261194</v>
      </c>
      <c r="P7">
        <v>49.003592343851466</v>
      </c>
      <c r="Q7">
        <v>49.126253658413951</v>
      </c>
      <c r="R7">
        <v>49.249222007570644</v>
      </c>
      <c r="S7">
        <v>49.372498159862488</v>
      </c>
      <c r="T7">
        <v>49.49608288575417</v>
      </c>
      <c r="U7">
        <v>49.619976957638919</v>
      </c>
      <c r="V7">
        <v>49.744181149843364</v>
      </c>
      <c r="W7">
        <v>49.868696238632353</v>
      </c>
      <c r="X7">
        <v>49.993523002213806</v>
      </c>
      <c r="Y7">
        <v>50.11866222074358</v>
      </c>
      <c r="Z7">
        <v>50.244114676330355</v>
      </c>
      <c r="AA7">
        <v>50.36988115304051</v>
      </c>
      <c r="AB7">
        <v>50.495962436903021</v>
      </c>
      <c r="AC7">
        <v>50.622359315914387</v>
      </c>
      <c r="AD7">
        <v>50.749072580043553</v>
      </c>
      <c r="AE7">
        <v>50.87610302123683</v>
      </c>
      <c r="AF7">
        <v>51.00345143342286</v>
      </c>
      <c r="AG7">
        <v>51.131118612517582</v>
      </c>
      <c r="AH7">
        <v>51.259105356429195</v>
      </c>
      <c r="AI7">
        <v>51.387412465063143</v>
      </c>
      <c r="AJ7">
        <v>51.516040740327128</v>
      </c>
      <c r="AK7">
        <v>51.644990986136115</v>
      </c>
      <c r="AL7">
        <v>51.774264008417347</v>
      </c>
      <c r="AM7">
        <v>51.903860615115391</v>
      </c>
      <c r="AN7">
        <v>52.033781616197196</v>
      </c>
      <c r="AO7">
        <v>52.164027823657143</v>
      </c>
      <c r="AP7">
        <v>52.294600051522117</v>
      </c>
      <c r="AQ7">
        <v>52.42549911585661</v>
      </c>
      <c r="AR7">
        <v>52.556725834767803</v>
      </c>
      <c r="AS7">
        <v>52.688281028410692</v>
      </c>
      <c r="AT7">
        <v>52.820165518993214</v>
      </c>
      <c r="AU7">
        <v>52.952380130781371</v>
      </c>
      <c r="AV7">
        <v>53.084925690104406</v>
      </c>
      <c r="AW7">
        <v>53.217803025359949</v>
      </c>
      <c r="AX7">
        <v>53.351012967019194</v>
      </c>
      <c r="AY7">
        <v>53.4845563476321</v>
      </c>
      <c r="AZ7">
        <v>53.618434001832583</v>
      </c>
      <c r="BA7">
        <v>53.752646766343744</v>
      </c>
      <c r="BB7">
        <v>53.887195479983099</v>
      </c>
      <c r="BC7">
        <v>54.022080983667799</v>
      </c>
      <c r="BD7">
        <v>54.157304120419916</v>
      </c>
      <c r="BE7">
        <v>54.292865735371691</v>
      </c>
      <c r="BF7">
        <v>54.428766675770824</v>
      </c>
      <c r="BG7">
        <v>54.565007790985767</v>
      </c>
      <c r="BH7">
        <v>54.701589932511034</v>
      </c>
      <c r="BI7">
        <v>54.838513953972523</v>
      </c>
      <c r="BJ7">
        <v>54.975780711132856</v>
      </c>
      <c r="BK7">
        <v>55.113391061896706</v>
      </c>
      <c r="BL7">
        <v>55.251345866316193</v>
      </c>
      <c r="BM7">
        <v>55.389645986596236</v>
      </c>
      <c r="BN7">
        <v>55.528292287099937</v>
      </c>
      <c r="BO7">
        <v>55.667285634353995</v>
      </c>
      <c r="BP7">
        <v>55.80662689705413</v>
      </c>
      <c r="BQ7">
        <v>55.946316946070496</v>
      </c>
      <c r="BR7">
        <v>56.086356654453127</v>
      </c>
      <c r="BS7">
        <v>56.226746897437394</v>
      </c>
      <c r="BT7">
        <v>56.367488552449487</v>
      </c>
      <c r="BU7">
        <v>56.508582499111881</v>
      </c>
      <c r="BV7">
        <v>56.650029619248841</v>
      </c>
      <c r="BW7">
        <v>56.791830796891944</v>
      </c>
      <c r="BX7">
        <v>56.933986918285576</v>
      </c>
      <c r="BY7">
        <v>57.076498871892511</v>
      </c>
      <c r="BZ7">
        <v>57.219367548399426</v>
      </c>
      <c r="CA7">
        <v>57.362593840722482</v>
      </c>
      <c r="CB7">
        <v>57.50617864401292</v>
      </c>
      <c r="CC7">
        <v>57.65012285566263</v>
      </c>
      <c r="CD7">
        <v>57.79442737530978</v>
      </c>
      <c r="CE7">
        <v>57.939093104844417</v>
      </c>
      <c r="CF7">
        <v>58.084120948414132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C8" sqref="C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C2" sqref="C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opLeftCell="J1" workbookViewId="0">
      <selection activeCell="AA37" sqref="AA3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B2-B2*0.015</f>
        <v>0.98499999999999999</v>
      </c>
      <c r="D2" s="11">
        <f t="shared" ref="D2:AG10" si="0">C2-C2*0.015</f>
        <v>0.970225</v>
      </c>
      <c r="E2" s="11">
        <f t="shared" si="0"/>
        <v>0.95567162500000002</v>
      </c>
      <c r="F2" s="11">
        <f t="shared" si="0"/>
        <v>0.94133655062499999</v>
      </c>
      <c r="G2" s="11">
        <f t="shared" si="0"/>
        <v>0.92721650236562503</v>
      </c>
      <c r="H2" s="11">
        <f t="shared" si="0"/>
        <v>0.91330825483014066</v>
      </c>
      <c r="I2" s="11">
        <f t="shared" si="0"/>
        <v>0.89960863100768851</v>
      </c>
      <c r="J2" s="11">
        <f t="shared" si="0"/>
        <v>0.88611450154257321</v>
      </c>
      <c r="K2" s="11">
        <f t="shared" si="0"/>
        <v>0.87282278401943458</v>
      </c>
      <c r="L2" s="11">
        <f t="shared" si="0"/>
        <v>0.85973044225914308</v>
      </c>
      <c r="M2" s="11">
        <f t="shared" si="0"/>
        <v>0.84683448562525598</v>
      </c>
      <c r="N2" s="11">
        <f t="shared" si="0"/>
        <v>0.83413196834087711</v>
      </c>
      <c r="O2" s="11">
        <f t="shared" si="0"/>
        <v>0.82161998881576392</v>
      </c>
      <c r="P2" s="11">
        <f t="shared" si="0"/>
        <v>0.80929568898352744</v>
      </c>
      <c r="Q2" s="11">
        <f t="shared" si="0"/>
        <v>0.79715625364877452</v>
      </c>
      <c r="R2" s="11">
        <f t="shared" si="0"/>
        <v>0.78519890984404295</v>
      </c>
      <c r="S2" s="11">
        <f t="shared" si="0"/>
        <v>0.77342092619638225</v>
      </c>
      <c r="T2" s="11">
        <f t="shared" si="0"/>
        <v>0.76181961230343653</v>
      </c>
      <c r="U2" s="11">
        <f t="shared" si="0"/>
        <v>0.75039231811888496</v>
      </c>
      <c r="V2" s="11">
        <f t="shared" si="0"/>
        <v>0.73913643334710166</v>
      </c>
      <c r="W2" s="11">
        <f t="shared" si="0"/>
        <v>0.72804938684689513</v>
      </c>
      <c r="X2" s="11">
        <f t="shared" si="0"/>
        <v>0.71712864604419169</v>
      </c>
      <c r="Y2" s="11">
        <f t="shared" si="0"/>
        <v>0.7063717163535288</v>
      </c>
      <c r="Z2" s="11">
        <f t="shared" si="0"/>
        <v>0.6957761406082259</v>
      </c>
      <c r="AA2" s="11">
        <f t="shared" si="0"/>
        <v>0.68533949849910247</v>
      </c>
      <c r="AB2" s="11">
        <f t="shared" si="0"/>
        <v>0.67505940602161596</v>
      </c>
      <c r="AC2" s="11">
        <f t="shared" si="0"/>
        <v>0.66493351493129171</v>
      </c>
      <c r="AD2" s="11">
        <f t="shared" si="0"/>
        <v>0.65495951220732229</v>
      </c>
      <c r="AE2" s="11">
        <f t="shared" si="0"/>
        <v>0.64513511952421243</v>
      </c>
      <c r="AF2" s="11">
        <f t="shared" si="0"/>
        <v>0.63545809273134923</v>
      </c>
      <c r="AG2" s="11">
        <f t="shared" si="0"/>
        <v>0.62592622134037901</v>
      </c>
    </row>
    <row r="3" spans="1:33" x14ac:dyDescent="0.3">
      <c r="A3" s="2" t="s">
        <v>1</v>
      </c>
      <c r="B3" s="11">
        <v>1</v>
      </c>
      <c r="C3" s="11">
        <f t="shared" ref="C3:R18" si="1">B3-B3*0.015</f>
        <v>0.98499999999999999</v>
      </c>
      <c r="D3" s="11">
        <f t="shared" si="1"/>
        <v>0.970225</v>
      </c>
      <c r="E3" s="11">
        <f t="shared" si="1"/>
        <v>0.95567162500000002</v>
      </c>
      <c r="F3" s="11">
        <f t="shared" si="1"/>
        <v>0.94133655062499999</v>
      </c>
      <c r="G3" s="11">
        <f t="shared" si="1"/>
        <v>0.92721650236562503</v>
      </c>
      <c r="H3" s="11">
        <f t="shared" si="1"/>
        <v>0.91330825483014066</v>
      </c>
      <c r="I3" s="11">
        <f t="shared" si="1"/>
        <v>0.89960863100768851</v>
      </c>
      <c r="J3" s="11">
        <f t="shared" si="1"/>
        <v>0.88611450154257321</v>
      </c>
      <c r="K3" s="11">
        <f t="shared" si="1"/>
        <v>0.87282278401943458</v>
      </c>
      <c r="L3" s="11">
        <f t="shared" si="1"/>
        <v>0.85973044225914308</v>
      </c>
      <c r="M3" s="11">
        <f t="shared" si="1"/>
        <v>0.84683448562525598</v>
      </c>
      <c r="N3" s="11">
        <f t="shared" si="1"/>
        <v>0.83413196834087711</v>
      </c>
      <c r="O3" s="11">
        <f t="shared" si="1"/>
        <v>0.82161998881576392</v>
      </c>
      <c r="P3" s="11">
        <f t="shared" si="1"/>
        <v>0.80929568898352744</v>
      </c>
      <c r="Q3" s="11">
        <f t="shared" si="1"/>
        <v>0.79715625364877452</v>
      </c>
      <c r="R3" s="11">
        <f t="shared" si="1"/>
        <v>0.78519890984404295</v>
      </c>
      <c r="S3" s="11">
        <f t="shared" si="0"/>
        <v>0.77342092619638225</v>
      </c>
      <c r="T3" s="11">
        <f t="shared" si="0"/>
        <v>0.76181961230343653</v>
      </c>
      <c r="U3" s="11">
        <f t="shared" si="0"/>
        <v>0.75039231811888496</v>
      </c>
      <c r="V3" s="11">
        <f t="shared" si="0"/>
        <v>0.73913643334710166</v>
      </c>
      <c r="W3" s="11">
        <f t="shared" si="0"/>
        <v>0.72804938684689513</v>
      </c>
      <c r="X3" s="11">
        <f t="shared" si="0"/>
        <v>0.71712864604419169</v>
      </c>
      <c r="Y3" s="11">
        <f t="shared" si="0"/>
        <v>0.7063717163535288</v>
      </c>
      <c r="Z3" s="11">
        <f t="shared" si="0"/>
        <v>0.6957761406082259</v>
      </c>
      <c r="AA3" s="11">
        <f t="shared" si="0"/>
        <v>0.68533949849910247</v>
      </c>
      <c r="AB3" s="11">
        <f t="shared" si="0"/>
        <v>0.67505940602161596</v>
      </c>
      <c r="AC3" s="11">
        <f t="shared" si="0"/>
        <v>0.66493351493129171</v>
      </c>
      <c r="AD3" s="11">
        <f t="shared" si="0"/>
        <v>0.65495951220732229</v>
      </c>
      <c r="AE3" s="11">
        <f t="shared" si="0"/>
        <v>0.64513511952421243</v>
      </c>
      <c r="AF3" s="11">
        <f t="shared" si="0"/>
        <v>0.63545809273134923</v>
      </c>
      <c r="AG3" s="11">
        <f t="shared" si="0"/>
        <v>0.62592622134037901</v>
      </c>
    </row>
    <row r="4" spans="1:33" x14ac:dyDescent="0.3">
      <c r="A4" s="2" t="s">
        <v>2</v>
      </c>
      <c r="B4" s="11">
        <v>1</v>
      </c>
      <c r="C4" s="11">
        <f t="shared" si="1"/>
        <v>0.98499999999999999</v>
      </c>
      <c r="D4" s="11">
        <f t="shared" si="0"/>
        <v>0.970225</v>
      </c>
      <c r="E4" s="11">
        <f t="shared" si="0"/>
        <v>0.95567162500000002</v>
      </c>
      <c r="F4" s="11">
        <f t="shared" si="0"/>
        <v>0.94133655062499999</v>
      </c>
      <c r="G4" s="11">
        <f t="shared" si="0"/>
        <v>0.92721650236562503</v>
      </c>
      <c r="H4" s="11">
        <f t="shared" si="0"/>
        <v>0.91330825483014066</v>
      </c>
      <c r="I4" s="11">
        <f t="shared" si="0"/>
        <v>0.89960863100768851</v>
      </c>
      <c r="J4" s="11">
        <f t="shared" si="0"/>
        <v>0.88611450154257321</v>
      </c>
      <c r="K4" s="11">
        <f t="shared" si="0"/>
        <v>0.87282278401943458</v>
      </c>
      <c r="L4" s="11">
        <f t="shared" si="0"/>
        <v>0.85973044225914308</v>
      </c>
      <c r="M4" s="11">
        <f t="shared" si="0"/>
        <v>0.84683448562525598</v>
      </c>
      <c r="N4" s="11">
        <f t="shared" si="0"/>
        <v>0.83413196834087711</v>
      </c>
      <c r="O4" s="11">
        <f t="shared" si="0"/>
        <v>0.82161998881576392</v>
      </c>
      <c r="P4" s="11">
        <f t="shared" si="0"/>
        <v>0.80929568898352744</v>
      </c>
      <c r="Q4" s="11">
        <f t="shared" si="0"/>
        <v>0.79715625364877452</v>
      </c>
      <c r="R4" s="11">
        <f t="shared" si="0"/>
        <v>0.78519890984404295</v>
      </c>
      <c r="S4" s="11">
        <f t="shared" si="0"/>
        <v>0.77342092619638225</v>
      </c>
      <c r="T4" s="11">
        <f t="shared" si="0"/>
        <v>0.76181961230343653</v>
      </c>
      <c r="U4" s="11">
        <f t="shared" si="0"/>
        <v>0.75039231811888496</v>
      </c>
      <c r="V4" s="11">
        <f t="shared" si="0"/>
        <v>0.73913643334710166</v>
      </c>
      <c r="W4" s="11">
        <f t="shared" si="0"/>
        <v>0.72804938684689513</v>
      </c>
      <c r="X4" s="11">
        <f t="shared" si="0"/>
        <v>0.71712864604419169</v>
      </c>
      <c r="Y4" s="11">
        <f t="shared" si="0"/>
        <v>0.7063717163535288</v>
      </c>
      <c r="Z4" s="11">
        <f t="shared" si="0"/>
        <v>0.6957761406082259</v>
      </c>
      <c r="AA4" s="11">
        <f t="shared" si="0"/>
        <v>0.68533949849910247</v>
      </c>
      <c r="AB4" s="11">
        <f t="shared" si="0"/>
        <v>0.67505940602161596</v>
      </c>
      <c r="AC4" s="11">
        <f t="shared" si="0"/>
        <v>0.66493351493129171</v>
      </c>
      <c r="AD4" s="11">
        <f t="shared" si="0"/>
        <v>0.65495951220732229</v>
      </c>
      <c r="AE4" s="11">
        <f t="shared" si="0"/>
        <v>0.64513511952421243</v>
      </c>
      <c r="AF4" s="11">
        <f t="shared" si="0"/>
        <v>0.63545809273134923</v>
      </c>
      <c r="AG4" s="11">
        <f t="shared" si="0"/>
        <v>0.62592622134037901</v>
      </c>
    </row>
    <row r="5" spans="1:33" x14ac:dyDescent="0.3">
      <c r="A5" s="2" t="s">
        <v>3</v>
      </c>
      <c r="B5" s="11">
        <v>1</v>
      </c>
      <c r="C5" s="11">
        <f t="shared" si="1"/>
        <v>0.98499999999999999</v>
      </c>
      <c r="D5" s="11">
        <f t="shared" si="0"/>
        <v>0.970225</v>
      </c>
      <c r="E5" s="11">
        <f t="shared" si="0"/>
        <v>0.95567162500000002</v>
      </c>
      <c r="F5" s="11">
        <f t="shared" si="0"/>
        <v>0.94133655062499999</v>
      </c>
      <c r="G5" s="11">
        <f t="shared" si="0"/>
        <v>0.92721650236562503</v>
      </c>
      <c r="H5" s="11">
        <f t="shared" si="0"/>
        <v>0.91330825483014066</v>
      </c>
      <c r="I5" s="11">
        <f t="shared" si="0"/>
        <v>0.89960863100768851</v>
      </c>
      <c r="J5" s="11">
        <f t="shared" si="0"/>
        <v>0.88611450154257321</v>
      </c>
      <c r="K5" s="11">
        <f t="shared" si="0"/>
        <v>0.87282278401943458</v>
      </c>
      <c r="L5" s="11">
        <f t="shared" si="0"/>
        <v>0.85973044225914308</v>
      </c>
      <c r="M5" s="11">
        <f t="shared" si="0"/>
        <v>0.84683448562525598</v>
      </c>
      <c r="N5" s="11">
        <f t="shared" si="0"/>
        <v>0.83413196834087711</v>
      </c>
      <c r="O5" s="11">
        <f t="shared" si="0"/>
        <v>0.82161998881576392</v>
      </c>
      <c r="P5" s="11">
        <f t="shared" si="0"/>
        <v>0.80929568898352744</v>
      </c>
      <c r="Q5" s="11">
        <f t="shared" si="0"/>
        <v>0.79715625364877452</v>
      </c>
      <c r="R5" s="11">
        <f t="shared" si="0"/>
        <v>0.78519890984404295</v>
      </c>
      <c r="S5" s="11">
        <f t="shared" si="0"/>
        <v>0.77342092619638225</v>
      </c>
      <c r="T5" s="11">
        <f t="shared" si="0"/>
        <v>0.76181961230343653</v>
      </c>
      <c r="U5" s="11">
        <f t="shared" si="0"/>
        <v>0.75039231811888496</v>
      </c>
      <c r="V5" s="11">
        <f t="shared" si="0"/>
        <v>0.73913643334710166</v>
      </c>
      <c r="W5" s="11">
        <f t="shared" si="0"/>
        <v>0.72804938684689513</v>
      </c>
      <c r="X5" s="11">
        <f t="shared" si="0"/>
        <v>0.71712864604419169</v>
      </c>
      <c r="Y5" s="11">
        <f t="shared" si="0"/>
        <v>0.7063717163535288</v>
      </c>
      <c r="Z5" s="11">
        <f t="shared" si="0"/>
        <v>0.6957761406082259</v>
      </c>
      <c r="AA5" s="11">
        <f t="shared" si="0"/>
        <v>0.68533949849910247</v>
      </c>
      <c r="AB5" s="11">
        <f t="shared" si="0"/>
        <v>0.67505940602161596</v>
      </c>
      <c r="AC5" s="11">
        <f t="shared" si="0"/>
        <v>0.66493351493129171</v>
      </c>
      <c r="AD5" s="11">
        <f t="shared" si="0"/>
        <v>0.65495951220732229</v>
      </c>
      <c r="AE5" s="11">
        <f t="shared" si="0"/>
        <v>0.64513511952421243</v>
      </c>
      <c r="AF5" s="11">
        <f t="shared" si="0"/>
        <v>0.63545809273134923</v>
      </c>
      <c r="AG5" s="11">
        <f t="shared" si="0"/>
        <v>0.62592622134037901</v>
      </c>
    </row>
    <row r="6" spans="1:33" x14ac:dyDescent="0.3">
      <c r="A6" s="2" t="s">
        <v>4</v>
      </c>
      <c r="B6" s="11">
        <v>1</v>
      </c>
      <c r="C6" s="11">
        <f t="shared" si="1"/>
        <v>0.98499999999999999</v>
      </c>
      <c r="D6" s="11">
        <f t="shared" si="0"/>
        <v>0.970225</v>
      </c>
      <c r="E6" s="11">
        <f t="shared" si="0"/>
        <v>0.95567162500000002</v>
      </c>
      <c r="F6" s="11">
        <f t="shared" si="0"/>
        <v>0.94133655062499999</v>
      </c>
      <c r="G6" s="11">
        <f t="shared" si="0"/>
        <v>0.92721650236562503</v>
      </c>
      <c r="H6" s="11">
        <f t="shared" si="0"/>
        <v>0.91330825483014066</v>
      </c>
      <c r="I6" s="11">
        <f t="shared" si="0"/>
        <v>0.89960863100768851</v>
      </c>
      <c r="J6" s="11">
        <f t="shared" si="0"/>
        <v>0.88611450154257321</v>
      </c>
      <c r="K6" s="11">
        <f t="shared" si="0"/>
        <v>0.87282278401943458</v>
      </c>
      <c r="L6" s="11">
        <f t="shared" si="0"/>
        <v>0.85973044225914308</v>
      </c>
      <c r="M6" s="11">
        <f t="shared" si="0"/>
        <v>0.84683448562525598</v>
      </c>
      <c r="N6" s="11">
        <f t="shared" si="0"/>
        <v>0.83413196834087711</v>
      </c>
      <c r="O6" s="11">
        <f t="shared" si="0"/>
        <v>0.82161998881576392</v>
      </c>
      <c r="P6" s="11">
        <f t="shared" si="0"/>
        <v>0.80929568898352744</v>
      </c>
      <c r="Q6" s="11">
        <f t="shared" si="0"/>
        <v>0.79715625364877452</v>
      </c>
      <c r="R6" s="11">
        <f t="shared" si="0"/>
        <v>0.78519890984404295</v>
      </c>
      <c r="S6" s="11">
        <f t="shared" si="0"/>
        <v>0.77342092619638225</v>
      </c>
      <c r="T6" s="11">
        <f t="shared" si="0"/>
        <v>0.76181961230343653</v>
      </c>
      <c r="U6" s="11">
        <f t="shared" si="0"/>
        <v>0.75039231811888496</v>
      </c>
      <c r="V6" s="11">
        <f t="shared" si="0"/>
        <v>0.73913643334710166</v>
      </c>
      <c r="W6" s="11">
        <f t="shared" si="0"/>
        <v>0.72804938684689513</v>
      </c>
      <c r="X6" s="11">
        <f t="shared" si="0"/>
        <v>0.71712864604419169</v>
      </c>
      <c r="Y6" s="11">
        <f t="shared" si="0"/>
        <v>0.7063717163535288</v>
      </c>
      <c r="Z6" s="11">
        <f t="shared" si="0"/>
        <v>0.6957761406082259</v>
      </c>
      <c r="AA6" s="11">
        <f t="shared" si="0"/>
        <v>0.68533949849910247</v>
      </c>
      <c r="AB6" s="11">
        <f t="shared" si="0"/>
        <v>0.67505940602161596</v>
      </c>
      <c r="AC6" s="11">
        <f t="shared" si="0"/>
        <v>0.66493351493129171</v>
      </c>
      <c r="AD6" s="11">
        <f t="shared" si="0"/>
        <v>0.65495951220732229</v>
      </c>
      <c r="AE6" s="11">
        <f t="shared" si="0"/>
        <v>0.64513511952421243</v>
      </c>
      <c r="AF6" s="11">
        <f t="shared" si="0"/>
        <v>0.63545809273134923</v>
      </c>
      <c r="AG6" s="11">
        <f t="shared" si="0"/>
        <v>0.62592622134037901</v>
      </c>
    </row>
    <row r="7" spans="1:33" x14ac:dyDescent="0.3">
      <c r="A7" s="2" t="s">
        <v>5</v>
      </c>
      <c r="B7" s="11">
        <v>1</v>
      </c>
      <c r="C7" s="11">
        <f t="shared" si="1"/>
        <v>0.98499999999999999</v>
      </c>
      <c r="D7" s="11">
        <f t="shared" si="0"/>
        <v>0.970225</v>
      </c>
      <c r="E7" s="11">
        <f t="shared" si="0"/>
        <v>0.95567162500000002</v>
      </c>
      <c r="F7" s="11">
        <f t="shared" si="0"/>
        <v>0.94133655062499999</v>
      </c>
      <c r="G7" s="11">
        <f t="shared" si="0"/>
        <v>0.92721650236562503</v>
      </c>
      <c r="H7" s="11">
        <f t="shared" si="0"/>
        <v>0.91330825483014066</v>
      </c>
      <c r="I7" s="11">
        <f t="shared" si="0"/>
        <v>0.89960863100768851</v>
      </c>
      <c r="J7" s="11">
        <f t="shared" si="0"/>
        <v>0.88611450154257321</v>
      </c>
      <c r="K7" s="11">
        <f t="shared" si="0"/>
        <v>0.87282278401943458</v>
      </c>
      <c r="L7" s="11">
        <f t="shared" si="0"/>
        <v>0.85973044225914308</v>
      </c>
      <c r="M7" s="11">
        <f t="shared" si="0"/>
        <v>0.84683448562525598</v>
      </c>
      <c r="N7" s="11">
        <f t="shared" si="0"/>
        <v>0.83413196834087711</v>
      </c>
      <c r="O7" s="11">
        <f t="shared" si="0"/>
        <v>0.82161998881576392</v>
      </c>
      <c r="P7" s="11">
        <f t="shared" si="0"/>
        <v>0.80929568898352744</v>
      </c>
      <c r="Q7" s="11">
        <f t="shared" si="0"/>
        <v>0.79715625364877452</v>
      </c>
      <c r="R7" s="11">
        <f t="shared" si="0"/>
        <v>0.78519890984404295</v>
      </c>
      <c r="S7" s="11">
        <f t="shared" si="0"/>
        <v>0.77342092619638225</v>
      </c>
      <c r="T7" s="11">
        <f t="shared" si="0"/>
        <v>0.76181961230343653</v>
      </c>
      <c r="U7" s="11">
        <f t="shared" si="0"/>
        <v>0.75039231811888496</v>
      </c>
      <c r="V7" s="11">
        <f t="shared" si="0"/>
        <v>0.73913643334710166</v>
      </c>
      <c r="W7" s="11">
        <f t="shared" si="0"/>
        <v>0.72804938684689513</v>
      </c>
      <c r="X7" s="11">
        <f t="shared" si="0"/>
        <v>0.71712864604419169</v>
      </c>
      <c r="Y7" s="11">
        <f t="shared" si="0"/>
        <v>0.7063717163535288</v>
      </c>
      <c r="Z7" s="11">
        <f t="shared" si="0"/>
        <v>0.6957761406082259</v>
      </c>
      <c r="AA7" s="11">
        <f t="shared" si="0"/>
        <v>0.68533949849910247</v>
      </c>
      <c r="AB7" s="11">
        <f t="shared" si="0"/>
        <v>0.67505940602161596</v>
      </c>
      <c r="AC7" s="11">
        <f t="shared" si="0"/>
        <v>0.66493351493129171</v>
      </c>
      <c r="AD7" s="11">
        <f t="shared" si="0"/>
        <v>0.65495951220732229</v>
      </c>
      <c r="AE7" s="11">
        <f t="shared" si="0"/>
        <v>0.64513511952421243</v>
      </c>
      <c r="AF7" s="11">
        <f t="shared" si="0"/>
        <v>0.63545809273134923</v>
      </c>
      <c r="AG7" s="11">
        <f t="shared" si="0"/>
        <v>0.62592622134037901</v>
      </c>
    </row>
    <row r="8" spans="1:33" x14ac:dyDescent="0.3">
      <c r="A8" s="2" t="s">
        <v>6</v>
      </c>
      <c r="B8" s="11">
        <v>1</v>
      </c>
      <c r="C8" s="11">
        <f t="shared" si="1"/>
        <v>0.98499999999999999</v>
      </c>
      <c r="D8" s="11">
        <f t="shared" si="0"/>
        <v>0.970225</v>
      </c>
      <c r="E8" s="11">
        <f t="shared" si="0"/>
        <v>0.95567162500000002</v>
      </c>
      <c r="F8" s="11">
        <f t="shared" si="0"/>
        <v>0.94133655062499999</v>
      </c>
      <c r="G8" s="11">
        <f t="shared" si="0"/>
        <v>0.92721650236562503</v>
      </c>
      <c r="H8" s="11">
        <f t="shared" si="0"/>
        <v>0.91330825483014066</v>
      </c>
      <c r="I8" s="11">
        <f t="shared" si="0"/>
        <v>0.89960863100768851</v>
      </c>
      <c r="J8" s="11">
        <f t="shared" si="0"/>
        <v>0.88611450154257321</v>
      </c>
      <c r="K8" s="11">
        <f t="shared" si="0"/>
        <v>0.87282278401943458</v>
      </c>
      <c r="L8" s="11">
        <f t="shared" si="0"/>
        <v>0.85973044225914308</v>
      </c>
      <c r="M8" s="11">
        <f t="shared" si="0"/>
        <v>0.84683448562525598</v>
      </c>
      <c r="N8" s="11">
        <f t="shared" si="0"/>
        <v>0.83413196834087711</v>
      </c>
      <c r="O8" s="11">
        <f t="shared" si="0"/>
        <v>0.82161998881576392</v>
      </c>
      <c r="P8" s="11">
        <f t="shared" si="0"/>
        <v>0.80929568898352744</v>
      </c>
      <c r="Q8" s="11">
        <f t="shared" si="0"/>
        <v>0.79715625364877452</v>
      </c>
      <c r="R8" s="11">
        <f t="shared" si="0"/>
        <v>0.78519890984404295</v>
      </c>
      <c r="S8" s="11">
        <f t="shared" si="0"/>
        <v>0.77342092619638225</v>
      </c>
      <c r="T8" s="11">
        <f t="shared" si="0"/>
        <v>0.76181961230343653</v>
      </c>
      <c r="U8" s="11">
        <f t="shared" si="0"/>
        <v>0.75039231811888496</v>
      </c>
      <c r="V8" s="11">
        <f t="shared" si="0"/>
        <v>0.73913643334710166</v>
      </c>
      <c r="W8" s="11">
        <f t="shared" si="0"/>
        <v>0.72804938684689513</v>
      </c>
      <c r="X8" s="11">
        <f t="shared" si="0"/>
        <v>0.71712864604419169</v>
      </c>
      <c r="Y8" s="11">
        <f t="shared" si="0"/>
        <v>0.7063717163535288</v>
      </c>
      <c r="Z8" s="11">
        <f t="shared" si="0"/>
        <v>0.6957761406082259</v>
      </c>
      <c r="AA8" s="11">
        <f t="shared" si="0"/>
        <v>0.68533949849910247</v>
      </c>
      <c r="AB8" s="11">
        <f t="shared" si="0"/>
        <v>0.67505940602161596</v>
      </c>
      <c r="AC8" s="11">
        <f t="shared" si="0"/>
        <v>0.66493351493129171</v>
      </c>
      <c r="AD8" s="11">
        <f t="shared" si="0"/>
        <v>0.65495951220732229</v>
      </c>
      <c r="AE8" s="11">
        <f t="shared" si="0"/>
        <v>0.64513511952421243</v>
      </c>
      <c r="AF8" s="11">
        <f t="shared" si="0"/>
        <v>0.63545809273134923</v>
      </c>
      <c r="AG8" s="11">
        <f t="shared" si="0"/>
        <v>0.62592622134037901</v>
      </c>
    </row>
    <row r="9" spans="1:33" x14ac:dyDescent="0.3">
      <c r="A9" s="2" t="s">
        <v>7</v>
      </c>
      <c r="B9" s="11">
        <v>1</v>
      </c>
      <c r="C9" s="11">
        <f t="shared" si="1"/>
        <v>0.98499999999999999</v>
      </c>
      <c r="D9" s="11">
        <f t="shared" si="0"/>
        <v>0.970225</v>
      </c>
      <c r="E9" s="11">
        <f t="shared" si="0"/>
        <v>0.95567162500000002</v>
      </c>
      <c r="F9" s="11">
        <f t="shared" si="0"/>
        <v>0.94133655062499999</v>
      </c>
      <c r="G9" s="11">
        <f t="shared" si="0"/>
        <v>0.92721650236562503</v>
      </c>
      <c r="H9" s="11">
        <f t="shared" si="0"/>
        <v>0.91330825483014066</v>
      </c>
      <c r="I9" s="11">
        <f t="shared" si="0"/>
        <v>0.89960863100768851</v>
      </c>
      <c r="J9" s="11">
        <f t="shared" si="0"/>
        <v>0.88611450154257321</v>
      </c>
      <c r="K9" s="11">
        <f t="shared" si="0"/>
        <v>0.87282278401943458</v>
      </c>
      <c r="L9" s="11">
        <f t="shared" si="0"/>
        <v>0.85973044225914308</v>
      </c>
      <c r="M9" s="11">
        <f t="shared" si="0"/>
        <v>0.84683448562525598</v>
      </c>
      <c r="N9" s="11">
        <f t="shared" si="0"/>
        <v>0.83413196834087711</v>
      </c>
      <c r="O9" s="11">
        <f t="shared" si="0"/>
        <v>0.82161998881576392</v>
      </c>
      <c r="P9" s="11">
        <f t="shared" si="0"/>
        <v>0.80929568898352744</v>
      </c>
      <c r="Q9" s="11">
        <f t="shared" si="0"/>
        <v>0.79715625364877452</v>
      </c>
      <c r="R9" s="11">
        <f t="shared" si="0"/>
        <v>0.78519890984404295</v>
      </c>
      <c r="S9" s="11">
        <f t="shared" si="0"/>
        <v>0.77342092619638225</v>
      </c>
      <c r="T9" s="11">
        <f t="shared" si="0"/>
        <v>0.76181961230343653</v>
      </c>
      <c r="U9" s="11">
        <f t="shared" si="0"/>
        <v>0.75039231811888496</v>
      </c>
      <c r="V9" s="11">
        <f t="shared" si="0"/>
        <v>0.73913643334710166</v>
      </c>
      <c r="W9" s="11">
        <f t="shared" si="0"/>
        <v>0.72804938684689513</v>
      </c>
      <c r="X9" s="11">
        <f t="shared" si="0"/>
        <v>0.71712864604419169</v>
      </c>
      <c r="Y9" s="11">
        <f t="shared" si="0"/>
        <v>0.7063717163535288</v>
      </c>
      <c r="Z9" s="11">
        <f t="shared" si="0"/>
        <v>0.6957761406082259</v>
      </c>
      <c r="AA9" s="11">
        <f t="shared" si="0"/>
        <v>0.68533949849910247</v>
      </c>
      <c r="AB9" s="11">
        <f t="shared" si="0"/>
        <v>0.67505940602161596</v>
      </c>
      <c r="AC9" s="11">
        <f t="shared" si="0"/>
        <v>0.66493351493129171</v>
      </c>
      <c r="AD9" s="11">
        <f t="shared" si="0"/>
        <v>0.65495951220732229</v>
      </c>
      <c r="AE9" s="11">
        <f t="shared" si="0"/>
        <v>0.64513511952421243</v>
      </c>
      <c r="AF9" s="11">
        <f t="shared" si="0"/>
        <v>0.63545809273134923</v>
      </c>
      <c r="AG9" s="11">
        <f t="shared" si="0"/>
        <v>0.62592622134037901</v>
      </c>
    </row>
    <row r="10" spans="1:33" x14ac:dyDescent="0.3">
      <c r="A10" s="2" t="s">
        <v>8</v>
      </c>
      <c r="B10" s="11">
        <v>1</v>
      </c>
      <c r="C10" s="11">
        <f t="shared" si="1"/>
        <v>0.98499999999999999</v>
      </c>
      <c r="D10" s="11">
        <f t="shared" si="0"/>
        <v>0.970225</v>
      </c>
      <c r="E10" s="11">
        <f t="shared" si="0"/>
        <v>0.95567162500000002</v>
      </c>
      <c r="F10" s="11">
        <f t="shared" si="0"/>
        <v>0.94133655062499999</v>
      </c>
      <c r="G10" s="11">
        <f t="shared" si="0"/>
        <v>0.92721650236562503</v>
      </c>
      <c r="H10" s="11">
        <f t="shared" si="0"/>
        <v>0.91330825483014066</v>
      </c>
      <c r="I10" s="11">
        <f t="shared" si="0"/>
        <v>0.89960863100768851</v>
      </c>
      <c r="J10" s="11">
        <f t="shared" si="0"/>
        <v>0.88611450154257321</v>
      </c>
      <c r="K10" s="11">
        <f t="shared" si="0"/>
        <v>0.87282278401943458</v>
      </c>
      <c r="L10" s="11">
        <f t="shared" si="0"/>
        <v>0.85973044225914308</v>
      </c>
      <c r="M10" s="11">
        <f t="shared" si="0"/>
        <v>0.84683448562525598</v>
      </c>
      <c r="N10" s="11">
        <f t="shared" si="0"/>
        <v>0.83413196834087711</v>
      </c>
      <c r="O10" s="11">
        <f t="shared" si="0"/>
        <v>0.82161998881576392</v>
      </c>
      <c r="P10" s="11">
        <f t="shared" si="0"/>
        <v>0.80929568898352744</v>
      </c>
      <c r="Q10" s="11">
        <f t="shared" si="0"/>
        <v>0.79715625364877452</v>
      </c>
      <c r="R10" s="11">
        <f t="shared" si="0"/>
        <v>0.78519890984404295</v>
      </c>
      <c r="S10" s="11">
        <f t="shared" si="0"/>
        <v>0.77342092619638225</v>
      </c>
      <c r="T10" s="11">
        <f t="shared" si="0"/>
        <v>0.76181961230343653</v>
      </c>
      <c r="U10" s="11">
        <f t="shared" si="0"/>
        <v>0.75039231811888496</v>
      </c>
      <c r="V10" s="11">
        <f t="shared" si="0"/>
        <v>0.73913643334710166</v>
      </c>
      <c r="W10" s="11">
        <f t="shared" si="0"/>
        <v>0.72804938684689513</v>
      </c>
      <c r="X10" s="11">
        <f t="shared" si="0"/>
        <v>0.71712864604419169</v>
      </c>
      <c r="Y10" s="11">
        <f t="shared" si="0"/>
        <v>0.7063717163535288</v>
      </c>
      <c r="Z10" s="11">
        <f t="shared" si="0"/>
        <v>0.6957761406082259</v>
      </c>
      <c r="AA10" s="11">
        <f t="shared" si="0"/>
        <v>0.68533949849910247</v>
      </c>
      <c r="AB10" s="11">
        <f t="shared" si="0"/>
        <v>0.67505940602161596</v>
      </c>
      <c r="AC10" s="11">
        <f t="shared" si="0"/>
        <v>0.66493351493129171</v>
      </c>
      <c r="AD10" s="11">
        <f t="shared" si="0"/>
        <v>0.65495951220732229</v>
      </c>
      <c r="AE10" s="11">
        <f t="shared" si="0"/>
        <v>0.64513511952421243</v>
      </c>
      <c r="AF10" s="11">
        <f t="shared" si="0"/>
        <v>0.63545809273134923</v>
      </c>
      <c r="AG10" s="11">
        <f t="shared" si="0"/>
        <v>0.62592622134037901</v>
      </c>
    </row>
    <row r="11" spans="1:33" x14ac:dyDescent="0.3">
      <c r="A11" s="2" t="s">
        <v>9</v>
      </c>
      <c r="B11" s="11">
        <v>1</v>
      </c>
      <c r="C11" s="11">
        <f t="shared" si="1"/>
        <v>0.98499999999999999</v>
      </c>
      <c r="D11" s="11">
        <f t="shared" ref="D11:AG18" si="2">C11-C11*0.015</f>
        <v>0.970225</v>
      </c>
      <c r="E11" s="11">
        <f t="shared" si="2"/>
        <v>0.95567162500000002</v>
      </c>
      <c r="F11" s="11">
        <f t="shared" si="2"/>
        <v>0.94133655062499999</v>
      </c>
      <c r="G11" s="11">
        <f t="shared" si="2"/>
        <v>0.92721650236562503</v>
      </c>
      <c r="H11" s="11">
        <f t="shared" si="2"/>
        <v>0.91330825483014066</v>
      </c>
      <c r="I11" s="11">
        <f t="shared" si="2"/>
        <v>0.89960863100768851</v>
      </c>
      <c r="J11" s="11">
        <f t="shared" si="2"/>
        <v>0.88611450154257321</v>
      </c>
      <c r="K11" s="11">
        <f t="shared" si="2"/>
        <v>0.87282278401943458</v>
      </c>
      <c r="L11" s="11">
        <f t="shared" si="2"/>
        <v>0.85973044225914308</v>
      </c>
      <c r="M11" s="11">
        <f t="shared" si="2"/>
        <v>0.84683448562525598</v>
      </c>
      <c r="N11" s="11">
        <f t="shared" si="2"/>
        <v>0.83413196834087711</v>
      </c>
      <c r="O11" s="11">
        <f t="shared" si="2"/>
        <v>0.82161998881576392</v>
      </c>
      <c r="P11" s="11">
        <f t="shared" si="2"/>
        <v>0.80929568898352744</v>
      </c>
      <c r="Q11" s="11">
        <f t="shared" si="2"/>
        <v>0.79715625364877452</v>
      </c>
      <c r="R11" s="11">
        <f t="shared" si="2"/>
        <v>0.78519890984404295</v>
      </c>
      <c r="S11" s="11">
        <f t="shared" si="2"/>
        <v>0.77342092619638225</v>
      </c>
      <c r="T11" s="11">
        <f t="shared" si="2"/>
        <v>0.76181961230343653</v>
      </c>
      <c r="U11" s="11">
        <f t="shared" si="2"/>
        <v>0.75039231811888496</v>
      </c>
      <c r="V11" s="11">
        <f t="shared" si="2"/>
        <v>0.73913643334710166</v>
      </c>
      <c r="W11" s="11">
        <f t="shared" si="2"/>
        <v>0.72804938684689513</v>
      </c>
      <c r="X11" s="11">
        <f t="shared" si="2"/>
        <v>0.71712864604419169</v>
      </c>
      <c r="Y11" s="11">
        <f t="shared" si="2"/>
        <v>0.7063717163535288</v>
      </c>
      <c r="Z11" s="11">
        <f t="shared" si="2"/>
        <v>0.6957761406082259</v>
      </c>
      <c r="AA11" s="11">
        <f t="shared" si="2"/>
        <v>0.68533949849910247</v>
      </c>
      <c r="AB11" s="11">
        <f t="shared" si="2"/>
        <v>0.67505940602161596</v>
      </c>
      <c r="AC11" s="11">
        <f t="shared" si="2"/>
        <v>0.66493351493129171</v>
      </c>
      <c r="AD11" s="11">
        <f t="shared" si="2"/>
        <v>0.65495951220732229</v>
      </c>
      <c r="AE11" s="11">
        <f t="shared" si="2"/>
        <v>0.64513511952421243</v>
      </c>
      <c r="AF11" s="11">
        <f t="shared" si="2"/>
        <v>0.63545809273134923</v>
      </c>
      <c r="AG11" s="11">
        <f t="shared" si="2"/>
        <v>0.62592622134037901</v>
      </c>
    </row>
    <row r="12" spans="1:33" x14ac:dyDescent="0.3">
      <c r="A12" s="2" t="s">
        <v>10</v>
      </c>
      <c r="B12" s="11">
        <v>1</v>
      </c>
      <c r="C12" s="11">
        <f t="shared" si="1"/>
        <v>0.98499999999999999</v>
      </c>
      <c r="D12" s="11">
        <f t="shared" si="2"/>
        <v>0.970225</v>
      </c>
      <c r="E12" s="11">
        <f t="shared" si="2"/>
        <v>0.95567162500000002</v>
      </c>
      <c r="F12" s="11">
        <f t="shared" si="2"/>
        <v>0.94133655062499999</v>
      </c>
      <c r="G12" s="11">
        <f t="shared" si="2"/>
        <v>0.92721650236562503</v>
      </c>
      <c r="H12" s="11">
        <f t="shared" si="2"/>
        <v>0.91330825483014066</v>
      </c>
      <c r="I12" s="11">
        <f t="shared" si="2"/>
        <v>0.89960863100768851</v>
      </c>
      <c r="J12" s="11">
        <f t="shared" si="2"/>
        <v>0.88611450154257321</v>
      </c>
      <c r="K12" s="11">
        <f t="shared" si="2"/>
        <v>0.87282278401943458</v>
      </c>
      <c r="L12" s="11">
        <f t="shared" si="2"/>
        <v>0.85973044225914308</v>
      </c>
      <c r="M12" s="11">
        <f t="shared" si="2"/>
        <v>0.84683448562525598</v>
      </c>
      <c r="N12" s="11">
        <f t="shared" si="2"/>
        <v>0.83413196834087711</v>
      </c>
      <c r="O12" s="11">
        <f t="shared" si="2"/>
        <v>0.82161998881576392</v>
      </c>
      <c r="P12" s="11">
        <f t="shared" si="2"/>
        <v>0.80929568898352744</v>
      </c>
      <c r="Q12" s="11">
        <f t="shared" si="2"/>
        <v>0.79715625364877452</v>
      </c>
      <c r="R12" s="11">
        <f t="shared" si="2"/>
        <v>0.78519890984404295</v>
      </c>
      <c r="S12" s="11">
        <f t="shared" si="2"/>
        <v>0.77342092619638225</v>
      </c>
      <c r="T12" s="11">
        <f t="shared" si="2"/>
        <v>0.76181961230343653</v>
      </c>
      <c r="U12" s="11">
        <f t="shared" si="2"/>
        <v>0.75039231811888496</v>
      </c>
      <c r="V12" s="11">
        <f t="shared" si="2"/>
        <v>0.73913643334710166</v>
      </c>
      <c r="W12" s="11">
        <f t="shared" si="2"/>
        <v>0.72804938684689513</v>
      </c>
      <c r="X12" s="11">
        <f t="shared" si="2"/>
        <v>0.71712864604419169</v>
      </c>
      <c r="Y12" s="11">
        <f t="shared" si="2"/>
        <v>0.7063717163535288</v>
      </c>
      <c r="Z12" s="11">
        <f t="shared" si="2"/>
        <v>0.6957761406082259</v>
      </c>
      <c r="AA12" s="11">
        <f t="shared" si="2"/>
        <v>0.68533949849910247</v>
      </c>
      <c r="AB12" s="11">
        <f t="shared" si="2"/>
        <v>0.67505940602161596</v>
      </c>
      <c r="AC12" s="11">
        <f t="shared" si="2"/>
        <v>0.66493351493129171</v>
      </c>
      <c r="AD12" s="11">
        <f t="shared" si="2"/>
        <v>0.65495951220732229</v>
      </c>
      <c r="AE12" s="11">
        <f t="shared" si="2"/>
        <v>0.64513511952421243</v>
      </c>
      <c r="AF12" s="11">
        <f t="shared" si="2"/>
        <v>0.63545809273134923</v>
      </c>
      <c r="AG12" s="11">
        <f t="shared" si="2"/>
        <v>0.62592622134037901</v>
      </c>
    </row>
    <row r="13" spans="1:33" x14ac:dyDescent="0.3">
      <c r="A13" s="2" t="s">
        <v>11</v>
      </c>
      <c r="B13" s="11">
        <v>1</v>
      </c>
      <c r="C13" s="11">
        <f t="shared" si="1"/>
        <v>0.98499999999999999</v>
      </c>
      <c r="D13" s="11">
        <f t="shared" si="2"/>
        <v>0.970225</v>
      </c>
      <c r="E13" s="11">
        <f t="shared" si="2"/>
        <v>0.95567162500000002</v>
      </c>
      <c r="F13" s="11">
        <f t="shared" si="2"/>
        <v>0.94133655062499999</v>
      </c>
      <c r="G13" s="11">
        <f t="shared" si="2"/>
        <v>0.92721650236562503</v>
      </c>
      <c r="H13" s="11">
        <f t="shared" si="2"/>
        <v>0.91330825483014066</v>
      </c>
      <c r="I13" s="11">
        <f t="shared" si="2"/>
        <v>0.89960863100768851</v>
      </c>
      <c r="J13" s="11">
        <f t="shared" si="2"/>
        <v>0.88611450154257321</v>
      </c>
      <c r="K13" s="11">
        <f t="shared" si="2"/>
        <v>0.87282278401943458</v>
      </c>
      <c r="L13" s="11">
        <f t="shared" si="2"/>
        <v>0.85973044225914308</v>
      </c>
      <c r="M13" s="11">
        <f t="shared" si="2"/>
        <v>0.84683448562525598</v>
      </c>
      <c r="N13" s="11">
        <f t="shared" si="2"/>
        <v>0.83413196834087711</v>
      </c>
      <c r="O13" s="11">
        <f t="shared" si="2"/>
        <v>0.82161998881576392</v>
      </c>
      <c r="P13" s="11">
        <f t="shared" si="2"/>
        <v>0.80929568898352744</v>
      </c>
      <c r="Q13" s="11">
        <f t="shared" si="2"/>
        <v>0.79715625364877452</v>
      </c>
      <c r="R13" s="11">
        <f t="shared" si="2"/>
        <v>0.78519890984404295</v>
      </c>
      <c r="S13" s="11">
        <f t="shared" si="2"/>
        <v>0.77342092619638225</v>
      </c>
      <c r="T13" s="11">
        <f t="shared" si="2"/>
        <v>0.76181961230343653</v>
      </c>
      <c r="U13" s="11">
        <f t="shared" si="2"/>
        <v>0.75039231811888496</v>
      </c>
      <c r="V13" s="11">
        <f t="shared" si="2"/>
        <v>0.73913643334710166</v>
      </c>
      <c r="W13" s="11">
        <f t="shared" si="2"/>
        <v>0.72804938684689513</v>
      </c>
      <c r="X13" s="11">
        <f t="shared" si="2"/>
        <v>0.71712864604419169</v>
      </c>
      <c r="Y13" s="11">
        <f t="shared" si="2"/>
        <v>0.7063717163535288</v>
      </c>
      <c r="Z13" s="11">
        <f t="shared" si="2"/>
        <v>0.6957761406082259</v>
      </c>
      <c r="AA13" s="11">
        <f t="shared" si="2"/>
        <v>0.68533949849910247</v>
      </c>
      <c r="AB13" s="11">
        <f t="shared" si="2"/>
        <v>0.67505940602161596</v>
      </c>
      <c r="AC13" s="11">
        <f t="shared" si="2"/>
        <v>0.66493351493129171</v>
      </c>
      <c r="AD13" s="11">
        <f t="shared" si="2"/>
        <v>0.65495951220732229</v>
      </c>
      <c r="AE13" s="11">
        <f t="shared" si="2"/>
        <v>0.64513511952421243</v>
      </c>
      <c r="AF13" s="11">
        <f t="shared" si="2"/>
        <v>0.63545809273134923</v>
      </c>
      <c r="AG13" s="11">
        <f t="shared" si="2"/>
        <v>0.62592622134037901</v>
      </c>
    </row>
    <row r="14" spans="1:33" x14ac:dyDescent="0.3">
      <c r="A14" s="2" t="s">
        <v>12</v>
      </c>
      <c r="B14" s="11">
        <v>1</v>
      </c>
      <c r="C14" s="11">
        <f t="shared" si="1"/>
        <v>0.98499999999999999</v>
      </c>
      <c r="D14" s="11">
        <f t="shared" si="2"/>
        <v>0.970225</v>
      </c>
      <c r="E14" s="11">
        <f t="shared" si="2"/>
        <v>0.95567162500000002</v>
      </c>
      <c r="F14" s="11">
        <f t="shared" si="2"/>
        <v>0.94133655062499999</v>
      </c>
      <c r="G14" s="11">
        <f t="shared" si="2"/>
        <v>0.92721650236562503</v>
      </c>
      <c r="H14" s="11">
        <f t="shared" si="2"/>
        <v>0.91330825483014066</v>
      </c>
      <c r="I14" s="11">
        <f t="shared" si="2"/>
        <v>0.89960863100768851</v>
      </c>
      <c r="J14" s="11">
        <f t="shared" si="2"/>
        <v>0.88611450154257321</v>
      </c>
      <c r="K14" s="11">
        <f t="shared" si="2"/>
        <v>0.87282278401943458</v>
      </c>
      <c r="L14" s="11">
        <f t="shared" si="2"/>
        <v>0.85973044225914308</v>
      </c>
      <c r="M14" s="11">
        <f t="shared" si="2"/>
        <v>0.84683448562525598</v>
      </c>
      <c r="N14" s="11">
        <f t="shared" si="2"/>
        <v>0.83413196834087711</v>
      </c>
      <c r="O14" s="11">
        <f t="shared" si="2"/>
        <v>0.82161998881576392</v>
      </c>
      <c r="P14" s="11">
        <f t="shared" si="2"/>
        <v>0.80929568898352744</v>
      </c>
      <c r="Q14" s="11">
        <f t="shared" si="2"/>
        <v>0.79715625364877452</v>
      </c>
      <c r="R14" s="11">
        <f t="shared" si="2"/>
        <v>0.78519890984404295</v>
      </c>
      <c r="S14" s="11">
        <f t="shared" si="2"/>
        <v>0.77342092619638225</v>
      </c>
      <c r="T14" s="11">
        <f t="shared" si="2"/>
        <v>0.76181961230343653</v>
      </c>
      <c r="U14" s="11">
        <f t="shared" si="2"/>
        <v>0.75039231811888496</v>
      </c>
      <c r="V14" s="11">
        <f t="shared" si="2"/>
        <v>0.73913643334710166</v>
      </c>
      <c r="W14" s="11">
        <f t="shared" si="2"/>
        <v>0.72804938684689513</v>
      </c>
      <c r="X14" s="11">
        <f t="shared" si="2"/>
        <v>0.71712864604419169</v>
      </c>
      <c r="Y14" s="11">
        <f t="shared" si="2"/>
        <v>0.7063717163535288</v>
      </c>
      <c r="Z14" s="11">
        <f t="shared" si="2"/>
        <v>0.6957761406082259</v>
      </c>
      <c r="AA14" s="11">
        <f t="shared" si="2"/>
        <v>0.68533949849910247</v>
      </c>
      <c r="AB14" s="11">
        <f t="shared" si="2"/>
        <v>0.67505940602161596</v>
      </c>
      <c r="AC14" s="11">
        <f t="shared" si="2"/>
        <v>0.66493351493129171</v>
      </c>
      <c r="AD14" s="11">
        <f t="shared" si="2"/>
        <v>0.65495951220732229</v>
      </c>
      <c r="AE14" s="11">
        <f t="shared" si="2"/>
        <v>0.64513511952421243</v>
      </c>
      <c r="AF14" s="11">
        <f t="shared" si="2"/>
        <v>0.63545809273134923</v>
      </c>
      <c r="AG14" s="11">
        <f t="shared" si="2"/>
        <v>0.62592622134037901</v>
      </c>
    </row>
    <row r="15" spans="1:33" x14ac:dyDescent="0.3">
      <c r="A15" s="2" t="s">
        <v>13</v>
      </c>
      <c r="B15" s="11">
        <v>1</v>
      </c>
      <c r="C15" s="11">
        <f t="shared" si="1"/>
        <v>0.98499999999999999</v>
      </c>
      <c r="D15" s="11">
        <f t="shared" si="2"/>
        <v>0.970225</v>
      </c>
      <c r="E15" s="11">
        <f t="shared" si="2"/>
        <v>0.95567162500000002</v>
      </c>
      <c r="F15" s="11">
        <f t="shared" si="2"/>
        <v>0.94133655062499999</v>
      </c>
      <c r="G15" s="11">
        <f t="shared" si="2"/>
        <v>0.92721650236562503</v>
      </c>
      <c r="H15" s="11">
        <f t="shared" si="2"/>
        <v>0.91330825483014066</v>
      </c>
      <c r="I15" s="11">
        <f t="shared" si="2"/>
        <v>0.89960863100768851</v>
      </c>
      <c r="J15" s="11">
        <f t="shared" si="2"/>
        <v>0.88611450154257321</v>
      </c>
      <c r="K15" s="11">
        <f t="shared" si="2"/>
        <v>0.87282278401943458</v>
      </c>
      <c r="L15" s="11">
        <f t="shared" si="2"/>
        <v>0.85973044225914308</v>
      </c>
      <c r="M15" s="11">
        <f t="shared" si="2"/>
        <v>0.84683448562525598</v>
      </c>
      <c r="N15" s="11">
        <f t="shared" si="2"/>
        <v>0.83413196834087711</v>
      </c>
      <c r="O15" s="11">
        <f t="shared" si="2"/>
        <v>0.82161998881576392</v>
      </c>
      <c r="P15" s="11">
        <f t="shared" si="2"/>
        <v>0.80929568898352744</v>
      </c>
      <c r="Q15" s="11">
        <f t="shared" si="2"/>
        <v>0.79715625364877452</v>
      </c>
      <c r="R15" s="11">
        <f t="shared" si="2"/>
        <v>0.78519890984404295</v>
      </c>
      <c r="S15" s="11">
        <f t="shared" si="2"/>
        <v>0.77342092619638225</v>
      </c>
      <c r="T15" s="11">
        <f t="shared" si="2"/>
        <v>0.76181961230343653</v>
      </c>
      <c r="U15" s="11">
        <f t="shared" si="2"/>
        <v>0.75039231811888496</v>
      </c>
      <c r="V15" s="11">
        <f t="shared" si="2"/>
        <v>0.73913643334710166</v>
      </c>
      <c r="W15" s="11">
        <f t="shared" si="2"/>
        <v>0.72804938684689513</v>
      </c>
      <c r="X15" s="11">
        <f t="shared" si="2"/>
        <v>0.71712864604419169</v>
      </c>
      <c r="Y15" s="11">
        <f t="shared" si="2"/>
        <v>0.7063717163535288</v>
      </c>
      <c r="Z15" s="11">
        <f t="shared" si="2"/>
        <v>0.6957761406082259</v>
      </c>
      <c r="AA15" s="11">
        <f t="shared" si="2"/>
        <v>0.68533949849910247</v>
      </c>
      <c r="AB15" s="11">
        <f t="shared" si="2"/>
        <v>0.67505940602161596</v>
      </c>
      <c r="AC15" s="11">
        <f t="shared" si="2"/>
        <v>0.66493351493129171</v>
      </c>
      <c r="AD15" s="11">
        <f t="shared" si="2"/>
        <v>0.65495951220732229</v>
      </c>
      <c r="AE15" s="11">
        <f t="shared" si="2"/>
        <v>0.64513511952421243</v>
      </c>
      <c r="AF15" s="11">
        <f t="shared" si="2"/>
        <v>0.63545809273134923</v>
      </c>
      <c r="AG15" s="11">
        <f t="shared" si="2"/>
        <v>0.62592622134037901</v>
      </c>
    </row>
    <row r="16" spans="1:33" x14ac:dyDescent="0.3">
      <c r="A16" s="2" t="s">
        <v>14</v>
      </c>
      <c r="B16" s="11">
        <v>1</v>
      </c>
      <c r="C16" s="11">
        <f t="shared" si="1"/>
        <v>0.98499999999999999</v>
      </c>
      <c r="D16" s="11">
        <f t="shared" si="2"/>
        <v>0.970225</v>
      </c>
      <c r="E16" s="11">
        <f t="shared" si="2"/>
        <v>0.95567162500000002</v>
      </c>
      <c r="F16" s="11">
        <f t="shared" si="2"/>
        <v>0.94133655062499999</v>
      </c>
      <c r="G16" s="11">
        <f t="shared" si="2"/>
        <v>0.92721650236562503</v>
      </c>
      <c r="H16" s="11">
        <f t="shared" si="2"/>
        <v>0.91330825483014066</v>
      </c>
      <c r="I16" s="11">
        <f t="shared" si="2"/>
        <v>0.89960863100768851</v>
      </c>
      <c r="J16" s="11">
        <f t="shared" si="2"/>
        <v>0.88611450154257321</v>
      </c>
      <c r="K16" s="11">
        <f t="shared" si="2"/>
        <v>0.87282278401943458</v>
      </c>
      <c r="L16" s="11">
        <f t="shared" si="2"/>
        <v>0.85973044225914308</v>
      </c>
      <c r="M16" s="11">
        <f t="shared" si="2"/>
        <v>0.84683448562525598</v>
      </c>
      <c r="N16" s="11">
        <f t="shared" si="2"/>
        <v>0.83413196834087711</v>
      </c>
      <c r="O16" s="11">
        <f t="shared" si="2"/>
        <v>0.82161998881576392</v>
      </c>
      <c r="P16" s="11">
        <f t="shared" si="2"/>
        <v>0.80929568898352744</v>
      </c>
      <c r="Q16" s="11">
        <f t="shared" si="2"/>
        <v>0.79715625364877452</v>
      </c>
      <c r="R16" s="11">
        <f t="shared" si="2"/>
        <v>0.78519890984404295</v>
      </c>
      <c r="S16" s="11">
        <f t="shared" si="2"/>
        <v>0.77342092619638225</v>
      </c>
      <c r="T16" s="11">
        <f t="shared" si="2"/>
        <v>0.76181961230343653</v>
      </c>
      <c r="U16" s="11">
        <f t="shared" si="2"/>
        <v>0.75039231811888496</v>
      </c>
      <c r="V16" s="11">
        <f t="shared" si="2"/>
        <v>0.73913643334710166</v>
      </c>
      <c r="W16" s="11">
        <f t="shared" si="2"/>
        <v>0.72804938684689513</v>
      </c>
      <c r="X16" s="11">
        <f t="shared" si="2"/>
        <v>0.71712864604419169</v>
      </c>
      <c r="Y16" s="11">
        <f t="shared" si="2"/>
        <v>0.7063717163535288</v>
      </c>
      <c r="Z16" s="11">
        <f t="shared" si="2"/>
        <v>0.6957761406082259</v>
      </c>
      <c r="AA16" s="11">
        <f t="shared" si="2"/>
        <v>0.68533949849910247</v>
      </c>
      <c r="AB16" s="11">
        <f t="shared" si="2"/>
        <v>0.67505940602161596</v>
      </c>
      <c r="AC16" s="11">
        <f t="shared" si="2"/>
        <v>0.66493351493129171</v>
      </c>
      <c r="AD16" s="11">
        <f t="shared" si="2"/>
        <v>0.65495951220732229</v>
      </c>
      <c r="AE16" s="11">
        <f t="shared" si="2"/>
        <v>0.64513511952421243</v>
      </c>
      <c r="AF16" s="11">
        <f t="shared" si="2"/>
        <v>0.63545809273134923</v>
      </c>
      <c r="AG16" s="11">
        <f t="shared" si="2"/>
        <v>0.62592622134037901</v>
      </c>
    </row>
    <row r="17" spans="1:33" x14ac:dyDescent="0.3">
      <c r="A17" s="2" t="s">
        <v>15</v>
      </c>
      <c r="B17" s="11">
        <v>1</v>
      </c>
      <c r="C17" s="11">
        <f t="shared" si="1"/>
        <v>0.98499999999999999</v>
      </c>
      <c r="D17" s="11">
        <f t="shared" si="2"/>
        <v>0.970225</v>
      </c>
      <c r="E17" s="11">
        <f t="shared" si="2"/>
        <v>0.95567162500000002</v>
      </c>
      <c r="F17" s="11">
        <f t="shared" si="2"/>
        <v>0.94133655062499999</v>
      </c>
      <c r="G17" s="11">
        <f t="shared" si="2"/>
        <v>0.92721650236562503</v>
      </c>
      <c r="H17" s="11">
        <f t="shared" si="2"/>
        <v>0.91330825483014066</v>
      </c>
      <c r="I17" s="11">
        <f t="shared" si="2"/>
        <v>0.89960863100768851</v>
      </c>
      <c r="J17" s="11">
        <f t="shared" si="2"/>
        <v>0.88611450154257321</v>
      </c>
      <c r="K17" s="11">
        <f t="shared" si="2"/>
        <v>0.87282278401943458</v>
      </c>
      <c r="L17" s="11">
        <f t="shared" si="2"/>
        <v>0.85973044225914308</v>
      </c>
      <c r="M17" s="11">
        <f t="shared" si="2"/>
        <v>0.84683448562525598</v>
      </c>
      <c r="N17" s="11">
        <f t="shared" si="2"/>
        <v>0.83413196834087711</v>
      </c>
      <c r="O17" s="11">
        <f t="shared" si="2"/>
        <v>0.82161998881576392</v>
      </c>
      <c r="P17" s="11">
        <f t="shared" si="2"/>
        <v>0.80929568898352744</v>
      </c>
      <c r="Q17" s="11">
        <f t="shared" si="2"/>
        <v>0.79715625364877452</v>
      </c>
      <c r="R17" s="11">
        <f t="shared" si="2"/>
        <v>0.78519890984404295</v>
      </c>
      <c r="S17" s="11">
        <f t="shared" si="2"/>
        <v>0.77342092619638225</v>
      </c>
      <c r="T17" s="11">
        <f t="shared" si="2"/>
        <v>0.76181961230343653</v>
      </c>
      <c r="U17" s="11">
        <f t="shared" si="2"/>
        <v>0.75039231811888496</v>
      </c>
      <c r="V17" s="11">
        <f t="shared" si="2"/>
        <v>0.73913643334710166</v>
      </c>
      <c r="W17" s="11">
        <f t="shared" si="2"/>
        <v>0.72804938684689513</v>
      </c>
      <c r="X17" s="11">
        <f t="shared" si="2"/>
        <v>0.71712864604419169</v>
      </c>
      <c r="Y17" s="11">
        <f t="shared" si="2"/>
        <v>0.7063717163535288</v>
      </c>
      <c r="Z17" s="11">
        <f t="shared" si="2"/>
        <v>0.6957761406082259</v>
      </c>
      <c r="AA17" s="11">
        <f t="shared" si="2"/>
        <v>0.68533949849910247</v>
      </c>
      <c r="AB17" s="11">
        <f t="shared" si="2"/>
        <v>0.67505940602161596</v>
      </c>
      <c r="AC17" s="11">
        <f t="shared" si="2"/>
        <v>0.66493351493129171</v>
      </c>
      <c r="AD17" s="11">
        <f t="shared" si="2"/>
        <v>0.65495951220732229</v>
      </c>
      <c r="AE17" s="11">
        <f t="shared" si="2"/>
        <v>0.64513511952421243</v>
      </c>
      <c r="AF17" s="11">
        <f t="shared" si="2"/>
        <v>0.63545809273134923</v>
      </c>
      <c r="AG17" s="11">
        <f t="shared" si="2"/>
        <v>0.62592622134037901</v>
      </c>
    </row>
    <row r="18" spans="1:33" x14ac:dyDescent="0.3">
      <c r="A18" s="2" t="s">
        <v>16</v>
      </c>
      <c r="B18" s="11">
        <v>1</v>
      </c>
      <c r="C18" s="11">
        <f t="shared" si="1"/>
        <v>0.98499999999999999</v>
      </c>
      <c r="D18" s="11">
        <f t="shared" si="2"/>
        <v>0.970225</v>
      </c>
      <c r="E18" s="11">
        <f t="shared" si="2"/>
        <v>0.95567162500000002</v>
      </c>
      <c r="F18" s="11">
        <f t="shared" si="2"/>
        <v>0.94133655062499999</v>
      </c>
      <c r="G18" s="11">
        <f t="shared" si="2"/>
        <v>0.92721650236562503</v>
      </c>
      <c r="H18" s="11">
        <f t="shared" si="2"/>
        <v>0.91330825483014066</v>
      </c>
      <c r="I18" s="11">
        <f t="shared" si="2"/>
        <v>0.89960863100768851</v>
      </c>
      <c r="J18" s="11">
        <f t="shared" si="2"/>
        <v>0.88611450154257321</v>
      </c>
      <c r="K18" s="11">
        <f t="shared" si="2"/>
        <v>0.87282278401943458</v>
      </c>
      <c r="L18" s="11">
        <f t="shared" si="2"/>
        <v>0.85973044225914308</v>
      </c>
      <c r="M18" s="11">
        <f t="shared" si="2"/>
        <v>0.84683448562525598</v>
      </c>
      <c r="N18" s="11">
        <f t="shared" si="2"/>
        <v>0.83413196834087711</v>
      </c>
      <c r="O18" s="11">
        <f t="shared" si="2"/>
        <v>0.82161998881576392</v>
      </c>
      <c r="P18" s="11">
        <f t="shared" si="2"/>
        <v>0.80929568898352744</v>
      </c>
      <c r="Q18" s="11">
        <f t="shared" si="2"/>
        <v>0.79715625364877452</v>
      </c>
      <c r="R18" s="11">
        <f t="shared" si="2"/>
        <v>0.78519890984404295</v>
      </c>
      <c r="S18" s="11">
        <f t="shared" si="2"/>
        <v>0.77342092619638225</v>
      </c>
      <c r="T18" s="11">
        <f t="shared" si="2"/>
        <v>0.76181961230343653</v>
      </c>
      <c r="U18" s="11">
        <f t="shared" si="2"/>
        <v>0.75039231811888496</v>
      </c>
      <c r="V18" s="11">
        <f t="shared" si="2"/>
        <v>0.73913643334710166</v>
      </c>
      <c r="W18" s="11">
        <f t="shared" si="2"/>
        <v>0.72804938684689513</v>
      </c>
      <c r="X18" s="11">
        <f t="shared" si="2"/>
        <v>0.71712864604419169</v>
      </c>
      <c r="Y18" s="11">
        <f t="shared" si="2"/>
        <v>0.7063717163535288</v>
      </c>
      <c r="Z18" s="11">
        <f t="shared" si="2"/>
        <v>0.6957761406082259</v>
      </c>
      <c r="AA18" s="11">
        <f t="shared" si="2"/>
        <v>0.68533949849910247</v>
      </c>
      <c r="AB18" s="11">
        <f t="shared" si="2"/>
        <v>0.67505940602161596</v>
      </c>
      <c r="AC18" s="11">
        <f t="shared" si="2"/>
        <v>0.66493351493129171</v>
      </c>
      <c r="AD18" s="11">
        <f t="shared" si="2"/>
        <v>0.65495951220732229</v>
      </c>
      <c r="AE18" s="11">
        <f t="shared" si="2"/>
        <v>0.64513511952421243</v>
      </c>
      <c r="AF18" s="11">
        <f t="shared" si="2"/>
        <v>0.63545809273134923</v>
      </c>
      <c r="AG18" s="11">
        <f t="shared" si="2"/>
        <v>0.62592622134037901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E31" sqref="AE31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0.96909090909090911</v>
      </c>
      <c r="D2" s="30">
        <f>PERMIT_NZ!D2</f>
        <v>0.93818181818181823</v>
      </c>
      <c r="E2" s="30">
        <f>PERMIT_NZ!E2</f>
        <v>0.90727272727272734</v>
      </c>
      <c r="F2" s="30">
        <f>PERMIT_NZ!F2</f>
        <v>0.87636363636363646</v>
      </c>
      <c r="G2" s="30">
        <f>PERMIT_NZ!G2</f>
        <v>0.84545454545454557</v>
      </c>
      <c r="H2" s="30">
        <f>PERMIT_NZ!H2</f>
        <v>0.81454545454545468</v>
      </c>
      <c r="I2" s="30">
        <f>PERMIT_NZ!I2</f>
        <v>0.7836363636363638</v>
      </c>
      <c r="J2" s="30">
        <f>PERMIT_NZ!J2</f>
        <v>0.75272727272727291</v>
      </c>
      <c r="K2" s="30">
        <f>PERMIT_NZ!K2</f>
        <v>0.72181818181818203</v>
      </c>
      <c r="L2" s="30">
        <f>PERMIT_NZ!L2</f>
        <v>0.69090909090909114</v>
      </c>
      <c r="M2" s="30">
        <f>PERMIT_NZ!M2</f>
        <v>0.66</v>
      </c>
      <c r="N2" s="30">
        <f>M2</f>
        <v>0.66</v>
      </c>
      <c r="O2" s="30">
        <f t="shared" ref="O2:AG16" si="0">N2</f>
        <v>0.66</v>
      </c>
      <c r="P2" s="30">
        <f t="shared" si="0"/>
        <v>0.66</v>
      </c>
      <c r="Q2" s="30">
        <f t="shared" si="0"/>
        <v>0.66</v>
      </c>
      <c r="R2" s="30">
        <f t="shared" si="0"/>
        <v>0.66</v>
      </c>
      <c r="S2" s="30">
        <f t="shared" si="0"/>
        <v>0.66</v>
      </c>
      <c r="T2" s="30">
        <f t="shared" si="0"/>
        <v>0.66</v>
      </c>
      <c r="U2" s="30">
        <f t="shared" si="0"/>
        <v>0.66</v>
      </c>
      <c r="V2" s="30">
        <f t="shared" si="0"/>
        <v>0.66</v>
      </c>
      <c r="W2" s="30">
        <f t="shared" si="0"/>
        <v>0.66</v>
      </c>
      <c r="X2" s="30">
        <f t="shared" si="0"/>
        <v>0.66</v>
      </c>
      <c r="Y2" s="30">
        <f t="shared" si="0"/>
        <v>0.66</v>
      </c>
      <c r="Z2" s="30">
        <f t="shared" si="0"/>
        <v>0.66</v>
      </c>
      <c r="AA2" s="30">
        <f t="shared" si="0"/>
        <v>0.66</v>
      </c>
      <c r="AB2" s="30">
        <f t="shared" si="0"/>
        <v>0.66</v>
      </c>
      <c r="AC2" s="30">
        <f t="shared" si="0"/>
        <v>0.66</v>
      </c>
      <c r="AD2" s="30">
        <f t="shared" si="0"/>
        <v>0.66</v>
      </c>
      <c r="AE2" s="30">
        <f t="shared" si="0"/>
        <v>0.66</v>
      </c>
      <c r="AF2" s="30">
        <f t="shared" si="0"/>
        <v>0.66</v>
      </c>
      <c r="AG2" s="30">
        <f t="shared" si="0"/>
        <v>0.66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0.99727272727272731</v>
      </c>
      <c r="D3" s="30">
        <f>PERMIT_NZ!D3</f>
        <v>0.99454545454545462</v>
      </c>
      <c r="E3" s="30">
        <f>PERMIT_NZ!E3</f>
        <v>0.99181818181818193</v>
      </c>
      <c r="F3" s="30">
        <f>PERMIT_NZ!F3</f>
        <v>0.98909090909090924</v>
      </c>
      <c r="G3" s="30">
        <f>PERMIT_NZ!G3</f>
        <v>0.98636363636363655</v>
      </c>
      <c r="H3" s="30">
        <f>PERMIT_NZ!H3</f>
        <v>0.98363636363636386</v>
      </c>
      <c r="I3" s="30">
        <f>PERMIT_NZ!I3</f>
        <v>0.98090909090909117</v>
      </c>
      <c r="J3" s="30">
        <f>PERMIT_NZ!J3</f>
        <v>0.97818181818181849</v>
      </c>
      <c r="K3" s="30">
        <f>PERMIT_NZ!K3</f>
        <v>0.9754545454545458</v>
      </c>
      <c r="L3" s="30">
        <f>PERMIT_NZ!L3</f>
        <v>0.97272727272727311</v>
      </c>
      <c r="M3" s="30">
        <f>PERMIT_NZ!M3</f>
        <v>0.97</v>
      </c>
      <c r="N3" s="30">
        <f t="shared" ref="N3:AC18" si="1">M3</f>
        <v>0.97</v>
      </c>
      <c r="O3" s="30">
        <f t="shared" si="1"/>
        <v>0.97</v>
      </c>
      <c r="P3" s="30">
        <f t="shared" si="1"/>
        <v>0.97</v>
      </c>
      <c r="Q3" s="30">
        <f t="shared" si="1"/>
        <v>0.97</v>
      </c>
      <c r="R3" s="30">
        <f t="shared" si="1"/>
        <v>0.97</v>
      </c>
      <c r="S3" s="30">
        <f t="shared" si="1"/>
        <v>0.97</v>
      </c>
      <c r="T3" s="30">
        <f t="shared" si="1"/>
        <v>0.97</v>
      </c>
      <c r="U3" s="30">
        <f t="shared" si="1"/>
        <v>0.97</v>
      </c>
      <c r="V3" s="30">
        <f t="shared" si="1"/>
        <v>0.97</v>
      </c>
      <c r="W3" s="30">
        <f t="shared" si="1"/>
        <v>0.97</v>
      </c>
      <c r="X3" s="30">
        <f t="shared" si="1"/>
        <v>0.97</v>
      </c>
      <c r="Y3" s="30">
        <f t="shared" si="1"/>
        <v>0.97</v>
      </c>
      <c r="Z3" s="30">
        <f t="shared" si="1"/>
        <v>0.97</v>
      </c>
      <c r="AA3" s="30">
        <f t="shared" si="1"/>
        <v>0.97</v>
      </c>
      <c r="AB3" s="30">
        <f t="shared" si="1"/>
        <v>0.97</v>
      </c>
      <c r="AC3" s="30">
        <f t="shared" si="1"/>
        <v>0.97</v>
      </c>
      <c r="AD3" s="30">
        <f t="shared" si="0"/>
        <v>0.97</v>
      </c>
      <c r="AE3" s="30">
        <f t="shared" si="0"/>
        <v>0.97</v>
      </c>
      <c r="AF3" s="30">
        <f t="shared" si="0"/>
        <v>0.97</v>
      </c>
      <c r="AG3" s="30">
        <f t="shared" si="0"/>
        <v>0.97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</v>
      </c>
      <c r="D4" s="30">
        <f>PERMIT_NZ!D4</f>
        <v>0.94</v>
      </c>
      <c r="E4" s="30">
        <f>PERMIT_NZ!E4</f>
        <v>0.90999999999999992</v>
      </c>
      <c r="F4" s="30">
        <f>PERMIT_NZ!F4</f>
        <v>0.87999999999999989</v>
      </c>
      <c r="G4" s="30">
        <f>PERMIT_NZ!G4</f>
        <v>0.84999999999999987</v>
      </c>
      <c r="H4" s="30">
        <f>PERMIT_NZ!H4</f>
        <v>0.81999999999999984</v>
      </c>
      <c r="I4" s="30">
        <f>PERMIT_NZ!I4</f>
        <v>0.78999999999999981</v>
      </c>
      <c r="J4" s="30">
        <f>PERMIT_NZ!J4</f>
        <v>0.75999999999999979</v>
      </c>
      <c r="K4" s="30">
        <f>PERMIT_NZ!K4</f>
        <v>0.72999999999999976</v>
      </c>
      <c r="L4" s="30">
        <f>PERMIT_NZ!L4</f>
        <v>0.69999999999999973</v>
      </c>
      <c r="M4" s="30">
        <f>PERMIT_NZ!M4</f>
        <v>0.67</v>
      </c>
      <c r="N4" s="30">
        <f t="shared" si="1"/>
        <v>0.67</v>
      </c>
      <c r="O4" s="30">
        <f t="shared" si="0"/>
        <v>0.67</v>
      </c>
      <c r="P4" s="30">
        <f t="shared" si="0"/>
        <v>0.67</v>
      </c>
      <c r="Q4" s="30">
        <f t="shared" si="0"/>
        <v>0.67</v>
      </c>
      <c r="R4" s="30">
        <f t="shared" si="0"/>
        <v>0.67</v>
      </c>
      <c r="S4" s="30">
        <f t="shared" si="0"/>
        <v>0.67</v>
      </c>
      <c r="T4" s="30">
        <f t="shared" si="0"/>
        <v>0.67</v>
      </c>
      <c r="U4" s="30">
        <f t="shared" si="0"/>
        <v>0.67</v>
      </c>
      <c r="V4" s="30">
        <f t="shared" si="0"/>
        <v>0.67</v>
      </c>
      <c r="W4" s="30">
        <f t="shared" si="0"/>
        <v>0.67</v>
      </c>
      <c r="X4" s="30">
        <f t="shared" si="0"/>
        <v>0.67</v>
      </c>
      <c r="Y4" s="30">
        <f t="shared" si="0"/>
        <v>0.67</v>
      </c>
      <c r="Z4" s="30">
        <f t="shared" si="0"/>
        <v>0.67</v>
      </c>
      <c r="AA4" s="30">
        <f t="shared" si="0"/>
        <v>0.67</v>
      </c>
      <c r="AB4" s="30">
        <f t="shared" si="0"/>
        <v>0.67</v>
      </c>
      <c r="AC4" s="30">
        <f t="shared" si="0"/>
        <v>0.67</v>
      </c>
      <c r="AD4" s="30">
        <f t="shared" si="0"/>
        <v>0.67</v>
      </c>
      <c r="AE4" s="30">
        <f t="shared" si="0"/>
        <v>0.67</v>
      </c>
      <c r="AF4" s="30">
        <f t="shared" si="0"/>
        <v>0.67</v>
      </c>
      <c r="AG4" s="30">
        <f t="shared" si="0"/>
        <v>0.67</v>
      </c>
    </row>
    <row r="5" spans="1:33" x14ac:dyDescent="0.3">
      <c r="A5" s="1" t="s">
        <v>3</v>
      </c>
      <c r="B5" s="30">
        <f>PERMIT_NZ!B5</f>
        <v>1</v>
      </c>
      <c r="C5" s="30">
        <f>PERMIT_NZ!C5</f>
        <v>0.99727272727272731</v>
      </c>
      <c r="D5" s="30">
        <f>PERMIT_NZ!D5</f>
        <v>0.99454545454545462</v>
      </c>
      <c r="E5" s="30">
        <f>PERMIT_NZ!E5</f>
        <v>0.99181818181818193</v>
      </c>
      <c r="F5" s="30">
        <f>PERMIT_NZ!F5</f>
        <v>0.98909090909090924</v>
      </c>
      <c r="G5" s="30">
        <f>PERMIT_NZ!G5</f>
        <v>0.98636363636363655</v>
      </c>
      <c r="H5" s="30">
        <f>PERMIT_NZ!H5</f>
        <v>0.98363636363636386</v>
      </c>
      <c r="I5" s="30">
        <f>PERMIT_NZ!I5</f>
        <v>0.98090909090909117</v>
      </c>
      <c r="J5" s="30">
        <f>PERMIT_NZ!J5</f>
        <v>0.97818181818181849</v>
      </c>
      <c r="K5" s="30">
        <f>PERMIT_NZ!K5</f>
        <v>0.9754545454545458</v>
      </c>
      <c r="L5" s="30">
        <f>PERMIT_NZ!L5</f>
        <v>0.97272727272727311</v>
      </c>
      <c r="M5" s="30">
        <f>PERMIT_NZ!M5</f>
        <v>0.97</v>
      </c>
      <c r="N5" s="30">
        <f t="shared" si="1"/>
        <v>0.97</v>
      </c>
      <c r="O5" s="30">
        <f t="shared" si="0"/>
        <v>0.97</v>
      </c>
      <c r="P5" s="30">
        <f t="shared" si="0"/>
        <v>0.97</v>
      </c>
      <c r="Q5" s="30">
        <f t="shared" si="0"/>
        <v>0.97</v>
      </c>
      <c r="R5" s="30">
        <f t="shared" si="0"/>
        <v>0.97</v>
      </c>
      <c r="S5" s="30">
        <f t="shared" si="0"/>
        <v>0.97</v>
      </c>
      <c r="T5" s="30">
        <f t="shared" si="0"/>
        <v>0.97</v>
      </c>
      <c r="U5" s="30">
        <f t="shared" si="0"/>
        <v>0.97</v>
      </c>
      <c r="V5" s="30">
        <f t="shared" si="0"/>
        <v>0.97</v>
      </c>
      <c r="W5" s="30">
        <f t="shared" si="0"/>
        <v>0.97</v>
      </c>
      <c r="X5" s="30">
        <f t="shared" si="0"/>
        <v>0.97</v>
      </c>
      <c r="Y5" s="30">
        <f t="shared" si="0"/>
        <v>0.97</v>
      </c>
      <c r="Z5" s="30">
        <f t="shared" si="0"/>
        <v>0.97</v>
      </c>
      <c r="AA5" s="30">
        <f t="shared" si="0"/>
        <v>0.97</v>
      </c>
      <c r="AB5" s="30">
        <f t="shared" si="0"/>
        <v>0.97</v>
      </c>
      <c r="AC5" s="30">
        <f t="shared" si="0"/>
        <v>0.97</v>
      </c>
      <c r="AD5" s="30">
        <f t="shared" si="0"/>
        <v>0.97</v>
      </c>
      <c r="AE5" s="30">
        <f t="shared" si="0"/>
        <v>0.97</v>
      </c>
      <c r="AF5" s="30">
        <f t="shared" si="0"/>
        <v>0.97</v>
      </c>
      <c r="AG5" s="30">
        <f t="shared" si="0"/>
        <v>0.97</v>
      </c>
    </row>
    <row r="6" spans="1:33" x14ac:dyDescent="0.3">
      <c r="A6" s="23" t="s">
        <v>4</v>
      </c>
      <c r="B6" s="30">
        <f>PERMIT_NZ!B6</f>
        <v>1</v>
      </c>
      <c r="C6" s="30">
        <f>PERMIT_NZ!C6</f>
        <v>0.99727272727272731</v>
      </c>
      <c r="D6" s="30">
        <f>PERMIT_NZ!D6</f>
        <v>0.99454545454545462</v>
      </c>
      <c r="E6" s="30">
        <f>PERMIT_NZ!E6</f>
        <v>0.99181818181818193</v>
      </c>
      <c r="F6" s="30">
        <f>PERMIT_NZ!F6</f>
        <v>0.98909090909090924</v>
      </c>
      <c r="G6" s="30">
        <f>PERMIT_NZ!G6</f>
        <v>0.98636363636363655</v>
      </c>
      <c r="H6" s="30">
        <f>PERMIT_NZ!H6</f>
        <v>0.98363636363636386</v>
      </c>
      <c r="I6" s="30">
        <f>PERMIT_NZ!I6</f>
        <v>0.98090909090909117</v>
      </c>
      <c r="J6" s="30">
        <f>PERMIT_NZ!J6</f>
        <v>0.97818181818181849</v>
      </c>
      <c r="K6" s="30">
        <f>PERMIT_NZ!K6</f>
        <v>0.9754545454545458</v>
      </c>
      <c r="L6" s="30">
        <f>PERMIT_NZ!L6</f>
        <v>0.97272727272727311</v>
      </c>
      <c r="M6" s="30">
        <f>PERMIT_NZ!M6</f>
        <v>0.97</v>
      </c>
      <c r="N6" s="30">
        <f t="shared" si="1"/>
        <v>0.97</v>
      </c>
      <c r="O6" s="30">
        <f t="shared" si="0"/>
        <v>0.97</v>
      </c>
      <c r="P6" s="30">
        <f t="shared" si="0"/>
        <v>0.97</v>
      </c>
      <c r="Q6" s="30">
        <f t="shared" si="0"/>
        <v>0.97</v>
      </c>
      <c r="R6" s="30">
        <f t="shared" si="0"/>
        <v>0.97</v>
      </c>
      <c r="S6" s="30">
        <f t="shared" si="0"/>
        <v>0.97</v>
      </c>
      <c r="T6" s="30">
        <f t="shared" si="0"/>
        <v>0.97</v>
      </c>
      <c r="U6" s="30">
        <f t="shared" si="0"/>
        <v>0.97</v>
      </c>
      <c r="V6" s="30">
        <f t="shared" si="0"/>
        <v>0.97</v>
      </c>
      <c r="W6" s="30">
        <f t="shared" si="0"/>
        <v>0.97</v>
      </c>
      <c r="X6" s="30">
        <f t="shared" si="0"/>
        <v>0.97</v>
      </c>
      <c r="Y6" s="30">
        <f t="shared" si="0"/>
        <v>0.97</v>
      </c>
      <c r="Z6" s="30">
        <f t="shared" si="0"/>
        <v>0.97</v>
      </c>
      <c r="AA6" s="30">
        <f t="shared" si="0"/>
        <v>0.97</v>
      </c>
      <c r="AB6" s="30">
        <f t="shared" si="0"/>
        <v>0.97</v>
      </c>
      <c r="AC6" s="30">
        <f t="shared" si="0"/>
        <v>0.97</v>
      </c>
      <c r="AD6" s="30">
        <f t="shared" si="0"/>
        <v>0.97</v>
      </c>
      <c r="AE6" s="30">
        <f t="shared" si="0"/>
        <v>0.97</v>
      </c>
      <c r="AF6" s="30">
        <f t="shared" si="0"/>
        <v>0.97</v>
      </c>
      <c r="AG6" s="30">
        <f t="shared" si="0"/>
        <v>0.97</v>
      </c>
    </row>
    <row r="7" spans="1:33" x14ac:dyDescent="0.3">
      <c r="A7" s="23" t="s">
        <v>5</v>
      </c>
      <c r="B7" s="30">
        <f>PERMIT_NZ!B7</f>
        <v>1</v>
      </c>
      <c r="C7" s="30">
        <f>PERMIT_NZ!C7</f>
        <v>0.99727272727272731</v>
      </c>
      <c r="D7" s="30">
        <f>PERMIT_NZ!D7</f>
        <v>0.99454545454545462</v>
      </c>
      <c r="E7" s="30">
        <f>PERMIT_NZ!E7</f>
        <v>0.99181818181818193</v>
      </c>
      <c r="F7" s="30">
        <f>PERMIT_NZ!F7</f>
        <v>0.98909090909090924</v>
      </c>
      <c r="G7" s="30">
        <f>PERMIT_NZ!G7</f>
        <v>0.98636363636363655</v>
      </c>
      <c r="H7" s="30">
        <f>PERMIT_NZ!H7</f>
        <v>0.98363636363636386</v>
      </c>
      <c r="I7" s="30">
        <f>PERMIT_NZ!I7</f>
        <v>0.98090909090909117</v>
      </c>
      <c r="J7" s="30">
        <f>PERMIT_NZ!J7</f>
        <v>0.97818181818181849</v>
      </c>
      <c r="K7" s="30">
        <f>PERMIT_NZ!K7</f>
        <v>0.9754545454545458</v>
      </c>
      <c r="L7" s="30">
        <f>PERMIT_NZ!L7</f>
        <v>0.97272727272727311</v>
      </c>
      <c r="M7" s="30">
        <f>PERMIT_NZ!M7</f>
        <v>0.97</v>
      </c>
      <c r="N7" s="30">
        <f t="shared" si="1"/>
        <v>0.97</v>
      </c>
      <c r="O7" s="30">
        <f t="shared" si="0"/>
        <v>0.97</v>
      </c>
      <c r="P7" s="30">
        <f t="shared" si="0"/>
        <v>0.97</v>
      </c>
      <c r="Q7" s="30">
        <f t="shared" si="0"/>
        <v>0.97</v>
      </c>
      <c r="R7" s="30">
        <f t="shared" si="0"/>
        <v>0.97</v>
      </c>
      <c r="S7" s="30">
        <f t="shared" si="0"/>
        <v>0.97</v>
      </c>
      <c r="T7" s="30">
        <f t="shared" si="0"/>
        <v>0.97</v>
      </c>
      <c r="U7" s="30">
        <f t="shared" si="0"/>
        <v>0.97</v>
      </c>
      <c r="V7" s="30">
        <f t="shared" si="0"/>
        <v>0.97</v>
      </c>
      <c r="W7" s="30">
        <f t="shared" si="0"/>
        <v>0.97</v>
      </c>
      <c r="X7" s="30">
        <f t="shared" si="0"/>
        <v>0.97</v>
      </c>
      <c r="Y7" s="30">
        <f t="shared" si="0"/>
        <v>0.97</v>
      </c>
      <c r="Z7" s="30">
        <f t="shared" si="0"/>
        <v>0.97</v>
      </c>
      <c r="AA7" s="30">
        <f t="shared" si="0"/>
        <v>0.97</v>
      </c>
      <c r="AB7" s="30">
        <f t="shared" si="0"/>
        <v>0.97</v>
      </c>
      <c r="AC7" s="30">
        <f t="shared" si="0"/>
        <v>0.97</v>
      </c>
      <c r="AD7" s="30">
        <f t="shared" si="0"/>
        <v>0.97</v>
      </c>
      <c r="AE7" s="30">
        <f t="shared" si="0"/>
        <v>0.97</v>
      </c>
      <c r="AF7" s="30">
        <f t="shared" si="0"/>
        <v>0.97</v>
      </c>
      <c r="AG7" s="30">
        <f t="shared" si="0"/>
        <v>0.97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0.99727272727272731</v>
      </c>
      <c r="D9" s="30">
        <f>PERMIT_NZ!D9</f>
        <v>0.99454545454545462</v>
      </c>
      <c r="E9" s="30">
        <f>PERMIT_NZ!E9</f>
        <v>0.99181818181818193</v>
      </c>
      <c r="F9" s="30">
        <f>PERMIT_NZ!F9</f>
        <v>0.98909090909090924</v>
      </c>
      <c r="G9" s="30">
        <f>PERMIT_NZ!G9</f>
        <v>0.98636363636363655</v>
      </c>
      <c r="H9" s="30">
        <f>PERMIT_NZ!H9</f>
        <v>0.98363636363636386</v>
      </c>
      <c r="I9" s="30">
        <f>PERMIT_NZ!I9</f>
        <v>0.98090909090909117</v>
      </c>
      <c r="J9" s="30">
        <f>PERMIT_NZ!J9</f>
        <v>0.97818181818181849</v>
      </c>
      <c r="K9" s="30">
        <f>PERMIT_NZ!K9</f>
        <v>0.9754545454545458</v>
      </c>
      <c r="L9" s="30">
        <f>PERMIT_NZ!L9</f>
        <v>0.97272727272727311</v>
      </c>
      <c r="M9" s="30">
        <f>PERMIT_NZ!M9</f>
        <v>0.97</v>
      </c>
      <c r="N9" s="30">
        <f t="shared" si="1"/>
        <v>0.97</v>
      </c>
      <c r="O9" s="30">
        <f t="shared" si="0"/>
        <v>0.97</v>
      </c>
      <c r="P9" s="30">
        <f t="shared" si="0"/>
        <v>0.97</v>
      </c>
      <c r="Q9" s="30">
        <f t="shared" si="0"/>
        <v>0.97</v>
      </c>
      <c r="R9" s="30">
        <f t="shared" si="0"/>
        <v>0.97</v>
      </c>
      <c r="S9" s="30">
        <f t="shared" si="0"/>
        <v>0.97</v>
      </c>
      <c r="T9" s="30">
        <f t="shared" si="0"/>
        <v>0.97</v>
      </c>
      <c r="U9" s="30">
        <f t="shared" si="0"/>
        <v>0.97</v>
      </c>
      <c r="V9" s="30">
        <f t="shared" si="0"/>
        <v>0.97</v>
      </c>
      <c r="W9" s="30">
        <f t="shared" si="0"/>
        <v>0.97</v>
      </c>
      <c r="X9" s="30">
        <f t="shared" si="0"/>
        <v>0.97</v>
      </c>
      <c r="Y9" s="30">
        <f t="shared" si="0"/>
        <v>0.97</v>
      </c>
      <c r="Z9" s="30">
        <f t="shared" si="0"/>
        <v>0.97</v>
      </c>
      <c r="AA9" s="30">
        <f t="shared" si="0"/>
        <v>0.97</v>
      </c>
      <c r="AB9" s="30">
        <f t="shared" si="0"/>
        <v>0.97</v>
      </c>
      <c r="AC9" s="30">
        <f t="shared" si="0"/>
        <v>0.97</v>
      </c>
      <c r="AD9" s="30">
        <f t="shared" si="0"/>
        <v>0.97</v>
      </c>
      <c r="AE9" s="30">
        <f t="shared" si="0"/>
        <v>0.97</v>
      </c>
      <c r="AF9" s="30">
        <f t="shared" si="0"/>
        <v>0.97</v>
      </c>
      <c r="AG9" s="30">
        <f t="shared" si="0"/>
        <v>0.97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0.5</v>
      </c>
      <c r="N10" s="30">
        <f t="shared" si="1"/>
        <v>0.5</v>
      </c>
      <c r="O10" s="30">
        <f t="shared" si="0"/>
        <v>0.5</v>
      </c>
      <c r="P10" s="30">
        <f t="shared" si="0"/>
        <v>0.5</v>
      </c>
      <c r="Q10" s="30">
        <f t="shared" si="0"/>
        <v>0.5</v>
      </c>
      <c r="R10" s="30">
        <f t="shared" si="0"/>
        <v>0.5</v>
      </c>
      <c r="S10" s="30">
        <f t="shared" si="0"/>
        <v>0.5</v>
      </c>
      <c r="T10" s="30">
        <f t="shared" si="0"/>
        <v>0.5</v>
      </c>
      <c r="U10" s="30">
        <f t="shared" si="0"/>
        <v>0.5</v>
      </c>
      <c r="V10" s="30">
        <f t="shared" si="0"/>
        <v>0.5</v>
      </c>
      <c r="W10" s="30">
        <f t="shared" si="0"/>
        <v>0.5</v>
      </c>
      <c r="X10" s="30">
        <f t="shared" si="0"/>
        <v>0.5</v>
      </c>
      <c r="Y10" s="30">
        <f t="shared" si="0"/>
        <v>0.5</v>
      </c>
      <c r="Z10" s="30">
        <f t="shared" si="0"/>
        <v>0.5</v>
      </c>
      <c r="AA10" s="30">
        <f t="shared" si="0"/>
        <v>0.5</v>
      </c>
      <c r="AB10" s="30">
        <f t="shared" si="0"/>
        <v>0.5</v>
      </c>
      <c r="AC10" s="30">
        <f t="shared" si="0"/>
        <v>0.5</v>
      </c>
      <c r="AD10" s="30">
        <f t="shared" si="0"/>
        <v>0.5</v>
      </c>
      <c r="AE10" s="30">
        <f t="shared" si="0"/>
        <v>0.5</v>
      </c>
      <c r="AF10" s="30">
        <f t="shared" si="0"/>
        <v>0.5</v>
      </c>
      <c r="AG10" s="30">
        <f t="shared" si="0"/>
        <v>0.5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M10</f>
        <v>0.5</v>
      </c>
      <c r="N11" s="30">
        <f t="shared" si="1"/>
        <v>0.5</v>
      </c>
      <c r="O11" s="30">
        <f t="shared" si="0"/>
        <v>0.5</v>
      </c>
      <c r="P11" s="30">
        <f t="shared" si="0"/>
        <v>0.5</v>
      </c>
      <c r="Q11" s="30">
        <f t="shared" si="0"/>
        <v>0.5</v>
      </c>
      <c r="R11" s="30">
        <f t="shared" si="0"/>
        <v>0.5</v>
      </c>
      <c r="S11" s="30">
        <f t="shared" si="0"/>
        <v>0.5</v>
      </c>
      <c r="T11" s="30">
        <f t="shared" si="0"/>
        <v>0.5</v>
      </c>
      <c r="U11" s="30">
        <f t="shared" si="0"/>
        <v>0.5</v>
      </c>
      <c r="V11" s="30">
        <f t="shared" si="0"/>
        <v>0.5</v>
      </c>
      <c r="W11" s="30">
        <f t="shared" si="0"/>
        <v>0.5</v>
      </c>
      <c r="X11" s="30">
        <f t="shared" si="0"/>
        <v>0.5</v>
      </c>
      <c r="Y11" s="30">
        <f t="shared" si="0"/>
        <v>0.5</v>
      </c>
      <c r="Z11" s="30">
        <f t="shared" si="0"/>
        <v>0.5</v>
      </c>
      <c r="AA11" s="30">
        <f t="shared" si="0"/>
        <v>0.5</v>
      </c>
      <c r="AB11" s="30">
        <f t="shared" si="0"/>
        <v>0.5</v>
      </c>
      <c r="AC11" s="30">
        <f t="shared" si="0"/>
        <v>0.5</v>
      </c>
      <c r="AD11" s="30">
        <f t="shared" si="0"/>
        <v>0.5</v>
      </c>
      <c r="AE11" s="30">
        <f t="shared" si="0"/>
        <v>0.5</v>
      </c>
      <c r="AF11" s="30">
        <f t="shared" si="0"/>
        <v>0.5</v>
      </c>
      <c r="AG11" s="30">
        <f t="shared" si="0"/>
        <v>0.5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0.99727272727272731</v>
      </c>
      <c r="D12" s="30">
        <f>PERMIT_NZ!D12</f>
        <v>0.99454545454545462</v>
      </c>
      <c r="E12" s="30">
        <f>PERMIT_NZ!E12</f>
        <v>0.99181818181818193</v>
      </c>
      <c r="F12" s="30">
        <f>PERMIT_NZ!F12</f>
        <v>0.98909090909090924</v>
      </c>
      <c r="G12" s="30">
        <f>PERMIT_NZ!G12</f>
        <v>0.98636363636363655</v>
      </c>
      <c r="H12" s="30">
        <f>PERMIT_NZ!H12</f>
        <v>0.98363636363636386</v>
      </c>
      <c r="I12" s="30">
        <f>PERMIT_NZ!I12</f>
        <v>0.98090909090909117</v>
      </c>
      <c r="J12" s="30">
        <f>PERMIT_NZ!J12</f>
        <v>0.97818181818181849</v>
      </c>
      <c r="K12" s="30">
        <f>PERMIT_NZ!K12</f>
        <v>0.9754545454545458</v>
      </c>
      <c r="L12" s="30">
        <f>PERMIT_NZ!L12</f>
        <v>0.97272727272727311</v>
      </c>
      <c r="M12" s="30">
        <f>PERMIT_NZ!M12</f>
        <v>0.97</v>
      </c>
      <c r="N12" s="30">
        <f t="shared" si="1"/>
        <v>0.97</v>
      </c>
      <c r="O12" s="30">
        <f t="shared" si="0"/>
        <v>0.97</v>
      </c>
      <c r="P12" s="30">
        <f t="shared" si="0"/>
        <v>0.97</v>
      </c>
      <c r="Q12" s="30">
        <f t="shared" si="0"/>
        <v>0.97</v>
      </c>
      <c r="R12" s="30">
        <f t="shared" si="0"/>
        <v>0.97</v>
      </c>
      <c r="S12" s="30">
        <f t="shared" si="0"/>
        <v>0.97</v>
      </c>
      <c r="T12" s="30">
        <f t="shared" si="0"/>
        <v>0.97</v>
      </c>
      <c r="U12" s="30">
        <f t="shared" si="0"/>
        <v>0.97</v>
      </c>
      <c r="V12" s="30">
        <f t="shared" si="0"/>
        <v>0.97</v>
      </c>
      <c r="W12" s="30">
        <f t="shared" si="0"/>
        <v>0.97</v>
      </c>
      <c r="X12" s="30">
        <f t="shared" si="0"/>
        <v>0.97</v>
      </c>
      <c r="Y12" s="30">
        <f t="shared" si="0"/>
        <v>0.97</v>
      </c>
      <c r="Z12" s="30">
        <f t="shared" si="0"/>
        <v>0.97</v>
      </c>
      <c r="AA12" s="30">
        <f t="shared" si="0"/>
        <v>0.97</v>
      </c>
      <c r="AB12" s="30">
        <f t="shared" si="0"/>
        <v>0.97</v>
      </c>
      <c r="AC12" s="30">
        <f t="shared" si="0"/>
        <v>0.97</v>
      </c>
      <c r="AD12" s="30">
        <f t="shared" si="0"/>
        <v>0.97</v>
      </c>
      <c r="AE12" s="30">
        <f t="shared" si="0"/>
        <v>0.97</v>
      </c>
      <c r="AF12" s="30">
        <f t="shared" si="0"/>
        <v>0.97</v>
      </c>
      <c r="AG12" s="30">
        <f t="shared" si="0"/>
        <v>0.97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0.99727272727272731</v>
      </c>
      <c r="D13" s="30">
        <f>PERMIT_NZ!D13</f>
        <v>0.99454545454545462</v>
      </c>
      <c r="E13" s="30">
        <f>PERMIT_NZ!E13</f>
        <v>0.99181818181818193</v>
      </c>
      <c r="F13" s="30">
        <f>PERMIT_NZ!F13</f>
        <v>0.98909090909090924</v>
      </c>
      <c r="G13" s="30">
        <f>PERMIT_NZ!G13</f>
        <v>0.98636363636363655</v>
      </c>
      <c r="H13" s="30">
        <f>PERMIT_NZ!H13</f>
        <v>0.98363636363636386</v>
      </c>
      <c r="I13" s="30">
        <f>PERMIT_NZ!I13</f>
        <v>0.98090909090909117</v>
      </c>
      <c r="J13" s="30">
        <f>PERMIT_NZ!J13</f>
        <v>0.97818181818181849</v>
      </c>
      <c r="K13" s="30">
        <f>PERMIT_NZ!K13</f>
        <v>0.9754545454545458</v>
      </c>
      <c r="L13" s="30">
        <f>PERMIT_NZ!L13</f>
        <v>0.97272727272727311</v>
      </c>
      <c r="M13" s="30">
        <f>PERMIT_NZ!M13</f>
        <v>0.97</v>
      </c>
      <c r="N13" s="30">
        <f t="shared" si="1"/>
        <v>0.97</v>
      </c>
      <c r="O13" s="30">
        <f t="shared" si="0"/>
        <v>0.97</v>
      </c>
      <c r="P13" s="30">
        <f t="shared" si="0"/>
        <v>0.97</v>
      </c>
      <c r="Q13" s="30">
        <f t="shared" si="0"/>
        <v>0.97</v>
      </c>
      <c r="R13" s="30">
        <f t="shared" si="0"/>
        <v>0.97</v>
      </c>
      <c r="S13" s="30">
        <f t="shared" si="0"/>
        <v>0.97</v>
      </c>
      <c r="T13" s="30">
        <f t="shared" si="0"/>
        <v>0.97</v>
      </c>
      <c r="U13" s="30">
        <f t="shared" si="0"/>
        <v>0.97</v>
      </c>
      <c r="V13" s="30">
        <f t="shared" si="0"/>
        <v>0.97</v>
      </c>
      <c r="W13" s="30">
        <f t="shared" si="0"/>
        <v>0.97</v>
      </c>
      <c r="X13" s="30">
        <f t="shared" si="0"/>
        <v>0.97</v>
      </c>
      <c r="Y13" s="30">
        <f t="shared" si="0"/>
        <v>0.97</v>
      </c>
      <c r="Z13" s="30">
        <f t="shared" si="0"/>
        <v>0.97</v>
      </c>
      <c r="AA13" s="30">
        <f t="shared" si="0"/>
        <v>0.97</v>
      </c>
      <c r="AB13" s="30">
        <f t="shared" si="0"/>
        <v>0.97</v>
      </c>
      <c r="AC13" s="30">
        <f t="shared" si="0"/>
        <v>0.97</v>
      </c>
      <c r="AD13" s="30">
        <f t="shared" si="0"/>
        <v>0.97</v>
      </c>
      <c r="AE13" s="30">
        <f t="shared" si="0"/>
        <v>0.97</v>
      </c>
      <c r="AF13" s="30">
        <f t="shared" si="0"/>
        <v>0.97</v>
      </c>
      <c r="AG13" s="30">
        <f t="shared" si="0"/>
        <v>0.97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0.99727272727272731</v>
      </c>
      <c r="D14" s="30">
        <f>PERMIT_NZ!D14</f>
        <v>0.99454545454545462</v>
      </c>
      <c r="E14" s="30">
        <f>PERMIT_NZ!E14</f>
        <v>0.99181818181818193</v>
      </c>
      <c r="F14" s="30">
        <f>PERMIT_NZ!F14</f>
        <v>0.98909090909090924</v>
      </c>
      <c r="G14" s="30">
        <f>PERMIT_NZ!G14</f>
        <v>0.98636363636363655</v>
      </c>
      <c r="H14" s="30">
        <f>PERMIT_NZ!H14</f>
        <v>0.98363636363636386</v>
      </c>
      <c r="I14" s="30">
        <f>PERMIT_NZ!I14</f>
        <v>0.98090909090909117</v>
      </c>
      <c r="J14" s="30">
        <f>PERMIT_NZ!J14</f>
        <v>0.97818181818181849</v>
      </c>
      <c r="K14" s="30">
        <f>PERMIT_NZ!K14</f>
        <v>0.9754545454545458</v>
      </c>
      <c r="L14" s="30">
        <f>PERMIT_NZ!L14</f>
        <v>0.97272727272727311</v>
      </c>
      <c r="M14" s="30">
        <f>PERMIT_NZ!M14</f>
        <v>0.97</v>
      </c>
      <c r="N14" s="30">
        <f t="shared" si="1"/>
        <v>0.97</v>
      </c>
      <c r="O14" s="30">
        <f t="shared" si="0"/>
        <v>0.97</v>
      </c>
      <c r="P14" s="30">
        <f t="shared" si="0"/>
        <v>0.97</v>
      </c>
      <c r="Q14" s="30">
        <f t="shared" si="0"/>
        <v>0.97</v>
      </c>
      <c r="R14" s="30">
        <f t="shared" si="0"/>
        <v>0.97</v>
      </c>
      <c r="S14" s="30">
        <f t="shared" si="0"/>
        <v>0.97</v>
      </c>
      <c r="T14" s="30">
        <f t="shared" si="0"/>
        <v>0.97</v>
      </c>
      <c r="U14" s="30">
        <f t="shared" si="0"/>
        <v>0.97</v>
      </c>
      <c r="V14" s="30">
        <f t="shared" si="0"/>
        <v>0.97</v>
      </c>
      <c r="W14" s="30">
        <f t="shared" si="0"/>
        <v>0.97</v>
      </c>
      <c r="X14" s="30">
        <f t="shared" si="0"/>
        <v>0.97</v>
      </c>
      <c r="Y14" s="30">
        <f t="shared" si="0"/>
        <v>0.97</v>
      </c>
      <c r="Z14" s="30">
        <f t="shared" si="0"/>
        <v>0.97</v>
      </c>
      <c r="AA14" s="30">
        <f t="shared" si="0"/>
        <v>0.97</v>
      </c>
      <c r="AB14" s="30">
        <f t="shared" si="0"/>
        <v>0.97</v>
      </c>
      <c r="AC14" s="30">
        <f t="shared" si="0"/>
        <v>0.97</v>
      </c>
      <c r="AD14" s="30">
        <f t="shared" si="0"/>
        <v>0.97</v>
      </c>
      <c r="AE14" s="30">
        <f t="shared" si="0"/>
        <v>0.97</v>
      </c>
      <c r="AF14" s="30">
        <f t="shared" si="0"/>
        <v>0.97</v>
      </c>
      <c r="AG14" s="30">
        <f t="shared" si="0"/>
        <v>0.97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0.99727272727272731</v>
      </c>
      <c r="D15" s="30">
        <f>PERMIT_NZ!D15</f>
        <v>0.99454545454545462</v>
      </c>
      <c r="E15" s="30">
        <f>PERMIT_NZ!E15</f>
        <v>0.99181818181818193</v>
      </c>
      <c r="F15" s="30">
        <f>PERMIT_NZ!F15</f>
        <v>0.98909090909090924</v>
      </c>
      <c r="G15" s="30">
        <f>PERMIT_NZ!G15</f>
        <v>0.98636363636363655</v>
      </c>
      <c r="H15" s="30">
        <f>PERMIT_NZ!H15</f>
        <v>0.98363636363636386</v>
      </c>
      <c r="I15" s="30">
        <f>PERMIT_NZ!I15</f>
        <v>0.98090909090909117</v>
      </c>
      <c r="J15" s="30">
        <f>PERMIT_NZ!J15</f>
        <v>0.97818181818181849</v>
      </c>
      <c r="K15" s="30">
        <f>PERMIT_NZ!K15</f>
        <v>0.9754545454545458</v>
      </c>
      <c r="L15" s="30">
        <f>PERMIT_NZ!L15</f>
        <v>0.97272727272727311</v>
      </c>
      <c r="M15" s="30">
        <f>PERMIT_NZ!M15</f>
        <v>0.97</v>
      </c>
      <c r="N15" s="30">
        <f t="shared" si="1"/>
        <v>0.97</v>
      </c>
      <c r="O15" s="30">
        <f t="shared" si="0"/>
        <v>0.97</v>
      </c>
      <c r="P15" s="30">
        <f t="shared" si="0"/>
        <v>0.97</v>
      </c>
      <c r="Q15" s="30">
        <f t="shared" si="0"/>
        <v>0.97</v>
      </c>
      <c r="R15" s="30">
        <f t="shared" si="0"/>
        <v>0.97</v>
      </c>
      <c r="S15" s="30">
        <f t="shared" si="0"/>
        <v>0.97</v>
      </c>
      <c r="T15" s="30">
        <f t="shared" si="0"/>
        <v>0.97</v>
      </c>
      <c r="U15" s="30">
        <f t="shared" si="0"/>
        <v>0.97</v>
      </c>
      <c r="V15" s="30">
        <f t="shared" si="0"/>
        <v>0.97</v>
      </c>
      <c r="W15" s="30">
        <f t="shared" si="0"/>
        <v>0.97</v>
      </c>
      <c r="X15" s="30">
        <f t="shared" si="0"/>
        <v>0.97</v>
      </c>
      <c r="Y15" s="30">
        <f t="shared" si="0"/>
        <v>0.97</v>
      </c>
      <c r="Z15" s="30">
        <f t="shared" si="0"/>
        <v>0.97</v>
      </c>
      <c r="AA15" s="30">
        <f t="shared" si="0"/>
        <v>0.97</v>
      </c>
      <c r="AB15" s="30">
        <f t="shared" si="0"/>
        <v>0.97</v>
      </c>
      <c r="AC15" s="30">
        <f t="shared" si="0"/>
        <v>0.97</v>
      </c>
      <c r="AD15" s="30">
        <f t="shared" si="0"/>
        <v>0.97</v>
      </c>
      <c r="AE15" s="30">
        <f t="shared" si="0"/>
        <v>0.97</v>
      </c>
      <c r="AF15" s="30">
        <f t="shared" si="0"/>
        <v>0.97</v>
      </c>
      <c r="AG15" s="30">
        <f t="shared" si="0"/>
        <v>0.97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0.99727272727272731</v>
      </c>
      <c r="D16" s="30">
        <f>PERMIT_NZ!D16</f>
        <v>0.99454545454545462</v>
      </c>
      <c r="E16" s="30">
        <f>PERMIT_NZ!E16</f>
        <v>0.99181818181818193</v>
      </c>
      <c r="F16" s="30">
        <f>PERMIT_NZ!F16</f>
        <v>0.98909090909090924</v>
      </c>
      <c r="G16" s="30">
        <f>PERMIT_NZ!G16</f>
        <v>0.98636363636363655</v>
      </c>
      <c r="H16" s="30">
        <f>PERMIT_NZ!H16</f>
        <v>0.98363636363636386</v>
      </c>
      <c r="I16" s="30">
        <f>PERMIT_NZ!I16</f>
        <v>0.98090909090909117</v>
      </c>
      <c r="J16" s="30">
        <f>PERMIT_NZ!J16</f>
        <v>0.97818181818181849</v>
      </c>
      <c r="K16" s="30">
        <f>PERMIT_NZ!K16</f>
        <v>0.9754545454545458</v>
      </c>
      <c r="L16" s="30">
        <f>PERMIT_NZ!L16</f>
        <v>0.97272727272727311</v>
      </c>
      <c r="M16" s="30">
        <f>PERMIT_NZ!M16</f>
        <v>0.97</v>
      </c>
      <c r="N16" s="30">
        <f t="shared" si="1"/>
        <v>0.97</v>
      </c>
      <c r="O16" s="30">
        <f t="shared" si="0"/>
        <v>0.97</v>
      </c>
      <c r="P16" s="30">
        <f t="shared" si="0"/>
        <v>0.97</v>
      </c>
      <c r="Q16" s="30">
        <f t="shared" si="0"/>
        <v>0.97</v>
      </c>
      <c r="R16" s="30">
        <f t="shared" si="0"/>
        <v>0.97</v>
      </c>
      <c r="S16" s="30">
        <f t="shared" ref="O16:AG18" si="2">R16</f>
        <v>0.97</v>
      </c>
      <c r="T16" s="30">
        <f t="shared" si="2"/>
        <v>0.97</v>
      </c>
      <c r="U16" s="30">
        <f t="shared" si="2"/>
        <v>0.97</v>
      </c>
      <c r="V16" s="30">
        <f t="shared" si="2"/>
        <v>0.97</v>
      </c>
      <c r="W16" s="30">
        <f t="shared" si="2"/>
        <v>0.97</v>
      </c>
      <c r="X16" s="30">
        <f t="shared" si="2"/>
        <v>0.97</v>
      </c>
      <c r="Y16" s="30">
        <f t="shared" si="2"/>
        <v>0.97</v>
      </c>
      <c r="Z16" s="30">
        <f t="shared" si="2"/>
        <v>0.97</v>
      </c>
      <c r="AA16" s="30">
        <f t="shared" si="2"/>
        <v>0.97</v>
      </c>
      <c r="AB16" s="30">
        <f t="shared" si="2"/>
        <v>0.97</v>
      </c>
      <c r="AC16" s="30">
        <f t="shared" si="2"/>
        <v>0.97</v>
      </c>
      <c r="AD16" s="30">
        <f t="shared" si="2"/>
        <v>0.97</v>
      </c>
      <c r="AE16" s="30">
        <f t="shared" si="2"/>
        <v>0.97</v>
      </c>
      <c r="AF16" s="30">
        <f t="shared" si="2"/>
        <v>0.97</v>
      </c>
      <c r="AG16" s="30">
        <f t="shared" si="2"/>
        <v>0.97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0.99727272727272731</v>
      </c>
      <c r="D17" s="30">
        <f>PERMIT_NZ!D17</f>
        <v>0.99454545454545462</v>
      </c>
      <c r="E17" s="30">
        <f>PERMIT_NZ!E17</f>
        <v>0.99181818181818193</v>
      </c>
      <c r="F17" s="30">
        <f>PERMIT_NZ!F17</f>
        <v>0.98909090909090924</v>
      </c>
      <c r="G17" s="30">
        <f>PERMIT_NZ!G17</f>
        <v>0.98636363636363655</v>
      </c>
      <c r="H17" s="30">
        <f>PERMIT_NZ!H17</f>
        <v>0.98363636363636386</v>
      </c>
      <c r="I17" s="30">
        <f>PERMIT_NZ!I17</f>
        <v>0.98090909090909117</v>
      </c>
      <c r="J17" s="30">
        <f>PERMIT_NZ!J17</f>
        <v>0.97818181818181849</v>
      </c>
      <c r="K17" s="30">
        <f>PERMIT_NZ!K17</f>
        <v>0.9754545454545458</v>
      </c>
      <c r="L17" s="30">
        <f>PERMIT_NZ!L17</f>
        <v>0.97272727272727311</v>
      </c>
      <c r="M17" s="30">
        <f>PERMIT_NZ!M17</f>
        <v>0.97</v>
      </c>
      <c r="N17" s="30">
        <f t="shared" si="1"/>
        <v>0.97</v>
      </c>
      <c r="O17" s="30">
        <f t="shared" si="2"/>
        <v>0.97</v>
      </c>
      <c r="P17" s="30">
        <f t="shared" si="2"/>
        <v>0.97</v>
      </c>
      <c r="Q17" s="30">
        <f t="shared" si="2"/>
        <v>0.97</v>
      </c>
      <c r="R17" s="30">
        <f t="shared" si="2"/>
        <v>0.97</v>
      </c>
      <c r="S17" s="30">
        <f t="shared" si="2"/>
        <v>0.97</v>
      </c>
      <c r="T17" s="30">
        <f t="shared" si="2"/>
        <v>0.97</v>
      </c>
      <c r="U17" s="30">
        <f t="shared" si="2"/>
        <v>0.97</v>
      </c>
      <c r="V17" s="30">
        <f t="shared" si="2"/>
        <v>0.97</v>
      </c>
      <c r="W17" s="30">
        <f t="shared" si="2"/>
        <v>0.97</v>
      </c>
      <c r="X17" s="30">
        <f t="shared" si="2"/>
        <v>0.97</v>
      </c>
      <c r="Y17" s="30">
        <f t="shared" si="2"/>
        <v>0.97</v>
      </c>
      <c r="Z17" s="30">
        <f t="shared" si="2"/>
        <v>0.97</v>
      </c>
      <c r="AA17" s="30">
        <f t="shared" si="2"/>
        <v>0.97</v>
      </c>
      <c r="AB17" s="30">
        <f t="shared" si="2"/>
        <v>0.97</v>
      </c>
      <c r="AC17" s="30">
        <f t="shared" si="2"/>
        <v>0.97</v>
      </c>
      <c r="AD17" s="30">
        <f t="shared" si="2"/>
        <v>0.97</v>
      </c>
      <c r="AE17" s="30">
        <f t="shared" si="2"/>
        <v>0.97</v>
      </c>
      <c r="AF17" s="30">
        <f t="shared" si="2"/>
        <v>0.97</v>
      </c>
      <c r="AG17" s="30">
        <f t="shared" si="2"/>
        <v>0.97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0.96909090909090911</v>
      </c>
      <c r="D18" s="30">
        <f>PERMIT_NZ!D18</f>
        <v>0.93818181818181823</v>
      </c>
      <c r="E18" s="30">
        <f>PERMIT_NZ!E18</f>
        <v>0.90727272727272734</v>
      </c>
      <c r="F18" s="30">
        <f>PERMIT_NZ!F18</f>
        <v>0.87636363636363646</v>
      </c>
      <c r="G18" s="30">
        <f>PERMIT_NZ!G18</f>
        <v>0.84545454545454557</v>
      </c>
      <c r="H18" s="30">
        <f>PERMIT_NZ!H18</f>
        <v>0.81454545454545468</v>
      </c>
      <c r="I18" s="30">
        <f>PERMIT_NZ!I18</f>
        <v>0.7836363636363638</v>
      </c>
      <c r="J18" s="30">
        <f>PERMIT_NZ!J18</f>
        <v>0.75272727272727291</v>
      </c>
      <c r="K18" s="30">
        <f>PERMIT_NZ!K18</f>
        <v>0.72181818181818203</v>
      </c>
      <c r="L18" s="30">
        <f>PERMIT_NZ!L18</f>
        <v>0.69090909090909114</v>
      </c>
      <c r="M18" s="30">
        <f>PERMIT_NZ!M18</f>
        <v>0.66</v>
      </c>
      <c r="N18" s="30">
        <f t="shared" si="1"/>
        <v>0.66</v>
      </c>
      <c r="O18" s="30">
        <f t="shared" si="2"/>
        <v>0.66</v>
      </c>
      <c r="P18" s="30">
        <f t="shared" si="2"/>
        <v>0.66</v>
      </c>
      <c r="Q18" s="30">
        <f t="shared" si="2"/>
        <v>0.66</v>
      </c>
      <c r="R18" s="30">
        <f t="shared" si="2"/>
        <v>0.66</v>
      </c>
      <c r="S18" s="30">
        <f t="shared" si="2"/>
        <v>0.66</v>
      </c>
      <c r="T18" s="30">
        <f t="shared" si="2"/>
        <v>0.66</v>
      </c>
      <c r="U18" s="30">
        <f t="shared" si="2"/>
        <v>0.66</v>
      </c>
      <c r="V18" s="30">
        <f t="shared" si="2"/>
        <v>0.66</v>
      </c>
      <c r="W18" s="30">
        <f t="shared" si="2"/>
        <v>0.66</v>
      </c>
      <c r="X18" s="30">
        <f t="shared" si="2"/>
        <v>0.66</v>
      </c>
      <c r="Y18" s="30">
        <f t="shared" si="2"/>
        <v>0.66</v>
      </c>
      <c r="Z18" s="30">
        <f t="shared" si="2"/>
        <v>0.66</v>
      </c>
      <c r="AA18" s="30">
        <f t="shared" si="2"/>
        <v>0.66</v>
      </c>
      <c r="AB18" s="30">
        <f t="shared" si="2"/>
        <v>0.66</v>
      </c>
      <c r="AC18" s="30">
        <f t="shared" si="2"/>
        <v>0.66</v>
      </c>
      <c r="AD18" s="30">
        <f t="shared" si="2"/>
        <v>0.66</v>
      </c>
      <c r="AE18" s="30">
        <f t="shared" si="2"/>
        <v>0.66</v>
      </c>
      <c r="AF18" s="30">
        <f t="shared" si="2"/>
        <v>0.66</v>
      </c>
      <c r="AG18" s="30">
        <f t="shared" si="2"/>
        <v>0.66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18"/>
  <sheetViews>
    <sheetView zoomScale="55" zoomScaleNormal="55" workbookViewId="0">
      <selection activeCell="N22" sqref="N22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v>1</v>
      </c>
      <c r="C2" s="30">
        <v>0.96909090909090911</v>
      </c>
      <c r="D2" s="30">
        <v>0.93818181818181823</v>
      </c>
      <c r="E2" s="30">
        <v>0.90727272727272734</v>
      </c>
      <c r="F2" s="30">
        <v>0.87636363636363646</v>
      </c>
      <c r="G2" s="30">
        <v>0.84545454545454557</v>
      </c>
      <c r="H2" s="30">
        <v>0.81454545454545468</v>
      </c>
      <c r="I2" s="30">
        <v>0.7836363636363638</v>
      </c>
      <c r="J2" s="30">
        <v>0.75272727272727291</v>
      </c>
      <c r="K2" s="30">
        <v>0.72181818181818203</v>
      </c>
      <c r="L2" s="30">
        <v>0.69090909090909114</v>
      </c>
      <c r="M2" s="30">
        <v>0.66</v>
      </c>
      <c r="N2" s="30">
        <v>0.63100000000000001</v>
      </c>
      <c r="O2" s="30">
        <v>0.60199999999999998</v>
      </c>
      <c r="P2" s="30">
        <v>0.57299999999999995</v>
      </c>
      <c r="Q2" s="30">
        <v>0.54399999999999993</v>
      </c>
      <c r="R2" s="30">
        <v>0.5149999999999999</v>
      </c>
      <c r="S2" s="30">
        <v>0.48599999999999988</v>
      </c>
      <c r="T2" s="30">
        <v>0.45699999999999985</v>
      </c>
      <c r="U2" s="30">
        <v>0.42799999999999983</v>
      </c>
      <c r="V2" s="30">
        <v>0.3989999999999998</v>
      </c>
      <c r="W2" s="30">
        <v>0.37</v>
      </c>
      <c r="X2" s="30">
        <v>0.34210000000000002</v>
      </c>
      <c r="Y2" s="30">
        <v>0.31440000000000001</v>
      </c>
      <c r="Z2" s="30">
        <v>0.28699999999999998</v>
      </c>
      <c r="AA2" s="30">
        <v>0.25969999999999999</v>
      </c>
      <c r="AB2" s="30">
        <v>0.23250000000000001</v>
      </c>
      <c r="AC2" s="30">
        <v>0.2056</v>
      </c>
      <c r="AD2" s="30">
        <v>0.1789</v>
      </c>
      <c r="AE2" s="30">
        <v>0.15240000000000001</v>
      </c>
      <c r="AF2" s="30">
        <v>0.12609999999999999</v>
      </c>
      <c r="AG2" s="30">
        <v>0.1</v>
      </c>
    </row>
    <row r="3" spans="1:33" x14ac:dyDescent="0.3">
      <c r="A3" s="1" t="s">
        <v>1</v>
      </c>
      <c r="B3" s="30">
        <v>1</v>
      </c>
      <c r="C3" s="30">
        <v>0.99727272727272731</v>
      </c>
      <c r="D3" s="30">
        <v>0.99454545454545462</v>
      </c>
      <c r="E3" s="30">
        <v>0.99181818181818193</v>
      </c>
      <c r="F3" s="30">
        <v>0.98909090909090924</v>
      </c>
      <c r="G3" s="30">
        <v>0.98636363636363655</v>
      </c>
      <c r="H3" s="30">
        <v>0.98363636363636386</v>
      </c>
      <c r="I3" s="30">
        <v>0.98090909090909117</v>
      </c>
      <c r="J3" s="30">
        <v>0.97818181818181849</v>
      </c>
      <c r="K3" s="30">
        <v>0.9754545454545458</v>
      </c>
      <c r="L3" s="30">
        <v>0.97272727272727311</v>
      </c>
      <c r="M3" s="30">
        <v>0.97</v>
      </c>
      <c r="N3" s="30">
        <v>0.94099999999999995</v>
      </c>
      <c r="O3" s="30">
        <v>0.91199999999999992</v>
      </c>
      <c r="P3" s="30">
        <v>0.8829999999999999</v>
      </c>
      <c r="Q3" s="30">
        <v>0.85399999999999987</v>
      </c>
      <c r="R3" s="30">
        <v>0.82499999999999984</v>
      </c>
      <c r="S3" s="30">
        <v>0.79599999999999982</v>
      </c>
      <c r="T3" s="30">
        <v>0.76699999999999979</v>
      </c>
      <c r="U3" s="30">
        <v>0.73799999999999977</v>
      </c>
      <c r="V3" s="30">
        <v>0.70899999999999974</v>
      </c>
      <c r="W3" s="30">
        <v>0.68</v>
      </c>
      <c r="X3" s="30">
        <v>0.64890000000000003</v>
      </c>
      <c r="Y3" s="30">
        <v>0.61739999999999995</v>
      </c>
      <c r="Z3" s="30">
        <v>0.58540000000000003</v>
      </c>
      <c r="AA3" s="30">
        <v>0.55300000000000005</v>
      </c>
      <c r="AB3" s="30">
        <v>0.5202</v>
      </c>
      <c r="AC3" s="30">
        <v>0.4869</v>
      </c>
      <c r="AD3" s="30">
        <v>0.45329999999999998</v>
      </c>
      <c r="AE3" s="30">
        <v>0.41920000000000002</v>
      </c>
      <c r="AF3" s="30">
        <v>0.38479999999999998</v>
      </c>
      <c r="AG3" s="30">
        <v>0.35</v>
      </c>
    </row>
    <row r="4" spans="1:33" x14ac:dyDescent="0.3">
      <c r="A4" s="1" t="s">
        <v>2</v>
      </c>
      <c r="B4" s="30">
        <v>1</v>
      </c>
      <c r="C4" s="30">
        <v>0.97</v>
      </c>
      <c r="D4" s="30">
        <v>0.94</v>
      </c>
      <c r="E4" s="30">
        <v>0.90999999999999992</v>
      </c>
      <c r="F4" s="30">
        <v>0.87999999999999989</v>
      </c>
      <c r="G4" s="30">
        <v>0.84999999999999987</v>
      </c>
      <c r="H4" s="30">
        <v>0.81999999999999984</v>
      </c>
      <c r="I4" s="30">
        <v>0.78999999999999981</v>
      </c>
      <c r="J4" s="30">
        <v>0.75999999999999979</v>
      </c>
      <c r="K4" s="30">
        <v>0.72999999999999976</v>
      </c>
      <c r="L4" s="30">
        <v>0.69999999999999973</v>
      </c>
      <c r="M4" s="30">
        <v>0.67</v>
      </c>
      <c r="N4" s="30">
        <v>0.64100000000000001</v>
      </c>
      <c r="O4" s="30">
        <v>0.61199999999999999</v>
      </c>
      <c r="P4" s="30">
        <v>0.58299999999999996</v>
      </c>
      <c r="Q4" s="30">
        <v>0.55399999999999994</v>
      </c>
      <c r="R4" s="30">
        <v>0.52499999999999991</v>
      </c>
      <c r="S4" s="30">
        <v>0.49599999999999989</v>
      </c>
      <c r="T4" s="30">
        <v>0.46699999999999986</v>
      </c>
      <c r="U4" s="30">
        <v>0.43799999999999983</v>
      </c>
      <c r="V4" s="30">
        <v>0.40899999999999981</v>
      </c>
      <c r="W4" s="30">
        <v>0.38</v>
      </c>
      <c r="X4" s="30">
        <v>0.35160000000000002</v>
      </c>
      <c r="Y4" s="30">
        <v>0.32319999999999999</v>
      </c>
      <c r="Z4" s="30">
        <v>0.29499999999999998</v>
      </c>
      <c r="AA4" s="30">
        <v>0.26679999999999998</v>
      </c>
      <c r="AB4" s="30">
        <v>0.23880000000000001</v>
      </c>
      <c r="AC4" s="30">
        <v>0.21079999999999999</v>
      </c>
      <c r="AD4" s="30">
        <v>0.183</v>
      </c>
      <c r="AE4" s="30">
        <v>0.1552</v>
      </c>
      <c r="AF4" s="30">
        <v>0.12759999999999999</v>
      </c>
      <c r="AG4" s="30">
        <v>0.1</v>
      </c>
    </row>
    <row r="5" spans="1:33" x14ac:dyDescent="0.3">
      <c r="A5" s="1" t="s">
        <v>3</v>
      </c>
      <c r="B5" s="30">
        <v>1</v>
      </c>
      <c r="C5" s="30">
        <v>0.99727272727272731</v>
      </c>
      <c r="D5" s="30">
        <v>0.99454545454545462</v>
      </c>
      <c r="E5" s="30">
        <v>0.99181818181818193</v>
      </c>
      <c r="F5" s="30">
        <v>0.98909090909090924</v>
      </c>
      <c r="G5" s="30">
        <v>0.98636363636363655</v>
      </c>
      <c r="H5" s="30">
        <v>0.98363636363636386</v>
      </c>
      <c r="I5" s="30">
        <v>0.98090909090909117</v>
      </c>
      <c r="J5" s="30">
        <v>0.97818181818181849</v>
      </c>
      <c r="K5" s="30">
        <v>0.9754545454545458</v>
      </c>
      <c r="L5" s="30">
        <v>0.97272727272727311</v>
      </c>
      <c r="M5" s="30">
        <v>0.97</v>
      </c>
      <c r="N5" s="30">
        <v>0.96799999999999997</v>
      </c>
      <c r="O5" s="30">
        <v>0.96599999999999997</v>
      </c>
      <c r="P5" s="30">
        <v>0.96399999999999997</v>
      </c>
      <c r="Q5" s="30">
        <v>0.96199999999999997</v>
      </c>
      <c r="R5" s="30">
        <v>0.96</v>
      </c>
      <c r="S5" s="30">
        <v>0.95799999999999996</v>
      </c>
      <c r="T5" s="30">
        <v>0.95599999999999996</v>
      </c>
      <c r="U5" s="30">
        <v>0.95399999999999996</v>
      </c>
      <c r="V5" s="30">
        <v>0.95199999999999996</v>
      </c>
      <c r="W5" s="30">
        <v>0.95</v>
      </c>
      <c r="X5" s="30">
        <v>0.94689999999999996</v>
      </c>
      <c r="Y5" s="30">
        <v>0.94320000000000004</v>
      </c>
      <c r="Z5" s="30">
        <v>0.93910000000000005</v>
      </c>
      <c r="AA5" s="30">
        <v>0.9345</v>
      </c>
      <c r="AB5" s="30">
        <v>0.92959999999999998</v>
      </c>
      <c r="AC5" s="30">
        <v>0.92420000000000002</v>
      </c>
      <c r="AD5" s="30">
        <v>0.91859999999999997</v>
      </c>
      <c r="AE5" s="30">
        <v>0.91259999999999997</v>
      </c>
      <c r="AF5" s="30">
        <v>0.90639999999999998</v>
      </c>
      <c r="AG5" s="30">
        <v>0.9</v>
      </c>
    </row>
    <row r="6" spans="1:33" s="16" customFormat="1" x14ac:dyDescent="0.3">
      <c r="A6" s="23" t="s">
        <v>4</v>
      </c>
      <c r="B6" s="30">
        <v>1</v>
      </c>
      <c r="C6" s="30">
        <v>0.99727272727272731</v>
      </c>
      <c r="D6" s="30">
        <v>0.99454545454545462</v>
      </c>
      <c r="E6" s="30">
        <v>0.99181818181818193</v>
      </c>
      <c r="F6" s="30">
        <v>0.98909090909090924</v>
      </c>
      <c r="G6" s="30">
        <v>0.98636363636363655</v>
      </c>
      <c r="H6" s="30">
        <v>0.98363636363636386</v>
      </c>
      <c r="I6" s="30">
        <v>0.98090909090909117</v>
      </c>
      <c r="J6" s="30">
        <v>0.97818181818181849</v>
      </c>
      <c r="K6" s="30">
        <v>0.9754545454545458</v>
      </c>
      <c r="L6" s="30">
        <v>0.97272727272727311</v>
      </c>
      <c r="M6" s="30">
        <v>0.97</v>
      </c>
      <c r="N6" s="30">
        <v>0.96799999999999997</v>
      </c>
      <c r="O6" s="30">
        <v>0.96599999999999997</v>
      </c>
      <c r="P6" s="30">
        <v>0.96399999999999997</v>
      </c>
      <c r="Q6" s="30">
        <v>0.96199999999999997</v>
      </c>
      <c r="R6" s="30">
        <v>0.96</v>
      </c>
      <c r="S6" s="30">
        <v>0.95799999999999996</v>
      </c>
      <c r="T6" s="30">
        <v>0.95599999999999996</v>
      </c>
      <c r="U6" s="30">
        <v>0.95399999999999996</v>
      </c>
      <c r="V6" s="30">
        <v>0.95199999999999996</v>
      </c>
      <c r="W6" s="30">
        <v>0.95</v>
      </c>
      <c r="X6" s="30">
        <v>0.94689999999999996</v>
      </c>
      <c r="Y6" s="30">
        <v>0.94320000000000004</v>
      </c>
      <c r="Z6" s="30">
        <v>0.93910000000000005</v>
      </c>
      <c r="AA6" s="30">
        <v>0.9345</v>
      </c>
      <c r="AB6" s="30">
        <v>0.92959999999999998</v>
      </c>
      <c r="AC6" s="30">
        <v>0.92420000000000002</v>
      </c>
      <c r="AD6" s="30">
        <v>0.91859999999999997</v>
      </c>
      <c r="AE6" s="30">
        <v>0.91259999999999997</v>
      </c>
      <c r="AF6" s="30">
        <v>0.90639999999999998</v>
      </c>
      <c r="AG6" s="30">
        <v>0.9</v>
      </c>
    </row>
    <row r="7" spans="1:33" s="16" customFormat="1" x14ac:dyDescent="0.3">
      <c r="A7" s="23" t="s">
        <v>5</v>
      </c>
      <c r="B7" s="30">
        <v>1</v>
      </c>
      <c r="C7" s="30">
        <v>0.99727272727272731</v>
      </c>
      <c r="D7" s="30">
        <v>0.99454545454545462</v>
      </c>
      <c r="E7" s="30">
        <v>0.99181818181818193</v>
      </c>
      <c r="F7" s="30">
        <v>0.98909090909090924</v>
      </c>
      <c r="G7" s="30">
        <v>0.98636363636363655</v>
      </c>
      <c r="H7" s="30">
        <v>0.98363636363636386</v>
      </c>
      <c r="I7" s="30">
        <v>0.98090909090909117</v>
      </c>
      <c r="J7" s="30">
        <v>0.97818181818181849</v>
      </c>
      <c r="K7" s="30">
        <v>0.9754545454545458</v>
      </c>
      <c r="L7" s="30">
        <v>0.97272727272727311</v>
      </c>
      <c r="M7" s="30">
        <v>0.97</v>
      </c>
      <c r="N7" s="30">
        <v>0.96799999999999997</v>
      </c>
      <c r="O7" s="30">
        <v>0.96599999999999997</v>
      </c>
      <c r="P7" s="30">
        <v>0.96399999999999997</v>
      </c>
      <c r="Q7" s="30">
        <v>0.96199999999999997</v>
      </c>
      <c r="R7" s="30">
        <v>0.96</v>
      </c>
      <c r="S7" s="30">
        <v>0.95799999999999996</v>
      </c>
      <c r="T7" s="30">
        <v>0.95599999999999996</v>
      </c>
      <c r="U7" s="30">
        <v>0.95399999999999996</v>
      </c>
      <c r="V7" s="30">
        <v>0.95199999999999996</v>
      </c>
      <c r="W7" s="30">
        <v>0.95</v>
      </c>
      <c r="X7" s="30">
        <v>0.94689999999999996</v>
      </c>
      <c r="Y7" s="30">
        <v>0.94320000000000004</v>
      </c>
      <c r="Z7" s="30">
        <v>0.93910000000000005</v>
      </c>
      <c r="AA7" s="30">
        <v>0.9345</v>
      </c>
      <c r="AB7" s="30">
        <v>0.92959999999999998</v>
      </c>
      <c r="AC7" s="30">
        <v>0.92420000000000002</v>
      </c>
      <c r="AD7" s="30">
        <v>0.91859999999999997</v>
      </c>
      <c r="AE7" s="30">
        <v>0.91259999999999997</v>
      </c>
      <c r="AF7" s="30">
        <v>0.90639999999999998</v>
      </c>
      <c r="AG7" s="30">
        <v>0.9</v>
      </c>
    </row>
    <row r="8" spans="1:33" x14ac:dyDescent="0.3">
      <c r="A8" s="1" t="s">
        <v>6</v>
      </c>
      <c r="B8" s="30">
        <v>1</v>
      </c>
      <c r="C8" s="30">
        <v>0.95454545454545459</v>
      </c>
      <c r="D8" s="30">
        <v>0.90909090909090917</v>
      </c>
      <c r="E8" s="30">
        <v>0.86363636363636376</v>
      </c>
      <c r="F8" s="30">
        <v>0.81818181818181834</v>
      </c>
      <c r="G8" s="30">
        <v>0.77272727272727293</v>
      </c>
      <c r="H8" s="30">
        <v>0.72727272727272751</v>
      </c>
      <c r="I8" s="30">
        <v>0.6818181818181821</v>
      </c>
      <c r="J8" s="30">
        <v>0.63636363636363669</v>
      </c>
      <c r="K8" s="30">
        <v>0.59090909090909127</v>
      </c>
      <c r="L8" s="30">
        <v>0.54545454545454586</v>
      </c>
      <c r="M8" s="30">
        <v>0.5</v>
      </c>
      <c r="N8" s="30">
        <v>0.48</v>
      </c>
      <c r="O8" s="30">
        <v>0.45999999999999996</v>
      </c>
      <c r="P8" s="30">
        <v>0.43999999999999995</v>
      </c>
      <c r="Q8" s="30">
        <v>0.41999999999999993</v>
      </c>
      <c r="R8" s="30">
        <v>0.39999999999999991</v>
      </c>
      <c r="S8" s="30">
        <v>0.37999999999999989</v>
      </c>
      <c r="T8" s="30">
        <v>0.35999999999999988</v>
      </c>
      <c r="U8" s="30">
        <v>0.33999999999999986</v>
      </c>
      <c r="V8" s="30">
        <v>0.31999999999999984</v>
      </c>
      <c r="W8" s="30">
        <v>0.3</v>
      </c>
      <c r="X8" s="30">
        <v>0.27750000000000002</v>
      </c>
      <c r="Y8" s="30">
        <v>0.25440000000000002</v>
      </c>
      <c r="Z8" s="30">
        <v>0.23069999999999999</v>
      </c>
      <c r="AA8" s="30">
        <v>0.2064</v>
      </c>
      <c r="AB8" s="30">
        <v>0.18160000000000001</v>
      </c>
      <c r="AC8" s="30">
        <v>0.15629999999999999</v>
      </c>
      <c r="AD8" s="30">
        <v>0.13039999999999999</v>
      </c>
      <c r="AE8" s="30">
        <v>0.1041</v>
      </c>
      <c r="AF8" s="30">
        <v>7.7299999999999994E-2</v>
      </c>
      <c r="AG8" s="30">
        <v>0.05</v>
      </c>
    </row>
    <row r="9" spans="1:33" x14ac:dyDescent="0.3">
      <c r="A9" s="1" t="s">
        <v>7</v>
      </c>
      <c r="B9" s="30">
        <v>1</v>
      </c>
      <c r="C9" s="30">
        <v>0.99727272727272731</v>
      </c>
      <c r="D9" s="30">
        <v>0.99454545454545462</v>
      </c>
      <c r="E9" s="30">
        <v>0.99181818181818193</v>
      </c>
      <c r="F9" s="30">
        <v>0.98909090909090924</v>
      </c>
      <c r="G9" s="30">
        <v>0.98636363636363655</v>
      </c>
      <c r="H9" s="30">
        <v>0.98363636363636386</v>
      </c>
      <c r="I9" s="30">
        <v>0.98090909090909117</v>
      </c>
      <c r="J9" s="30">
        <v>0.97818181818181849</v>
      </c>
      <c r="K9" s="30">
        <v>0.9754545454545458</v>
      </c>
      <c r="L9" s="30">
        <v>0.97272727272727311</v>
      </c>
      <c r="M9" s="30">
        <v>0.97</v>
      </c>
      <c r="N9" s="30">
        <v>0.94099999999999995</v>
      </c>
      <c r="O9" s="30">
        <v>0.91199999999999992</v>
      </c>
      <c r="P9" s="30">
        <v>0.8829999999999999</v>
      </c>
      <c r="Q9" s="30">
        <v>0.85399999999999987</v>
      </c>
      <c r="R9" s="30">
        <v>0.82499999999999984</v>
      </c>
      <c r="S9" s="30">
        <v>0.79599999999999982</v>
      </c>
      <c r="T9" s="30">
        <v>0.76699999999999979</v>
      </c>
      <c r="U9" s="30">
        <v>0.73799999999999977</v>
      </c>
      <c r="V9" s="30">
        <v>0.70899999999999974</v>
      </c>
      <c r="W9" s="30">
        <v>0.68</v>
      </c>
      <c r="X9" s="30">
        <v>0.65810000000000002</v>
      </c>
      <c r="Y9" s="30">
        <v>0.63680000000000003</v>
      </c>
      <c r="Z9" s="30">
        <v>0.61629999999999996</v>
      </c>
      <c r="AA9" s="30">
        <v>0.59670000000000001</v>
      </c>
      <c r="AB9" s="30">
        <v>0.57789999999999997</v>
      </c>
      <c r="AC9" s="30">
        <v>0.56000000000000005</v>
      </c>
      <c r="AD9" s="30">
        <v>0.54330000000000001</v>
      </c>
      <c r="AE9" s="30">
        <v>0.52759999999999996</v>
      </c>
      <c r="AF9" s="30">
        <v>0.51319999999999999</v>
      </c>
      <c r="AG9" s="30">
        <v>0.5</v>
      </c>
    </row>
    <row r="10" spans="1:33" x14ac:dyDescent="0.3">
      <c r="A10" s="1" t="s">
        <v>8</v>
      </c>
      <c r="B10" s="30">
        <v>1</v>
      </c>
      <c r="C10" s="30">
        <v>0.95454545454545459</v>
      </c>
      <c r="D10" s="30">
        <v>0.90909090909090917</v>
      </c>
      <c r="E10" s="30">
        <v>0.86363636363636376</v>
      </c>
      <c r="F10" s="30">
        <v>0.81818181818181834</v>
      </c>
      <c r="G10" s="30">
        <v>0.77272727272727293</v>
      </c>
      <c r="H10" s="30">
        <v>0.72727272727272751</v>
      </c>
      <c r="I10" s="30">
        <v>0.6818181818181821</v>
      </c>
      <c r="J10" s="30">
        <v>0.63636363636363669</v>
      </c>
      <c r="K10" s="30">
        <v>0.59090909090909127</v>
      </c>
      <c r="L10" s="30">
        <v>0.54545454545454586</v>
      </c>
      <c r="M10" s="30">
        <v>0.5</v>
      </c>
      <c r="N10" s="30">
        <v>0.48</v>
      </c>
      <c r="O10" s="30">
        <v>0.45999999999999996</v>
      </c>
      <c r="P10" s="30">
        <v>0.43999999999999995</v>
      </c>
      <c r="Q10" s="30">
        <v>0.41999999999999993</v>
      </c>
      <c r="R10" s="30">
        <v>0.39999999999999991</v>
      </c>
      <c r="S10" s="30">
        <v>0.37999999999999989</v>
      </c>
      <c r="T10" s="30">
        <v>0.35999999999999988</v>
      </c>
      <c r="U10" s="30">
        <v>0.33999999999999986</v>
      </c>
      <c r="V10" s="30">
        <v>0.31999999999999984</v>
      </c>
      <c r="W10" s="30">
        <v>0.3</v>
      </c>
      <c r="X10" s="30">
        <v>0.27750000000000002</v>
      </c>
      <c r="Y10" s="30">
        <v>0.25440000000000002</v>
      </c>
      <c r="Z10" s="30">
        <v>0.23069999999999999</v>
      </c>
      <c r="AA10" s="30">
        <v>0.2064</v>
      </c>
      <c r="AB10" s="30">
        <v>0.18160000000000001</v>
      </c>
      <c r="AC10" s="30">
        <v>0.15629999999999999</v>
      </c>
      <c r="AD10" s="30">
        <v>0.13039999999999999</v>
      </c>
      <c r="AE10" s="30">
        <v>0.1041</v>
      </c>
      <c r="AF10" s="30">
        <v>7.7299999999999994E-2</v>
      </c>
      <c r="AG10" s="30">
        <v>0.05</v>
      </c>
    </row>
    <row r="11" spans="1:33" x14ac:dyDescent="0.3">
      <c r="A11" s="1" t="s">
        <v>9</v>
      </c>
      <c r="B11" s="30">
        <v>1</v>
      </c>
      <c r="C11" s="30">
        <v>0.95454545454545459</v>
      </c>
      <c r="D11" s="30">
        <v>0.90909090909090917</v>
      </c>
      <c r="E11" s="30">
        <v>0.86363636363636376</v>
      </c>
      <c r="F11" s="30">
        <v>0.81818181818181834</v>
      </c>
      <c r="G11" s="30">
        <v>0.77272727272727293</v>
      </c>
      <c r="H11" s="30">
        <v>0.72727272727272751</v>
      </c>
      <c r="I11" s="30">
        <v>0.6818181818181821</v>
      </c>
      <c r="J11" s="30">
        <v>0.63636363636363669</v>
      </c>
      <c r="K11" s="30">
        <v>0.59090909090909127</v>
      </c>
      <c r="L11" s="30">
        <v>0.54545454545454586</v>
      </c>
      <c r="M11" s="30">
        <v>0.5</v>
      </c>
      <c r="N11" s="30">
        <v>0.48</v>
      </c>
      <c r="O11" s="30">
        <v>0.45999999999999996</v>
      </c>
      <c r="P11" s="30">
        <v>0.43999999999999995</v>
      </c>
      <c r="Q11" s="30">
        <v>0.41999999999999993</v>
      </c>
      <c r="R11" s="30">
        <v>0.39999999999999991</v>
      </c>
      <c r="S11" s="30">
        <v>0.37999999999999989</v>
      </c>
      <c r="T11" s="30">
        <v>0.35999999999999988</v>
      </c>
      <c r="U11" s="30">
        <v>0.33999999999999986</v>
      </c>
      <c r="V11" s="30">
        <v>0.31999999999999984</v>
      </c>
      <c r="W11" s="30">
        <v>0.3</v>
      </c>
      <c r="X11" s="30">
        <v>0.27750000000000002</v>
      </c>
      <c r="Y11" s="30">
        <v>0.25440000000000002</v>
      </c>
      <c r="Z11" s="30">
        <v>0.23069999999999999</v>
      </c>
      <c r="AA11" s="30">
        <v>0.2064</v>
      </c>
      <c r="AB11" s="30">
        <v>0.18160000000000001</v>
      </c>
      <c r="AC11" s="30">
        <v>0.15629999999999999</v>
      </c>
      <c r="AD11" s="30">
        <v>0.13039999999999999</v>
      </c>
      <c r="AE11" s="30">
        <v>0.1041</v>
      </c>
      <c r="AF11" s="30">
        <v>7.7299999999999994E-2</v>
      </c>
      <c r="AG11" s="30">
        <v>0.05</v>
      </c>
    </row>
    <row r="12" spans="1:33" x14ac:dyDescent="0.3">
      <c r="A12" s="1" t="s">
        <v>10</v>
      </c>
      <c r="B12" s="30">
        <v>1</v>
      </c>
      <c r="C12" s="30">
        <v>0.99727272727272731</v>
      </c>
      <c r="D12" s="30">
        <v>0.99454545454545462</v>
      </c>
      <c r="E12" s="30">
        <v>0.99181818181818193</v>
      </c>
      <c r="F12" s="30">
        <v>0.98909090909090924</v>
      </c>
      <c r="G12" s="30">
        <v>0.98636363636363655</v>
      </c>
      <c r="H12" s="30">
        <v>0.98363636363636386</v>
      </c>
      <c r="I12" s="30">
        <v>0.98090909090909117</v>
      </c>
      <c r="J12" s="30">
        <v>0.97818181818181849</v>
      </c>
      <c r="K12" s="30">
        <v>0.9754545454545458</v>
      </c>
      <c r="L12" s="30">
        <v>0.97272727272727311</v>
      </c>
      <c r="M12" s="30">
        <v>0.97</v>
      </c>
      <c r="N12" s="30">
        <v>0.94099999999999995</v>
      </c>
      <c r="O12" s="30">
        <v>0.91199999999999992</v>
      </c>
      <c r="P12" s="30">
        <v>0.8829999999999999</v>
      </c>
      <c r="Q12" s="30">
        <v>0.85399999999999987</v>
      </c>
      <c r="R12" s="30">
        <v>0.82499999999999984</v>
      </c>
      <c r="S12" s="30">
        <v>0.79599999999999982</v>
      </c>
      <c r="T12" s="30">
        <v>0.76699999999999979</v>
      </c>
      <c r="U12" s="30">
        <v>0.73799999999999977</v>
      </c>
      <c r="V12" s="30">
        <v>0.70899999999999974</v>
      </c>
      <c r="W12" s="30">
        <v>0.68</v>
      </c>
      <c r="X12" s="30">
        <v>0.65810000000000002</v>
      </c>
      <c r="Y12" s="30">
        <v>0.63680000000000003</v>
      </c>
      <c r="Z12" s="30">
        <v>0.61629999999999996</v>
      </c>
      <c r="AA12" s="30">
        <v>0.59670000000000001</v>
      </c>
      <c r="AB12" s="30">
        <v>0.57789999999999997</v>
      </c>
      <c r="AC12" s="30">
        <v>0.56000000000000005</v>
      </c>
      <c r="AD12" s="30">
        <v>0.54330000000000001</v>
      </c>
      <c r="AE12" s="30">
        <v>0.52759999999999996</v>
      </c>
      <c r="AF12" s="30">
        <v>0.51319999999999999</v>
      </c>
      <c r="AG12" s="30">
        <v>0.5</v>
      </c>
    </row>
    <row r="13" spans="1:33" x14ac:dyDescent="0.3">
      <c r="A13" s="1" t="s">
        <v>11</v>
      </c>
      <c r="B13" s="30">
        <v>1</v>
      </c>
      <c r="C13" s="30">
        <v>0.99727272727272731</v>
      </c>
      <c r="D13" s="30">
        <v>0.99454545454545462</v>
      </c>
      <c r="E13" s="30">
        <v>0.99181818181818193</v>
      </c>
      <c r="F13" s="30">
        <v>0.98909090909090924</v>
      </c>
      <c r="G13" s="30">
        <v>0.98636363636363655</v>
      </c>
      <c r="H13" s="30">
        <v>0.98363636363636386</v>
      </c>
      <c r="I13" s="30">
        <v>0.98090909090909117</v>
      </c>
      <c r="J13" s="30">
        <v>0.97818181818181849</v>
      </c>
      <c r="K13" s="30">
        <v>0.9754545454545458</v>
      </c>
      <c r="L13" s="30">
        <v>0.97272727272727311</v>
      </c>
      <c r="M13" s="30">
        <v>0.97</v>
      </c>
      <c r="N13" s="30">
        <v>0.94099999999999995</v>
      </c>
      <c r="O13" s="30">
        <v>0.91199999999999992</v>
      </c>
      <c r="P13" s="30">
        <v>0.8829999999999999</v>
      </c>
      <c r="Q13" s="30">
        <v>0.85399999999999987</v>
      </c>
      <c r="R13" s="30">
        <v>0.82499999999999984</v>
      </c>
      <c r="S13" s="30">
        <v>0.79599999999999982</v>
      </c>
      <c r="T13" s="30">
        <v>0.76699999999999979</v>
      </c>
      <c r="U13" s="30">
        <v>0.73799999999999977</v>
      </c>
      <c r="V13" s="30">
        <v>0.70899999999999974</v>
      </c>
      <c r="W13" s="30">
        <v>0.68</v>
      </c>
      <c r="X13" s="30">
        <v>0.65810000000000002</v>
      </c>
      <c r="Y13" s="30">
        <v>0.63680000000000003</v>
      </c>
      <c r="Z13" s="30">
        <v>0.61629999999999996</v>
      </c>
      <c r="AA13" s="30">
        <v>0.59670000000000001</v>
      </c>
      <c r="AB13" s="30">
        <v>0.57789999999999997</v>
      </c>
      <c r="AC13" s="30">
        <v>0.56000000000000005</v>
      </c>
      <c r="AD13" s="30">
        <v>0.54330000000000001</v>
      </c>
      <c r="AE13" s="30">
        <v>0.52759999999999996</v>
      </c>
      <c r="AF13" s="30">
        <v>0.51319999999999999</v>
      </c>
      <c r="AG13" s="30">
        <v>0.5</v>
      </c>
    </row>
    <row r="14" spans="1:33" x14ac:dyDescent="0.3">
      <c r="A14" s="1" t="s">
        <v>12</v>
      </c>
      <c r="B14" s="30">
        <v>1</v>
      </c>
      <c r="C14" s="30">
        <v>0.99727272727272731</v>
      </c>
      <c r="D14" s="30">
        <v>0.99454545454545462</v>
      </c>
      <c r="E14" s="30">
        <v>0.99181818181818193</v>
      </c>
      <c r="F14" s="30">
        <v>0.98909090909090924</v>
      </c>
      <c r="G14" s="30">
        <v>0.98636363636363655</v>
      </c>
      <c r="H14" s="30">
        <v>0.98363636363636386</v>
      </c>
      <c r="I14" s="30">
        <v>0.98090909090909117</v>
      </c>
      <c r="J14" s="30">
        <v>0.97818181818181849</v>
      </c>
      <c r="K14" s="30">
        <v>0.9754545454545458</v>
      </c>
      <c r="L14" s="30">
        <v>0.97272727272727311</v>
      </c>
      <c r="M14" s="30">
        <v>0.97</v>
      </c>
      <c r="N14" s="30">
        <v>0.94099999999999995</v>
      </c>
      <c r="O14" s="30">
        <v>0.91199999999999992</v>
      </c>
      <c r="P14" s="30">
        <v>0.8829999999999999</v>
      </c>
      <c r="Q14" s="30">
        <v>0.85399999999999987</v>
      </c>
      <c r="R14" s="30">
        <v>0.82499999999999984</v>
      </c>
      <c r="S14" s="30">
        <v>0.79599999999999982</v>
      </c>
      <c r="T14" s="30">
        <v>0.76699999999999979</v>
      </c>
      <c r="U14" s="30">
        <v>0.73799999999999977</v>
      </c>
      <c r="V14" s="30">
        <v>0.70899999999999974</v>
      </c>
      <c r="W14" s="30">
        <v>0.68</v>
      </c>
      <c r="X14" s="30">
        <v>0.65810000000000002</v>
      </c>
      <c r="Y14" s="30">
        <v>0.63680000000000003</v>
      </c>
      <c r="Z14" s="30">
        <v>0.61629999999999996</v>
      </c>
      <c r="AA14" s="30">
        <v>0.59670000000000001</v>
      </c>
      <c r="AB14" s="30">
        <v>0.57789999999999997</v>
      </c>
      <c r="AC14" s="30">
        <v>0.56000000000000005</v>
      </c>
      <c r="AD14" s="30">
        <v>0.54330000000000001</v>
      </c>
      <c r="AE14" s="30">
        <v>0.52759999999999996</v>
      </c>
      <c r="AF14" s="30">
        <v>0.51319999999999999</v>
      </c>
      <c r="AG14" s="30">
        <v>0.5</v>
      </c>
    </row>
    <row r="15" spans="1:33" x14ac:dyDescent="0.3">
      <c r="A15" s="1" t="s">
        <v>13</v>
      </c>
      <c r="B15" s="30">
        <v>1</v>
      </c>
      <c r="C15" s="30">
        <v>0.99727272727272731</v>
      </c>
      <c r="D15" s="30">
        <v>0.99454545454545462</v>
      </c>
      <c r="E15" s="30">
        <v>0.99181818181818193</v>
      </c>
      <c r="F15" s="30">
        <v>0.98909090909090924</v>
      </c>
      <c r="G15" s="30">
        <v>0.98636363636363655</v>
      </c>
      <c r="H15" s="30">
        <v>0.98363636363636386</v>
      </c>
      <c r="I15" s="30">
        <v>0.98090909090909117</v>
      </c>
      <c r="J15" s="30">
        <v>0.97818181818181849</v>
      </c>
      <c r="K15" s="30">
        <v>0.9754545454545458</v>
      </c>
      <c r="L15" s="30">
        <v>0.97272727272727311</v>
      </c>
      <c r="M15" s="30">
        <v>0.97</v>
      </c>
      <c r="N15" s="30">
        <v>0.94099999999999995</v>
      </c>
      <c r="O15" s="30">
        <v>0.91199999999999992</v>
      </c>
      <c r="P15" s="30">
        <v>0.8829999999999999</v>
      </c>
      <c r="Q15" s="30">
        <v>0.85399999999999987</v>
      </c>
      <c r="R15" s="30">
        <v>0.82499999999999984</v>
      </c>
      <c r="S15" s="30">
        <v>0.79599999999999982</v>
      </c>
      <c r="T15" s="30">
        <v>0.76699999999999979</v>
      </c>
      <c r="U15" s="30">
        <v>0.73799999999999977</v>
      </c>
      <c r="V15" s="30">
        <v>0.70899999999999974</v>
      </c>
      <c r="W15" s="30">
        <v>0.68</v>
      </c>
      <c r="X15" s="30">
        <v>0.65810000000000002</v>
      </c>
      <c r="Y15" s="30">
        <v>0.63680000000000003</v>
      </c>
      <c r="Z15" s="30">
        <v>0.61629999999999996</v>
      </c>
      <c r="AA15" s="30">
        <v>0.59670000000000001</v>
      </c>
      <c r="AB15" s="30">
        <v>0.57789999999999997</v>
      </c>
      <c r="AC15" s="30">
        <v>0.56000000000000005</v>
      </c>
      <c r="AD15" s="30">
        <v>0.54330000000000001</v>
      </c>
      <c r="AE15" s="30">
        <v>0.52759999999999996</v>
      </c>
      <c r="AF15" s="30">
        <v>0.51319999999999999</v>
      </c>
      <c r="AG15" s="30">
        <v>0.5</v>
      </c>
    </row>
    <row r="16" spans="1:33" x14ac:dyDescent="0.3">
      <c r="A16" s="1" t="s">
        <v>14</v>
      </c>
      <c r="B16" s="30">
        <v>1</v>
      </c>
      <c r="C16" s="30">
        <v>0.99727272727272731</v>
      </c>
      <c r="D16" s="30">
        <v>0.99454545454545462</v>
      </c>
      <c r="E16" s="30">
        <v>0.99181818181818193</v>
      </c>
      <c r="F16" s="30">
        <v>0.98909090909090924</v>
      </c>
      <c r="G16" s="30">
        <v>0.98636363636363655</v>
      </c>
      <c r="H16" s="30">
        <v>0.98363636363636386</v>
      </c>
      <c r="I16" s="30">
        <v>0.98090909090909117</v>
      </c>
      <c r="J16" s="30">
        <v>0.97818181818181849</v>
      </c>
      <c r="K16" s="30">
        <v>0.9754545454545458</v>
      </c>
      <c r="L16" s="30">
        <v>0.97272727272727311</v>
      </c>
      <c r="M16" s="30">
        <v>0.97</v>
      </c>
      <c r="N16" s="30">
        <v>0.94099999999999995</v>
      </c>
      <c r="O16" s="30">
        <v>0.91199999999999992</v>
      </c>
      <c r="P16" s="30">
        <v>0.8829999999999999</v>
      </c>
      <c r="Q16" s="30">
        <v>0.85399999999999987</v>
      </c>
      <c r="R16" s="30">
        <v>0.82499999999999984</v>
      </c>
      <c r="S16" s="30">
        <v>0.79599999999999982</v>
      </c>
      <c r="T16" s="30">
        <v>0.76699999999999979</v>
      </c>
      <c r="U16" s="30">
        <v>0.73799999999999977</v>
      </c>
      <c r="V16" s="30">
        <v>0.70899999999999974</v>
      </c>
      <c r="W16" s="30">
        <v>0.68</v>
      </c>
      <c r="X16" s="30">
        <v>0.65810000000000002</v>
      </c>
      <c r="Y16" s="30">
        <v>0.63680000000000003</v>
      </c>
      <c r="Z16" s="30">
        <v>0.61629999999999996</v>
      </c>
      <c r="AA16" s="30">
        <v>0.59670000000000001</v>
      </c>
      <c r="AB16" s="30">
        <v>0.57789999999999997</v>
      </c>
      <c r="AC16" s="30">
        <v>0.56000000000000005</v>
      </c>
      <c r="AD16" s="30">
        <v>0.54330000000000001</v>
      </c>
      <c r="AE16" s="30">
        <v>0.52759999999999996</v>
      </c>
      <c r="AF16" s="30">
        <v>0.51319999999999999</v>
      </c>
      <c r="AG16" s="30">
        <v>0.5</v>
      </c>
    </row>
    <row r="17" spans="1:33" x14ac:dyDescent="0.3">
      <c r="A17" s="1" t="s">
        <v>15</v>
      </c>
      <c r="B17" s="30">
        <v>1</v>
      </c>
      <c r="C17" s="30">
        <v>0.99727272727272731</v>
      </c>
      <c r="D17" s="30">
        <v>0.99454545454545462</v>
      </c>
      <c r="E17" s="30">
        <v>0.99181818181818193</v>
      </c>
      <c r="F17" s="30">
        <v>0.98909090909090924</v>
      </c>
      <c r="G17" s="30">
        <v>0.98636363636363655</v>
      </c>
      <c r="H17" s="30">
        <v>0.98363636363636386</v>
      </c>
      <c r="I17" s="30">
        <v>0.98090909090909117</v>
      </c>
      <c r="J17" s="30">
        <v>0.97818181818181849</v>
      </c>
      <c r="K17" s="30">
        <v>0.9754545454545458</v>
      </c>
      <c r="L17" s="30">
        <v>0.97272727272727311</v>
      </c>
      <c r="M17" s="30">
        <v>0.97</v>
      </c>
      <c r="N17" s="30">
        <v>0.94099999999999995</v>
      </c>
      <c r="O17" s="30">
        <v>0.91199999999999992</v>
      </c>
      <c r="P17" s="30">
        <v>0.8829999999999999</v>
      </c>
      <c r="Q17" s="30">
        <v>0.85399999999999987</v>
      </c>
      <c r="R17" s="30">
        <v>0.82499999999999984</v>
      </c>
      <c r="S17" s="30">
        <v>0.79599999999999982</v>
      </c>
      <c r="T17" s="30">
        <v>0.76699999999999979</v>
      </c>
      <c r="U17" s="30">
        <v>0.73799999999999977</v>
      </c>
      <c r="V17" s="30">
        <v>0.70899999999999974</v>
      </c>
      <c r="W17" s="30">
        <v>0.68</v>
      </c>
      <c r="X17" s="30">
        <v>0.65810000000000002</v>
      </c>
      <c r="Y17" s="30">
        <v>0.63680000000000003</v>
      </c>
      <c r="Z17" s="30">
        <v>0.61629999999999996</v>
      </c>
      <c r="AA17" s="30">
        <v>0.59670000000000001</v>
      </c>
      <c r="AB17" s="30">
        <v>0.57789999999999997</v>
      </c>
      <c r="AC17" s="30">
        <v>0.56000000000000005</v>
      </c>
      <c r="AD17" s="30">
        <v>0.54330000000000001</v>
      </c>
      <c r="AE17" s="30">
        <v>0.52759999999999996</v>
      </c>
      <c r="AF17" s="30">
        <v>0.51319999999999999</v>
      </c>
      <c r="AG17" s="30">
        <v>0.5</v>
      </c>
    </row>
    <row r="18" spans="1:33" x14ac:dyDescent="0.3">
      <c r="A18" s="1" t="s">
        <v>16</v>
      </c>
      <c r="B18" s="30">
        <v>1</v>
      </c>
      <c r="C18" s="30">
        <v>0.96909090909090911</v>
      </c>
      <c r="D18" s="30">
        <v>0.93818181818181823</v>
      </c>
      <c r="E18" s="30">
        <v>0.90727272727272734</v>
      </c>
      <c r="F18" s="30">
        <v>0.87636363636363646</v>
      </c>
      <c r="G18" s="30">
        <v>0.84545454545454557</v>
      </c>
      <c r="H18" s="30">
        <v>0.81454545454545468</v>
      </c>
      <c r="I18" s="30">
        <v>0.7836363636363638</v>
      </c>
      <c r="J18" s="30">
        <v>0.75272727272727291</v>
      </c>
      <c r="K18" s="30">
        <v>0.72181818181818203</v>
      </c>
      <c r="L18" s="30">
        <v>0.69090909090909114</v>
      </c>
      <c r="M18" s="30">
        <v>0.66</v>
      </c>
      <c r="N18" s="30">
        <v>0.63100000000000001</v>
      </c>
      <c r="O18" s="30">
        <v>0.60199999999999998</v>
      </c>
      <c r="P18" s="30">
        <v>0.57299999999999995</v>
      </c>
      <c r="Q18" s="30">
        <v>0.54399999999999993</v>
      </c>
      <c r="R18" s="30">
        <v>0.5149999999999999</v>
      </c>
      <c r="S18" s="30">
        <v>0.48599999999999988</v>
      </c>
      <c r="T18" s="30">
        <v>0.45699999999999985</v>
      </c>
      <c r="U18" s="30">
        <v>0.42799999999999983</v>
      </c>
      <c r="V18" s="30">
        <v>0.3989999999999998</v>
      </c>
      <c r="W18" s="30">
        <v>0.37</v>
      </c>
      <c r="X18" s="30">
        <v>0.34210000000000002</v>
      </c>
      <c r="Y18" s="30">
        <v>0.31440000000000001</v>
      </c>
      <c r="Z18" s="30">
        <v>0.28699999999999998</v>
      </c>
      <c r="AA18" s="30">
        <v>0.25969999999999999</v>
      </c>
      <c r="AB18" s="30">
        <v>0.23250000000000001</v>
      </c>
      <c r="AC18" s="30">
        <v>0.2056</v>
      </c>
      <c r="AD18" s="30">
        <v>0.1789</v>
      </c>
      <c r="AE18" s="30">
        <v>0.15240000000000001</v>
      </c>
      <c r="AF18" s="30">
        <v>0.12609999999999999</v>
      </c>
      <c r="AG18" s="30">
        <v>0.1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92D-9F54-4F75-9A80-DC7BCCB82108}">
  <dimension ref="A1:AG18"/>
  <sheetViews>
    <sheetView topLeftCell="L1" workbookViewId="0">
      <selection activeCell="AA23" sqref="AA23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0.96909090909090911</v>
      </c>
      <c r="D2" s="30">
        <f>PERMIT_NZ!D2</f>
        <v>0.93818181818181823</v>
      </c>
      <c r="E2" s="30">
        <f>PERMIT_NZ!E2</f>
        <v>0.90727272727272734</v>
      </c>
      <c r="F2" s="30">
        <f>PERMIT_NZ!F2</f>
        <v>0.87636363636363646</v>
      </c>
      <c r="G2" s="30">
        <f>PERMIT_NZ!G2</f>
        <v>0.84545454545454557</v>
      </c>
      <c r="H2" s="30">
        <f>PERMIT_NZ!H2</f>
        <v>0.81454545454545468</v>
      </c>
      <c r="I2" s="30">
        <f>PERMIT_NZ!I2</f>
        <v>0.7836363636363638</v>
      </c>
      <c r="J2" s="30">
        <f>PERMIT_NZ!J2</f>
        <v>0.75272727272727291</v>
      </c>
      <c r="K2" s="30">
        <f>PERMIT_NZ!K2</f>
        <v>0.72181818181818203</v>
      </c>
      <c r="L2" s="30">
        <f>PERMIT_NZ!L2</f>
        <v>0.69090909090909114</v>
      </c>
      <c r="M2" s="30">
        <f>PERMIT_NZ!M2</f>
        <v>0.66</v>
      </c>
      <c r="N2" s="30">
        <f>PERMIT_NZ!N2</f>
        <v>0.63100000000000001</v>
      </c>
      <c r="O2" s="30">
        <f>PERMIT_NZ!O2</f>
        <v>0.60199999999999998</v>
      </c>
      <c r="P2" s="30">
        <f>PERMIT_NZ!P2</f>
        <v>0.57299999999999995</v>
      </c>
      <c r="Q2" s="30">
        <f>PERMIT_NZ!Q2</f>
        <v>0.54399999999999993</v>
      </c>
      <c r="R2" s="30">
        <f>PERMIT_NZ!R2</f>
        <v>0.5149999999999999</v>
      </c>
      <c r="S2" s="30">
        <f>PERMIT_NZ!S2</f>
        <v>0.48599999999999988</v>
      </c>
      <c r="T2" s="30">
        <f>PERMIT_NZ!T2</f>
        <v>0.45699999999999985</v>
      </c>
      <c r="U2" s="30">
        <f>PERMIT_NZ!U2</f>
        <v>0.42799999999999983</v>
      </c>
      <c r="V2" s="30">
        <f>PERMIT_NZ!V2</f>
        <v>0.3989999999999998</v>
      </c>
      <c r="W2" s="30">
        <f>PERMIT_NZ!W2</f>
        <v>0.37</v>
      </c>
      <c r="X2" s="30">
        <f>PERMIT_NZ!X2</f>
        <v>0.34210000000000002</v>
      </c>
      <c r="Y2" s="30">
        <f>PERMIT_NZ!Y2</f>
        <v>0.31440000000000001</v>
      </c>
      <c r="Z2" s="30">
        <f>PERMIT_NZ!Z2</f>
        <v>0.28699999999999998</v>
      </c>
      <c r="AA2" s="30">
        <f>PERMIT_NZ!AA2</f>
        <v>0.25969999999999999</v>
      </c>
      <c r="AB2" s="30">
        <f>PERMIT_NZ!AB2</f>
        <v>0.23250000000000001</v>
      </c>
      <c r="AC2" s="30">
        <f>PERMIT_NZ!AC2</f>
        <v>0.2056</v>
      </c>
      <c r="AD2" s="30">
        <f>PERMIT_NZ!AD2</f>
        <v>0.1789</v>
      </c>
      <c r="AE2" s="30">
        <f>PERMIT_NZ!AE2</f>
        <v>0.15240000000000001</v>
      </c>
      <c r="AF2" s="30">
        <f>PERMIT_NZ!AF2</f>
        <v>0.12609999999999999</v>
      </c>
      <c r="AG2" s="30">
        <f>PERMIT_NZ!AG2</f>
        <v>0.1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0.99727272727272731</v>
      </c>
      <c r="D3" s="30">
        <f>PERMIT_NZ!D3</f>
        <v>0.99454545454545462</v>
      </c>
      <c r="E3" s="30">
        <f>PERMIT_NZ!E3</f>
        <v>0.99181818181818193</v>
      </c>
      <c r="F3" s="30">
        <f>PERMIT_NZ!F3</f>
        <v>0.98909090909090924</v>
      </c>
      <c r="G3" s="30">
        <f>PERMIT_NZ!G3</f>
        <v>0.98636363636363655</v>
      </c>
      <c r="H3" s="30">
        <f>PERMIT_NZ!H3</f>
        <v>0.98363636363636386</v>
      </c>
      <c r="I3" s="30">
        <f>PERMIT_NZ!I3</f>
        <v>0.98090909090909117</v>
      </c>
      <c r="J3" s="30">
        <f>PERMIT_NZ!J3</f>
        <v>0.97818181818181849</v>
      </c>
      <c r="K3" s="30">
        <f>PERMIT_NZ!K3</f>
        <v>0.9754545454545458</v>
      </c>
      <c r="L3" s="30">
        <f>PERMIT_NZ!L3</f>
        <v>0.97272727272727311</v>
      </c>
      <c r="M3" s="30">
        <f>PERMIT_NZ!M3</f>
        <v>0.97</v>
      </c>
      <c r="N3" s="30">
        <f>PERMIT_NZ!N3</f>
        <v>0.94099999999999995</v>
      </c>
      <c r="O3" s="30">
        <f>PERMIT_NZ!O3</f>
        <v>0.91199999999999992</v>
      </c>
      <c r="P3" s="30">
        <f>PERMIT_NZ!P3</f>
        <v>0.8829999999999999</v>
      </c>
      <c r="Q3" s="30">
        <f>PERMIT_NZ!Q3</f>
        <v>0.85399999999999987</v>
      </c>
      <c r="R3" s="30">
        <f>PERMIT_NZ!R3</f>
        <v>0.82499999999999984</v>
      </c>
      <c r="S3" s="30">
        <f>PERMIT_NZ!S3</f>
        <v>0.79599999999999982</v>
      </c>
      <c r="T3" s="30">
        <f>PERMIT_NZ!T3</f>
        <v>0.76699999999999979</v>
      </c>
      <c r="U3" s="30">
        <f>PERMIT_NZ!U3</f>
        <v>0.73799999999999977</v>
      </c>
      <c r="V3" s="30">
        <f>PERMIT_NZ!V3</f>
        <v>0.70899999999999974</v>
      </c>
      <c r="W3" s="30">
        <f>PERMIT_NZ!W3</f>
        <v>0.68</v>
      </c>
      <c r="X3" s="30">
        <f>PERMIT_NZ!X3</f>
        <v>0.64890000000000003</v>
      </c>
      <c r="Y3" s="30">
        <f>PERMIT_NZ!Y3</f>
        <v>0.61739999999999995</v>
      </c>
      <c r="Z3" s="30">
        <f>PERMIT_NZ!Z3</f>
        <v>0.58540000000000003</v>
      </c>
      <c r="AA3" s="30">
        <f>PERMIT_NZ!AA3</f>
        <v>0.55300000000000005</v>
      </c>
      <c r="AB3" s="30">
        <f>PERMIT_NZ!AB3</f>
        <v>0.5202</v>
      </c>
      <c r="AC3" s="30">
        <f>PERMIT_NZ!AC3</f>
        <v>0.4869</v>
      </c>
      <c r="AD3" s="30">
        <f>PERMIT_NZ!AD3</f>
        <v>0.45329999999999998</v>
      </c>
      <c r="AE3" s="30">
        <f>PERMIT_NZ!AE3</f>
        <v>0.41920000000000002</v>
      </c>
      <c r="AF3" s="30">
        <f>PERMIT_NZ!AF3</f>
        <v>0.38479999999999998</v>
      </c>
      <c r="AG3" s="30">
        <f>PERMIT_NZ!AG3</f>
        <v>0.35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</v>
      </c>
      <c r="D4" s="30">
        <f>PERMIT_NZ!D4</f>
        <v>0.94</v>
      </c>
      <c r="E4" s="30">
        <f>PERMIT_NZ!E4</f>
        <v>0.90999999999999992</v>
      </c>
      <c r="F4" s="30">
        <f>PERMIT_NZ!F4</f>
        <v>0.87999999999999989</v>
      </c>
      <c r="G4" s="30">
        <f>PERMIT_NZ!G4</f>
        <v>0.84999999999999987</v>
      </c>
      <c r="H4" s="30">
        <f>PERMIT_NZ!H4</f>
        <v>0.81999999999999984</v>
      </c>
      <c r="I4" s="30">
        <f>PERMIT_NZ!I4</f>
        <v>0.78999999999999981</v>
      </c>
      <c r="J4" s="30">
        <f>PERMIT_NZ!J4</f>
        <v>0.75999999999999979</v>
      </c>
      <c r="K4" s="30">
        <f>PERMIT_NZ!K4</f>
        <v>0.72999999999999976</v>
      </c>
      <c r="L4" s="30">
        <f>PERMIT_NZ!L4</f>
        <v>0.69999999999999973</v>
      </c>
      <c r="M4" s="30">
        <f>PERMIT_NZ!M4</f>
        <v>0.67</v>
      </c>
      <c r="N4" s="30">
        <f>PERMIT_NZ!N4</f>
        <v>0.64100000000000001</v>
      </c>
      <c r="O4" s="30">
        <f>PERMIT_NZ!O4</f>
        <v>0.61199999999999999</v>
      </c>
      <c r="P4" s="30">
        <f>PERMIT_NZ!P4</f>
        <v>0.58299999999999996</v>
      </c>
      <c r="Q4" s="30">
        <f>PERMIT_NZ!Q4</f>
        <v>0.55399999999999994</v>
      </c>
      <c r="R4" s="30">
        <f>PERMIT_NZ!R4</f>
        <v>0.52499999999999991</v>
      </c>
      <c r="S4" s="30">
        <f>PERMIT_NZ!S4</f>
        <v>0.49599999999999989</v>
      </c>
      <c r="T4" s="30">
        <f>PERMIT_NZ!T4</f>
        <v>0.46699999999999986</v>
      </c>
      <c r="U4" s="30">
        <f>PERMIT_NZ!U4</f>
        <v>0.43799999999999983</v>
      </c>
      <c r="V4" s="30">
        <f>PERMIT_NZ!V4</f>
        <v>0.40899999999999981</v>
      </c>
      <c r="W4" s="30">
        <f>PERMIT_NZ!W4</f>
        <v>0.38</v>
      </c>
      <c r="X4" s="30">
        <f>PERMIT_NZ!X4</f>
        <v>0.35160000000000002</v>
      </c>
      <c r="Y4" s="30">
        <f>PERMIT_NZ!Y4</f>
        <v>0.32319999999999999</v>
      </c>
      <c r="Z4" s="30">
        <f>PERMIT_NZ!Z4</f>
        <v>0.29499999999999998</v>
      </c>
      <c r="AA4" s="30">
        <f>PERMIT_NZ!AA4</f>
        <v>0.26679999999999998</v>
      </c>
      <c r="AB4" s="30">
        <f>PERMIT_NZ!AB4</f>
        <v>0.23880000000000001</v>
      </c>
      <c r="AC4" s="30">
        <f>PERMIT_NZ!AC4</f>
        <v>0.21079999999999999</v>
      </c>
      <c r="AD4" s="30">
        <f>PERMIT_NZ!AD4</f>
        <v>0.183</v>
      </c>
      <c r="AE4" s="30">
        <f>PERMIT_NZ!AE4</f>
        <v>0.1552</v>
      </c>
      <c r="AF4" s="30">
        <f>PERMIT_NZ!AF4</f>
        <v>0.12759999999999999</v>
      </c>
      <c r="AG4" s="30">
        <f>PERMIT_NZ!AG4</f>
        <v>0.1</v>
      </c>
    </row>
    <row r="5" spans="1:33" x14ac:dyDescent="0.3">
      <c r="A5" s="1" t="s">
        <v>3</v>
      </c>
      <c r="B5" s="30">
        <f>PERMIT_NZ!B5</f>
        <v>1</v>
      </c>
      <c r="C5" s="30">
        <f>PERMIT_NZ!C5</f>
        <v>0.99727272727272731</v>
      </c>
      <c r="D5" s="30">
        <f>PERMIT_NZ!D5</f>
        <v>0.99454545454545462</v>
      </c>
      <c r="E5" s="30">
        <f>PERMIT_NZ!E5</f>
        <v>0.99181818181818193</v>
      </c>
      <c r="F5" s="30">
        <f>PERMIT_NZ!F5</f>
        <v>0.98909090909090924</v>
      </c>
      <c r="G5" s="30">
        <f>PERMIT_NZ!G5</f>
        <v>0.98636363636363655</v>
      </c>
      <c r="H5" s="30">
        <f>PERMIT_NZ!H5</f>
        <v>0.98363636363636386</v>
      </c>
      <c r="I5" s="30">
        <f>PERMIT_NZ!I5</f>
        <v>0.98090909090909117</v>
      </c>
      <c r="J5" s="30">
        <f>PERMIT_NZ!J5</f>
        <v>0.97818181818181849</v>
      </c>
      <c r="K5" s="30">
        <f>PERMIT_NZ!K5</f>
        <v>0.9754545454545458</v>
      </c>
      <c r="L5" s="30">
        <f>PERMIT_NZ!L5</f>
        <v>0.97272727272727311</v>
      </c>
      <c r="M5" s="30">
        <f>PERMIT_NZ!M5</f>
        <v>0.97</v>
      </c>
      <c r="N5" s="30">
        <f>PERMIT_NZ!N5</f>
        <v>0.96799999999999997</v>
      </c>
      <c r="O5" s="30">
        <f>PERMIT_NZ!O5</f>
        <v>0.96599999999999997</v>
      </c>
      <c r="P5" s="30">
        <f>PERMIT_NZ!P5</f>
        <v>0.96399999999999997</v>
      </c>
      <c r="Q5" s="30">
        <f>PERMIT_NZ!Q5</f>
        <v>0.96199999999999997</v>
      </c>
      <c r="R5" s="30">
        <f>PERMIT_NZ!R5</f>
        <v>0.96</v>
      </c>
      <c r="S5" s="30">
        <f>PERMIT_NZ!S5</f>
        <v>0.95799999999999996</v>
      </c>
      <c r="T5" s="30">
        <f>PERMIT_NZ!T5</f>
        <v>0.95599999999999996</v>
      </c>
      <c r="U5" s="30">
        <f>PERMIT_NZ!U5</f>
        <v>0.95399999999999996</v>
      </c>
      <c r="V5" s="30">
        <f>PERMIT_NZ!V5</f>
        <v>0.95199999999999996</v>
      </c>
      <c r="W5" s="30">
        <f>PERMIT_NZ!W5</f>
        <v>0.95</v>
      </c>
      <c r="X5" s="30">
        <f>PERMIT_NZ!X5</f>
        <v>0.94689999999999996</v>
      </c>
      <c r="Y5" s="30">
        <f>PERMIT_NZ!Y5</f>
        <v>0.94320000000000004</v>
      </c>
      <c r="Z5" s="30">
        <f>PERMIT_NZ!Z5</f>
        <v>0.93910000000000005</v>
      </c>
      <c r="AA5" s="30">
        <f>PERMIT_NZ!AA5</f>
        <v>0.9345</v>
      </c>
      <c r="AB5" s="30">
        <f>PERMIT_NZ!AB5</f>
        <v>0.92959999999999998</v>
      </c>
      <c r="AC5" s="30">
        <f>PERMIT_NZ!AC5</f>
        <v>0.92420000000000002</v>
      </c>
      <c r="AD5" s="30">
        <f>PERMIT_NZ!AD5</f>
        <v>0.91859999999999997</v>
      </c>
      <c r="AE5" s="30">
        <f>PERMIT_NZ!AE5</f>
        <v>0.91259999999999997</v>
      </c>
      <c r="AF5" s="30">
        <f>PERMIT_NZ!AF5</f>
        <v>0.90639999999999998</v>
      </c>
      <c r="AG5" s="30">
        <f>PERMIT_NZ!AG5</f>
        <v>0.9</v>
      </c>
    </row>
    <row r="6" spans="1:33" x14ac:dyDescent="0.3">
      <c r="A6" s="23" t="s">
        <v>4</v>
      </c>
      <c r="B6" s="30">
        <f>PERMIT_NZ!B6</f>
        <v>1</v>
      </c>
      <c r="C6" s="30">
        <f>PERMIT_NZ!C6</f>
        <v>0.99727272727272731</v>
      </c>
      <c r="D6" s="30">
        <f>PERMIT_NZ!D6</f>
        <v>0.99454545454545462</v>
      </c>
      <c r="E6" s="30">
        <f>PERMIT_NZ!E6</f>
        <v>0.99181818181818193</v>
      </c>
      <c r="F6" s="30">
        <f>PERMIT_NZ!F6</f>
        <v>0.98909090909090924</v>
      </c>
      <c r="G6" s="30">
        <f>PERMIT_NZ!G6</f>
        <v>0.98636363636363655</v>
      </c>
      <c r="H6" s="30">
        <f>PERMIT_NZ!H6</f>
        <v>0.98363636363636386</v>
      </c>
      <c r="I6" s="30">
        <f>PERMIT_NZ!I6</f>
        <v>0.98090909090909117</v>
      </c>
      <c r="J6" s="30">
        <f>PERMIT_NZ!J6</f>
        <v>0.97818181818181849</v>
      </c>
      <c r="K6" s="30">
        <f>PERMIT_NZ!K6</f>
        <v>0.9754545454545458</v>
      </c>
      <c r="L6" s="30">
        <f>PERMIT_NZ!L6</f>
        <v>0.97272727272727311</v>
      </c>
      <c r="M6" s="30">
        <f>PERMIT_NZ!M6</f>
        <v>0.97</v>
      </c>
      <c r="N6" s="30">
        <f>PERMIT_NZ!N6</f>
        <v>0.96799999999999997</v>
      </c>
      <c r="O6" s="30">
        <f>PERMIT_NZ!O6</f>
        <v>0.96599999999999997</v>
      </c>
      <c r="P6" s="30">
        <f>PERMIT_NZ!P6</f>
        <v>0.96399999999999997</v>
      </c>
      <c r="Q6" s="30">
        <f>PERMIT_NZ!Q6</f>
        <v>0.96199999999999997</v>
      </c>
      <c r="R6" s="30">
        <f>PERMIT_NZ!R6</f>
        <v>0.96</v>
      </c>
      <c r="S6" s="30">
        <f>PERMIT_NZ!S6</f>
        <v>0.95799999999999996</v>
      </c>
      <c r="T6" s="30">
        <f>PERMIT_NZ!T6</f>
        <v>0.95599999999999996</v>
      </c>
      <c r="U6" s="30">
        <f>PERMIT_NZ!U6</f>
        <v>0.95399999999999996</v>
      </c>
      <c r="V6" s="30">
        <f>PERMIT_NZ!V6</f>
        <v>0.95199999999999996</v>
      </c>
      <c r="W6" s="30">
        <f>PERMIT_NZ!W6</f>
        <v>0.95</v>
      </c>
      <c r="X6" s="30">
        <f>PERMIT_NZ!X6</f>
        <v>0.94689999999999996</v>
      </c>
      <c r="Y6" s="30">
        <f>PERMIT_NZ!Y6</f>
        <v>0.94320000000000004</v>
      </c>
      <c r="Z6" s="30">
        <f>PERMIT_NZ!Z6</f>
        <v>0.93910000000000005</v>
      </c>
      <c r="AA6" s="30">
        <f>PERMIT_NZ!AA6</f>
        <v>0.9345</v>
      </c>
      <c r="AB6" s="30">
        <f>PERMIT_NZ!AB6</f>
        <v>0.92959999999999998</v>
      </c>
      <c r="AC6" s="30">
        <f>PERMIT_NZ!AC6</f>
        <v>0.92420000000000002</v>
      </c>
      <c r="AD6" s="30">
        <f>PERMIT_NZ!AD6</f>
        <v>0.91859999999999997</v>
      </c>
      <c r="AE6" s="30">
        <f>PERMIT_NZ!AE6</f>
        <v>0.91259999999999997</v>
      </c>
      <c r="AF6" s="30">
        <f>PERMIT_NZ!AF6</f>
        <v>0.90639999999999998</v>
      </c>
      <c r="AG6" s="30">
        <f>PERMIT_NZ!AG6</f>
        <v>0.9</v>
      </c>
    </row>
    <row r="7" spans="1:33" x14ac:dyDescent="0.3">
      <c r="A7" s="23" t="s">
        <v>5</v>
      </c>
      <c r="B7" s="30">
        <f>PERMIT_NZ!B7</f>
        <v>1</v>
      </c>
      <c r="C7" s="30">
        <f>PERMIT_NZ!C7</f>
        <v>0.99727272727272731</v>
      </c>
      <c r="D7" s="30">
        <f>PERMIT_NZ!D7</f>
        <v>0.99454545454545462</v>
      </c>
      <c r="E7" s="30">
        <f>PERMIT_NZ!E7</f>
        <v>0.99181818181818193</v>
      </c>
      <c r="F7" s="30">
        <f>PERMIT_NZ!F7</f>
        <v>0.98909090909090924</v>
      </c>
      <c r="G7" s="30">
        <f>PERMIT_NZ!G7</f>
        <v>0.98636363636363655</v>
      </c>
      <c r="H7" s="30">
        <f>PERMIT_NZ!H7</f>
        <v>0.98363636363636386</v>
      </c>
      <c r="I7" s="30">
        <f>PERMIT_NZ!I7</f>
        <v>0.98090909090909117</v>
      </c>
      <c r="J7" s="30">
        <f>PERMIT_NZ!J7</f>
        <v>0.97818181818181849</v>
      </c>
      <c r="K7" s="30">
        <f>PERMIT_NZ!K7</f>
        <v>0.9754545454545458</v>
      </c>
      <c r="L7" s="30">
        <f>PERMIT_NZ!L7</f>
        <v>0.97272727272727311</v>
      </c>
      <c r="M7" s="30">
        <f>PERMIT_NZ!M7</f>
        <v>0.97</v>
      </c>
      <c r="N7" s="30">
        <f>PERMIT_NZ!N7</f>
        <v>0.96799999999999997</v>
      </c>
      <c r="O7" s="30">
        <f>PERMIT_NZ!O7</f>
        <v>0.96599999999999997</v>
      </c>
      <c r="P7" s="30">
        <f>PERMIT_NZ!P7</f>
        <v>0.96399999999999997</v>
      </c>
      <c r="Q7" s="30">
        <f>PERMIT_NZ!Q7</f>
        <v>0.96199999999999997</v>
      </c>
      <c r="R7" s="30">
        <f>PERMIT_NZ!R7</f>
        <v>0.96</v>
      </c>
      <c r="S7" s="30">
        <f>PERMIT_NZ!S7</f>
        <v>0.95799999999999996</v>
      </c>
      <c r="T7" s="30">
        <f>PERMIT_NZ!T7</f>
        <v>0.95599999999999996</v>
      </c>
      <c r="U7" s="30">
        <f>PERMIT_NZ!U7</f>
        <v>0.95399999999999996</v>
      </c>
      <c r="V7" s="30">
        <f>PERMIT_NZ!V7</f>
        <v>0.95199999999999996</v>
      </c>
      <c r="W7" s="30">
        <f>PERMIT_NZ!W7</f>
        <v>0.95</v>
      </c>
      <c r="X7" s="30">
        <f>PERMIT_NZ!X7</f>
        <v>0.94689999999999996</v>
      </c>
      <c r="Y7" s="30">
        <f>PERMIT_NZ!Y7</f>
        <v>0.94320000000000004</v>
      </c>
      <c r="Z7" s="30">
        <f>PERMIT_NZ!Z7</f>
        <v>0.93910000000000005</v>
      </c>
      <c r="AA7" s="30">
        <f>PERMIT_NZ!AA7</f>
        <v>0.9345</v>
      </c>
      <c r="AB7" s="30">
        <f>PERMIT_NZ!AB7</f>
        <v>0.92959999999999998</v>
      </c>
      <c r="AC7" s="30">
        <f>PERMIT_NZ!AC7</f>
        <v>0.92420000000000002</v>
      </c>
      <c r="AD7" s="30">
        <f>PERMIT_NZ!AD7</f>
        <v>0.91859999999999997</v>
      </c>
      <c r="AE7" s="30">
        <f>PERMIT_NZ!AE7</f>
        <v>0.91259999999999997</v>
      </c>
      <c r="AF7" s="30">
        <f>PERMIT_NZ!AF7</f>
        <v>0.90639999999999998</v>
      </c>
      <c r="AG7" s="30">
        <f>PERMIT_NZ!AG7</f>
        <v>0.9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>PERMIT_NZ!N8</f>
        <v>0.48</v>
      </c>
      <c r="O8" s="30">
        <f>PERMIT_NZ!O8</f>
        <v>0.45999999999999996</v>
      </c>
      <c r="P8" s="30">
        <f>PERMIT_NZ!P8</f>
        <v>0.43999999999999995</v>
      </c>
      <c r="Q8" s="30">
        <f>PERMIT_NZ!Q8</f>
        <v>0.41999999999999993</v>
      </c>
      <c r="R8" s="30">
        <f>PERMIT_NZ!R8</f>
        <v>0.39999999999999991</v>
      </c>
      <c r="S8" s="30">
        <f>PERMIT_NZ!S8</f>
        <v>0.37999999999999989</v>
      </c>
      <c r="T8" s="30">
        <f>PERMIT_NZ!T8</f>
        <v>0.35999999999999988</v>
      </c>
      <c r="U8" s="30">
        <f>PERMIT_NZ!U8</f>
        <v>0.33999999999999986</v>
      </c>
      <c r="V8" s="30">
        <f>PERMIT_NZ!V8</f>
        <v>0.31999999999999984</v>
      </c>
      <c r="W8" s="30">
        <f>PERMIT_NZ!W8</f>
        <v>0.3</v>
      </c>
      <c r="X8" s="30">
        <f>PERMIT_NZ!X8</f>
        <v>0.27750000000000002</v>
      </c>
      <c r="Y8" s="30">
        <f>PERMIT_NZ!Y8</f>
        <v>0.25440000000000002</v>
      </c>
      <c r="Z8" s="30">
        <f>PERMIT_NZ!Z8</f>
        <v>0.23069999999999999</v>
      </c>
      <c r="AA8" s="30">
        <f>PERMIT_NZ!AA8</f>
        <v>0.2064</v>
      </c>
      <c r="AB8" s="30">
        <f>PERMIT_NZ!AB8</f>
        <v>0.18160000000000001</v>
      </c>
      <c r="AC8" s="30">
        <f>PERMIT_NZ!AC8</f>
        <v>0.15629999999999999</v>
      </c>
      <c r="AD8" s="30">
        <f>PERMIT_NZ!AD8</f>
        <v>0.13039999999999999</v>
      </c>
      <c r="AE8" s="30">
        <f>PERMIT_NZ!AE8</f>
        <v>0.1041</v>
      </c>
      <c r="AF8" s="30">
        <f>PERMIT_NZ!AF8</f>
        <v>7.7299999999999994E-2</v>
      </c>
      <c r="AG8" s="30">
        <f>PERMIT_NZ!AG8</f>
        <v>0.05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0.99727272727272731</v>
      </c>
      <c r="D9" s="30">
        <f>PERMIT_NZ!D9</f>
        <v>0.99454545454545462</v>
      </c>
      <c r="E9" s="30">
        <f>PERMIT_NZ!E9</f>
        <v>0.99181818181818193</v>
      </c>
      <c r="F9" s="30">
        <f>PERMIT_NZ!F9</f>
        <v>0.98909090909090924</v>
      </c>
      <c r="G9" s="30">
        <f>PERMIT_NZ!G9</f>
        <v>0.98636363636363655</v>
      </c>
      <c r="H9" s="30">
        <f>PERMIT_NZ!H9</f>
        <v>0.98363636363636386</v>
      </c>
      <c r="I9" s="30">
        <f>PERMIT_NZ!I9</f>
        <v>0.98090909090909117</v>
      </c>
      <c r="J9" s="30">
        <f>PERMIT_NZ!J9</f>
        <v>0.97818181818181849</v>
      </c>
      <c r="K9" s="30">
        <f>PERMIT_NZ!K9</f>
        <v>0.9754545454545458</v>
      </c>
      <c r="L9" s="30">
        <f>PERMIT_NZ!L9</f>
        <v>0.97272727272727311</v>
      </c>
      <c r="M9" s="30">
        <f>PERMIT_NZ!M9</f>
        <v>0.97</v>
      </c>
      <c r="N9" s="30">
        <f>PERMIT_NZ!N9</f>
        <v>0.94099999999999995</v>
      </c>
      <c r="O9" s="30">
        <f>PERMIT_NZ!O9</f>
        <v>0.91199999999999992</v>
      </c>
      <c r="P9" s="30">
        <f>PERMIT_NZ!P9</f>
        <v>0.8829999999999999</v>
      </c>
      <c r="Q9" s="30">
        <f>PERMIT_NZ!Q9</f>
        <v>0.85399999999999987</v>
      </c>
      <c r="R9" s="30">
        <f>PERMIT_NZ!R9</f>
        <v>0.82499999999999984</v>
      </c>
      <c r="S9" s="30">
        <f>PERMIT_NZ!S9</f>
        <v>0.79599999999999982</v>
      </c>
      <c r="T9" s="30">
        <f>PERMIT_NZ!T9</f>
        <v>0.76699999999999979</v>
      </c>
      <c r="U9" s="30">
        <f>PERMIT_NZ!U9</f>
        <v>0.73799999999999977</v>
      </c>
      <c r="V9" s="30">
        <f>PERMIT_NZ!V9</f>
        <v>0.70899999999999974</v>
      </c>
      <c r="W9" s="30">
        <f>PERMIT_NZ!W9</f>
        <v>0.68</v>
      </c>
      <c r="X9" s="30">
        <f>PERMIT_NZ!X9</f>
        <v>0.65810000000000002</v>
      </c>
      <c r="Y9" s="30">
        <f>PERMIT_NZ!Y9</f>
        <v>0.63680000000000003</v>
      </c>
      <c r="Z9" s="30">
        <f>PERMIT_NZ!Z9</f>
        <v>0.61629999999999996</v>
      </c>
      <c r="AA9" s="30">
        <f>PERMIT_NZ!AA9</f>
        <v>0.59670000000000001</v>
      </c>
      <c r="AB9" s="30">
        <f>PERMIT_NZ!AB9</f>
        <v>0.57789999999999997</v>
      </c>
      <c r="AC9" s="30">
        <f>PERMIT_NZ!AC9</f>
        <v>0.56000000000000005</v>
      </c>
      <c r="AD9" s="30">
        <f>PERMIT_NZ!AD9</f>
        <v>0.54330000000000001</v>
      </c>
      <c r="AE9" s="30">
        <f>PERMIT_NZ!AE9</f>
        <v>0.52759999999999996</v>
      </c>
      <c r="AF9" s="30">
        <f>PERMIT_NZ!AF9</f>
        <v>0.51319999999999999</v>
      </c>
      <c r="AG9" s="30">
        <f>PERMIT_NZ!AG9</f>
        <v>0.5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0.5</v>
      </c>
      <c r="N10" s="30">
        <f>PERMIT_NZ!N10</f>
        <v>0.48</v>
      </c>
      <c r="O10" s="30">
        <f>PERMIT_NZ!O10</f>
        <v>0.45999999999999996</v>
      </c>
      <c r="P10" s="30">
        <f>PERMIT_NZ!P10</f>
        <v>0.43999999999999995</v>
      </c>
      <c r="Q10" s="30">
        <f>PERMIT_NZ!Q10</f>
        <v>0.41999999999999993</v>
      </c>
      <c r="R10" s="30">
        <f>PERMIT_NZ!R10</f>
        <v>0.39999999999999991</v>
      </c>
      <c r="S10" s="30">
        <f>PERMIT_NZ!S10</f>
        <v>0.37999999999999989</v>
      </c>
      <c r="T10" s="30">
        <f>PERMIT_NZ!T10</f>
        <v>0.35999999999999988</v>
      </c>
      <c r="U10" s="30">
        <f>PERMIT_NZ!U10</f>
        <v>0.33999999999999986</v>
      </c>
      <c r="V10" s="30">
        <f>PERMIT_NZ!V10</f>
        <v>0.31999999999999984</v>
      </c>
      <c r="W10" s="30">
        <f>PERMIT_NZ!W10</f>
        <v>0.3</v>
      </c>
      <c r="X10" s="30">
        <f>PERMIT_NZ!X10</f>
        <v>0.27750000000000002</v>
      </c>
      <c r="Y10" s="30">
        <f>PERMIT_NZ!Y10</f>
        <v>0.25440000000000002</v>
      </c>
      <c r="Z10" s="30">
        <f>PERMIT_NZ!Z10</f>
        <v>0.23069999999999999</v>
      </c>
      <c r="AA10" s="30">
        <f>PERMIT_NZ!AA10</f>
        <v>0.2064</v>
      </c>
      <c r="AB10" s="30">
        <f>PERMIT_NZ!AB10</f>
        <v>0.18160000000000001</v>
      </c>
      <c r="AC10" s="30">
        <f>PERMIT_NZ!AC10</f>
        <v>0.15629999999999999</v>
      </c>
      <c r="AD10" s="30">
        <f>PERMIT_NZ!AD10</f>
        <v>0.13039999999999999</v>
      </c>
      <c r="AE10" s="30">
        <f>PERMIT_NZ!AE10</f>
        <v>0.1041</v>
      </c>
      <c r="AF10" s="30">
        <f>PERMIT_NZ!AF10</f>
        <v>7.7299999999999994E-2</v>
      </c>
      <c r="AG10" s="30">
        <f>PERMIT_NZ!AG10</f>
        <v>0.05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PERMIT_NZ!M11</f>
        <v>0.5</v>
      </c>
      <c r="N11" s="30">
        <f>PERMIT_NZ!N11</f>
        <v>0.48</v>
      </c>
      <c r="O11" s="30">
        <f>PERMIT_NZ!O11</f>
        <v>0.45999999999999996</v>
      </c>
      <c r="P11" s="30">
        <f>PERMIT_NZ!P11</f>
        <v>0.43999999999999995</v>
      </c>
      <c r="Q11" s="30">
        <f>PERMIT_NZ!Q11</f>
        <v>0.41999999999999993</v>
      </c>
      <c r="R11" s="30">
        <f>PERMIT_NZ!R11</f>
        <v>0.39999999999999991</v>
      </c>
      <c r="S11" s="30">
        <f>PERMIT_NZ!S11</f>
        <v>0.37999999999999989</v>
      </c>
      <c r="T11" s="30">
        <f>PERMIT_NZ!T11</f>
        <v>0.35999999999999988</v>
      </c>
      <c r="U11" s="30">
        <f>PERMIT_NZ!U11</f>
        <v>0.33999999999999986</v>
      </c>
      <c r="V11" s="30">
        <f>PERMIT_NZ!V11</f>
        <v>0.31999999999999984</v>
      </c>
      <c r="W11" s="30">
        <f>PERMIT_NZ!W11</f>
        <v>0.3</v>
      </c>
      <c r="X11" s="30">
        <f>PERMIT_NZ!X11</f>
        <v>0.27750000000000002</v>
      </c>
      <c r="Y11" s="30">
        <f>PERMIT_NZ!Y11</f>
        <v>0.25440000000000002</v>
      </c>
      <c r="Z11" s="30">
        <f>PERMIT_NZ!Z11</f>
        <v>0.23069999999999999</v>
      </c>
      <c r="AA11" s="30">
        <f>PERMIT_NZ!AA11</f>
        <v>0.2064</v>
      </c>
      <c r="AB11" s="30">
        <f>PERMIT_NZ!AB11</f>
        <v>0.18160000000000001</v>
      </c>
      <c r="AC11" s="30">
        <f>PERMIT_NZ!AC11</f>
        <v>0.15629999999999999</v>
      </c>
      <c r="AD11" s="30">
        <f>PERMIT_NZ!AD11</f>
        <v>0.13039999999999999</v>
      </c>
      <c r="AE11" s="30">
        <f>PERMIT_NZ!AE11</f>
        <v>0.1041</v>
      </c>
      <c r="AF11" s="30">
        <f>PERMIT_NZ!AF11</f>
        <v>7.7299999999999994E-2</v>
      </c>
      <c r="AG11" s="30">
        <f>PERMIT_NZ!AG11</f>
        <v>0.05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0.99727272727272731</v>
      </c>
      <c r="D12" s="30">
        <f>PERMIT_NZ!D12</f>
        <v>0.99454545454545462</v>
      </c>
      <c r="E12" s="30">
        <f>PERMIT_NZ!E12</f>
        <v>0.99181818181818193</v>
      </c>
      <c r="F12" s="30">
        <f>PERMIT_NZ!F12</f>
        <v>0.98909090909090924</v>
      </c>
      <c r="G12" s="30">
        <f>PERMIT_NZ!G12</f>
        <v>0.98636363636363655</v>
      </c>
      <c r="H12" s="30">
        <f>PERMIT_NZ!H12</f>
        <v>0.98363636363636386</v>
      </c>
      <c r="I12" s="30">
        <f>PERMIT_NZ!I12</f>
        <v>0.98090909090909117</v>
      </c>
      <c r="J12" s="30">
        <f>PERMIT_NZ!J12</f>
        <v>0.97818181818181849</v>
      </c>
      <c r="K12" s="30">
        <f>PERMIT_NZ!K12</f>
        <v>0.9754545454545458</v>
      </c>
      <c r="L12" s="30">
        <f>PERMIT_NZ!L12</f>
        <v>0.97272727272727311</v>
      </c>
      <c r="M12" s="30">
        <f>PERMIT_NZ!M12</f>
        <v>0.97</v>
      </c>
      <c r="N12" s="30">
        <f>PERMIT_NZ!N12</f>
        <v>0.94099999999999995</v>
      </c>
      <c r="O12" s="30">
        <f>PERMIT_NZ!O12</f>
        <v>0.91199999999999992</v>
      </c>
      <c r="P12" s="30">
        <f>PERMIT_NZ!P12</f>
        <v>0.8829999999999999</v>
      </c>
      <c r="Q12" s="30">
        <f>PERMIT_NZ!Q12</f>
        <v>0.85399999999999987</v>
      </c>
      <c r="R12" s="30">
        <f>PERMIT_NZ!R12</f>
        <v>0.82499999999999984</v>
      </c>
      <c r="S12" s="30">
        <f>PERMIT_NZ!S12</f>
        <v>0.79599999999999982</v>
      </c>
      <c r="T12" s="30">
        <f>PERMIT_NZ!T12</f>
        <v>0.76699999999999979</v>
      </c>
      <c r="U12" s="30">
        <f>PERMIT_NZ!U12</f>
        <v>0.73799999999999977</v>
      </c>
      <c r="V12" s="30">
        <f>PERMIT_NZ!V12</f>
        <v>0.70899999999999974</v>
      </c>
      <c r="W12" s="30">
        <f>PERMIT_NZ!W12</f>
        <v>0.68</v>
      </c>
      <c r="X12" s="30">
        <f>PERMIT_NZ!X12</f>
        <v>0.65810000000000002</v>
      </c>
      <c r="Y12" s="30">
        <f>PERMIT_NZ!Y12</f>
        <v>0.63680000000000003</v>
      </c>
      <c r="Z12" s="30">
        <f>PERMIT_NZ!Z12</f>
        <v>0.61629999999999996</v>
      </c>
      <c r="AA12" s="30">
        <f>PERMIT_NZ!AA12</f>
        <v>0.59670000000000001</v>
      </c>
      <c r="AB12" s="30">
        <f>PERMIT_NZ!AB12</f>
        <v>0.57789999999999997</v>
      </c>
      <c r="AC12" s="30">
        <f>PERMIT_NZ!AC12</f>
        <v>0.56000000000000005</v>
      </c>
      <c r="AD12" s="30">
        <f>PERMIT_NZ!AD12</f>
        <v>0.54330000000000001</v>
      </c>
      <c r="AE12" s="30">
        <f>PERMIT_NZ!AE12</f>
        <v>0.52759999999999996</v>
      </c>
      <c r="AF12" s="30">
        <f>PERMIT_NZ!AF12</f>
        <v>0.51319999999999999</v>
      </c>
      <c r="AG12" s="30">
        <f>PERMIT_NZ!AG12</f>
        <v>0.5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0.99727272727272731</v>
      </c>
      <c r="D13" s="30">
        <f>PERMIT_NZ!D13</f>
        <v>0.99454545454545462</v>
      </c>
      <c r="E13" s="30">
        <f>PERMIT_NZ!E13</f>
        <v>0.99181818181818193</v>
      </c>
      <c r="F13" s="30">
        <f>PERMIT_NZ!F13</f>
        <v>0.98909090909090924</v>
      </c>
      <c r="G13" s="30">
        <f>PERMIT_NZ!G13</f>
        <v>0.98636363636363655</v>
      </c>
      <c r="H13" s="30">
        <f>PERMIT_NZ!H13</f>
        <v>0.98363636363636386</v>
      </c>
      <c r="I13" s="30">
        <f>PERMIT_NZ!I13</f>
        <v>0.98090909090909117</v>
      </c>
      <c r="J13" s="30">
        <f>PERMIT_NZ!J13</f>
        <v>0.97818181818181849</v>
      </c>
      <c r="K13" s="30">
        <f>PERMIT_NZ!K13</f>
        <v>0.9754545454545458</v>
      </c>
      <c r="L13" s="30">
        <f>PERMIT_NZ!L13</f>
        <v>0.97272727272727311</v>
      </c>
      <c r="M13" s="30">
        <f>PERMIT_NZ!M13</f>
        <v>0.97</v>
      </c>
      <c r="N13" s="30">
        <f>PERMIT_NZ!N13</f>
        <v>0.94099999999999995</v>
      </c>
      <c r="O13" s="30">
        <f>PERMIT_NZ!O13</f>
        <v>0.91199999999999992</v>
      </c>
      <c r="P13" s="30">
        <f>PERMIT_NZ!P13</f>
        <v>0.8829999999999999</v>
      </c>
      <c r="Q13" s="30">
        <f>PERMIT_NZ!Q13</f>
        <v>0.85399999999999987</v>
      </c>
      <c r="R13" s="30">
        <f>PERMIT_NZ!R13</f>
        <v>0.82499999999999984</v>
      </c>
      <c r="S13" s="30">
        <f>PERMIT_NZ!S13</f>
        <v>0.79599999999999982</v>
      </c>
      <c r="T13" s="30">
        <f>PERMIT_NZ!T13</f>
        <v>0.76699999999999979</v>
      </c>
      <c r="U13" s="30">
        <f>PERMIT_NZ!U13</f>
        <v>0.73799999999999977</v>
      </c>
      <c r="V13" s="30">
        <f>PERMIT_NZ!V13</f>
        <v>0.70899999999999974</v>
      </c>
      <c r="W13" s="30">
        <f>PERMIT_NZ!W13</f>
        <v>0.68</v>
      </c>
      <c r="X13" s="30">
        <f>PERMIT_NZ!X13</f>
        <v>0.65810000000000002</v>
      </c>
      <c r="Y13" s="30">
        <f>PERMIT_NZ!Y13</f>
        <v>0.63680000000000003</v>
      </c>
      <c r="Z13" s="30">
        <f>PERMIT_NZ!Z13</f>
        <v>0.61629999999999996</v>
      </c>
      <c r="AA13" s="30">
        <f>PERMIT_NZ!AA13</f>
        <v>0.59670000000000001</v>
      </c>
      <c r="AB13" s="30">
        <f>PERMIT_NZ!AB13</f>
        <v>0.57789999999999997</v>
      </c>
      <c r="AC13" s="30">
        <f>PERMIT_NZ!AC13</f>
        <v>0.56000000000000005</v>
      </c>
      <c r="AD13" s="30">
        <f>PERMIT_NZ!AD13</f>
        <v>0.54330000000000001</v>
      </c>
      <c r="AE13" s="30">
        <f>PERMIT_NZ!AE13</f>
        <v>0.52759999999999996</v>
      </c>
      <c r="AF13" s="30">
        <f>PERMIT_NZ!AF13</f>
        <v>0.51319999999999999</v>
      </c>
      <c r="AG13" s="30">
        <f>PERMIT_NZ!AG13</f>
        <v>0.5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0.99727272727272731</v>
      </c>
      <c r="D14" s="30">
        <f>PERMIT_NZ!D14</f>
        <v>0.99454545454545462</v>
      </c>
      <c r="E14" s="30">
        <f>PERMIT_NZ!E14</f>
        <v>0.99181818181818193</v>
      </c>
      <c r="F14" s="30">
        <f>PERMIT_NZ!F14</f>
        <v>0.98909090909090924</v>
      </c>
      <c r="G14" s="30">
        <f>PERMIT_NZ!G14</f>
        <v>0.98636363636363655</v>
      </c>
      <c r="H14" s="30">
        <f>PERMIT_NZ!H14</f>
        <v>0.98363636363636386</v>
      </c>
      <c r="I14" s="30">
        <f>PERMIT_NZ!I14</f>
        <v>0.98090909090909117</v>
      </c>
      <c r="J14" s="30">
        <f>PERMIT_NZ!J14</f>
        <v>0.97818181818181849</v>
      </c>
      <c r="K14" s="30">
        <f>PERMIT_NZ!K14</f>
        <v>0.9754545454545458</v>
      </c>
      <c r="L14" s="30">
        <f>PERMIT_NZ!L14</f>
        <v>0.97272727272727311</v>
      </c>
      <c r="M14" s="30">
        <f>PERMIT_NZ!M14</f>
        <v>0.97</v>
      </c>
      <c r="N14" s="30">
        <f>PERMIT_NZ!N14</f>
        <v>0.94099999999999995</v>
      </c>
      <c r="O14" s="30">
        <f>PERMIT_NZ!O14</f>
        <v>0.91199999999999992</v>
      </c>
      <c r="P14" s="30">
        <f>PERMIT_NZ!P14</f>
        <v>0.8829999999999999</v>
      </c>
      <c r="Q14" s="30">
        <f>PERMIT_NZ!Q14</f>
        <v>0.85399999999999987</v>
      </c>
      <c r="R14" s="30">
        <f>PERMIT_NZ!R14</f>
        <v>0.82499999999999984</v>
      </c>
      <c r="S14" s="30">
        <f>PERMIT_NZ!S14</f>
        <v>0.79599999999999982</v>
      </c>
      <c r="T14" s="30">
        <f>PERMIT_NZ!T14</f>
        <v>0.76699999999999979</v>
      </c>
      <c r="U14" s="30">
        <f>PERMIT_NZ!U14</f>
        <v>0.73799999999999977</v>
      </c>
      <c r="V14" s="30">
        <f>PERMIT_NZ!V14</f>
        <v>0.70899999999999974</v>
      </c>
      <c r="W14" s="30">
        <f>PERMIT_NZ!W14</f>
        <v>0.68</v>
      </c>
      <c r="X14" s="30">
        <f>PERMIT_NZ!X14</f>
        <v>0.65810000000000002</v>
      </c>
      <c r="Y14" s="30">
        <f>PERMIT_NZ!Y14</f>
        <v>0.63680000000000003</v>
      </c>
      <c r="Z14" s="30">
        <f>PERMIT_NZ!Z14</f>
        <v>0.61629999999999996</v>
      </c>
      <c r="AA14" s="30">
        <f>PERMIT_NZ!AA14</f>
        <v>0.59670000000000001</v>
      </c>
      <c r="AB14" s="30">
        <f>PERMIT_NZ!AB14</f>
        <v>0.57789999999999997</v>
      </c>
      <c r="AC14" s="30">
        <f>PERMIT_NZ!AC14</f>
        <v>0.56000000000000005</v>
      </c>
      <c r="AD14" s="30">
        <f>PERMIT_NZ!AD14</f>
        <v>0.54330000000000001</v>
      </c>
      <c r="AE14" s="30">
        <f>PERMIT_NZ!AE14</f>
        <v>0.52759999999999996</v>
      </c>
      <c r="AF14" s="30">
        <f>PERMIT_NZ!AF14</f>
        <v>0.51319999999999999</v>
      </c>
      <c r="AG14" s="30">
        <f>PERMIT_NZ!AG14</f>
        <v>0.5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0.99727272727272731</v>
      </c>
      <c r="D15" s="30">
        <f>PERMIT_NZ!D15</f>
        <v>0.99454545454545462</v>
      </c>
      <c r="E15" s="30">
        <f>PERMIT_NZ!E15</f>
        <v>0.99181818181818193</v>
      </c>
      <c r="F15" s="30">
        <f>PERMIT_NZ!F15</f>
        <v>0.98909090909090924</v>
      </c>
      <c r="G15" s="30">
        <f>PERMIT_NZ!G15</f>
        <v>0.98636363636363655</v>
      </c>
      <c r="H15" s="30">
        <f>PERMIT_NZ!H15</f>
        <v>0.98363636363636386</v>
      </c>
      <c r="I15" s="30">
        <f>PERMIT_NZ!I15</f>
        <v>0.98090909090909117</v>
      </c>
      <c r="J15" s="30">
        <f>PERMIT_NZ!J15</f>
        <v>0.97818181818181849</v>
      </c>
      <c r="K15" s="30">
        <f>PERMIT_NZ!K15</f>
        <v>0.9754545454545458</v>
      </c>
      <c r="L15" s="30">
        <f>PERMIT_NZ!L15</f>
        <v>0.97272727272727311</v>
      </c>
      <c r="M15" s="30">
        <f>PERMIT_NZ!M15</f>
        <v>0.97</v>
      </c>
      <c r="N15" s="30">
        <f>PERMIT_NZ!N15</f>
        <v>0.94099999999999995</v>
      </c>
      <c r="O15" s="30">
        <f>PERMIT_NZ!O15</f>
        <v>0.91199999999999992</v>
      </c>
      <c r="P15" s="30">
        <f>PERMIT_NZ!P15</f>
        <v>0.8829999999999999</v>
      </c>
      <c r="Q15" s="30">
        <f>PERMIT_NZ!Q15</f>
        <v>0.85399999999999987</v>
      </c>
      <c r="R15" s="30">
        <f>PERMIT_NZ!R15</f>
        <v>0.82499999999999984</v>
      </c>
      <c r="S15" s="30">
        <f>PERMIT_NZ!S15</f>
        <v>0.79599999999999982</v>
      </c>
      <c r="T15" s="30">
        <f>PERMIT_NZ!T15</f>
        <v>0.76699999999999979</v>
      </c>
      <c r="U15" s="30">
        <f>PERMIT_NZ!U15</f>
        <v>0.73799999999999977</v>
      </c>
      <c r="V15" s="30">
        <f>PERMIT_NZ!V15</f>
        <v>0.70899999999999974</v>
      </c>
      <c r="W15" s="30">
        <f>PERMIT_NZ!W15</f>
        <v>0.68</v>
      </c>
      <c r="X15" s="30">
        <f>PERMIT_NZ!X15</f>
        <v>0.65810000000000002</v>
      </c>
      <c r="Y15" s="30">
        <f>PERMIT_NZ!Y15</f>
        <v>0.63680000000000003</v>
      </c>
      <c r="Z15" s="30">
        <f>PERMIT_NZ!Z15</f>
        <v>0.61629999999999996</v>
      </c>
      <c r="AA15" s="30">
        <f>PERMIT_NZ!AA15</f>
        <v>0.59670000000000001</v>
      </c>
      <c r="AB15" s="30">
        <f>PERMIT_NZ!AB15</f>
        <v>0.57789999999999997</v>
      </c>
      <c r="AC15" s="30">
        <f>PERMIT_NZ!AC15</f>
        <v>0.56000000000000005</v>
      </c>
      <c r="AD15" s="30">
        <f>PERMIT_NZ!AD15</f>
        <v>0.54330000000000001</v>
      </c>
      <c r="AE15" s="30">
        <f>PERMIT_NZ!AE15</f>
        <v>0.52759999999999996</v>
      </c>
      <c r="AF15" s="30">
        <f>PERMIT_NZ!AF15</f>
        <v>0.51319999999999999</v>
      </c>
      <c r="AG15" s="30">
        <f>PERMIT_NZ!AG15</f>
        <v>0.5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0.99727272727272731</v>
      </c>
      <c r="D16" s="30">
        <f>PERMIT_NZ!D16</f>
        <v>0.99454545454545462</v>
      </c>
      <c r="E16" s="30">
        <f>PERMIT_NZ!E16</f>
        <v>0.99181818181818193</v>
      </c>
      <c r="F16" s="30">
        <f>PERMIT_NZ!F16</f>
        <v>0.98909090909090924</v>
      </c>
      <c r="G16" s="30">
        <f>PERMIT_NZ!G16</f>
        <v>0.98636363636363655</v>
      </c>
      <c r="H16" s="30">
        <f>PERMIT_NZ!H16</f>
        <v>0.98363636363636386</v>
      </c>
      <c r="I16" s="30">
        <f>PERMIT_NZ!I16</f>
        <v>0.98090909090909117</v>
      </c>
      <c r="J16" s="30">
        <f>PERMIT_NZ!J16</f>
        <v>0.97818181818181849</v>
      </c>
      <c r="K16" s="30">
        <f>PERMIT_NZ!K16</f>
        <v>0.9754545454545458</v>
      </c>
      <c r="L16" s="30">
        <f>PERMIT_NZ!L16</f>
        <v>0.97272727272727311</v>
      </c>
      <c r="M16" s="30">
        <f>PERMIT_NZ!M16</f>
        <v>0.97</v>
      </c>
      <c r="N16" s="30">
        <f>PERMIT_NZ!N16</f>
        <v>0.94099999999999995</v>
      </c>
      <c r="O16" s="30">
        <f>PERMIT_NZ!O16</f>
        <v>0.91199999999999992</v>
      </c>
      <c r="P16" s="30">
        <f>PERMIT_NZ!P16</f>
        <v>0.8829999999999999</v>
      </c>
      <c r="Q16" s="30">
        <f>PERMIT_NZ!Q16</f>
        <v>0.85399999999999987</v>
      </c>
      <c r="R16" s="30">
        <f>PERMIT_NZ!R16</f>
        <v>0.82499999999999984</v>
      </c>
      <c r="S16" s="30">
        <f>PERMIT_NZ!S16</f>
        <v>0.79599999999999982</v>
      </c>
      <c r="T16" s="30">
        <f>PERMIT_NZ!T16</f>
        <v>0.76699999999999979</v>
      </c>
      <c r="U16" s="30">
        <f>PERMIT_NZ!U16</f>
        <v>0.73799999999999977</v>
      </c>
      <c r="V16" s="30">
        <f>PERMIT_NZ!V16</f>
        <v>0.70899999999999974</v>
      </c>
      <c r="W16" s="30">
        <f>PERMIT_NZ!W16</f>
        <v>0.68</v>
      </c>
      <c r="X16" s="30">
        <f>PERMIT_NZ!X16</f>
        <v>0.65810000000000002</v>
      </c>
      <c r="Y16" s="30">
        <f>PERMIT_NZ!Y16</f>
        <v>0.63680000000000003</v>
      </c>
      <c r="Z16" s="30">
        <f>PERMIT_NZ!Z16</f>
        <v>0.61629999999999996</v>
      </c>
      <c r="AA16" s="30">
        <f>PERMIT_NZ!AA16</f>
        <v>0.59670000000000001</v>
      </c>
      <c r="AB16" s="30">
        <f>PERMIT_NZ!AB16</f>
        <v>0.57789999999999997</v>
      </c>
      <c r="AC16" s="30">
        <f>PERMIT_NZ!AC16</f>
        <v>0.56000000000000005</v>
      </c>
      <c r="AD16" s="30">
        <f>PERMIT_NZ!AD16</f>
        <v>0.54330000000000001</v>
      </c>
      <c r="AE16" s="30">
        <f>PERMIT_NZ!AE16</f>
        <v>0.52759999999999996</v>
      </c>
      <c r="AF16" s="30">
        <f>PERMIT_NZ!AF16</f>
        <v>0.51319999999999999</v>
      </c>
      <c r="AG16" s="30">
        <f>PERMIT_NZ!AG16</f>
        <v>0.5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0.99727272727272731</v>
      </c>
      <c r="D17" s="30">
        <f>PERMIT_NZ!D17</f>
        <v>0.99454545454545462</v>
      </c>
      <c r="E17" s="30">
        <f>PERMIT_NZ!E17</f>
        <v>0.99181818181818193</v>
      </c>
      <c r="F17" s="30">
        <f>PERMIT_NZ!F17</f>
        <v>0.98909090909090924</v>
      </c>
      <c r="G17" s="30">
        <f>PERMIT_NZ!G17</f>
        <v>0.98636363636363655</v>
      </c>
      <c r="H17" s="30">
        <f>PERMIT_NZ!H17</f>
        <v>0.98363636363636386</v>
      </c>
      <c r="I17" s="30">
        <f>PERMIT_NZ!I17</f>
        <v>0.98090909090909117</v>
      </c>
      <c r="J17" s="30">
        <f>PERMIT_NZ!J17</f>
        <v>0.97818181818181849</v>
      </c>
      <c r="K17" s="30">
        <f>PERMIT_NZ!K17</f>
        <v>0.9754545454545458</v>
      </c>
      <c r="L17" s="30">
        <f>PERMIT_NZ!L17</f>
        <v>0.97272727272727311</v>
      </c>
      <c r="M17" s="30">
        <f>PERMIT_NZ!M17</f>
        <v>0.97</v>
      </c>
      <c r="N17" s="30">
        <f>PERMIT_NZ!N17</f>
        <v>0.94099999999999995</v>
      </c>
      <c r="O17" s="30">
        <f>PERMIT_NZ!O17</f>
        <v>0.91199999999999992</v>
      </c>
      <c r="P17" s="30">
        <f>PERMIT_NZ!P17</f>
        <v>0.8829999999999999</v>
      </c>
      <c r="Q17" s="30">
        <f>PERMIT_NZ!Q17</f>
        <v>0.85399999999999987</v>
      </c>
      <c r="R17" s="30">
        <f>PERMIT_NZ!R17</f>
        <v>0.82499999999999984</v>
      </c>
      <c r="S17" s="30">
        <f>PERMIT_NZ!S17</f>
        <v>0.79599999999999982</v>
      </c>
      <c r="T17" s="30">
        <f>PERMIT_NZ!T17</f>
        <v>0.76699999999999979</v>
      </c>
      <c r="U17" s="30">
        <f>PERMIT_NZ!U17</f>
        <v>0.73799999999999977</v>
      </c>
      <c r="V17" s="30">
        <f>PERMIT_NZ!V17</f>
        <v>0.70899999999999974</v>
      </c>
      <c r="W17" s="30">
        <f>PERMIT_NZ!W17</f>
        <v>0.68</v>
      </c>
      <c r="X17" s="30">
        <f>PERMIT_NZ!X17</f>
        <v>0.65810000000000002</v>
      </c>
      <c r="Y17" s="30">
        <f>PERMIT_NZ!Y17</f>
        <v>0.63680000000000003</v>
      </c>
      <c r="Z17" s="30">
        <f>PERMIT_NZ!Z17</f>
        <v>0.61629999999999996</v>
      </c>
      <c r="AA17" s="30">
        <f>PERMIT_NZ!AA17</f>
        <v>0.59670000000000001</v>
      </c>
      <c r="AB17" s="30">
        <f>PERMIT_NZ!AB17</f>
        <v>0.57789999999999997</v>
      </c>
      <c r="AC17" s="30">
        <f>PERMIT_NZ!AC17</f>
        <v>0.56000000000000005</v>
      </c>
      <c r="AD17" s="30">
        <f>PERMIT_NZ!AD17</f>
        <v>0.54330000000000001</v>
      </c>
      <c r="AE17" s="30">
        <f>PERMIT_NZ!AE17</f>
        <v>0.52759999999999996</v>
      </c>
      <c r="AF17" s="30">
        <f>PERMIT_NZ!AF17</f>
        <v>0.51319999999999999</v>
      </c>
      <c r="AG17" s="30">
        <f>PERMIT_NZ!AG17</f>
        <v>0.5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0.96909090909090911</v>
      </c>
      <c r="D18" s="30">
        <f>PERMIT_NZ!D18</f>
        <v>0.93818181818181823</v>
      </c>
      <c r="E18" s="30">
        <f>PERMIT_NZ!E18</f>
        <v>0.90727272727272734</v>
      </c>
      <c r="F18" s="30">
        <f>PERMIT_NZ!F18</f>
        <v>0.87636363636363646</v>
      </c>
      <c r="G18" s="30">
        <f>PERMIT_NZ!G18</f>
        <v>0.84545454545454557</v>
      </c>
      <c r="H18" s="30">
        <f>PERMIT_NZ!H18</f>
        <v>0.81454545454545468</v>
      </c>
      <c r="I18" s="30">
        <f>PERMIT_NZ!I18</f>
        <v>0.7836363636363638</v>
      </c>
      <c r="J18" s="30">
        <f>PERMIT_NZ!J18</f>
        <v>0.75272727272727291</v>
      </c>
      <c r="K18" s="30">
        <f>PERMIT_NZ!K18</f>
        <v>0.72181818181818203</v>
      </c>
      <c r="L18" s="30">
        <f>PERMIT_NZ!L18</f>
        <v>0.69090909090909114</v>
      </c>
      <c r="M18" s="30">
        <f>PERMIT_NZ!M18</f>
        <v>0.66</v>
      </c>
      <c r="N18" s="30">
        <f>PERMIT_NZ!N18</f>
        <v>0.63100000000000001</v>
      </c>
      <c r="O18" s="30">
        <f>PERMIT_NZ!O18</f>
        <v>0.60199999999999998</v>
      </c>
      <c r="P18" s="30">
        <f>PERMIT_NZ!P18</f>
        <v>0.57299999999999995</v>
      </c>
      <c r="Q18" s="30">
        <f>PERMIT_NZ!Q18</f>
        <v>0.54399999999999993</v>
      </c>
      <c r="R18" s="30">
        <f>PERMIT_NZ!R18</f>
        <v>0.5149999999999999</v>
      </c>
      <c r="S18" s="30">
        <f>PERMIT_NZ!S18</f>
        <v>0.48599999999999988</v>
      </c>
      <c r="T18" s="30">
        <f>PERMIT_NZ!T18</f>
        <v>0.45699999999999985</v>
      </c>
      <c r="U18" s="30">
        <f>PERMIT_NZ!U18</f>
        <v>0.42799999999999983</v>
      </c>
      <c r="V18" s="30">
        <f>PERMIT_NZ!V18</f>
        <v>0.3989999999999998</v>
      </c>
      <c r="W18" s="30">
        <f>PERMIT_NZ!W18</f>
        <v>0.37</v>
      </c>
      <c r="X18" s="30">
        <f>PERMIT_NZ!X18</f>
        <v>0.34210000000000002</v>
      </c>
      <c r="Y18" s="30">
        <f>PERMIT_NZ!Y18</f>
        <v>0.31440000000000001</v>
      </c>
      <c r="Z18" s="30">
        <f>PERMIT_NZ!Z18</f>
        <v>0.28699999999999998</v>
      </c>
      <c r="AA18" s="30">
        <f>PERMIT_NZ!AA18</f>
        <v>0.25969999999999999</v>
      </c>
      <c r="AB18" s="30">
        <f>PERMIT_NZ!AB18</f>
        <v>0.23250000000000001</v>
      </c>
      <c r="AC18" s="30">
        <f>PERMIT_NZ!AC18</f>
        <v>0.2056</v>
      </c>
      <c r="AD18" s="30">
        <f>PERMIT_NZ!AD18</f>
        <v>0.1789</v>
      </c>
      <c r="AE18" s="30">
        <f>PERMIT_NZ!AE18</f>
        <v>0.15240000000000001</v>
      </c>
      <c r="AF18" s="30">
        <f>PERMIT_NZ!AF18</f>
        <v>0.12609999999999999</v>
      </c>
      <c r="AG18" s="30">
        <f>PERMIT_NZ!AG18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Baseyear</vt:lpstr>
      <vt:lpstr>GDP</vt:lpstr>
      <vt:lpstr>Sheet1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  <vt:lpstr>PERMIT_NEA_NZ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2026-04-06T15:05:47Z</dcterms:modified>
</cp:coreProperties>
</file>