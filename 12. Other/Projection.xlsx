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GUIDE-GLOBAL-CGE_v2\Input_CGE\"/>
    </mc:Choice>
  </mc:AlternateContent>
  <xr:revisionPtr revIDLastSave="0" documentId="13_ncr:1_{904723B6-9FEB-4DEE-9F9B-7A1227B2B04E}" xr6:coauthVersionLast="36" xr6:coauthVersionMax="36" xr10:uidLastSave="{00000000-0000-0000-0000-000000000000}"/>
  <bookViews>
    <workbookView xWindow="0" yWindow="0" windowWidth="23040" windowHeight="9684" tabRatio="907" activeTab="1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GDP" sheetId="35" r:id="rId7"/>
    <sheet name="g_POP" sheetId="36" r:id="rId8"/>
    <sheet name="g_SDR" sheetId="20" r:id="rId9"/>
    <sheet name="CTAX_BAU" sheetId="34" r:id="rId10"/>
    <sheet name="PERMIT_NDC" sheetId="30" r:id="rId11"/>
    <sheet name="PERMIT_NZ" sheetId="29" r:id="rId12"/>
    <sheet name="AEEI_BAU" sheetId="33" r:id="rId13"/>
    <sheet name="AEEI_NDC" sheetId="31" r:id="rId14"/>
    <sheet name="AEEI_NZ" sheetId="32" r:id="rId15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6" l="1"/>
  <c r="D2" i="36"/>
  <c r="E2" i="36"/>
  <c r="F2" i="36"/>
  <c r="G2" i="36"/>
  <c r="H2" i="36"/>
  <c r="I2" i="36"/>
  <c r="J2" i="36"/>
  <c r="K2" i="36"/>
  <c r="L2" i="36"/>
  <c r="M2" i="36"/>
  <c r="N2" i="36"/>
  <c r="O2" i="36"/>
  <c r="P2" i="36"/>
  <c r="Q2" i="36"/>
  <c r="R2" i="36"/>
  <c r="S2" i="36"/>
  <c r="T2" i="36"/>
  <c r="U2" i="36"/>
  <c r="V2" i="36"/>
  <c r="W2" i="36"/>
  <c r="X2" i="36"/>
  <c r="Y2" i="36"/>
  <c r="Z2" i="36"/>
  <c r="AA2" i="36"/>
  <c r="AB2" i="36"/>
  <c r="AC2" i="36"/>
  <c r="AD2" i="36"/>
  <c r="AE2" i="36"/>
  <c r="AF2" i="36"/>
  <c r="AG2" i="36"/>
  <c r="C3" i="36"/>
  <c r="D3" i="36"/>
  <c r="E3" i="36"/>
  <c r="F3" i="36"/>
  <c r="G3" i="36"/>
  <c r="H3" i="36"/>
  <c r="I3" i="36"/>
  <c r="J3" i="36"/>
  <c r="K3" i="36"/>
  <c r="L3" i="36"/>
  <c r="M3" i="36"/>
  <c r="N3" i="36"/>
  <c r="O3" i="36"/>
  <c r="P3" i="36"/>
  <c r="Q3" i="36"/>
  <c r="R3" i="36"/>
  <c r="S3" i="36"/>
  <c r="T3" i="36"/>
  <c r="U3" i="36"/>
  <c r="V3" i="36"/>
  <c r="W3" i="36"/>
  <c r="X3" i="36"/>
  <c r="Y3" i="36"/>
  <c r="Z3" i="36"/>
  <c r="AA3" i="36"/>
  <c r="AB3" i="36"/>
  <c r="AC3" i="36"/>
  <c r="AD3" i="36"/>
  <c r="AE3" i="36"/>
  <c r="AF3" i="36"/>
  <c r="AG3" i="36"/>
  <c r="C4" i="36"/>
  <c r="D4" i="36"/>
  <c r="E4" i="36"/>
  <c r="F4" i="36"/>
  <c r="G4" i="36"/>
  <c r="H4" i="36"/>
  <c r="I4" i="36"/>
  <c r="J4" i="36"/>
  <c r="K4" i="36"/>
  <c r="L4" i="36"/>
  <c r="M4" i="36"/>
  <c r="N4" i="36"/>
  <c r="O4" i="36"/>
  <c r="P4" i="36"/>
  <c r="Q4" i="36"/>
  <c r="R4" i="36"/>
  <c r="S4" i="36"/>
  <c r="T4" i="36"/>
  <c r="U4" i="36"/>
  <c r="V4" i="36"/>
  <c r="W4" i="36"/>
  <c r="X4" i="36"/>
  <c r="Y4" i="36"/>
  <c r="Z4" i="36"/>
  <c r="AA4" i="36"/>
  <c r="AB4" i="36"/>
  <c r="AC4" i="36"/>
  <c r="AD4" i="36"/>
  <c r="AE4" i="36"/>
  <c r="AF4" i="36"/>
  <c r="AG4" i="36"/>
  <c r="C5" i="36"/>
  <c r="D5" i="36"/>
  <c r="E5" i="36"/>
  <c r="F5" i="36"/>
  <c r="G5" i="36"/>
  <c r="H5" i="36"/>
  <c r="I5" i="36"/>
  <c r="J5" i="36"/>
  <c r="K5" i="36"/>
  <c r="L5" i="36"/>
  <c r="M5" i="36"/>
  <c r="N5" i="36"/>
  <c r="O5" i="36"/>
  <c r="P5" i="36"/>
  <c r="Q5" i="36"/>
  <c r="R5" i="36"/>
  <c r="S5" i="36"/>
  <c r="T5" i="36"/>
  <c r="U5" i="36"/>
  <c r="V5" i="36"/>
  <c r="W5" i="36"/>
  <c r="X5" i="36"/>
  <c r="Y5" i="36"/>
  <c r="Z5" i="36"/>
  <c r="AA5" i="36"/>
  <c r="AB5" i="36"/>
  <c r="AC5" i="36"/>
  <c r="AD5" i="36"/>
  <c r="AE5" i="36"/>
  <c r="AF5" i="36"/>
  <c r="AG5" i="36"/>
  <c r="C6" i="36"/>
  <c r="D6" i="36"/>
  <c r="E6" i="36"/>
  <c r="F6" i="36"/>
  <c r="G6" i="36"/>
  <c r="H6" i="36"/>
  <c r="I6" i="36"/>
  <c r="J6" i="36"/>
  <c r="K6" i="36"/>
  <c r="L6" i="36"/>
  <c r="M6" i="36"/>
  <c r="N6" i="36"/>
  <c r="O6" i="36"/>
  <c r="P6" i="36"/>
  <c r="Q6" i="36"/>
  <c r="R6" i="36"/>
  <c r="S6" i="36"/>
  <c r="T6" i="36"/>
  <c r="U6" i="36"/>
  <c r="V6" i="36"/>
  <c r="W6" i="36"/>
  <c r="X6" i="36"/>
  <c r="Y6" i="36"/>
  <c r="Z6" i="36"/>
  <c r="AA6" i="36"/>
  <c r="AB6" i="36"/>
  <c r="AC6" i="36"/>
  <c r="AD6" i="36"/>
  <c r="AE6" i="36"/>
  <c r="AF6" i="36"/>
  <c r="AG6" i="36"/>
  <c r="C7" i="36"/>
  <c r="D7" i="36"/>
  <c r="E7" i="36"/>
  <c r="F7" i="36"/>
  <c r="G7" i="36"/>
  <c r="H7" i="36"/>
  <c r="I7" i="36"/>
  <c r="J7" i="36"/>
  <c r="K7" i="36"/>
  <c r="L7" i="36"/>
  <c r="M7" i="36"/>
  <c r="N7" i="36"/>
  <c r="O7" i="36"/>
  <c r="P7" i="36"/>
  <c r="Q7" i="36"/>
  <c r="R7" i="36"/>
  <c r="S7" i="36"/>
  <c r="T7" i="36"/>
  <c r="U7" i="36"/>
  <c r="V7" i="36"/>
  <c r="W7" i="36"/>
  <c r="X7" i="36"/>
  <c r="Y7" i="36"/>
  <c r="Z7" i="36"/>
  <c r="AA7" i="36"/>
  <c r="AB7" i="36"/>
  <c r="AC7" i="36"/>
  <c r="AD7" i="36"/>
  <c r="AE7" i="36"/>
  <c r="AF7" i="36"/>
  <c r="AG7" i="36"/>
  <c r="C8" i="36"/>
  <c r="D8" i="36"/>
  <c r="E8" i="36"/>
  <c r="F8" i="36"/>
  <c r="G8" i="36"/>
  <c r="H8" i="36"/>
  <c r="I8" i="36"/>
  <c r="J8" i="36"/>
  <c r="K8" i="36"/>
  <c r="L8" i="36"/>
  <c r="M8" i="36"/>
  <c r="N8" i="36"/>
  <c r="O8" i="36"/>
  <c r="P8" i="36"/>
  <c r="Q8" i="36"/>
  <c r="R8" i="36"/>
  <c r="S8" i="36"/>
  <c r="T8" i="36"/>
  <c r="U8" i="36"/>
  <c r="V8" i="36"/>
  <c r="W8" i="36"/>
  <c r="X8" i="36"/>
  <c r="Y8" i="36"/>
  <c r="Z8" i="36"/>
  <c r="AA8" i="36"/>
  <c r="AB8" i="36"/>
  <c r="AC8" i="36"/>
  <c r="AD8" i="36"/>
  <c r="AE8" i="36"/>
  <c r="AF8" i="36"/>
  <c r="AG8" i="36"/>
  <c r="C9" i="36"/>
  <c r="D9" i="36"/>
  <c r="E9" i="36"/>
  <c r="F9" i="36"/>
  <c r="G9" i="36"/>
  <c r="H9" i="36"/>
  <c r="I9" i="36"/>
  <c r="J9" i="36"/>
  <c r="K9" i="36"/>
  <c r="L9" i="36"/>
  <c r="M9" i="36"/>
  <c r="N9" i="36"/>
  <c r="O9" i="36"/>
  <c r="P9" i="36"/>
  <c r="Q9" i="36"/>
  <c r="R9" i="36"/>
  <c r="S9" i="36"/>
  <c r="T9" i="36"/>
  <c r="U9" i="36"/>
  <c r="V9" i="36"/>
  <c r="W9" i="36"/>
  <c r="X9" i="36"/>
  <c r="Y9" i="36"/>
  <c r="Z9" i="36"/>
  <c r="AA9" i="36"/>
  <c r="AB9" i="36"/>
  <c r="AC9" i="36"/>
  <c r="AD9" i="36"/>
  <c r="AE9" i="36"/>
  <c r="AF9" i="36"/>
  <c r="AG9" i="36"/>
  <c r="C10" i="36"/>
  <c r="D10" i="36"/>
  <c r="E10" i="36"/>
  <c r="F10" i="36"/>
  <c r="G10" i="36"/>
  <c r="H10" i="36"/>
  <c r="I10" i="36"/>
  <c r="J10" i="36"/>
  <c r="K10" i="36"/>
  <c r="L10" i="36"/>
  <c r="M10" i="36"/>
  <c r="N10" i="36"/>
  <c r="O10" i="36"/>
  <c r="P10" i="36"/>
  <c r="Q10" i="36"/>
  <c r="R10" i="36"/>
  <c r="S10" i="36"/>
  <c r="T10" i="36"/>
  <c r="U10" i="36"/>
  <c r="V10" i="36"/>
  <c r="W10" i="36"/>
  <c r="X10" i="36"/>
  <c r="Y10" i="36"/>
  <c r="Z10" i="36"/>
  <c r="AA10" i="36"/>
  <c r="AB10" i="36"/>
  <c r="AC10" i="36"/>
  <c r="AD10" i="36"/>
  <c r="AE10" i="36"/>
  <c r="AF10" i="36"/>
  <c r="AG10" i="36"/>
  <c r="C11" i="36"/>
  <c r="D11" i="36"/>
  <c r="E11" i="36"/>
  <c r="F11" i="36"/>
  <c r="G11" i="36"/>
  <c r="H11" i="36"/>
  <c r="I11" i="36"/>
  <c r="J11" i="36"/>
  <c r="K11" i="36"/>
  <c r="L11" i="36"/>
  <c r="M11" i="36"/>
  <c r="N11" i="36"/>
  <c r="O11" i="36"/>
  <c r="P11" i="36"/>
  <c r="Q11" i="36"/>
  <c r="R11" i="36"/>
  <c r="S11" i="36"/>
  <c r="T11" i="36"/>
  <c r="U11" i="36"/>
  <c r="V11" i="36"/>
  <c r="W11" i="36"/>
  <c r="X11" i="36"/>
  <c r="Y11" i="36"/>
  <c r="Z11" i="36"/>
  <c r="AA11" i="36"/>
  <c r="AB11" i="36"/>
  <c r="AC11" i="36"/>
  <c r="AD11" i="36"/>
  <c r="AE11" i="36"/>
  <c r="AF11" i="36"/>
  <c r="AG11" i="36"/>
  <c r="C12" i="36"/>
  <c r="D12" i="36"/>
  <c r="E12" i="36"/>
  <c r="F12" i="36"/>
  <c r="G12" i="36"/>
  <c r="H12" i="36"/>
  <c r="I12" i="36"/>
  <c r="J12" i="36"/>
  <c r="K12" i="36"/>
  <c r="L12" i="36"/>
  <c r="M12" i="36"/>
  <c r="N12" i="36"/>
  <c r="O12" i="36"/>
  <c r="P12" i="36"/>
  <c r="Q12" i="36"/>
  <c r="R12" i="36"/>
  <c r="S12" i="36"/>
  <c r="T12" i="36"/>
  <c r="U12" i="36"/>
  <c r="V12" i="36"/>
  <c r="W12" i="36"/>
  <c r="X12" i="36"/>
  <c r="Y12" i="36"/>
  <c r="Z12" i="36"/>
  <c r="AA12" i="36"/>
  <c r="AB12" i="36"/>
  <c r="AC12" i="36"/>
  <c r="AD12" i="36"/>
  <c r="AE12" i="36"/>
  <c r="AF12" i="36"/>
  <c r="AG12" i="36"/>
  <c r="C13" i="36"/>
  <c r="D13" i="36"/>
  <c r="E13" i="36"/>
  <c r="F13" i="36"/>
  <c r="G13" i="36"/>
  <c r="H13" i="36"/>
  <c r="I13" i="36"/>
  <c r="J13" i="36"/>
  <c r="K13" i="36"/>
  <c r="L13" i="36"/>
  <c r="M13" i="36"/>
  <c r="N13" i="36"/>
  <c r="O13" i="36"/>
  <c r="P13" i="36"/>
  <c r="Q13" i="36"/>
  <c r="R13" i="36"/>
  <c r="S13" i="36"/>
  <c r="T13" i="36"/>
  <c r="U13" i="36"/>
  <c r="V13" i="36"/>
  <c r="W13" i="36"/>
  <c r="X13" i="36"/>
  <c r="Y13" i="36"/>
  <c r="Z13" i="36"/>
  <c r="AA13" i="36"/>
  <c r="AB13" i="36"/>
  <c r="AC13" i="36"/>
  <c r="AD13" i="36"/>
  <c r="AE13" i="36"/>
  <c r="AF13" i="36"/>
  <c r="AG13" i="36"/>
  <c r="C14" i="36"/>
  <c r="D14" i="36"/>
  <c r="E14" i="36"/>
  <c r="F14" i="36"/>
  <c r="G14" i="36"/>
  <c r="H14" i="36"/>
  <c r="I14" i="36"/>
  <c r="J14" i="36"/>
  <c r="K14" i="36"/>
  <c r="L14" i="36"/>
  <c r="M14" i="36"/>
  <c r="N14" i="36"/>
  <c r="O14" i="36"/>
  <c r="P14" i="36"/>
  <c r="Q14" i="36"/>
  <c r="R14" i="36"/>
  <c r="S14" i="36"/>
  <c r="T14" i="36"/>
  <c r="U14" i="36"/>
  <c r="V14" i="36"/>
  <c r="W14" i="36"/>
  <c r="X14" i="36"/>
  <c r="Y14" i="36"/>
  <c r="Z14" i="36"/>
  <c r="AA14" i="36"/>
  <c r="AB14" i="36"/>
  <c r="AC14" i="36"/>
  <c r="AD14" i="36"/>
  <c r="AE14" i="36"/>
  <c r="AF14" i="36"/>
  <c r="AG14" i="36"/>
  <c r="C15" i="36"/>
  <c r="D15" i="36"/>
  <c r="E15" i="36"/>
  <c r="F15" i="36"/>
  <c r="G15" i="36"/>
  <c r="H15" i="36"/>
  <c r="I15" i="36"/>
  <c r="J15" i="36"/>
  <c r="K15" i="36"/>
  <c r="L15" i="36"/>
  <c r="M15" i="36"/>
  <c r="N15" i="36"/>
  <c r="O15" i="36"/>
  <c r="P15" i="36"/>
  <c r="Q15" i="36"/>
  <c r="R15" i="36"/>
  <c r="S15" i="36"/>
  <c r="T15" i="36"/>
  <c r="U15" i="36"/>
  <c r="V15" i="36"/>
  <c r="W15" i="36"/>
  <c r="X15" i="36"/>
  <c r="Y15" i="36"/>
  <c r="Z15" i="36"/>
  <c r="AA15" i="36"/>
  <c r="AB15" i="36"/>
  <c r="AC15" i="36"/>
  <c r="AD15" i="36"/>
  <c r="AE15" i="36"/>
  <c r="AF15" i="36"/>
  <c r="AG15" i="36"/>
  <c r="C16" i="36"/>
  <c r="D16" i="36"/>
  <c r="E16" i="36"/>
  <c r="F16" i="36"/>
  <c r="G16" i="36"/>
  <c r="H16" i="36"/>
  <c r="I16" i="36"/>
  <c r="J16" i="36"/>
  <c r="K16" i="36"/>
  <c r="L16" i="36"/>
  <c r="M16" i="36"/>
  <c r="N16" i="36"/>
  <c r="O16" i="36"/>
  <c r="P16" i="36"/>
  <c r="Q16" i="36"/>
  <c r="R16" i="36"/>
  <c r="S16" i="36"/>
  <c r="T16" i="36"/>
  <c r="U16" i="36"/>
  <c r="V16" i="36"/>
  <c r="W16" i="36"/>
  <c r="X16" i="36"/>
  <c r="Y16" i="36"/>
  <c r="Z16" i="36"/>
  <c r="AA16" i="36"/>
  <c r="AB16" i="36"/>
  <c r="AC16" i="36"/>
  <c r="AD16" i="36"/>
  <c r="AE16" i="36"/>
  <c r="AF16" i="36"/>
  <c r="AG16" i="36"/>
  <c r="C17" i="36"/>
  <c r="D17" i="36"/>
  <c r="E17" i="36"/>
  <c r="F17" i="36"/>
  <c r="G17" i="36"/>
  <c r="H17" i="36"/>
  <c r="I17" i="36"/>
  <c r="J17" i="36"/>
  <c r="K17" i="36"/>
  <c r="L17" i="36"/>
  <c r="M17" i="36"/>
  <c r="N17" i="36"/>
  <c r="O17" i="36"/>
  <c r="P17" i="36"/>
  <c r="Q17" i="36"/>
  <c r="R17" i="36"/>
  <c r="S17" i="36"/>
  <c r="T17" i="36"/>
  <c r="U17" i="36"/>
  <c r="V17" i="36"/>
  <c r="W17" i="36"/>
  <c r="X17" i="36"/>
  <c r="Y17" i="36"/>
  <c r="Z17" i="36"/>
  <c r="AA17" i="36"/>
  <c r="AB17" i="36"/>
  <c r="AC17" i="36"/>
  <c r="AD17" i="36"/>
  <c r="AE17" i="36"/>
  <c r="AF17" i="36"/>
  <c r="AG17" i="36"/>
  <c r="C18" i="36"/>
  <c r="D18" i="36"/>
  <c r="E18" i="36"/>
  <c r="F18" i="36"/>
  <c r="G18" i="36"/>
  <c r="H18" i="36"/>
  <c r="I18" i="36"/>
  <c r="J18" i="36"/>
  <c r="K18" i="36"/>
  <c r="L18" i="36"/>
  <c r="M18" i="36"/>
  <c r="N18" i="36"/>
  <c r="O18" i="36"/>
  <c r="P18" i="36"/>
  <c r="Q18" i="36"/>
  <c r="R18" i="36"/>
  <c r="S18" i="36"/>
  <c r="T18" i="36"/>
  <c r="U18" i="36"/>
  <c r="V18" i="36"/>
  <c r="W18" i="36"/>
  <c r="X18" i="36"/>
  <c r="Y18" i="36"/>
  <c r="Z18" i="36"/>
  <c r="AA18" i="36"/>
  <c r="AB18" i="36"/>
  <c r="AC18" i="36"/>
  <c r="AD18" i="36"/>
  <c r="AE18" i="36"/>
  <c r="AF18" i="36"/>
  <c r="AG18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2" i="36"/>
  <c r="C2" i="35"/>
  <c r="D2" i="35"/>
  <c r="E2" i="35"/>
  <c r="F2" i="35"/>
  <c r="G2" i="35"/>
  <c r="H2" i="35"/>
  <c r="I2" i="35"/>
  <c r="J2" i="35"/>
  <c r="K2" i="35"/>
  <c r="L2" i="35"/>
  <c r="M2" i="35"/>
  <c r="N2" i="35"/>
  <c r="O2" i="35"/>
  <c r="P2" i="35"/>
  <c r="Q2" i="35"/>
  <c r="R2" i="35"/>
  <c r="S2" i="35"/>
  <c r="T2" i="35"/>
  <c r="U2" i="35"/>
  <c r="V2" i="35"/>
  <c r="W2" i="35"/>
  <c r="X2" i="35"/>
  <c r="Y2" i="35"/>
  <c r="Z2" i="35"/>
  <c r="AA2" i="35"/>
  <c r="AB2" i="35"/>
  <c r="AC2" i="35"/>
  <c r="AD2" i="35"/>
  <c r="AE2" i="35"/>
  <c r="AF2" i="35"/>
  <c r="AG2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C4" i="35"/>
  <c r="D4" i="35"/>
  <c r="E4" i="35"/>
  <c r="F4" i="35"/>
  <c r="G4" i="35"/>
  <c r="H4" i="35"/>
  <c r="I4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AC4" i="35"/>
  <c r="AD4" i="35"/>
  <c r="AE4" i="35"/>
  <c r="AF4" i="35"/>
  <c r="AG4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AG5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AB6" i="35"/>
  <c r="AC6" i="35"/>
  <c r="AD6" i="35"/>
  <c r="AE6" i="35"/>
  <c r="AF6" i="35"/>
  <c r="AG6" i="35"/>
  <c r="C7" i="35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AC7" i="35"/>
  <c r="AD7" i="35"/>
  <c r="AE7" i="35"/>
  <c r="AF7" i="35"/>
  <c r="AG7" i="35"/>
  <c r="C8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AF8" i="35"/>
  <c r="AG8" i="35"/>
  <c r="C9" i="35"/>
  <c r="D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AF9" i="35"/>
  <c r="AG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AC11" i="35"/>
  <c r="AD11" i="35"/>
  <c r="AE11" i="35"/>
  <c r="AF11" i="35"/>
  <c r="AG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AC12" i="35"/>
  <c r="AD12" i="35"/>
  <c r="AE12" i="35"/>
  <c r="AF12" i="35"/>
  <c r="AG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F13" i="35"/>
  <c r="AG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AC14" i="35"/>
  <c r="AD14" i="35"/>
  <c r="AE14" i="35"/>
  <c r="AF14" i="35"/>
  <c r="AG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AC15" i="35"/>
  <c r="AD15" i="35"/>
  <c r="AE15" i="35"/>
  <c r="AF15" i="35"/>
  <c r="AG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AC16" i="35"/>
  <c r="AD16" i="35"/>
  <c r="AE16" i="35"/>
  <c r="AF16" i="35"/>
  <c r="AG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AC17" i="35"/>
  <c r="AD17" i="35"/>
  <c r="AE17" i="35"/>
  <c r="AF17" i="35"/>
  <c r="AG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AC18" i="35"/>
  <c r="AD18" i="35"/>
  <c r="AE18" i="35"/>
  <c r="AF18" i="35"/>
  <c r="AG18" i="35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2" i="35"/>
  <c r="D2" i="32" l="1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AG2" i="32" s="1"/>
  <c r="D3" i="32"/>
  <c r="E3" i="32"/>
  <c r="F3" i="32" s="1"/>
  <c r="G3" i="32" s="1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D4" i="32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D5" i="32"/>
  <c r="E5" i="32"/>
  <c r="F5" i="32" s="1"/>
  <c r="G5" i="32" s="1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D6" i="32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D7" i="32"/>
  <c r="E7" i="32"/>
  <c r="F7" i="32" s="1"/>
  <c r="G7" i="32" s="1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AG7" i="32" s="1"/>
  <c r="D8" i="32"/>
  <c r="E8" i="32" s="1"/>
  <c r="F8" i="32" s="1"/>
  <c r="G8" i="32" s="1"/>
  <c r="H8" i="32" s="1"/>
  <c r="I8" i="32" s="1"/>
  <c r="J8" i="32" s="1"/>
  <c r="K8" i="32" s="1"/>
  <c r="L8" i="32" s="1"/>
  <c r="M8" i="32" s="1"/>
  <c r="N8" i="32" s="1"/>
  <c r="O8" i="32" s="1"/>
  <c r="P8" i="32" s="1"/>
  <c r="Q8" i="32" s="1"/>
  <c r="R8" i="32" s="1"/>
  <c r="S8" i="32" s="1"/>
  <c r="T8" i="32" s="1"/>
  <c r="U8" i="32" s="1"/>
  <c r="V8" i="32" s="1"/>
  <c r="W8" i="32" s="1"/>
  <c r="X8" i="32" s="1"/>
  <c r="Y8" i="32" s="1"/>
  <c r="Z8" i="32" s="1"/>
  <c r="AA8" i="32" s="1"/>
  <c r="AB8" i="32" s="1"/>
  <c r="AC8" i="32" s="1"/>
  <c r="AD8" i="32" s="1"/>
  <c r="AE8" i="32" s="1"/>
  <c r="AF8" i="32" s="1"/>
  <c r="AG8" i="32" s="1"/>
  <c r="D9" i="32"/>
  <c r="E9" i="32"/>
  <c r="F9" i="32" s="1"/>
  <c r="G9" i="32" s="1"/>
  <c r="H9" i="32" s="1"/>
  <c r="I9" i="32" s="1"/>
  <c r="J9" i="32" s="1"/>
  <c r="K9" i="32" s="1"/>
  <c r="L9" i="32" s="1"/>
  <c r="M9" i="32" s="1"/>
  <c r="N9" i="32" s="1"/>
  <c r="O9" i="32" s="1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AA9" i="32" s="1"/>
  <c r="AB9" i="32" s="1"/>
  <c r="AC9" i="32" s="1"/>
  <c r="AD9" i="32" s="1"/>
  <c r="AE9" i="32" s="1"/>
  <c r="AF9" i="32" s="1"/>
  <c r="AG9" i="32" s="1"/>
  <c r="D10" i="32"/>
  <c r="E10" i="32" s="1"/>
  <c r="F10" i="32" s="1"/>
  <c r="G10" i="32" s="1"/>
  <c r="H10" i="32" s="1"/>
  <c r="I10" i="32" s="1"/>
  <c r="J10" i="32" s="1"/>
  <c r="K10" i="32" s="1"/>
  <c r="L10" i="32" s="1"/>
  <c r="M10" i="32" s="1"/>
  <c r="N10" i="32" s="1"/>
  <c r="O10" i="32" s="1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AA10" i="32" s="1"/>
  <c r="AB10" i="32" s="1"/>
  <c r="AC10" i="32" s="1"/>
  <c r="AD10" i="32" s="1"/>
  <c r="AE10" i="32" s="1"/>
  <c r="AF10" i="32" s="1"/>
  <c r="AG10" i="32" s="1"/>
  <c r="D11" i="32"/>
  <c r="E11" i="32"/>
  <c r="F11" i="32" s="1"/>
  <c r="G11" i="32" s="1"/>
  <c r="H11" i="32" s="1"/>
  <c r="I11" i="32" s="1"/>
  <c r="J11" i="32" s="1"/>
  <c r="K11" i="32" s="1"/>
  <c r="L11" i="32" s="1"/>
  <c r="M11" i="32" s="1"/>
  <c r="N11" i="32" s="1"/>
  <c r="O11" i="32" s="1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AA11" i="32" s="1"/>
  <c r="AB11" i="32" s="1"/>
  <c r="AC11" i="32" s="1"/>
  <c r="AD11" i="32" s="1"/>
  <c r="AE11" i="32" s="1"/>
  <c r="AF11" i="32" s="1"/>
  <c r="AG11" i="32" s="1"/>
  <c r="D12" i="32"/>
  <c r="E12" i="32" s="1"/>
  <c r="F12" i="32" s="1"/>
  <c r="G12" i="32" s="1"/>
  <c r="H12" i="32" s="1"/>
  <c r="I12" i="32" s="1"/>
  <c r="J12" i="32" s="1"/>
  <c r="K12" i="32" s="1"/>
  <c r="L12" i="32" s="1"/>
  <c r="M12" i="32" s="1"/>
  <c r="N12" i="32" s="1"/>
  <c r="O12" i="32" s="1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AA12" i="32" s="1"/>
  <c r="AB12" i="32" s="1"/>
  <c r="AC12" i="32" s="1"/>
  <c r="AD12" i="32" s="1"/>
  <c r="AE12" i="32" s="1"/>
  <c r="AF12" i="32" s="1"/>
  <c r="AG12" i="32" s="1"/>
  <c r="D13" i="32"/>
  <c r="E13" i="32"/>
  <c r="F13" i="32" s="1"/>
  <c r="G13" i="32" s="1"/>
  <c r="H13" i="32" s="1"/>
  <c r="I13" i="32" s="1"/>
  <c r="J13" i="32" s="1"/>
  <c r="K13" i="32" s="1"/>
  <c r="L13" i="32" s="1"/>
  <c r="M13" i="32" s="1"/>
  <c r="N13" i="32" s="1"/>
  <c r="O13" i="32" s="1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AA13" i="32" s="1"/>
  <c r="AB13" i="32" s="1"/>
  <c r="AC13" i="32" s="1"/>
  <c r="AD13" i="32" s="1"/>
  <c r="AE13" i="32" s="1"/>
  <c r="AF13" i="32" s="1"/>
  <c r="AG13" i="32" s="1"/>
  <c r="D14" i="32"/>
  <c r="E14" i="32" s="1"/>
  <c r="F14" i="32" s="1"/>
  <c r="G14" i="32" s="1"/>
  <c r="H14" i="32" s="1"/>
  <c r="I14" i="32" s="1"/>
  <c r="J14" i="32" s="1"/>
  <c r="K14" i="32" s="1"/>
  <c r="L14" i="32" s="1"/>
  <c r="M14" i="32" s="1"/>
  <c r="N14" i="32" s="1"/>
  <c r="O14" i="32" s="1"/>
  <c r="P14" i="32" s="1"/>
  <c r="Q14" i="32" s="1"/>
  <c r="R14" i="32" s="1"/>
  <c r="S14" i="32" s="1"/>
  <c r="T14" i="32" s="1"/>
  <c r="U14" i="32" s="1"/>
  <c r="V14" i="32" s="1"/>
  <c r="W14" i="32" s="1"/>
  <c r="X14" i="32" s="1"/>
  <c r="Y14" i="32" s="1"/>
  <c r="Z14" i="32" s="1"/>
  <c r="AA14" i="32" s="1"/>
  <c r="AB14" i="32" s="1"/>
  <c r="AC14" i="32" s="1"/>
  <c r="AD14" i="32" s="1"/>
  <c r="AE14" i="32" s="1"/>
  <c r="AF14" i="32" s="1"/>
  <c r="AG14" i="32" s="1"/>
  <c r="D15" i="32"/>
  <c r="E15" i="32"/>
  <c r="F15" i="32" s="1"/>
  <c r="G15" i="32" s="1"/>
  <c r="H15" i="32" s="1"/>
  <c r="I15" i="32" s="1"/>
  <c r="J15" i="32" s="1"/>
  <c r="K15" i="32" s="1"/>
  <c r="L15" i="32" s="1"/>
  <c r="M15" i="32" s="1"/>
  <c r="N15" i="32" s="1"/>
  <c r="O15" i="32" s="1"/>
  <c r="P15" i="32" s="1"/>
  <c r="Q15" i="32" s="1"/>
  <c r="R15" i="32" s="1"/>
  <c r="S15" i="32" s="1"/>
  <c r="T15" i="32" s="1"/>
  <c r="U15" i="32" s="1"/>
  <c r="V15" i="32" s="1"/>
  <c r="W15" i="32" s="1"/>
  <c r="X15" i="32" s="1"/>
  <c r="Y15" i="32" s="1"/>
  <c r="Z15" i="32" s="1"/>
  <c r="AA15" i="32" s="1"/>
  <c r="AB15" i="32" s="1"/>
  <c r="AC15" i="32" s="1"/>
  <c r="AD15" i="32" s="1"/>
  <c r="AE15" i="32" s="1"/>
  <c r="AF15" i="32" s="1"/>
  <c r="AG15" i="32" s="1"/>
  <c r="D16" i="32"/>
  <c r="E16" i="32" s="1"/>
  <c r="F16" i="32" s="1"/>
  <c r="G16" i="32" s="1"/>
  <c r="H16" i="32" s="1"/>
  <c r="I16" i="32" s="1"/>
  <c r="J16" i="32" s="1"/>
  <c r="K16" i="32" s="1"/>
  <c r="L16" i="32" s="1"/>
  <c r="M16" i="32" s="1"/>
  <c r="N16" i="32" s="1"/>
  <c r="O16" i="32" s="1"/>
  <c r="P16" i="32" s="1"/>
  <c r="Q16" i="32" s="1"/>
  <c r="R16" i="32" s="1"/>
  <c r="S16" i="32" s="1"/>
  <c r="T16" i="32" s="1"/>
  <c r="U16" i="32" s="1"/>
  <c r="V16" i="32" s="1"/>
  <c r="W16" i="32" s="1"/>
  <c r="X16" i="32" s="1"/>
  <c r="Y16" i="32" s="1"/>
  <c r="Z16" i="32" s="1"/>
  <c r="AA16" i="32" s="1"/>
  <c r="AB16" i="32" s="1"/>
  <c r="AC16" i="32" s="1"/>
  <c r="AD16" i="32" s="1"/>
  <c r="AE16" i="32" s="1"/>
  <c r="AF16" i="32" s="1"/>
  <c r="AG16" i="32" s="1"/>
  <c r="D17" i="32"/>
  <c r="E17" i="32"/>
  <c r="F17" i="32" s="1"/>
  <c r="G17" i="32" s="1"/>
  <c r="H17" i="32" s="1"/>
  <c r="I17" i="32" s="1"/>
  <c r="J17" i="32" s="1"/>
  <c r="K17" i="32" s="1"/>
  <c r="L17" i="32" s="1"/>
  <c r="M17" i="32" s="1"/>
  <c r="N17" i="32" s="1"/>
  <c r="O17" i="32" s="1"/>
  <c r="P17" i="32" s="1"/>
  <c r="Q17" i="32" s="1"/>
  <c r="R17" i="32" s="1"/>
  <c r="S17" i="32" s="1"/>
  <c r="T17" i="32" s="1"/>
  <c r="U17" i="32" s="1"/>
  <c r="V17" i="32" s="1"/>
  <c r="W17" i="32" s="1"/>
  <c r="X17" i="32" s="1"/>
  <c r="Y17" i="32" s="1"/>
  <c r="Z17" i="32" s="1"/>
  <c r="AA17" i="32" s="1"/>
  <c r="AB17" i="32" s="1"/>
  <c r="AC17" i="32" s="1"/>
  <c r="AD17" i="32" s="1"/>
  <c r="AE17" i="32" s="1"/>
  <c r="AF17" i="32" s="1"/>
  <c r="AG17" i="32" s="1"/>
  <c r="D18" i="32"/>
  <c r="E18" i="32" s="1"/>
  <c r="F18" i="32" s="1"/>
  <c r="G18" i="32" s="1"/>
  <c r="H18" i="32" s="1"/>
  <c r="I18" i="32" s="1"/>
  <c r="J18" i="32" s="1"/>
  <c r="K18" i="32" s="1"/>
  <c r="L18" i="32" s="1"/>
  <c r="M18" i="32" s="1"/>
  <c r="N18" i="32" s="1"/>
  <c r="O18" i="32" s="1"/>
  <c r="P18" i="32" s="1"/>
  <c r="Q18" i="32" s="1"/>
  <c r="R18" i="32" s="1"/>
  <c r="S18" i="32" s="1"/>
  <c r="T18" i="32" s="1"/>
  <c r="U18" i="32" s="1"/>
  <c r="V18" i="32" s="1"/>
  <c r="W18" i="32" s="1"/>
  <c r="X18" i="32" s="1"/>
  <c r="Y18" i="32" s="1"/>
  <c r="Z18" i="32" s="1"/>
  <c r="AA18" i="32" s="1"/>
  <c r="AB18" i="32" s="1"/>
  <c r="AC18" i="32" s="1"/>
  <c r="AD18" i="32" s="1"/>
  <c r="AE18" i="32" s="1"/>
  <c r="AF18" i="32" s="1"/>
  <c r="AG18" i="32" s="1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2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B2" i="32"/>
  <c r="D2" i="31"/>
  <c r="E2" i="31" s="1"/>
  <c r="F2" i="31" s="1"/>
  <c r="G2" i="31" s="1"/>
  <c r="H2" i="31" s="1"/>
  <c r="I2" i="31" s="1"/>
  <c r="J2" i="31" s="1"/>
  <c r="K2" i="31" s="1"/>
  <c r="L2" i="31" s="1"/>
  <c r="M2" i="31" s="1"/>
  <c r="N2" i="31" s="1"/>
  <c r="O2" i="31" s="1"/>
  <c r="P2" i="31" s="1"/>
  <c r="Q2" i="31" s="1"/>
  <c r="R2" i="31" s="1"/>
  <c r="S2" i="31" s="1"/>
  <c r="T2" i="31" s="1"/>
  <c r="U2" i="31" s="1"/>
  <c r="V2" i="31" s="1"/>
  <c r="W2" i="31" s="1"/>
  <c r="X2" i="31" s="1"/>
  <c r="Y2" i="31" s="1"/>
  <c r="Z2" i="31" s="1"/>
  <c r="AA2" i="31" s="1"/>
  <c r="AB2" i="31" s="1"/>
  <c r="AC2" i="31" s="1"/>
  <c r="AD2" i="31" s="1"/>
  <c r="AE2" i="31" s="1"/>
  <c r="AF2" i="31" s="1"/>
  <c r="AG2" i="31" s="1"/>
  <c r="D3" i="31"/>
  <c r="E3" i="31"/>
  <c r="F3" i="31"/>
  <c r="G3" i="31"/>
  <c r="H3" i="31" s="1"/>
  <c r="I3" i="31" s="1"/>
  <c r="J3" i="31" s="1"/>
  <c r="K3" i="31" s="1"/>
  <c r="L3" i="31" s="1"/>
  <c r="M3" i="31" s="1"/>
  <c r="N3" i="31" s="1"/>
  <c r="O3" i="31" s="1"/>
  <c r="P3" i="31" s="1"/>
  <c r="Q3" i="31" s="1"/>
  <c r="R3" i="31" s="1"/>
  <c r="S3" i="31" s="1"/>
  <c r="T3" i="31" s="1"/>
  <c r="U3" i="31" s="1"/>
  <c r="V3" i="31" s="1"/>
  <c r="W3" i="31" s="1"/>
  <c r="X3" i="31" s="1"/>
  <c r="Y3" i="31" s="1"/>
  <c r="Z3" i="31" s="1"/>
  <c r="AA3" i="31" s="1"/>
  <c r="AB3" i="31" s="1"/>
  <c r="AC3" i="31" s="1"/>
  <c r="AD3" i="31" s="1"/>
  <c r="AE3" i="31" s="1"/>
  <c r="AF3" i="31" s="1"/>
  <c r="AG3" i="31" s="1"/>
  <c r="D4" i="31"/>
  <c r="E4" i="31" s="1"/>
  <c r="F4" i="31" s="1"/>
  <c r="G4" i="31" s="1"/>
  <c r="H4" i="31" s="1"/>
  <c r="I4" i="31" s="1"/>
  <c r="J4" i="31" s="1"/>
  <c r="K4" i="31" s="1"/>
  <c r="L4" i="31" s="1"/>
  <c r="M4" i="31" s="1"/>
  <c r="N4" i="31" s="1"/>
  <c r="O4" i="31" s="1"/>
  <c r="P4" i="31" s="1"/>
  <c r="Q4" i="31" s="1"/>
  <c r="R4" i="31" s="1"/>
  <c r="S4" i="31" s="1"/>
  <c r="T4" i="31" s="1"/>
  <c r="U4" i="31" s="1"/>
  <c r="V4" i="31" s="1"/>
  <c r="W4" i="31" s="1"/>
  <c r="X4" i="31" s="1"/>
  <c r="Y4" i="31" s="1"/>
  <c r="Z4" i="31" s="1"/>
  <c r="AA4" i="31" s="1"/>
  <c r="AB4" i="31" s="1"/>
  <c r="AC4" i="31" s="1"/>
  <c r="AD4" i="31" s="1"/>
  <c r="AE4" i="31" s="1"/>
  <c r="AF4" i="31" s="1"/>
  <c r="AG4" i="31" s="1"/>
  <c r="D5" i="31"/>
  <c r="E5" i="31"/>
  <c r="F5" i="31"/>
  <c r="G5" i="31"/>
  <c r="H5" i="31" s="1"/>
  <c r="I5" i="31" s="1"/>
  <c r="J5" i="31" s="1"/>
  <c r="K5" i="31" s="1"/>
  <c r="L5" i="31" s="1"/>
  <c r="M5" i="31" s="1"/>
  <c r="N5" i="31" s="1"/>
  <c r="O5" i="31" s="1"/>
  <c r="P5" i="31" s="1"/>
  <c r="Q5" i="31" s="1"/>
  <c r="R5" i="31" s="1"/>
  <c r="S5" i="31" s="1"/>
  <c r="T5" i="31" s="1"/>
  <c r="U5" i="31" s="1"/>
  <c r="V5" i="31" s="1"/>
  <c r="W5" i="31" s="1"/>
  <c r="X5" i="31" s="1"/>
  <c r="Y5" i="31" s="1"/>
  <c r="Z5" i="31" s="1"/>
  <c r="AA5" i="31" s="1"/>
  <c r="AB5" i="31" s="1"/>
  <c r="AC5" i="31" s="1"/>
  <c r="AD5" i="31" s="1"/>
  <c r="AE5" i="31" s="1"/>
  <c r="AF5" i="31" s="1"/>
  <c r="AG5" i="31" s="1"/>
  <c r="D6" i="31"/>
  <c r="E6" i="31" s="1"/>
  <c r="F6" i="31" s="1"/>
  <c r="G6" i="31" s="1"/>
  <c r="H6" i="31" s="1"/>
  <c r="I6" i="31" s="1"/>
  <c r="J6" i="31" s="1"/>
  <c r="K6" i="31" s="1"/>
  <c r="L6" i="31" s="1"/>
  <c r="M6" i="31" s="1"/>
  <c r="N6" i="31" s="1"/>
  <c r="O6" i="31" s="1"/>
  <c r="P6" i="31" s="1"/>
  <c r="Q6" i="31" s="1"/>
  <c r="R6" i="31" s="1"/>
  <c r="S6" i="31" s="1"/>
  <c r="T6" i="31" s="1"/>
  <c r="U6" i="31" s="1"/>
  <c r="V6" i="31" s="1"/>
  <c r="W6" i="31" s="1"/>
  <c r="X6" i="31" s="1"/>
  <c r="Y6" i="31" s="1"/>
  <c r="Z6" i="31" s="1"/>
  <c r="AA6" i="31" s="1"/>
  <c r="AB6" i="31" s="1"/>
  <c r="AC6" i="31" s="1"/>
  <c r="AD6" i="31" s="1"/>
  <c r="AE6" i="31" s="1"/>
  <c r="AF6" i="31" s="1"/>
  <c r="AG6" i="31" s="1"/>
  <c r="D7" i="31"/>
  <c r="E7" i="31"/>
  <c r="F7" i="31"/>
  <c r="G7" i="31"/>
  <c r="H7" i="31" s="1"/>
  <c r="I7" i="31" s="1"/>
  <c r="J7" i="31" s="1"/>
  <c r="K7" i="31" s="1"/>
  <c r="L7" i="31" s="1"/>
  <c r="M7" i="31" s="1"/>
  <c r="N7" i="31" s="1"/>
  <c r="O7" i="31" s="1"/>
  <c r="P7" i="31" s="1"/>
  <c r="Q7" i="31" s="1"/>
  <c r="R7" i="31" s="1"/>
  <c r="S7" i="31" s="1"/>
  <c r="T7" i="31" s="1"/>
  <c r="U7" i="31" s="1"/>
  <c r="V7" i="31" s="1"/>
  <c r="W7" i="31" s="1"/>
  <c r="X7" i="31" s="1"/>
  <c r="Y7" i="31" s="1"/>
  <c r="Z7" i="31" s="1"/>
  <c r="AA7" i="31" s="1"/>
  <c r="AB7" i="31" s="1"/>
  <c r="AC7" i="31" s="1"/>
  <c r="AD7" i="31" s="1"/>
  <c r="AE7" i="31" s="1"/>
  <c r="AF7" i="31" s="1"/>
  <c r="AG7" i="31" s="1"/>
  <c r="D8" i="31"/>
  <c r="E8" i="31" s="1"/>
  <c r="F8" i="31" s="1"/>
  <c r="G8" i="31" s="1"/>
  <c r="H8" i="31" s="1"/>
  <c r="I8" i="31" s="1"/>
  <c r="J8" i="31" s="1"/>
  <c r="K8" i="31" s="1"/>
  <c r="L8" i="31" s="1"/>
  <c r="M8" i="31" s="1"/>
  <c r="N8" i="31" s="1"/>
  <c r="O8" i="31" s="1"/>
  <c r="P8" i="31" s="1"/>
  <c r="Q8" i="31" s="1"/>
  <c r="R8" i="31" s="1"/>
  <c r="S8" i="31" s="1"/>
  <c r="T8" i="31" s="1"/>
  <c r="U8" i="31" s="1"/>
  <c r="V8" i="31" s="1"/>
  <c r="W8" i="31" s="1"/>
  <c r="X8" i="31" s="1"/>
  <c r="Y8" i="31" s="1"/>
  <c r="Z8" i="31" s="1"/>
  <c r="AA8" i="31" s="1"/>
  <c r="AB8" i="31" s="1"/>
  <c r="AC8" i="31" s="1"/>
  <c r="AD8" i="31" s="1"/>
  <c r="AE8" i="31" s="1"/>
  <c r="AF8" i="31" s="1"/>
  <c r="AG8" i="31" s="1"/>
  <c r="D9" i="31"/>
  <c r="E9" i="31"/>
  <c r="F9" i="31"/>
  <c r="G9" i="31"/>
  <c r="H9" i="31" s="1"/>
  <c r="I9" i="31" s="1"/>
  <c r="J9" i="31" s="1"/>
  <c r="K9" i="31" s="1"/>
  <c r="L9" i="31" s="1"/>
  <c r="M9" i="31" s="1"/>
  <c r="N9" i="31" s="1"/>
  <c r="O9" i="31" s="1"/>
  <c r="P9" i="31" s="1"/>
  <c r="Q9" i="31" s="1"/>
  <c r="R9" i="31" s="1"/>
  <c r="S9" i="31" s="1"/>
  <c r="T9" i="31" s="1"/>
  <c r="U9" i="31" s="1"/>
  <c r="V9" i="31" s="1"/>
  <c r="W9" i="31" s="1"/>
  <c r="X9" i="31" s="1"/>
  <c r="Y9" i="31" s="1"/>
  <c r="Z9" i="31" s="1"/>
  <c r="AA9" i="31" s="1"/>
  <c r="AB9" i="31" s="1"/>
  <c r="AC9" i="31" s="1"/>
  <c r="AD9" i="31" s="1"/>
  <c r="AE9" i="31" s="1"/>
  <c r="AF9" i="31" s="1"/>
  <c r="AG9" i="31" s="1"/>
  <c r="D10" i="31"/>
  <c r="E10" i="31" s="1"/>
  <c r="F10" i="31" s="1"/>
  <c r="G10" i="31" s="1"/>
  <c r="H10" i="31" s="1"/>
  <c r="I10" i="31" s="1"/>
  <c r="J10" i="31" s="1"/>
  <c r="K10" i="31" s="1"/>
  <c r="L10" i="31" s="1"/>
  <c r="M10" i="31" s="1"/>
  <c r="N10" i="31" s="1"/>
  <c r="O10" i="31" s="1"/>
  <c r="P10" i="31" s="1"/>
  <c r="Q10" i="31" s="1"/>
  <c r="R10" i="31" s="1"/>
  <c r="S10" i="31" s="1"/>
  <c r="T10" i="31" s="1"/>
  <c r="U10" i="31" s="1"/>
  <c r="V10" i="31" s="1"/>
  <c r="W10" i="31" s="1"/>
  <c r="X10" i="31" s="1"/>
  <c r="Y10" i="31" s="1"/>
  <c r="Z10" i="31" s="1"/>
  <c r="AA10" i="31" s="1"/>
  <c r="AB10" i="31" s="1"/>
  <c r="AC10" i="31" s="1"/>
  <c r="AD10" i="31" s="1"/>
  <c r="AE10" i="31" s="1"/>
  <c r="AF10" i="31" s="1"/>
  <c r="AG10" i="31" s="1"/>
  <c r="D11" i="31"/>
  <c r="E11" i="31"/>
  <c r="F11" i="31"/>
  <c r="G11" i="31"/>
  <c r="H11" i="31" s="1"/>
  <c r="I11" i="31" s="1"/>
  <c r="J11" i="31" s="1"/>
  <c r="K11" i="31" s="1"/>
  <c r="L11" i="31" s="1"/>
  <c r="M11" i="31" s="1"/>
  <c r="N11" i="31" s="1"/>
  <c r="O11" i="31" s="1"/>
  <c r="P11" i="31" s="1"/>
  <c r="Q11" i="31" s="1"/>
  <c r="R11" i="31" s="1"/>
  <c r="S11" i="31" s="1"/>
  <c r="T11" i="31" s="1"/>
  <c r="U11" i="31" s="1"/>
  <c r="V11" i="31" s="1"/>
  <c r="W11" i="31" s="1"/>
  <c r="X11" i="31" s="1"/>
  <c r="Y11" i="31" s="1"/>
  <c r="Z11" i="31" s="1"/>
  <c r="AA11" i="31" s="1"/>
  <c r="AB11" i="31" s="1"/>
  <c r="AC11" i="31" s="1"/>
  <c r="AD11" i="31" s="1"/>
  <c r="AE11" i="31" s="1"/>
  <c r="AF11" i="31" s="1"/>
  <c r="AG11" i="31" s="1"/>
  <c r="D12" i="31"/>
  <c r="E12" i="31" s="1"/>
  <c r="F12" i="31" s="1"/>
  <c r="G12" i="31" s="1"/>
  <c r="H12" i="31" s="1"/>
  <c r="I12" i="31" s="1"/>
  <c r="J12" i="31" s="1"/>
  <c r="K12" i="31" s="1"/>
  <c r="L12" i="31" s="1"/>
  <c r="M12" i="31" s="1"/>
  <c r="N12" i="31" s="1"/>
  <c r="O12" i="31" s="1"/>
  <c r="P12" i="31" s="1"/>
  <c r="Q12" i="31" s="1"/>
  <c r="R12" i="31" s="1"/>
  <c r="S12" i="31" s="1"/>
  <c r="T12" i="31" s="1"/>
  <c r="U12" i="31" s="1"/>
  <c r="V12" i="31" s="1"/>
  <c r="W12" i="31" s="1"/>
  <c r="X12" i="31" s="1"/>
  <c r="Y12" i="31" s="1"/>
  <c r="Z12" i="31" s="1"/>
  <c r="AA12" i="31" s="1"/>
  <c r="AB12" i="31" s="1"/>
  <c r="AC12" i="31" s="1"/>
  <c r="AD12" i="31" s="1"/>
  <c r="AE12" i="31" s="1"/>
  <c r="AF12" i="31" s="1"/>
  <c r="AG12" i="31" s="1"/>
  <c r="D13" i="31"/>
  <c r="E13" i="31"/>
  <c r="F13" i="31"/>
  <c r="G13" i="31"/>
  <c r="H13" i="31" s="1"/>
  <c r="I13" i="31" s="1"/>
  <c r="J13" i="31" s="1"/>
  <c r="K13" i="31" s="1"/>
  <c r="L13" i="31" s="1"/>
  <c r="M13" i="31" s="1"/>
  <c r="N13" i="31" s="1"/>
  <c r="O13" i="31" s="1"/>
  <c r="P13" i="31" s="1"/>
  <c r="Q13" i="31" s="1"/>
  <c r="R13" i="31" s="1"/>
  <c r="S13" i="31" s="1"/>
  <c r="T13" i="31" s="1"/>
  <c r="U13" i="31" s="1"/>
  <c r="V13" i="31" s="1"/>
  <c r="W13" i="31" s="1"/>
  <c r="X13" i="31" s="1"/>
  <c r="Y13" i="31" s="1"/>
  <c r="Z13" i="31" s="1"/>
  <c r="AA13" i="31" s="1"/>
  <c r="AB13" i="31" s="1"/>
  <c r="AC13" i="31" s="1"/>
  <c r="AD13" i="31" s="1"/>
  <c r="AE13" i="31" s="1"/>
  <c r="AF13" i="31" s="1"/>
  <c r="AG13" i="31" s="1"/>
  <c r="D14" i="3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AD14" i="31" s="1"/>
  <c r="AE14" i="31" s="1"/>
  <c r="AF14" i="31" s="1"/>
  <c r="AG14" i="31" s="1"/>
  <c r="D15" i="31"/>
  <c r="E15" i="31"/>
  <c r="F15" i="31"/>
  <c r="G15" i="31"/>
  <c r="H15" i="31" s="1"/>
  <c r="I15" i="31" s="1"/>
  <c r="J15" i="31" s="1"/>
  <c r="K15" i="31" s="1"/>
  <c r="L15" i="31" s="1"/>
  <c r="M15" i="31" s="1"/>
  <c r="N15" i="31" s="1"/>
  <c r="O15" i="31" s="1"/>
  <c r="P15" i="31" s="1"/>
  <c r="Q15" i="31" s="1"/>
  <c r="R15" i="31" s="1"/>
  <c r="S15" i="31" s="1"/>
  <c r="T15" i="31" s="1"/>
  <c r="U15" i="31" s="1"/>
  <c r="V15" i="31" s="1"/>
  <c r="W15" i="31" s="1"/>
  <c r="X15" i="31" s="1"/>
  <c r="Y15" i="31" s="1"/>
  <c r="Z15" i="31" s="1"/>
  <c r="AA15" i="31" s="1"/>
  <c r="AB15" i="31" s="1"/>
  <c r="AC15" i="31" s="1"/>
  <c r="AD15" i="31" s="1"/>
  <c r="AE15" i="31" s="1"/>
  <c r="AF15" i="31" s="1"/>
  <c r="AG15" i="31" s="1"/>
  <c r="D16" i="31"/>
  <c r="E16" i="31" s="1"/>
  <c r="F16" i="31" s="1"/>
  <c r="G16" i="31" s="1"/>
  <c r="H16" i="31" s="1"/>
  <c r="I16" i="31" s="1"/>
  <c r="J16" i="31" s="1"/>
  <c r="K16" i="31" s="1"/>
  <c r="L16" i="31" s="1"/>
  <c r="M16" i="31" s="1"/>
  <c r="N16" i="31" s="1"/>
  <c r="O16" i="31" s="1"/>
  <c r="P16" i="31" s="1"/>
  <c r="Q16" i="31" s="1"/>
  <c r="R16" i="31" s="1"/>
  <c r="S16" i="31" s="1"/>
  <c r="T16" i="31" s="1"/>
  <c r="U16" i="31" s="1"/>
  <c r="V16" i="31" s="1"/>
  <c r="W16" i="31" s="1"/>
  <c r="X16" i="31" s="1"/>
  <c r="Y16" i="31" s="1"/>
  <c r="Z16" i="31" s="1"/>
  <c r="AA16" i="31" s="1"/>
  <c r="AB16" i="31" s="1"/>
  <c r="AC16" i="31" s="1"/>
  <c r="AD16" i="31" s="1"/>
  <c r="AE16" i="31" s="1"/>
  <c r="AF16" i="31" s="1"/>
  <c r="AG16" i="31" s="1"/>
  <c r="D17" i="31"/>
  <c r="E17" i="31"/>
  <c r="F17" i="31"/>
  <c r="G17" i="31"/>
  <c r="H17" i="31" s="1"/>
  <c r="I17" i="31" s="1"/>
  <c r="J17" i="31" s="1"/>
  <c r="K17" i="31" s="1"/>
  <c r="L17" i="31" s="1"/>
  <c r="M17" i="31" s="1"/>
  <c r="N17" i="31" s="1"/>
  <c r="O17" i="31" s="1"/>
  <c r="P17" i="31" s="1"/>
  <c r="Q17" i="31" s="1"/>
  <c r="R17" i="31" s="1"/>
  <c r="S17" i="31" s="1"/>
  <c r="T17" i="31" s="1"/>
  <c r="U17" i="31" s="1"/>
  <c r="V17" i="31" s="1"/>
  <c r="W17" i="31" s="1"/>
  <c r="X17" i="31" s="1"/>
  <c r="Y17" i="31" s="1"/>
  <c r="Z17" i="31" s="1"/>
  <c r="AA17" i="31" s="1"/>
  <c r="AB17" i="31" s="1"/>
  <c r="AC17" i="31" s="1"/>
  <c r="AD17" i="31" s="1"/>
  <c r="AE17" i="31" s="1"/>
  <c r="AF17" i="31" s="1"/>
  <c r="AG17" i="31" s="1"/>
  <c r="D18" i="31"/>
  <c r="E18" i="31" s="1"/>
  <c r="F18" i="31" s="1"/>
  <c r="G18" i="31" s="1"/>
  <c r="H18" i="31" s="1"/>
  <c r="I18" i="31" s="1"/>
  <c r="J18" i="31" s="1"/>
  <c r="K18" i="31" s="1"/>
  <c r="L18" i="31" s="1"/>
  <c r="M18" i="31" s="1"/>
  <c r="N18" i="31" s="1"/>
  <c r="O18" i="31" s="1"/>
  <c r="P18" i="31" s="1"/>
  <c r="Q18" i="31" s="1"/>
  <c r="R18" i="31" s="1"/>
  <c r="S18" i="31" s="1"/>
  <c r="T18" i="31" s="1"/>
  <c r="U18" i="31" s="1"/>
  <c r="V18" i="31" s="1"/>
  <c r="W18" i="31" s="1"/>
  <c r="X18" i="31" s="1"/>
  <c r="Y18" i="31" s="1"/>
  <c r="Z18" i="31" s="1"/>
  <c r="AA18" i="31" s="1"/>
  <c r="AB18" i="31" s="1"/>
  <c r="AC18" i="31" s="1"/>
  <c r="AD18" i="31" s="1"/>
  <c r="AE18" i="31" s="1"/>
  <c r="AF18" i="31" s="1"/>
  <c r="AG18" i="31" s="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2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4" i="31"/>
  <c r="B3" i="31"/>
  <c r="B2" i="31"/>
  <c r="D2" i="33"/>
  <c r="E2" i="33" s="1"/>
  <c r="F2" i="33" s="1"/>
  <c r="G2" i="33" s="1"/>
  <c r="H2" i="33" s="1"/>
  <c r="I2" i="33" s="1"/>
  <c r="J2" i="33" s="1"/>
  <c r="K2" i="33" s="1"/>
  <c r="L2" i="33" s="1"/>
  <c r="M2" i="33" s="1"/>
  <c r="N2" i="33" s="1"/>
  <c r="O2" i="33" s="1"/>
  <c r="P2" i="33" s="1"/>
  <c r="Q2" i="33" s="1"/>
  <c r="R2" i="33" s="1"/>
  <c r="S2" i="33" s="1"/>
  <c r="T2" i="33" s="1"/>
  <c r="U2" i="33" s="1"/>
  <c r="V2" i="33" s="1"/>
  <c r="W2" i="33" s="1"/>
  <c r="X2" i="33" s="1"/>
  <c r="Y2" i="33" s="1"/>
  <c r="Z2" i="33" s="1"/>
  <c r="AA2" i="33" s="1"/>
  <c r="AB2" i="33" s="1"/>
  <c r="AC2" i="33" s="1"/>
  <c r="AD2" i="33" s="1"/>
  <c r="AE2" i="33" s="1"/>
  <c r="AF2" i="33" s="1"/>
  <c r="AG2" i="33" s="1"/>
  <c r="D3" i="33"/>
  <c r="E3" i="33" s="1"/>
  <c r="F3" i="33" s="1"/>
  <c r="G3" i="33" s="1"/>
  <c r="H3" i="33" s="1"/>
  <c r="I3" i="33" s="1"/>
  <c r="J3" i="33" s="1"/>
  <c r="K3" i="33" s="1"/>
  <c r="L3" i="33" s="1"/>
  <c r="M3" i="33" s="1"/>
  <c r="N3" i="33" s="1"/>
  <c r="O3" i="33" s="1"/>
  <c r="P3" i="33" s="1"/>
  <c r="Q3" i="33" s="1"/>
  <c r="R3" i="33" s="1"/>
  <c r="S3" i="33" s="1"/>
  <c r="T3" i="33" s="1"/>
  <c r="U3" i="33" s="1"/>
  <c r="V3" i="33" s="1"/>
  <c r="W3" i="33" s="1"/>
  <c r="X3" i="33" s="1"/>
  <c r="Y3" i="33" s="1"/>
  <c r="Z3" i="33" s="1"/>
  <c r="AA3" i="33" s="1"/>
  <c r="AB3" i="33" s="1"/>
  <c r="AC3" i="33" s="1"/>
  <c r="AD3" i="33" s="1"/>
  <c r="AE3" i="33" s="1"/>
  <c r="AF3" i="33" s="1"/>
  <c r="AG3" i="33" s="1"/>
  <c r="D4" i="33"/>
  <c r="E4" i="33" s="1"/>
  <c r="F4" i="33" s="1"/>
  <c r="G4" i="33" s="1"/>
  <c r="H4" i="33" s="1"/>
  <c r="I4" i="33" s="1"/>
  <c r="J4" i="33" s="1"/>
  <c r="K4" i="33" s="1"/>
  <c r="L4" i="33" s="1"/>
  <c r="M4" i="33" s="1"/>
  <c r="N4" i="33" s="1"/>
  <c r="O4" i="33" s="1"/>
  <c r="P4" i="33" s="1"/>
  <c r="Q4" i="33" s="1"/>
  <c r="R4" i="33" s="1"/>
  <c r="S4" i="33" s="1"/>
  <c r="T4" i="33" s="1"/>
  <c r="U4" i="33" s="1"/>
  <c r="V4" i="33" s="1"/>
  <c r="W4" i="33" s="1"/>
  <c r="X4" i="33" s="1"/>
  <c r="Y4" i="33" s="1"/>
  <c r="Z4" i="33" s="1"/>
  <c r="AA4" i="33" s="1"/>
  <c r="AB4" i="33" s="1"/>
  <c r="AC4" i="33" s="1"/>
  <c r="AD4" i="33" s="1"/>
  <c r="AE4" i="33" s="1"/>
  <c r="AF4" i="33" s="1"/>
  <c r="AG4" i="33" s="1"/>
  <c r="D5" i="33"/>
  <c r="E5" i="33" s="1"/>
  <c r="F5" i="33" s="1"/>
  <c r="G5" i="33" s="1"/>
  <c r="H5" i="33" s="1"/>
  <c r="I5" i="33" s="1"/>
  <c r="J5" i="33" s="1"/>
  <c r="K5" i="33" s="1"/>
  <c r="L5" i="33" s="1"/>
  <c r="M5" i="33" s="1"/>
  <c r="N5" i="33" s="1"/>
  <c r="O5" i="33" s="1"/>
  <c r="P5" i="33" s="1"/>
  <c r="Q5" i="33" s="1"/>
  <c r="R5" i="33" s="1"/>
  <c r="S5" i="33" s="1"/>
  <c r="T5" i="33" s="1"/>
  <c r="U5" i="33" s="1"/>
  <c r="V5" i="33" s="1"/>
  <c r="W5" i="33" s="1"/>
  <c r="X5" i="33" s="1"/>
  <c r="Y5" i="33" s="1"/>
  <c r="Z5" i="33" s="1"/>
  <c r="AA5" i="33" s="1"/>
  <c r="AB5" i="33" s="1"/>
  <c r="AC5" i="33" s="1"/>
  <c r="AD5" i="33" s="1"/>
  <c r="AE5" i="33" s="1"/>
  <c r="AF5" i="33" s="1"/>
  <c r="AG5" i="33" s="1"/>
  <c r="D6" i="33"/>
  <c r="E6" i="33" s="1"/>
  <c r="F6" i="33" s="1"/>
  <c r="G6" i="33" s="1"/>
  <c r="H6" i="33" s="1"/>
  <c r="I6" i="33" s="1"/>
  <c r="J6" i="33" s="1"/>
  <c r="K6" i="33" s="1"/>
  <c r="L6" i="33" s="1"/>
  <c r="M6" i="33" s="1"/>
  <c r="N6" i="33" s="1"/>
  <c r="O6" i="33" s="1"/>
  <c r="P6" i="33" s="1"/>
  <c r="Q6" i="33" s="1"/>
  <c r="R6" i="33" s="1"/>
  <c r="S6" i="33" s="1"/>
  <c r="T6" i="33" s="1"/>
  <c r="U6" i="33" s="1"/>
  <c r="V6" i="33" s="1"/>
  <c r="W6" i="33" s="1"/>
  <c r="X6" i="33" s="1"/>
  <c r="Y6" i="33" s="1"/>
  <c r="Z6" i="33" s="1"/>
  <c r="AA6" i="33" s="1"/>
  <c r="AB6" i="33" s="1"/>
  <c r="AC6" i="33" s="1"/>
  <c r="AD6" i="33" s="1"/>
  <c r="AE6" i="33" s="1"/>
  <c r="AF6" i="33" s="1"/>
  <c r="AG6" i="33" s="1"/>
  <c r="D7" i="33"/>
  <c r="E7" i="33" s="1"/>
  <c r="F7" i="33" s="1"/>
  <c r="G7" i="33" s="1"/>
  <c r="H7" i="33" s="1"/>
  <c r="I7" i="33" s="1"/>
  <c r="J7" i="33" s="1"/>
  <c r="K7" i="33" s="1"/>
  <c r="L7" i="33" s="1"/>
  <c r="M7" i="33" s="1"/>
  <c r="N7" i="33" s="1"/>
  <c r="O7" i="33" s="1"/>
  <c r="P7" i="33" s="1"/>
  <c r="Q7" i="33" s="1"/>
  <c r="R7" i="33" s="1"/>
  <c r="S7" i="33" s="1"/>
  <c r="T7" i="33" s="1"/>
  <c r="U7" i="33" s="1"/>
  <c r="V7" i="33" s="1"/>
  <c r="W7" i="33" s="1"/>
  <c r="X7" i="33" s="1"/>
  <c r="Y7" i="33" s="1"/>
  <c r="Z7" i="33" s="1"/>
  <c r="AA7" i="33" s="1"/>
  <c r="AB7" i="33" s="1"/>
  <c r="AC7" i="33" s="1"/>
  <c r="AD7" i="33" s="1"/>
  <c r="AE7" i="33" s="1"/>
  <c r="AF7" i="33" s="1"/>
  <c r="AG7" i="33" s="1"/>
  <c r="D8" i="33"/>
  <c r="E8" i="33" s="1"/>
  <c r="F8" i="33" s="1"/>
  <c r="G8" i="33" s="1"/>
  <c r="H8" i="33" s="1"/>
  <c r="I8" i="33" s="1"/>
  <c r="J8" i="33" s="1"/>
  <c r="K8" i="33" s="1"/>
  <c r="L8" i="33" s="1"/>
  <c r="M8" i="33" s="1"/>
  <c r="N8" i="33" s="1"/>
  <c r="O8" i="33" s="1"/>
  <c r="P8" i="33" s="1"/>
  <c r="Q8" i="33" s="1"/>
  <c r="R8" i="33" s="1"/>
  <c r="S8" i="33" s="1"/>
  <c r="T8" i="33" s="1"/>
  <c r="U8" i="33" s="1"/>
  <c r="V8" i="33" s="1"/>
  <c r="W8" i="33" s="1"/>
  <c r="X8" i="33" s="1"/>
  <c r="Y8" i="33" s="1"/>
  <c r="Z8" i="33" s="1"/>
  <c r="AA8" i="33" s="1"/>
  <c r="AB8" i="33" s="1"/>
  <c r="AC8" i="33" s="1"/>
  <c r="AD8" i="33" s="1"/>
  <c r="AE8" i="33" s="1"/>
  <c r="AF8" i="33" s="1"/>
  <c r="AG8" i="33" s="1"/>
  <c r="D9" i="33"/>
  <c r="E9" i="33" s="1"/>
  <c r="F9" i="33" s="1"/>
  <c r="G9" i="33" s="1"/>
  <c r="H9" i="33" s="1"/>
  <c r="I9" i="33" s="1"/>
  <c r="J9" i="33" s="1"/>
  <c r="K9" i="33" s="1"/>
  <c r="L9" i="33" s="1"/>
  <c r="M9" i="33" s="1"/>
  <c r="N9" i="33" s="1"/>
  <c r="O9" i="33" s="1"/>
  <c r="P9" i="33" s="1"/>
  <c r="Q9" i="33" s="1"/>
  <c r="R9" i="33" s="1"/>
  <c r="S9" i="33" s="1"/>
  <c r="T9" i="33" s="1"/>
  <c r="U9" i="33" s="1"/>
  <c r="V9" i="33" s="1"/>
  <c r="W9" i="33" s="1"/>
  <c r="X9" i="33" s="1"/>
  <c r="Y9" i="33" s="1"/>
  <c r="Z9" i="33" s="1"/>
  <c r="AA9" i="33" s="1"/>
  <c r="AB9" i="33" s="1"/>
  <c r="AC9" i="33" s="1"/>
  <c r="AD9" i="33" s="1"/>
  <c r="AE9" i="33" s="1"/>
  <c r="AF9" i="33" s="1"/>
  <c r="AG9" i="33" s="1"/>
  <c r="D10" i="33"/>
  <c r="E10" i="33" s="1"/>
  <c r="F10" i="33" s="1"/>
  <c r="G10" i="33" s="1"/>
  <c r="H10" i="33" s="1"/>
  <c r="I10" i="33" s="1"/>
  <c r="J10" i="33" s="1"/>
  <c r="K10" i="33" s="1"/>
  <c r="L10" i="33" s="1"/>
  <c r="M10" i="33" s="1"/>
  <c r="N10" i="33" s="1"/>
  <c r="O10" i="33" s="1"/>
  <c r="P10" i="33" s="1"/>
  <c r="Q10" i="33" s="1"/>
  <c r="R10" i="33" s="1"/>
  <c r="S10" i="33" s="1"/>
  <c r="T10" i="33" s="1"/>
  <c r="U10" i="33" s="1"/>
  <c r="V10" i="33" s="1"/>
  <c r="W10" i="33" s="1"/>
  <c r="X10" i="33" s="1"/>
  <c r="Y10" i="33" s="1"/>
  <c r="Z10" i="33" s="1"/>
  <c r="AA10" i="33" s="1"/>
  <c r="AB10" i="33" s="1"/>
  <c r="AC10" i="33" s="1"/>
  <c r="AD10" i="33" s="1"/>
  <c r="AE10" i="33" s="1"/>
  <c r="AF10" i="33" s="1"/>
  <c r="AG10" i="33" s="1"/>
  <c r="D11" i="33"/>
  <c r="E11" i="33" s="1"/>
  <c r="F11" i="33" s="1"/>
  <c r="G11" i="33" s="1"/>
  <c r="H11" i="33" s="1"/>
  <c r="I11" i="33" s="1"/>
  <c r="J11" i="33" s="1"/>
  <c r="K11" i="33" s="1"/>
  <c r="L11" i="33" s="1"/>
  <c r="M11" i="33" s="1"/>
  <c r="N11" i="33" s="1"/>
  <c r="O11" i="33" s="1"/>
  <c r="P11" i="33" s="1"/>
  <c r="Q11" i="33" s="1"/>
  <c r="R11" i="33" s="1"/>
  <c r="S11" i="33" s="1"/>
  <c r="T11" i="33" s="1"/>
  <c r="U11" i="33" s="1"/>
  <c r="V11" i="33" s="1"/>
  <c r="W11" i="33" s="1"/>
  <c r="X11" i="33" s="1"/>
  <c r="Y11" i="33" s="1"/>
  <c r="Z11" i="33" s="1"/>
  <c r="AA11" i="33" s="1"/>
  <c r="AB11" i="33" s="1"/>
  <c r="AC11" i="33" s="1"/>
  <c r="AD11" i="33" s="1"/>
  <c r="AE11" i="33" s="1"/>
  <c r="AF11" i="33" s="1"/>
  <c r="AG11" i="33" s="1"/>
  <c r="D12" i="33"/>
  <c r="E12" i="33" s="1"/>
  <c r="F12" i="33" s="1"/>
  <c r="G12" i="33" s="1"/>
  <c r="H12" i="33" s="1"/>
  <c r="I12" i="33" s="1"/>
  <c r="J12" i="33" s="1"/>
  <c r="K12" i="33" s="1"/>
  <c r="L12" i="33" s="1"/>
  <c r="M12" i="33" s="1"/>
  <c r="N12" i="33" s="1"/>
  <c r="O12" i="33" s="1"/>
  <c r="P12" i="33" s="1"/>
  <c r="Q12" i="33" s="1"/>
  <c r="R12" i="33" s="1"/>
  <c r="S12" i="33" s="1"/>
  <c r="T12" i="33" s="1"/>
  <c r="U12" i="33" s="1"/>
  <c r="V12" i="33" s="1"/>
  <c r="W12" i="33" s="1"/>
  <c r="X12" i="33" s="1"/>
  <c r="Y12" i="33" s="1"/>
  <c r="Z12" i="33" s="1"/>
  <c r="AA12" i="33" s="1"/>
  <c r="AB12" i="33" s="1"/>
  <c r="AC12" i="33" s="1"/>
  <c r="AD12" i="33" s="1"/>
  <c r="AE12" i="33" s="1"/>
  <c r="AF12" i="33" s="1"/>
  <c r="AG12" i="33" s="1"/>
  <c r="D13" i="33"/>
  <c r="E13" i="33" s="1"/>
  <c r="F13" i="33" s="1"/>
  <c r="G13" i="33" s="1"/>
  <c r="H13" i="33" s="1"/>
  <c r="I13" i="33" s="1"/>
  <c r="J13" i="33" s="1"/>
  <c r="K13" i="33" s="1"/>
  <c r="L13" i="33" s="1"/>
  <c r="M13" i="33" s="1"/>
  <c r="N13" i="33" s="1"/>
  <c r="O13" i="33" s="1"/>
  <c r="P13" i="33" s="1"/>
  <c r="Q13" i="33" s="1"/>
  <c r="R13" i="33" s="1"/>
  <c r="S13" i="33" s="1"/>
  <c r="T13" i="33" s="1"/>
  <c r="U13" i="33" s="1"/>
  <c r="V13" i="33" s="1"/>
  <c r="W13" i="33" s="1"/>
  <c r="X13" i="33" s="1"/>
  <c r="Y13" i="33" s="1"/>
  <c r="Z13" i="33" s="1"/>
  <c r="AA13" i="33" s="1"/>
  <c r="AB13" i="33" s="1"/>
  <c r="AC13" i="33" s="1"/>
  <c r="AD13" i="33" s="1"/>
  <c r="AE13" i="33" s="1"/>
  <c r="AF13" i="33" s="1"/>
  <c r="AG13" i="33" s="1"/>
  <c r="D14" i="33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AF14" i="33" s="1"/>
  <c r="AG14" i="33" s="1"/>
  <c r="D15" i="33"/>
  <c r="E15" i="33" s="1"/>
  <c r="F15" i="33" s="1"/>
  <c r="G15" i="33" s="1"/>
  <c r="H15" i="33" s="1"/>
  <c r="I15" i="33" s="1"/>
  <c r="J15" i="33" s="1"/>
  <c r="K15" i="33" s="1"/>
  <c r="L15" i="33" s="1"/>
  <c r="M15" i="33" s="1"/>
  <c r="N15" i="33" s="1"/>
  <c r="O15" i="33" s="1"/>
  <c r="P15" i="33" s="1"/>
  <c r="Q15" i="33" s="1"/>
  <c r="R15" i="33" s="1"/>
  <c r="S15" i="33" s="1"/>
  <c r="T15" i="33" s="1"/>
  <c r="U15" i="33" s="1"/>
  <c r="V15" i="33" s="1"/>
  <c r="W15" i="33" s="1"/>
  <c r="X15" i="33" s="1"/>
  <c r="Y15" i="33" s="1"/>
  <c r="Z15" i="33" s="1"/>
  <c r="AA15" i="33" s="1"/>
  <c r="AB15" i="33" s="1"/>
  <c r="AC15" i="33" s="1"/>
  <c r="AD15" i="33" s="1"/>
  <c r="AE15" i="33" s="1"/>
  <c r="AF15" i="33" s="1"/>
  <c r="AG15" i="33" s="1"/>
  <c r="D16" i="33"/>
  <c r="E16" i="33" s="1"/>
  <c r="F16" i="33" s="1"/>
  <c r="G16" i="33" s="1"/>
  <c r="H16" i="33" s="1"/>
  <c r="I16" i="33" s="1"/>
  <c r="J16" i="33" s="1"/>
  <c r="K16" i="33" s="1"/>
  <c r="L16" i="33" s="1"/>
  <c r="M16" i="33" s="1"/>
  <c r="N16" i="33" s="1"/>
  <c r="O16" i="33" s="1"/>
  <c r="P16" i="33" s="1"/>
  <c r="Q16" i="33" s="1"/>
  <c r="R16" i="33" s="1"/>
  <c r="S16" i="33" s="1"/>
  <c r="T16" i="33" s="1"/>
  <c r="U16" i="33" s="1"/>
  <c r="V16" i="33" s="1"/>
  <c r="W16" i="33" s="1"/>
  <c r="X16" i="33" s="1"/>
  <c r="Y16" i="33" s="1"/>
  <c r="Z16" i="33" s="1"/>
  <c r="AA16" i="33" s="1"/>
  <c r="AB16" i="33" s="1"/>
  <c r="AC16" i="33" s="1"/>
  <c r="AD16" i="33" s="1"/>
  <c r="AE16" i="33" s="1"/>
  <c r="AF16" i="33" s="1"/>
  <c r="AG16" i="33" s="1"/>
  <c r="D17" i="33"/>
  <c r="E17" i="33" s="1"/>
  <c r="F17" i="33" s="1"/>
  <c r="G17" i="33" s="1"/>
  <c r="H17" i="33" s="1"/>
  <c r="I17" i="33" s="1"/>
  <c r="J17" i="33" s="1"/>
  <c r="K17" i="33" s="1"/>
  <c r="L17" i="33" s="1"/>
  <c r="M17" i="33" s="1"/>
  <c r="N17" i="33" s="1"/>
  <c r="O17" i="33" s="1"/>
  <c r="P17" i="33" s="1"/>
  <c r="Q17" i="33" s="1"/>
  <c r="R17" i="33" s="1"/>
  <c r="S17" i="33" s="1"/>
  <c r="T17" i="33" s="1"/>
  <c r="U17" i="33" s="1"/>
  <c r="V17" i="33" s="1"/>
  <c r="W17" i="33" s="1"/>
  <c r="X17" i="33" s="1"/>
  <c r="Y17" i="33" s="1"/>
  <c r="Z17" i="33" s="1"/>
  <c r="AA17" i="33" s="1"/>
  <c r="AB17" i="33" s="1"/>
  <c r="AC17" i="33" s="1"/>
  <c r="AD17" i="33" s="1"/>
  <c r="AE17" i="33" s="1"/>
  <c r="AF17" i="33" s="1"/>
  <c r="AG17" i="33" s="1"/>
  <c r="D18" i="33"/>
  <c r="E18" i="33" s="1"/>
  <c r="F18" i="33" s="1"/>
  <c r="G18" i="33" s="1"/>
  <c r="H18" i="33" s="1"/>
  <c r="I18" i="33" s="1"/>
  <c r="J18" i="33" s="1"/>
  <c r="K18" i="33" s="1"/>
  <c r="L18" i="33" s="1"/>
  <c r="M18" i="33" s="1"/>
  <c r="N18" i="33" s="1"/>
  <c r="O18" i="33" s="1"/>
  <c r="P18" i="33" s="1"/>
  <c r="Q18" i="33" s="1"/>
  <c r="R18" i="33" s="1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AE18" i="33" s="1"/>
  <c r="AF18" i="33" s="1"/>
  <c r="AG18" i="33" s="1"/>
  <c r="C3" i="33"/>
  <c r="C4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2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23" i="29" l="1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B24" i="29"/>
  <c r="C24" i="29"/>
  <c r="D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AD24" i="29"/>
  <c r="AE24" i="29"/>
  <c r="AF24" i="29"/>
  <c r="AG24" i="29"/>
  <c r="B25" i="29"/>
  <c r="C25" i="29"/>
  <c r="D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AD25" i="29"/>
  <c r="AE25" i="29"/>
  <c r="AF25" i="29"/>
  <c r="AG25" i="29"/>
  <c r="B26" i="29"/>
  <c r="C26" i="29"/>
  <c r="D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AD26" i="29"/>
  <c r="AE26" i="29"/>
  <c r="AF26" i="29"/>
  <c r="AG26" i="29"/>
  <c r="B27" i="29"/>
  <c r="C27" i="29"/>
  <c r="D27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W27" i="29"/>
  <c r="X27" i="29"/>
  <c r="Y27" i="29"/>
  <c r="Z27" i="29"/>
  <c r="AA27" i="29"/>
  <c r="AB27" i="29"/>
  <c r="AC27" i="29"/>
  <c r="AD27" i="29"/>
  <c r="AE27" i="29"/>
  <c r="AF27" i="29"/>
  <c r="AG27" i="29"/>
  <c r="B28" i="29"/>
  <c r="C28" i="29"/>
  <c r="D28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AD28" i="29"/>
  <c r="AE28" i="29"/>
  <c r="AF28" i="29"/>
  <c r="AG28" i="29"/>
  <c r="B29" i="29"/>
  <c r="C29" i="29"/>
  <c r="D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AC29" i="29"/>
  <c r="AD29" i="29"/>
  <c r="AE29" i="29"/>
  <c r="AF29" i="29"/>
  <c r="AG29" i="29"/>
  <c r="B30" i="29"/>
  <c r="C30" i="29"/>
  <c r="D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W30" i="29"/>
  <c r="X30" i="29"/>
  <c r="Y30" i="29"/>
  <c r="Z30" i="29"/>
  <c r="AA30" i="29"/>
  <c r="AB30" i="29"/>
  <c r="AC30" i="29"/>
  <c r="AD30" i="29"/>
  <c r="AE30" i="29"/>
  <c r="AF30" i="29"/>
  <c r="AG30" i="29"/>
  <c r="B31" i="29"/>
  <c r="C31" i="29"/>
  <c r="D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AD31" i="29"/>
  <c r="AE31" i="29"/>
  <c r="AF31" i="29"/>
  <c r="AG31" i="29"/>
  <c r="B32" i="29"/>
  <c r="C32" i="29"/>
  <c r="D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AD32" i="29"/>
  <c r="AE32" i="29"/>
  <c r="AF32" i="29"/>
  <c r="AG32" i="29"/>
  <c r="B33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AD33" i="29"/>
  <c r="AE33" i="29"/>
  <c r="AF33" i="29"/>
  <c r="AG33" i="29"/>
  <c r="B34" i="29"/>
  <c r="C34" i="29"/>
  <c r="D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W34" i="29"/>
  <c r="X34" i="29"/>
  <c r="Y34" i="29"/>
  <c r="Z34" i="29"/>
  <c r="AA34" i="29"/>
  <c r="AB34" i="29"/>
  <c r="AC34" i="29"/>
  <c r="AD34" i="29"/>
  <c r="AE34" i="29"/>
  <c r="AF34" i="29"/>
  <c r="AG34" i="29"/>
  <c r="B35" i="29"/>
  <c r="C35" i="29"/>
  <c r="D35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W35" i="29"/>
  <c r="X35" i="29"/>
  <c r="Y35" i="29"/>
  <c r="Z35" i="29"/>
  <c r="AA35" i="29"/>
  <c r="AB35" i="29"/>
  <c r="AC35" i="29"/>
  <c r="AD35" i="29"/>
  <c r="AE35" i="29"/>
  <c r="AF35" i="29"/>
  <c r="AG35" i="29"/>
  <c r="B36" i="29"/>
  <c r="C36" i="29"/>
  <c r="D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AD36" i="29"/>
  <c r="AE36" i="29"/>
  <c r="AF36" i="29"/>
  <c r="AG36" i="29"/>
  <c r="B37" i="29"/>
  <c r="C37" i="29"/>
  <c r="D37" i="29"/>
  <c r="E37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W37" i="29"/>
  <c r="X37" i="29"/>
  <c r="Y37" i="29"/>
  <c r="Z37" i="29"/>
  <c r="AA37" i="29"/>
  <c r="AB37" i="29"/>
  <c r="AC37" i="29"/>
  <c r="AD37" i="29"/>
  <c r="AE37" i="29"/>
  <c r="AF37" i="29"/>
  <c r="AG37" i="29"/>
  <c r="B38" i="29"/>
  <c r="C38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B39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W39" i="29"/>
  <c r="X39" i="29"/>
  <c r="Y39" i="29"/>
  <c r="Z39" i="29"/>
  <c r="AA39" i="29"/>
  <c r="AB39" i="29"/>
  <c r="AC39" i="29"/>
  <c r="AD39" i="29"/>
  <c r="AE39" i="29"/>
  <c r="AF39" i="29"/>
  <c r="AG39" i="29"/>
  <c r="M2" i="30" l="1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M3" i="30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M4" i="30"/>
  <c r="N4" i="30" s="1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E4" i="30" s="1"/>
  <c r="AF4" i="30" s="1"/>
  <c r="AG4" i="30" s="1"/>
  <c r="M5" i="30"/>
  <c r="N5" i="30" s="1"/>
  <c r="O5" i="30" s="1"/>
  <c r="P5" i="30" s="1"/>
  <c r="Q5" i="30" s="1"/>
  <c r="R5" i="30" s="1"/>
  <c r="S5" i="30" s="1"/>
  <c r="T5" i="30" s="1"/>
  <c r="U5" i="30" s="1"/>
  <c r="V5" i="30" s="1"/>
  <c r="W5" i="30" s="1"/>
  <c r="X5" i="30" s="1"/>
  <c r="Y5" i="30" s="1"/>
  <c r="Z5" i="30" s="1"/>
  <c r="AA5" i="30" s="1"/>
  <c r="AB5" i="30" s="1"/>
  <c r="AC5" i="30" s="1"/>
  <c r="AD5" i="30" s="1"/>
  <c r="AE5" i="30" s="1"/>
  <c r="AF5" i="30" s="1"/>
  <c r="AG5" i="30" s="1"/>
  <c r="M6" i="30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AD6" i="30" s="1"/>
  <c r="AE6" i="30" s="1"/>
  <c r="AF6" i="30" s="1"/>
  <c r="AG6" i="30" s="1"/>
  <c r="M7" i="30"/>
  <c r="N7" i="30" s="1"/>
  <c r="O7" i="30" s="1"/>
  <c r="P7" i="30" s="1"/>
  <c r="Q7" i="30" s="1"/>
  <c r="R7" i="30" s="1"/>
  <c r="S7" i="30" s="1"/>
  <c r="T7" i="30" s="1"/>
  <c r="U7" i="30" s="1"/>
  <c r="V7" i="30" s="1"/>
  <c r="W7" i="30" s="1"/>
  <c r="X7" i="30" s="1"/>
  <c r="Y7" i="30" s="1"/>
  <c r="Z7" i="30" s="1"/>
  <c r="AA7" i="30" s="1"/>
  <c r="AB7" i="30" s="1"/>
  <c r="AC7" i="30" s="1"/>
  <c r="AD7" i="30" s="1"/>
  <c r="AE7" i="30" s="1"/>
  <c r="AF7" i="30" s="1"/>
  <c r="AG7" i="30" s="1"/>
  <c r="M8" i="30"/>
  <c r="N8" i="30" s="1"/>
  <c r="O8" i="30" s="1"/>
  <c r="P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AC8" i="30" s="1"/>
  <c r="AD8" i="30" s="1"/>
  <c r="AE8" i="30" s="1"/>
  <c r="AF8" i="30" s="1"/>
  <c r="AG8" i="30" s="1"/>
  <c r="M9" i="30"/>
  <c r="N9" i="30" s="1"/>
  <c r="O9" i="30" s="1"/>
  <c r="P9" i="30" s="1"/>
  <c r="Q9" i="30" s="1"/>
  <c r="R9" i="30" s="1"/>
  <c r="S9" i="30" s="1"/>
  <c r="T9" i="30" s="1"/>
  <c r="U9" i="30" s="1"/>
  <c r="V9" i="30" s="1"/>
  <c r="W9" i="30" s="1"/>
  <c r="X9" i="30" s="1"/>
  <c r="Y9" i="30" s="1"/>
  <c r="Z9" i="30" s="1"/>
  <c r="AA9" i="30" s="1"/>
  <c r="AB9" i="30" s="1"/>
  <c r="AC9" i="30" s="1"/>
  <c r="AD9" i="30" s="1"/>
  <c r="AE9" i="30" s="1"/>
  <c r="AF9" i="30" s="1"/>
  <c r="AG9" i="30" s="1"/>
  <c r="M10" i="30"/>
  <c r="N10" i="30" s="1"/>
  <c r="O10" i="30" s="1"/>
  <c r="P10" i="30" s="1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30" s="1"/>
  <c r="AD10" i="30" s="1"/>
  <c r="AE10" i="30" s="1"/>
  <c r="AF10" i="30" s="1"/>
  <c r="AG10" i="30" s="1"/>
  <c r="M12" i="30"/>
  <c r="N12" i="30" s="1"/>
  <c r="O12" i="30" s="1"/>
  <c r="P12" i="30" s="1"/>
  <c r="Q12" i="30" s="1"/>
  <c r="R12" i="30" s="1"/>
  <c r="S12" i="30" s="1"/>
  <c r="T12" i="30" s="1"/>
  <c r="U12" i="30" s="1"/>
  <c r="V12" i="30" s="1"/>
  <c r="W12" i="30" s="1"/>
  <c r="X12" i="30" s="1"/>
  <c r="Y12" i="30" s="1"/>
  <c r="Z12" i="30" s="1"/>
  <c r="AA12" i="30" s="1"/>
  <c r="AB12" i="30" s="1"/>
  <c r="AC12" i="30" s="1"/>
  <c r="AD12" i="30" s="1"/>
  <c r="AE12" i="30" s="1"/>
  <c r="AF12" i="30" s="1"/>
  <c r="AG12" i="30" s="1"/>
  <c r="M13" i="30"/>
  <c r="N13" i="30" s="1"/>
  <c r="O13" i="30" s="1"/>
  <c r="P13" i="30" s="1"/>
  <c r="Q13" i="30" s="1"/>
  <c r="R13" i="30" s="1"/>
  <c r="S13" i="30" s="1"/>
  <c r="T13" i="30" s="1"/>
  <c r="U13" i="30" s="1"/>
  <c r="V13" i="30" s="1"/>
  <c r="W13" i="30" s="1"/>
  <c r="X13" i="30" s="1"/>
  <c r="Y13" i="30" s="1"/>
  <c r="Z13" i="30" s="1"/>
  <c r="AA13" i="30" s="1"/>
  <c r="AB13" i="30" s="1"/>
  <c r="AC13" i="30" s="1"/>
  <c r="AD13" i="30" s="1"/>
  <c r="AE13" i="30" s="1"/>
  <c r="AF13" i="30" s="1"/>
  <c r="AG13" i="30" s="1"/>
  <c r="M14" i="30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AG14" i="30" s="1"/>
  <c r="M15" i="30"/>
  <c r="N15" i="30" s="1"/>
  <c r="O15" i="30" s="1"/>
  <c r="P15" i="30" s="1"/>
  <c r="Q15" i="30" s="1"/>
  <c r="R15" i="30" s="1"/>
  <c r="S15" i="30" s="1"/>
  <c r="T15" i="30" s="1"/>
  <c r="U15" i="30" s="1"/>
  <c r="V15" i="30" s="1"/>
  <c r="W15" i="30" s="1"/>
  <c r="X15" i="30" s="1"/>
  <c r="Y15" i="30" s="1"/>
  <c r="Z15" i="30" s="1"/>
  <c r="AA15" i="30" s="1"/>
  <c r="AB15" i="30" s="1"/>
  <c r="AC15" i="30" s="1"/>
  <c r="AD15" i="30" s="1"/>
  <c r="AE15" i="30" s="1"/>
  <c r="AF15" i="30" s="1"/>
  <c r="AG15" i="30" s="1"/>
  <c r="M16" i="30"/>
  <c r="N16" i="30" s="1"/>
  <c r="O16" i="30" s="1"/>
  <c r="P16" i="30" s="1"/>
  <c r="Q16" i="30" s="1"/>
  <c r="R16" i="30" s="1"/>
  <c r="S16" i="30" s="1"/>
  <c r="T16" i="30" s="1"/>
  <c r="U16" i="30" s="1"/>
  <c r="V16" i="30" s="1"/>
  <c r="W16" i="30" s="1"/>
  <c r="X16" i="30" s="1"/>
  <c r="Y16" i="30" s="1"/>
  <c r="Z16" i="30" s="1"/>
  <c r="AA16" i="30" s="1"/>
  <c r="AB16" i="30" s="1"/>
  <c r="AC16" i="30" s="1"/>
  <c r="AD16" i="30" s="1"/>
  <c r="AE16" i="30" s="1"/>
  <c r="AF16" i="30" s="1"/>
  <c r="AG16" i="30" s="1"/>
  <c r="M17" i="30"/>
  <c r="N17" i="30" s="1"/>
  <c r="O17" i="30" s="1"/>
  <c r="P17" i="30" s="1"/>
  <c r="Q17" i="30" s="1"/>
  <c r="R17" i="30" s="1"/>
  <c r="S17" i="30" s="1"/>
  <c r="T17" i="30" s="1"/>
  <c r="U17" i="30" s="1"/>
  <c r="V17" i="30" s="1"/>
  <c r="W17" i="30" s="1"/>
  <c r="X17" i="30" s="1"/>
  <c r="Y17" i="30" s="1"/>
  <c r="Z17" i="30" s="1"/>
  <c r="AA17" i="30" s="1"/>
  <c r="AB17" i="30" s="1"/>
  <c r="AC17" i="30" s="1"/>
  <c r="AD17" i="30" s="1"/>
  <c r="AE17" i="30" s="1"/>
  <c r="AF17" i="30" s="1"/>
  <c r="AG17" i="30" s="1"/>
  <c r="M18" i="30"/>
  <c r="N18" i="30" s="1"/>
  <c r="O18" i="30" s="1"/>
  <c r="P18" i="30" s="1"/>
  <c r="Q18" i="30" s="1"/>
  <c r="R18" i="30" s="1"/>
  <c r="S18" i="30" s="1"/>
  <c r="T18" i="30" s="1"/>
  <c r="U18" i="30" s="1"/>
  <c r="V18" i="30" s="1"/>
  <c r="W18" i="30" s="1"/>
  <c r="X18" i="30" s="1"/>
  <c r="Y18" i="30" s="1"/>
  <c r="Z18" i="30" s="1"/>
  <c r="AA18" i="30" s="1"/>
  <c r="AB18" i="30" s="1"/>
  <c r="AC18" i="30" s="1"/>
  <c r="AD18" i="30" s="1"/>
  <c r="AE18" i="30" s="1"/>
  <c r="AF18" i="30" s="1"/>
  <c r="AG18" i="30" s="1"/>
  <c r="M11" i="30" l="1"/>
  <c r="N11" i="30" s="1"/>
  <c r="O11" i="30" s="1"/>
  <c r="P11" i="30" s="1"/>
  <c r="Q11" i="30" s="1"/>
  <c r="R11" i="30" s="1"/>
  <c r="S11" i="30" s="1"/>
  <c r="T11" i="30" s="1"/>
  <c r="U11" i="30" s="1"/>
  <c r="V11" i="30" s="1"/>
  <c r="W11" i="30" s="1"/>
  <c r="X11" i="30" s="1"/>
  <c r="Y11" i="30" s="1"/>
  <c r="Z11" i="30" s="1"/>
  <c r="AA11" i="30" s="1"/>
  <c r="AB11" i="30" s="1"/>
  <c r="AC11" i="30" s="1"/>
  <c r="AD11" i="30" s="1"/>
  <c r="AE11" i="30" s="1"/>
  <c r="AF11" i="30" s="1"/>
  <c r="AG11" i="30" s="1"/>
  <c r="X3" i="29" l="1"/>
  <c r="Y3" i="29" s="1"/>
  <c r="Z3" i="29" s="1"/>
  <c r="AA3" i="29" s="1"/>
  <c r="AB3" i="29" s="1"/>
  <c r="AC3" i="29" s="1"/>
  <c r="AD3" i="29" s="1"/>
  <c r="AE3" i="29" s="1"/>
  <c r="AF3" i="29" s="1"/>
  <c r="X4" i="29"/>
  <c r="Y4" i="29" s="1"/>
  <c r="Z4" i="29" s="1"/>
  <c r="AA4" i="29" s="1"/>
  <c r="AB4" i="29" s="1"/>
  <c r="AC4" i="29" s="1"/>
  <c r="AD4" i="29" s="1"/>
  <c r="AE4" i="29" s="1"/>
  <c r="AF4" i="29" s="1"/>
  <c r="X5" i="29"/>
  <c r="X6" i="29"/>
  <c r="Y6" i="29" s="1"/>
  <c r="Z6" i="29" s="1"/>
  <c r="X7" i="29"/>
  <c r="Y7" i="29" s="1"/>
  <c r="Z7" i="29" s="1"/>
  <c r="AA7" i="29" s="1"/>
  <c r="AB7" i="29" s="1"/>
  <c r="AC7" i="29" s="1"/>
  <c r="AD7" i="29" s="1"/>
  <c r="AE7" i="29" s="1"/>
  <c r="AF7" i="29" s="1"/>
  <c r="X8" i="29"/>
  <c r="Y8" i="29" s="1"/>
  <c r="Z8" i="29" s="1"/>
  <c r="AA8" i="29" s="1"/>
  <c r="AB8" i="29" s="1"/>
  <c r="AC8" i="29" s="1"/>
  <c r="AD8" i="29" s="1"/>
  <c r="AE8" i="29" s="1"/>
  <c r="AF8" i="29" s="1"/>
  <c r="X9" i="29"/>
  <c r="Y9" i="29" s="1"/>
  <c r="Z9" i="29" s="1"/>
  <c r="AA9" i="29" s="1"/>
  <c r="AB9" i="29" s="1"/>
  <c r="AC9" i="29" s="1"/>
  <c r="AD9" i="29" s="1"/>
  <c r="AE9" i="29" s="1"/>
  <c r="AF9" i="29" s="1"/>
  <c r="X10" i="29"/>
  <c r="X11" i="29"/>
  <c r="Y11" i="29" s="1"/>
  <c r="Z11" i="29" s="1"/>
  <c r="AA11" i="29" s="1"/>
  <c r="AB11" i="29" s="1"/>
  <c r="AC11" i="29" s="1"/>
  <c r="AD11" i="29" s="1"/>
  <c r="AE11" i="29" s="1"/>
  <c r="AF11" i="29" s="1"/>
  <c r="X12" i="29"/>
  <c r="Y12" i="29" s="1"/>
  <c r="Z12" i="29" s="1"/>
  <c r="AA12" i="29" s="1"/>
  <c r="AB12" i="29" s="1"/>
  <c r="AC12" i="29" s="1"/>
  <c r="AD12" i="29" s="1"/>
  <c r="AE12" i="29" s="1"/>
  <c r="AF12" i="29" s="1"/>
  <c r="X13" i="29"/>
  <c r="Y13" i="29" s="1"/>
  <c r="Z13" i="29" s="1"/>
  <c r="AA13" i="29" s="1"/>
  <c r="AB13" i="29" s="1"/>
  <c r="AC13" i="29" s="1"/>
  <c r="AD13" i="29" s="1"/>
  <c r="AE13" i="29" s="1"/>
  <c r="AF13" i="29" s="1"/>
  <c r="X14" i="29"/>
  <c r="Y14" i="29" s="1"/>
  <c r="Z14" i="29" s="1"/>
  <c r="X15" i="29"/>
  <c r="Y15" i="29" s="1"/>
  <c r="Z15" i="29" s="1"/>
  <c r="AA15" i="29" s="1"/>
  <c r="AB15" i="29" s="1"/>
  <c r="AC15" i="29" s="1"/>
  <c r="AD15" i="29" s="1"/>
  <c r="AE15" i="29" s="1"/>
  <c r="AF15" i="29" s="1"/>
  <c r="X16" i="29"/>
  <c r="Y16" i="29" s="1"/>
  <c r="Z16" i="29" s="1"/>
  <c r="AA16" i="29" s="1"/>
  <c r="AB16" i="29" s="1"/>
  <c r="AC16" i="29" s="1"/>
  <c r="AD16" i="29" s="1"/>
  <c r="AE16" i="29" s="1"/>
  <c r="AF16" i="29" s="1"/>
  <c r="X17" i="29"/>
  <c r="Y17" i="29" s="1"/>
  <c r="Z17" i="29" s="1"/>
  <c r="X18" i="29"/>
  <c r="Y18" i="29" s="1"/>
  <c r="X2" i="29"/>
  <c r="Y2" i="29" s="1"/>
  <c r="N3" i="29"/>
  <c r="O3" i="29" s="1"/>
  <c r="P3" i="29" s="1"/>
  <c r="Q3" i="29" s="1"/>
  <c r="R3" i="29" s="1"/>
  <c r="S3" i="29" s="1"/>
  <c r="T3" i="29" s="1"/>
  <c r="U3" i="29" s="1"/>
  <c r="V3" i="29" s="1"/>
  <c r="N4" i="29"/>
  <c r="O4" i="29"/>
  <c r="P4" i="29" s="1"/>
  <c r="Q4" i="29" s="1"/>
  <c r="R4" i="29" s="1"/>
  <c r="S4" i="29" s="1"/>
  <c r="T4" i="29" s="1"/>
  <c r="U4" i="29" s="1"/>
  <c r="V4" i="29" s="1"/>
  <c r="N5" i="29"/>
  <c r="O5" i="29" s="1"/>
  <c r="P5" i="29" s="1"/>
  <c r="Q5" i="29" s="1"/>
  <c r="R5" i="29" s="1"/>
  <c r="S5" i="29" s="1"/>
  <c r="T5" i="29" s="1"/>
  <c r="U5" i="29" s="1"/>
  <c r="V5" i="29" s="1"/>
  <c r="N6" i="29"/>
  <c r="O6" i="29" s="1"/>
  <c r="P6" i="29" s="1"/>
  <c r="Q6" i="29" s="1"/>
  <c r="R6" i="29" s="1"/>
  <c r="S6" i="29" s="1"/>
  <c r="T6" i="29" s="1"/>
  <c r="U6" i="29" s="1"/>
  <c r="V6" i="29" s="1"/>
  <c r="N7" i="29"/>
  <c r="O7" i="29" s="1"/>
  <c r="P7" i="29" s="1"/>
  <c r="Q7" i="29" s="1"/>
  <c r="R7" i="29" s="1"/>
  <c r="S7" i="29" s="1"/>
  <c r="T7" i="29" s="1"/>
  <c r="U7" i="29" s="1"/>
  <c r="V7" i="29" s="1"/>
  <c r="N8" i="29"/>
  <c r="O8" i="29"/>
  <c r="P8" i="29" s="1"/>
  <c r="Q8" i="29" s="1"/>
  <c r="R8" i="29" s="1"/>
  <c r="S8" i="29" s="1"/>
  <c r="T8" i="29" s="1"/>
  <c r="U8" i="29" s="1"/>
  <c r="V8" i="29" s="1"/>
  <c r="N9" i="29"/>
  <c r="O9" i="29"/>
  <c r="P9" i="29" s="1"/>
  <c r="Q9" i="29" s="1"/>
  <c r="R9" i="29" s="1"/>
  <c r="S9" i="29" s="1"/>
  <c r="T9" i="29" s="1"/>
  <c r="U9" i="29" s="1"/>
  <c r="V9" i="29" s="1"/>
  <c r="N10" i="29"/>
  <c r="O10" i="29" s="1"/>
  <c r="P10" i="29" s="1"/>
  <c r="Q10" i="29" s="1"/>
  <c r="R10" i="29" s="1"/>
  <c r="S10" i="29" s="1"/>
  <c r="T10" i="29" s="1"/>
  <c r="U10" i="29" s="1"/>
  <c r="V10" i="29" s="1"/>
  <c r="N11" i="29"/>
  <c r="O11" i="29" s="1"/>
  <c r="P11" i="29" s="1"/>
  <c r="Q11" i="29" s="1"/>
  <c r="R11" i="29" s="1"/>
  <c r="S11" i="29" s="1"/>
  <c r="T11" i="29" s="1"/>
  <c r="U11" i="29" s="1"/>
  <c r="V11" i="29" s="1"/>
  <c r="N12" i="29"/>
  <c r="O12" i="29"/>
  <c r="P12" i="29" s="1"/>
  <c r="Q12" i="29" s="1"/>
  <c r="R12" i="29" s="1"/>
  <c r="S12" i="29" s="1"/>
  <c r="T12" i="29" s="1"/>
  <c r="U12" i="29" s="1"/>
  <c r="V12" i="29" s="1"/>
  <c r="N13" i="29"/>
  <c r="O13" i="29"/>
  <c r="P13" i="29" s="1"/>
  <c r="Q13" i="29" s="1"/>
  <c r="R13" i="29" s="1"/>
  <c r="S13" i="29" s="1"/>
  <c r="T13" i="29" s="1"/>
  <c r="U13" i="29" s="1"/>
  <c r="V13" i="29" s="1"/>
  <c r="N14" i="29"/>
  <c r="O14" i="29" s="1"/>
  <c r="P14" i="29" s="1"/>
  <c r="Q14" i="29" s="1"/>
  <c r="R14" i="29" s="1"/>
  <c r="S14" i="29" s="1"/>
  <c r="T14" i="29" s="1"/>
  <c r="U14" i="29" s="1"/>
  <c r="V14" i="29" s="1"/>
  <c r="N15" i="29"/>
  <c r="O15" i="29" s="1"/>
  <c r="P15" i="29" s="1"/>
  <c r="Q15" i="29" s="1"/>
  <c r="R15" i="29" s="1"/>
  <c r="S15" i="29" s="1"/>
  <c r="T15" i="29" s="1"/>
  <c r="U15" i="29" s="1"/>
  <c r="V15" i="29" s="1"/>
  <c r="N16" i="29"/>
  <c r="O16" i="29" s="1"/>
  <c r="P16" i="29" s="1"/>
  <c r="Q16" i="29" s="1"/>
  <c r="R16" i="29" s="1"/>
  <c r="S16" i="29" s="1"/>
  <c r="T16" i="29" s="1"/>
  <c r="U16" i="29" s="1"/>
  <c r="V16" i="29" s="1"/>
  <c r="N17" i="29"/>
  <c r="O17" i="29" s="1"/>
  <c r="P17" i="29" s="1"/>
  <c r="Q17" i="29" s="1"/>
  <c r="R17" i="29" s="1"/>
  <c r="S17" i="29" s="1"/>
  <c r="T17" i="29" s="1"/>
  <c r="U17" i="29" s="1"/>
  <c r="V17" i="29" s="1"/>
  <c r="N18" i="29"/>
  <c r="O18" i="29" s="1"/>
  <c r="P18" i="29" s="1"/>
  <c r="Q18" i="29" s="1"/>
  <c r="R18" i="29" s="1"/>
  <c r="S18" i="29" s="1"/>
  <c r="T18" i="29" s="1"/>
  <c r="U18" i="29" s="1"/>
  <c r="V18" i="29" s="1"/>
  <c r="N2" i="29"/>
  <c r="O2" i="29" s="1"/>
  <c r="P2" i="29" s="1"/>
  <c r="Q2" i="29" s="1"/>
  <c r="R2" i="29" s="1"/>
  <c r="S2" i="29" s="1"/>
  <c r="T2" i="29" s="1"/>
  <c r="U2" i="29" s="1"/>
  <c r="V2" i="29" s="1"/>
  <c r="C5" i="29"/>
  <c r="C6" i="29"/>
  <c r="C6" i="30" s="1"/>
  <c r="C7" i="29"/>
  <c r="C7" i="30" s="1"/>
  <c r="C17" i="29"/>
  <c r="C18" i="29"/>
  <c r="C18" i="30" s="1"/>
  <c r="D18" i="29"/>
  <c r="D18" i="30" s="1"/>
  <c r="E18" i="29"/>
  <c r="B3" i="29"/>
  <c r="B3" i="30" s="1"/>
  <c r="B4" i="29"/>
  <c r="B4" i="30" s="1"/>
  <c r="B5" i="29"/>
  <c r="B5" i="30" s="1"/>
  <c r="B6" i="29"/>
  <c r="B6" i="30" s="1"/>
  <c r="B7" i="29"/>
  <c r="B7" i="30" s="1"/>
  <c r="B8" i="29"/>
  <c r="B8" i="30" s="1"/>
  <c r="B9" i="29"/>
  <c r="B9" i="30" s="1"/>
  <c r="B10" i="29"/>
  <c r="B10" i="30" s="1"/>
  <c r="B11" i="29"/>
  <c r="B11" i="30" s="1"/>
  <c r="B12" i="29"/>
  <c r="B12" i="30" s="1"/>
  <c r="B13" i="29"/>
  <c r="B13" i="30" s="1"/>
  <c r="B14" i="29"/>
  <c r="B14" i="30" s="1"/>
  <c r="B15" i="29"/>
  <c r="B15" i="30" s="1"/>
  <c r="B16" i="29"/>
  <c r="B16" i="30" s="1"/>
  <c r="B17" i="29"/>
  <c r="B17" i="30" s="1"/>
  <c r="B18" i="29"/>
  <c r="B18" i="30" s="1"/>
  <c r="B2" i="29"/>
  <c r="B2" i="30" s="1"/>
  <c r="C13" i="29" l="1"/>
  <c r="C4" i="29"/>
  <c r="C8" i="29"/>
  <c r="C8" i="30" s="1"/>
  <c r="D6" i="29"/>
  <c r="D6" i="30" s="1"/>
  <c r="C16" i="29"/>
  <c r="D7" i="29"/>
  <c r="E7" i="29" s="1"/>
  <c r="E6" i="29"/>
  <c r="D17" i="29"/>
  <c r="C17" i="30"/>
  <c r="C12" i="29"/>
  <c r="C11" i="29"/>
  <c r="D5" i="29"/>
  <c r="C5" i="30"/>
  <c r="F18" i="29"/>
  <c r="E18" i="30"/>
  <c r="C15" i="29"/>
  <c r="C10" i="29"/>
  <c r="C3" i="29"/>
  <c r="C9" i="29"/>
  <c r="C14" i="29"/>
  <c r="D8" i="29"/>
  <c r="AA17" i="29"/>
  <c r="AA14" i="29"/>
  <c r="Y10" i="29"/>
  <c r="AA6" i="29"/>
  <c r="Y5" i="29"/>
  <c r="Z18" i="29"/>
  <c r="Z2" i="29"/>
  <c r="U2" i="2"/>
  <c r="U3" i="2"/>
  <c r="G3" i="2" s="1"/>
  <c r="D7" i="30" l="1"/>
  <c r="C4" i="30"/>
  <c r="D4" i="29"/>
  <c r="C16" i="30"/>
  <c r="D16" i="29"/>
  <c r="C13" i="30"/>
  <c r="D13" i="29"/>
  <c r="E5" i="29"/>
  <c r="D5" i="30"/>
  <c r="G18" i="29"/>
  <c r="F18" i="30"/>
  <c r="C14" i="30"/>
  <c r="D14" i="29"/>
  <c r="F6" i="29"/>
  <c r="E6" i="30"/>
  <c r="D8" i="30"/>
  <c r="E8" i="29"/>
  <c r="D11" i="29"/>
  <c r="C11" i="30"/>
  <c r="C12" i="30"/>
  <c r="D12" i="29"/>
  <c r="D3" i="29"/>
  <c r="C3" i="30"/>
  <c r="C10" i="30"/>
  <c r="D10" i="29"/>
  <c r="D9" i="29"/>
  <c r="C9" i="30"/>
  <c r="E17" i="29"/>
  <c r="D17" i="30"/>
  <c r="D15" i="29"/>
  <c r="C15" i="30"/>
  <c r="F7" i="29"/>
  <c r="E7" i="30"/>
  <c r="AB17" i="29"/>
  <c r="AB14" i="29"/>
  <c r="Z10" i="29"/>
  <c r="AB6" i="29"/>
  <c r="Z5" i="29"/>
  <c r="AA18" i="29"/>
  <c r="AA2" i="29"/>
  <c r="G2" i="2"/>
  <c r="E16" i="29" l="1"/>
  <c r="D16" i="30"/>
  <c r="D4" i="30"/>
  <c r="E4" i="29"/>
  <c r="D13" i="30"/>
  <c r="E13" i="29"/>
  <c r="E8" i="30"/>
  <c r="F8" i="29"/>
  <c r="G6" i="29"/>
  <c r="F6" i="30"/>
  <c r="D14" i="30"/>
  <c r="E14" i="29"/>
  <c r="H18" i="29"/>
  <c r="G18" i="30"/>
  <c r="E11" i="29"/>
  <c r="D11" i="30"/>
  <c r="G7" i="29"/>
  <c r="F7" i="30"/>
  <c r="E15" i="29"/>
  <c r="D15" i="30"/>
  <c r="E3" i="29"/>
  <c r="D3" i="30"/>
  <c r="D12" i="30"/>
  <c r="E12" i="29"/>
  <c r="E10" i="29"/>
  <c r="D10" i="30"/>
  <c r="F17" i="29"/>
  <c r="E17" i="30"/>
  <c r="E9" i="29"/>
  <c r="D9" i="30"/>
  <c r="F5" i="29"/>
  <c r="E5" i="30"/>
  <c r="AC17" i="29"/>
  <c r="AC14" i="29"/>
  <c r="AA10" i="29"/>
  <c r="AC6" i="29"/>
  <c r="AA5" i="29"/>
  <c r="AB18" i="29"/>
  <c r="AB2" i="29"/>
  <c r="G35" i="2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F13" i="29" l="1"/>
  <c r="E13" i="30"/>
  <c r="F4" i="29"/>
  <c r="E4" i="30"/>
  <c r="E16" i="30"/>
  <c r="F16" i="29"/>
  <c r="F11" i="29"/>
  <c r="E11" i="30"/>
  <c r="E14" i="30"/>
  <c r="F14" i="29"/>
  <c r="F3" i="29"/>
  <c r="E3" i="30"/>
  <c r="H6" i="29"/>
  <c r="G6" i="30"/>
  <c r="G5" i="29"/>
  <c r="F5" i="30"/>
  <c r="I18" i="29"/>
  <c r="H18" i="30"/>
  <c r="F9" i="29"/>
  <c r="E9" i="30"/>
  <c r="G17" i="29"/>
  <c r="F17" i="30"/>
  <c r="G8" i="29"/>
  <c r="F8" i="30"/>
  <c r="F12" i="29"/>
  <c r="E12" i="30"/>
  <c r="F15" i="29"/>
  <c r="E15" i="30"/>
  <c r="F10" i="29"/>
  <c r="E10" i="30"/>
  <c r="H7" i="29"/>
  <c r="G7" i="30"/>
  <c r="AD17" i="29"/>
  <c r="AD14" i="29"/>
  <c r="AB10" i="29"/>
  <c r="AD6" i="29"/>
  <c r="AB5" i="29"/>
  <c r="AC18" i="29"/>
  <c r="AC2" i="29"/>
  <c r="F16" i="30" l="1"/>
  <c r="G16" i="29"/>
  <c r="F4" i="30"/>
  <c r="G4" i="29"/>
  <c r="G13" i="29"/>
  <c r="F13" i="30"/>
  <c r="G14" i="29"/>
  <c r="F14" i="30"/>
  <c r="G3" i="29"/>
  <c r="F3" i="30"/>
  <c r="I7" i="29"/>
  <c r="H7" i="30"/>
  <c r="G9" i="29"/>
  <c r="F9" i="30"/>
  <c r="J18" i="29"/>
  <c r="I18" i="30"/>
  <c r="I6" i="29"/>
  <c r="H6" i="30"/>
  <c r="H8" i="29"/>
  <c r="G8" i="30"/>
  <c r="G10" i="29"/>
  <c r="F10" i="30"/>
  <c r="H17" i="29"/>
  <c r="G17" i="30"/>
  <c r="G15" i="29"/>
  <c r="F15" i="30"/>
  <c r="G12" i="29"/>
  <c r="F12" i="30"/>
  <c r="H5" i="29"/>
  <c r="G5" i="30"/>
  <c r="G11" i="29"/>
  <c r="F11" i="30"/>
  <c r="AE17" i="29"/>
  <c r="AE14" i="29"/>
  <c r="AC10" i="29"/>
  <c r="AE6" i="29"/>
  <c r="AC5" i="29"/>
  <c r="AD18" i="29"/>
  <c r="AD2" i="2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G13" i="30" l="1"/>
  <c r="H13" i="29"/>
  <c r="H4" i="29"/>
  <c r="G4" i="30"/>
  <c r="H16" i="29"/>
  <c r="G16" i="30"/>
  <c r="K18" i="29"/>
  <c r="J18" i="30"/>
  <c r="H9" i="29"/>
  <c r="G9" i="30"/>
  <c r="H11" i="29"/>
  <c r="G11" i="30"/>
  <c r="I8" i="29"/>
  <c r="H8" i="30"/>
  <c r="H14" i="29"/>
  <c r="G14" i="30"/>
  <c r="J7" i="29"/>
  <c r="I7" i="30"/>
  <c r="I5" i="29"/>
  <c r="H5" i="30"/>
  <c r="H3" i="29"/>
  <c r="G3" i="30"/>
  <c r="H12" i="29"/>
  <c r="G12" i="30"/>
  <c r="I17" i="29"/>
  <c r="H17" i="30"/>
  <c r="H10" i="29"/>
  <c r="G10" i="30"/>
  <c r="J6" i="29"/>
  <c r="I6" i="30"/>
  <c r="H15" i="29"/>
  <c r="G15" i="30"/>
  <c r="AF17" i="29"/>
  <c r="AF14" i="29"/>
  <c r="AD10" i="29"/>
  <c r="AF6" i="29"/>
  <c r="AD5" i="29"/>
  <c r="AE18" i="29"/>
  <c r="AE2" i="29"/>
  <c r="B3" i="20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H4" i="30" l="1"/>
  <c r="I4" i="29"/>
  <c r="I16" i="29"/>
  <c r="H16" i="30"/>
  <c r="I13" i="29"/>
  <c r="H13" i="30"/>
  <c r="K7" i="29"/>
  <c r="J7" i="30"/>
  <c r="J8" i="29"/>
  <c r="I8" i="30"/>
  <c r="I11" i="29"/>
  <c r="H11" i="30"/>
  <c r="I3" i="29"/>
  <c r="H3" i="30"/>
  <c r="I9" i="29"/>
  <c r="H9" i="30"/>
  <c r="I10" i="29"/>
  <c r="H10" i="30"/>
  <c r="J17" i="29"/>
  <c r="I17" i="30"/>
  <c r="I12" i="29"/>
  <c r="H12" i="30"/>
  <c r="I14" i="29"/>
  <c r="H14" i="30"/>
  <c r="I15" i="29"/>
  <c r="H15" i="30"/>
  <c r="K6" i="29"/>
  <c r="J6" i="30"/>
  <c r="J5" i="29"/>
  <c r="I5" i="30"/>
  <c r="L18" i="29"/>
  <c r="L18" i="30" s="1"/>
  <c r="K18" i="30"/>
  <c r="AE10" i="29"/>
  <c r="AE5" i="29"/>
  <c r="AF18" i="29"/>
  <c r="AF2" i="29"/>
  <c r="B24" i="12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I16" i="30" l="1"/>
  <c r="J16" i="29"/>
  <c r="J13" i="29"/>
  <c r="I13" i="30"/>
  <c r="I4" i="30"/>
  <c r="J4" i="29"/>
  <c r="J3" i="29"/>
  <c r="I3" i="30"/>
  <c r="J9" i="29"/>
  <c r="I9" i="30"/>
  <c r="K17" i="29"/>
  <c r="J17" i="30"/>
  <c r="K8" i="29"/>
  <c r="J8" i="30"/>
  <c r="J11" i="29"/>
  <c r="I11" i="30"/>
  <c r="K5" i="29"/>
  <c r="J5" i="30"/>
  <c r="J14" i="29"/>
  <c r="I14" i="30"/>
  <c r="J12" i="29"/>
  <c r="I12" i="30"/>
  <c r="L6" i="29"/>
  <c r="L6" i="30" s="1"/>
  <c r="K6" i="30"/>
  <c r="J15" i="29"/>
  <c r="I15" i="30"/>
  <c r="J10" i="29"/>
  <c r="I10" i="30"/>
  <c r="L7" i="29"/>
  <c r="L7" i="30" s="1"/>
  <c r="K7" i="30"/>
  <c r="AF10" i="29"/>
  <c r="AF5" i="29"/>
  <c r="B3" i="5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J4" i="30" l="1"/>
  <c r="K4" i="29"/>
  <c r="K13" i="29"/>
  <c r="J13" i="30"/>
  <c r="K16" i="29"/>
  <c r="J16" i="30"/>
  <c r="L5" i="29"/>
  <c r="L5" i="30" s="1"/>
  <c r="K5" i="30"/>
  <c r="K12" i="29"/>
  <c r="J12" i="30"/>
  <c r="K11" i="29"/>
  <c r="J11" i="30"/>
  <c r="K14" i="29"/>
  <c r="J14" i="30"/>
  <c r="L8" i="29"/>
  <c r="L8" i="30" s="1"/>
  <c r="K8" i="30"/>
  <c r="L17" i="29"/>
  <c r="L17" i="30" s="1"/>
  <c r="K17" i="30"/>
  <c r="K10" i="29"/>
  <c r="J10" i="30"/>
  <c r="K9" i="29"/>
  <c r="J9" i="30"/>
  <c r="K15" i="29"/>
  <c r="J15" i="30"/>
  <c r="K3" i="29"/>
  <c r="J3" i="30"/>
  <c r="B16" i="5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K16" i="30" l="1"/>
  <c r="L16" i="29"/>
  <c r="L16" i="30" s="1"/>
  <c r="L13" i="29"/>
  <c r="L13" i="30" s="1"/>
  <c r="K13" i="30"/>
  <c r="K4" i="30"/>
  <c r="L4" i="29"/>
  <c r="L4" i="30" s="1"/>
  <c r="L11" i="29"/>
  <c r="L11" i="30" s="1"/>
  <c r="K11" i="30"/>
  <c r="L14" i="29"/>
  <c r="L14" i="30" s="1"/>
  <c r="K14" i="30"/>
  <c r="L15" i="29"/>
  <c r="L15" i="30" s="1"/>
  <c r="K15" i="30"/>
  <c r="L9" i="29"/>
  <c r="L9" i="30" s="1"/>
  <c r="K9" i="30"/>
  <c r="L12" i="29"/>
  <c r="L12" i="30" s="1"/>
  <c r="K12" i="30"/>
  <c r="L3" i="29"/>
  <c r="L3" i="30" s="1"/>
  <c r="K3" i="30"/>
  <c r="L10" i="29"/>
  <c r="L10" i="30" s="1"/>
  <c r="K10" i="30"/>
  <c r="B2" i="3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AX2" i="3" l="1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  <c r="C2" i="29" l="1"/>
  <c r="C2" i="30" s="1"/>
  <c r="D2" i="29"/>
  <c r="E2" i="29" l="1"/>
  <c r="D2" i="30"/>
  <c r="F2" i="29" l="1"/>
  <c r="E2" i="30"/>
  <c r="G2" i="29" l="1"/>
  <c r="F2" i="30"/>
  <c r="H2" i="29" l="1"/>
  <c r="G2" i="30"/>
  <c r="I2" i="29" l="1"/>
  <c r="H2" i="30"/>
  <c r="J2" i="29" l="1"/>
  <c r="I2" i="30"/>
  <c r="K2" i="29" l="1"/>
  <c r="J2" i="30"/>
  <c r="L2" i="29" l="1"/>
  <c r="L2" i="30" s="1"/>
  <c r="K2" i="30"/>
</calcChain>
</file>

<file path=xl/sharedStrings.xml><?xml version="1.0" encoding="utf-8"?>
<sst xmlns="http://schemas.openxmlformats.org/spreadsheetml/2006/main" count="515" uniqueCount="84">
  <si>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</si>
  <si>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</si>
  <si>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</si>
  <si>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</si>
  <si>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</si>
  <si>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</si>
  <si>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</si>
  <si>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</si>
  <si>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</si>
  <si>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</si>
  <si>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</si>
  <si>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</si>
  <si>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</si>
  <si>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</si>
  <si>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</si>
  <si>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</si>
  <si>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</si>
  <si>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</si>
  <si>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</si>
  <si>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</si>
  <si>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</si>
  <si>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</si>
  <si>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</si>
  <si>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</si>
  <si>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</si>
  <si>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</si>
  <si>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</si>
  <si>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</si>
  <si>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</si>
  <si>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</si>
  <si>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</si>
  <si>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</si>
  <si>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</si>
  <si>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</si>
  <si>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</si>
  <si>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</si>
  <si>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</si>
  <si>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</si>
  <si>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</si>
  <si>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</si>
  <si>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</si>
  <si>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</si>
  <si>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</si>
  <si>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</si>
  <si>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</si>
  <si>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</si>
  <si>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</si>
  <si>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</si>
  <si>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</si>
  <si>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</si>
  <si>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</si>
  <si>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</si>
  <si>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</si>
  <si>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</si>
  <si>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</si>
  <si>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</si>
  <si>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</si>
  <si>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</si>
  <si>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</si>
  <si>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</si>
  <si>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</si>
  <si>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</si>
  <si>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</si>
  <si>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</si>
  <si>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</si>
  <si>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</si>
  <si>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</si>
  <si>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</si>
  <si>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</si>
  <si>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</si>
  <si>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</si>
  <si>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</si>
  <si>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</si>
  <si>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</si>
  <si>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</si>
  <si>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</si>
  <si>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</si>
  <si>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</si>
  <si>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</si>
  <si>
    <t>BAU</t>
  </si>
  <si>
    <t>17_ANZ</t>
  </si>
  <si>
    <t>16_APC</t>
  </si>
  <si>
    <t>11_CAS</t>
  </si>
  <si>
    <t>14_CLV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</si>
</sst>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4" fillId="0" borderId="0" xfId="0" applyNumberFormat="1" applyFont="1"/>
    <xf numFmtId="2" fontId="0" fillId="0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165" fontId="0" fillId="0" borderId="1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g_GDP!$A$2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g_GDP!$B$2:$AG$2</c:f>
              <c:numCache>
                <c:formatCode>0.00000</c:formatCode>
                <c:ptCount val="32"/>
                <c:pt idx="0">
                  <c:v>2.2439778601101457E-2</c:v>
                </c:pt>
                <c:pt idx="1">
                  <c:v>-7.0941535939767686E-3</c:v>
                </c:pt>
                <c:pt idx="2">
                  <c:v>4.3047348190697152E-2</c:v>
                </c:pt>
                <c:pt idx="3">
                  <c:v>1.5086053961641565E-2</c:v>
                </c:pt>
                <c:pt idx="4">
                  <c:v>1.486184733083885E-2</c:v>
                </c:pt>
                <c:pt idx="5">
                  <c:v>1.4644207356820635E-2</c:v>
                </c:pt>
                <c:pt idx="6">
                  <c:v>1.4432849712875648E-2</c:v>
                </c:pt>
                <c:pt idx="7">
                  <c:v>1.9706083221564925E-2</c:v>
                </c:pt>
                <c:pt idx="8">
                  <c:v>1.9325258077609337E-2</c:v>
                </c:pt>
                <c:pt idx="9">
                  <c:v>1.8958872964705786E-2</c:v>
                </c:pt>
                <c:pt idx="10">
                  <c:v>1.8606121863921857E-2</c:v>
                </c:pt>
                <c:pt idx="11">
                  <c:v>1.8266257648122911E-2</c:v>
                </c:pt>
                <c:pt idx="12">
                  <c:v>1.308934837890567E-2</c:v>
                </c:pt>
                <c:pt idx="13">
                  <c:v>1.2920230974543936E-2</c:v>
                </c:pt>
                <c:pt idx="14">
                  <c:v>1.2755427899898111E-2</c:v>
                </c:pt>
                <c:pt idx="15">
                  <c:v>1.2594776140917283E-2</c:v>
                </c:pt>
                <c:pt idx="16">
                  <c:v>1.2438120793904692E-2</c:v>
                </c:pt>
                <c:pt idx="17">
                  <c:v>8.7420822114268864E-3</c:v>
                </c:pt>
                <c:pt idx="18">
                  <c:v>8.6663205249273949E-3</c:v>
                </c:pt>
                <c:pt idx="19">
                  <c:v>8.5918607061424342E-3</c:v>
                </c:pt>
                <c:pt idx="20">
                  <c:v>8.5186694845296902E-3</c:v>
                </c:pt>
                <c:pt idx="21">
                  <c:v>8.4467147136541125E-3</c:v>
                </c:pt>
                <c:pt idx="22">
                  <c:v>6.0292131577086312E-3</c:v>
                </c:pt>
                <c:pt idx="23">
                  <c:v>5.993079603309164E-3</c:v>
                </c:pt>
                <c:pt idx="24">
                  <c:v>5.9573765712905308E-3</c:v>
                </c:pt>
                <c:pt idx="25">
                  <c:v>5.9220964128675899E-3</c:v>
                </c:pt>
                <c:pt idx="26">
                  <c:v>5.8872316593757299E-3</c:v>
                </c:pt>
                <c:pt idx="27">
                  <c:v>4.0206360830675018E-3</c:v>
                </c:pt>
                <c:pt idx="28">
                  <c:v>4.0045353039286089E-3</c:v>
                </c:pt>
                <c:pt idx="29">
                  <c:v>3.9885629627324053E-3</c:v>
                </c:pt>
                <c:pt idx="30">
                  <c:v>3.9727175287358916E-3</c:v>
                </c:pt>
                <c:pt idx="31">
                  <c:v>3.9569974954243607E-3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E-4C15-A55A-CC4862891220}"/>
            </c:ext>
          </c:extLst>
        </c:ser>
        <c:ser>
          <c:idx val="1"/>
          <c:order val="1"/>
          <c:tx>
            <c:strRef>
              <c:f>g_GDP!$A$3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g_GDP!$B$3:$AG$3</c:f>
              <c:numCache>
                <c:formatCode>0.00000</c:formatCode>
                <c:ptCount val="32"/>
                <c:pt idx="0">
                  <c:v>5.790542609231742E-2</c:v>
                </c:pt>
                <c:pt idx="1">
                  <c:v>2.0673305090029282E-2</c:v>
                </c:pt>
                <c:pt idx="2">
                  <c:v>8.4126332303287379E-2</c:v>
                </c:pt>
                <c:pt idx="3">
                  <c:v>5.1578022740513256E-2</c:v>
                </c:pt>
                <c:pt idx="4">
                  <c:v>4.9048212900166907E-2</c:v>
                </c:pt>
                <c:pt idx="5">
                  <c:v>4.6754965402943403E-2</c:v>
                </c:pt>
                <c:pt idx="6">
                  <c:v>4.4666580955692238E-2</c:v>
                </c:pt>
                <c:pt idx="7">
                  <c:v>4.0127926318954815E-2</c:v>
                </c:pt>
                <c:pt idx="8">
                  <c:v>3.8579798987773362E-2</c:v>
                </c:pt>
                <c:pt idx="9">
                  <c:v>3.7146687260212675E-2</c:v>
                </c:pt>
                <c:pt idx="10">
                  <c:v>3.5816232859347541E-2</c:v>
                </c:pt>
                <c:pt idx="11">
                  <c:v>3.4577786795711461E-2</c:v>
                </c:pt>
                <c:pt idx="12">
                  <c:v>3.0271713510805199E-2</c:v>
                </c:pt>
                <c:pt idx="13">
                  <c:v>2.9382262090502126E-2</c:v>
                </c:pt>
                <c:pt idx="14">
                  <c:v>2.85435869380843E-2</c:v>
                </c:pt>
                <c:pt idx="15">
                  <c:v>2.7751460706742566E-2</c:v>
                </c:pt>
                <c:pt idx="16">
                  <c:v>2.7002112638846401E-2</c:v>
                </c:pt>
                <c:pt idx="17">
                  <c:v>2.0997870517846323E-2</c:v>
                </c:pt>
                <c:pt idx="18">
                  <c:v>2.0566027730494953E-2</c:v>
                </c:pt>
                <c:pt idx="19">
                  <c:v>2.0151589580371481E-2</c:v>
                </c:pt>
                <c:pt idx="20">
                  <c:v>1.9753524658683935E-2</c:v>
                </c:pt>
                <c:pt idx="21">
                  <c:v>1.9370881473830502E-2</c:v>
                </c:pt>
                <c:pt idx="22">
                  <c:v>1.8136481895345825E-2</c:v>
                </c:pt>
                <c:pt idx="23">
                  <c:v>1.781340931972426E-2</c:v>
                </c:pt>
                <c:pt idx="24">
                  <c:v>1.7501645347382685E-2</c:v>
                </c:pt>
                <c:pt idx="25">
                  <c:v>1.7200606433818093E-2</c:v>
                </c:pt>
                <c:pt idx="26">
                  <c:v>1.6909748504890625E-2</c:v>
                </c:pt>
                <c:pt idx="27">
                  <c:v>1.5496745070816324E-2</c:v>
                </c:pt>
                <c:pt idx="28">
                  <c:v>1.5260260701018446E-2</c:v>
                </c:pt>
                <c:pt idx="29">
                  <c:v>1.5030885470176404E-2</c:v>
                </c:pt>
                <c:pt idx="30">
                  <c:v>1.4808303555427171E-2</c:v>
                </c:pt>
                <c:pt idx="31">
                  <c:v>1.4592217568131175E-2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E-4C15-A55A-CC4862891220}"/>
            </c:ext>
          </c:extLst>
        </c:ser>
        <c:ser>
          <c:idx val="2"/>
          <c:order val="2"/>
          <c:tx>
            <c:strRef>
              <c:f>g_GDP!$A$4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g_GDP!$B$4:$AG$4</c:f>
              <c:numCache>
                <c:formatCode>0.00000</c:formatCode>
                <c:ptCount val="32"/>
                <c:pt idx="0">
                  <c:v>-4.0216920091092588E-3</c:v>
                </c:pt>
                <c:pt idx="1">
                  <c:v>-4.2786036876396358E-2</c:v>
                </c:pt>
                <c:pt idx="2">
                  <c:v>2.1424873690273336E-2</c:v>
                </c:pt>
                <c:pt idx="3">
                  <c:v>1.5917675038894141E-2</c:v>
                </c:pt>
                <c:pt idx="4">
                  <c:v>1.5668272567740033E-2</c:v>
                </c:pt>
                <c:pt idx="5">
                  <c:v>1.5426564943422547E-2</c:v>
                </c:pt>
                <c:pt idx="6">
                  <c:v>1.519220146095145E-2</c:v>
                </c:pt>
                <c:pt idx="7">
                  <c:v>8.0037625303745856E-3</c:v>
                </c:pt>
                <c:pt idx="8">
                  <c:v>7.9402109673508327E-3</c:v>
                </c:pt>
                <c:pt idx="9">
                  <c:v>7.8776606796254027E-3</c:v>
                </c:pt>
                <c:pt idx="10">
                  <c:v>7.8160881890301948E-3</c:v>
                </c:pt>
                <c:pt idx="11">
                  <c:v>7.7554707457340938E-3</c:v>
                </c:pt>
                <c:pt idx="12">
                  <c:v>8.5378251419757478E-3</c:v>
                </c:pt>
                <c:pt idx="13">
                  <c:v>8.4655477753388629E-3</c:v>
                </c:pt>
                <c:pt idx="14">
                  <c:v>8.3944838710789324E-3</c:v>
                </c:pt>
                <c:pt idx="15">
                  <c:v>8.3246031244178734E-3</c:v>
                </c:pt>
                <c:pt idx="16">
                  <c:v>8.2558762313475909E-3</c:v>
                </c:pt>
                <c:pt idx="17">
                  <c:v>7.0034881277579765E-3</c:v>
                </c:pt>
                <c:pt idx="18">
                  <c:v>6.9547804057551064E-3</c:v>
                </c:pt>
                <c:pt idx="19">
                  <c:v>6.9067455074324786E-3</c:v>
                </c:pt>
                <c:pt idx="20">
                  <c:v>6.8593695873512212E-3</c:v>
                </c:pt>
                <c:pt idx="21">
                  <c:v>6.8126391773682344E-3</c:v>
                </c:pt>
                <c:pt idx="22">
                  <c:v>6.963063540066248E-3</c:v>
                </c:pt>
                <c:pt idx="23">
                  <c:v>6.9149145506757648E-3</c:v>
                </c:pt>
                <c:pt idx="24">
                  <c:v>6.86742688061331E-3</c:v>
                </c:pt>
                <c:pt idx="25">
                  <c:v>6.8205869981208525E-3</c:v>
                </c:pt>
                <c:pt idx="26">
                  <c:v>6.7743817381172534E-3</c:v>
                </c:pt>
                <c:pt idx="27">
                  <c:v>7.1312203559017757E-3</c:v>
                </c:pt>
                <c:pt idx="28">
                  <c:v>7.0807261375352192E-3</c:v>
                </c:pt>
                <c:pt idx="29">
                  <c:v>7.0309419630062674E-3</c:v>
                </c:pt>
                <c:pt idx="30">
                  <c:v>6.981852960049913E-3</c:v>
                </c:pt>
                <c:pt idx="31">
                  <c:v>6.9334446688655311E-3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BE-4C15-A55A-CC4862891220}"/>
            </c:ext>
          </c:extLst>
        </c:ser>
        <c:ser>
          <c:idx val="3"/>
          <c:order val="3"/>
          <c:tx>
            <c:strRef>
              <c:f>g_GDP!$A$5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g_GDP!$B$5:$AG$5</c:f>
              <c:numCache>
                <c:formatCode>0.00000</c:formatCode>
                <c:ptCount val="32"/>
                <c:pt idx="0">
                  <c:v>2.1980757133500665E-2</c:v>
                </c:pt>
                <c:pt idx="1">
                  <c:v>-2.6536545010277097E-2</c:v>
                </c:pt>
                <c:pt idx="2">
                  <c:v>5.6142903757834386E-2</c:v>
                </c:pt>
                <c:pt idx="3">
                  <c:v>-1.1078148153103366E-2</c:v>
                </c:pt>
                <c:pt idx="4">
                  <c:v>-1.1202248319636149E-2</c:v>
                </c:pt>
                <c:pt idx="5">
                  <c:v>-1.1329160387550474E-2</c:v>
                </c:pt>
                <c:pt idx="6">
                  <c:v>-1.145898102141981E-2</c:v>
                </c:pt>
                <c:pt idx="7">
                  <c:v>1.4989924279433372E-2</c:v>
                </c:pt>
                <c:pt idx="8">
                  <c:v>1.4768544909522223E-2</c:v>
                </c:pt>
                <c:pt idx="9">
                  <c:v>1.4553609277314451E-2</c:v>
                </c:pt>
                <c:pt idx="10">
                  <c:v>1.434484007964967E-2</c:v>
                </c:pt>
                <c:pt idx="11">
                  <c:v>1.4141975699825601E-2</c:v>
                </c:pt>
                <c:pt idx="12">
                  <c:v>1.9435193535330502E-2</c:v>
                </c:pt>
                <c:pt idx="13">
                  <c:v>1.9064668022623979E-2</c:v>
                </c:pt>
                <c:pt idx="14">
                  <c:v>1.8708006097019086E-2</c:v>
                </c:pt>
                <c:pt idx="15">
                  <c:v>1.8364443967310278E-2</c:v>
                </c:pt>
                <c:pt idx="16">
                  <c:v>1.8033272936913324E-2</c:v>
                </c:pt>
                <c:pt idx="17">
                  <c:v>1.8355855855855908E-2</c:v>
                </c:pt>
                <c:pt idx="18">
                  <c:v>1.8024991706292209E-2</c:v>
                </c:pt>
                <c:pt idx="19">
                  <c:v>1.7705844014773025E-2</c:v>
                </c:pt>
                <c:pt idx="20">
                  <c:v>1.7397801259472778E-2</c:v>
                </c:pt>
                <c:pt idx="21">
                  <c:v>1.7100293747377118E-2</c:v>
                </c:pt>
                <c:pt idx="22">
                  <c:v>1.7053859180088404E-2</c:v>
                </c:pt>
                <c:pt idx="23">
                  <c:v>1.6767901744983889E-2</c:v>
                </c:pt>
                <c:pt idx="24">
                  <c:v>1.6491375973028556E-2</c:v>
                </c:pt>
                <c:pt idx="25">
                  <c:v>1.6223822811327164E-2</c:v>
                </c:pt>
                <c:pt idx="26">
                  <c:v>1.596481252175844E-2</c:v>
                </c:pt>
                <c:pt idx="27">
                  <c:v>1.5809712471232619E-2</c:v>
                </c:pt>
                <c:pt idx="28">
                  <c:v>1.556365555195491E-2</c:v>
                </c:pt>
                <c:pt idx="29">
                  <c:v>1.5325140346319427E-2</c:v>
                </c:pt>
                <c:pt idx="30">
                  <c:v>1.5093825354400405E-2</c:v>
                </c:pt>
                <c:pt idx="31">
                  <c:v>1.4869389387853258E-2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BE-4C15-A55A-CC4862891220}"/>
            </c:ext>
          </c:extLst>
        </c:ser>
        <c:ser>
          <c:idx val="4"/>
          <c:order val="4"/>
          <c:tx>
            <c:strRef>
              <c:f>g_GDP!$A$6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g_GDP!$B$6:$AG$6</c:f>
              <c:numCache>
                <c:formatCode>0.00000</c:formatCode>
                <c:ptCount val="32"/>
                <c:pt idx="0">
                  <c:v>5.6022442206425549E-2</c:v>
                </c:pt>
                <c:pt idx="1">
                  <c:v>-4.5577519758343066E-2</c:v>
                </c:pt>
                <c:pt idx="2">
                  <c:v>1.6367695773666407E-2</c:v>
                </c:pt>
                <c:pt idx="3">
                  <c:v>4.9619633441804444E-2</c:v>
                </c:pt>
                <c:pt idx="4">
                  <c:v>4.7273918913937292E-2</c:v>
                </c:pt>
                <c:pt idx="5">
                  <c:v>4.5139975378134245E-2</c:v>
                </c:pt>
                <c:pt idx="6">
                  <c:v>4.3190363436057762E-2</c:v>
                </c:pt>
                <c:pt idx="7">
                  <c:v>4.065908246220358E-2</c:v>
                </c:pt>
                <c:pt idx="8">
                  <c:v>3.9070511320579676E-2</c:v>
                </c:pt>
                <c:pt idx="9">
                  <c:v>3.7601405193304953E-2</c:v>
                </c:pt>
                <c:pt idx="10">
                  <c:v>3.6238776282593622E-2</c:v>
                </c:pt>
                <c:pt idx="11">
                  <c:v>3.4971453599330383E-2</c:v>
                </c:pt>
                <c:pt idx="12">
                  <c:v>4.1448001391694494E-2</c:v>
                </c:pt>
                <c:pt idx="13">
                  <c:v>3.9798435770491879E-2</c:v>
                </c:pt>
                <c:pt idx="14">
                  <c:v>3.8275144875555805E-2</c:v>
                </c:pt>
                <c:pt idx="15">
                  <c:v>3.686416367035681E-2</c:v>
                </c:pt>
                <c:pt idx="16">
                  <c:v>3.5553513142804291E-2</c:v>
                </c:pt>
                <c:pt idx="17">
                  <c:v>3.7328937830195842E-2</c:v>
                </c:pt>
                <c:pt idx="18">
                  <c:v>3.598563239571588E-2</c:v>
                </c:pt>
                <c:pt idx="19">
                  <c:v>3.4735648131045155E-2</c:v>
                </c:pt>
                <c:pt idx="20">
                  <c:v>3.3569586776859575E-2</c:v>
                </c:pt>
                <c:pt idx="21">
                  <c:v>3.2479271068283314E-2</c:v>
                </c:pt>
                <c:pt idx="22">
                  <c:v>3.4625736037590012E-2</c:v>
                </c:pt>
                <c:pt idx="23">
                  <c:v>3.3466919323116455E-2</c:v>
                </c:pt>
                <c:pt idx="24">
                  <c:v>3.2383154890952955E-2</c:v>
                </c:pt>
                <c:pt idx="25">
                  <c:v>3.1367380160686048E-2</c:v>
                </c:pt>
                <c:pt idx="26">
                  <c:v>3.0413391740001398E-2</c:v>
                </c:pt>
                <c:pt idx="27">
                  <c:v>3.3564969585198938E-2</c:v>
                </c:pt>
                <c:pt idx="28">
                  <c:v>3.2474948912664468E-2</c:v>
                </c:pt>
                <c:pt idx="29">
                  <c:v>3.145349816658019E-2</c:v>
                </c:pt>
                <c:pt idx="30">
                  <c:v>3.049434436209594E-2</c:v>
                </c:pt>
                <c:pt idx="31">
                  <c:v>2.9591957033954192E-2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BE-4C15-A55A-CC4862891220}"/>
            </c:ext>
          </c:extLst>
        </c:ser>
        <c:ser>
          <c:idx val="5"/>
          <c:order val="5"/>
          <c:tx>
            <c:strRef>
              <c:f>g_GDP!$A$7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g_GDP!$B$7:$AG$7</c:f>
              <c:numCache>
                <c:formatCode>0.00000</c:formatCode>
                <c:ptCount val="32"/>
                <c:pt idx="0">
                  <c:v>3.54574128631626E-3</c:v>
                </c:pt>
                <c:pt idx="1">
                  <c:v>-4.3358354474796683E-2</c:v>
                </c:pt>
                <c:pt idx="2">
                  <c:v>4.9200847457627095E-2</c:v>
                </c:pt>
                <c:pt idx="3">
                  <c:v>4.6893640599746045E-2</c:v>
                </c:pt>
                <c:pt idx="4">
                  <c:v>4.4793127764995964E-2</c:v>
                </c:pt>
                <c:pt idx="5">
                  <c:v>4.2872724345743615E-2</c:v>
                </c:pt>
                <c:pt idx="6">
                  <c:v>4.1110217330346081E-2</c:v>
                </c:pt>
                <c:pt idx="7">
                  <c:v>6.0747066045018491E-2</c:v>
                </c:pt>
                <c:pt idx="8">
                  <c:v>5.7268191437486612E-2</c:v>
                </c:pt>
                <c:pt idx="9">
                  <c:v>5.4166191607092191E-2</c:v>
                </c:pt>
                <c:pt idx="10">
                  <c:v>5.1382971715792758E-2</c:v>
                </c:pt>
                <c:pt idx="11">
                  <c:v>4.8871793721310598E-2</c:v>
                </c:pt>
                <c:pt idx="12">
                  <c:v>6.1883677102556933E-2</c:v>
                </c:pt>
                <c:pt idx="13">
                  <c:v>5.8277265614828919E-2</c:v>
                </c:pt>
                <c:pt idx="14">
                  <c:v>5.5068050224977183E-2</c:v>
                </c:pt>
                <c:pt idx="15">
                  <c:v>5.2193837367395177E-2</c:v>
                </c:pt>
                <c:pt idx="16">
                  <c:v>4.9604773867508042E-2</c:v>
                </c:pt>
                <c:pt idx="17">
                  <c:v>6.1363160987659184E-2</c:v>
                </c:pt>
                <c:pt idx="18">
                  <c:v>5.7815423827747375E-2</c:v>
                </c:pt>
                <c:pt idx="19">
                  <c:v>5.4655493317104377E-2</c:v>
                </c:pt>
                <c:pt idx="20">
                  <c:v>5.1823077453663866E-2</c:v>
                </c:pt>
                <c:pt idx="21">
                  <c:v>4.9269766526820739E-2</c:v>
                </c:pt>
                <c:pt idx="22">
                  <c:v>5.7887395867472533E-2</c:v>
                </c:pt>
                <c:pt idx="23">
                  <c:v>5.471980864277582E-2</c:v>
                </c:pt>
                <c:pt idx="24">
                  <c:v>5.1880895944478214E-2</c:v>
                </c:pt>
                <c:pt idx="25">
                  <c:v>4.9322025092864374E-2</c:v>
                </c:pt>
                <c:pt idx="26">
                  <c:v>4.7003707073145065E-2</c:v>
                </c:pt>
                <c:pt idx="27">
                  <c:v>5.3850973530837336E-2</c:v>
                </c:pt>
                <c:pt idx="28">
                  <c:v>5.1099230235954772E-2</c:v>
                </c:pt>
                <c:pt idx="29">
                  <c:v>4.8615039157134401E-2</c:v>
                </c:pt>
                <c:pt idx="30">
                  <c:v>4.6361188178466954E-2</c:v>
                </c:pt>
                <c:pt idx="31">
                  <c:v>4.4307060221885457E-2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BE-4C15-A55A-CC4862891220}"/>
            </c:ext>
          </c:extLst>
        </c:ser>
        <c:ser>
          <c:idx val="6"/>
          <c:order val="6"/>
          <c:tx>
            <c:strRef>
              <c:f>g_GDP!$A$8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g_GDP!$B$8:$AG$8</c:f>
              <c:numCache>
                <c:formatCode>0.00000</c:formatCode>
                <c:ptCount val="32"/>
                <c:pt idx="0">
                  <c:v>2.2578117805813057E-2</c:v>
                </c:pt>
                <c:pt idx="1">
                  <c:v>-2.9646951539343967E-2</c:v>
                </c:pt>
                <c:pt idx="2">
                  <c:v>5.8434138292258513E-2</c:v>
                </c:pt>
                <c:pt idx="3">
                  <c:v>1.4707487746131277E-2</c:v>
                </c:pt>
                <c:pt idx="4">
                  <c:v>1.4494312817972354E-2</c:v>
                </c:pt>
                <c:pt idx="5">
                  <c:v>1.4287229247950476E-2</c:v>
                </c:pt>
                <c:pt idx="6">
                  <c:v>1.408597962782592E-2</c:v>
                </c:pt>
                <c:pt idx="7">
                  <c:v>1.9561833376810445E-2</c:v>
                </c:pt>
                <c:pt idx="8">
                  <c:v>1.9186510063858742E-2</c:v>
                </c:pt>
                <c:pt idx="9">
                  <c:v>1.8825317912279451E-2</c:v>
                </c:pt>
                <c:pt idx="10">
                  <c:v>1.8477473597589087E-2</c:v>
                </c:pt>
                <c:pt idx="11">
                  <c:v>1.8142250640380334E-2</c:v>
                </c:pt>
                <c:pt idx="12">
                  <c:v>1.6369016386665228E-2</c:v>
                </c:pt>
                <c:pt idx="13">
                  <c:v>1.6105387042256936E-2</c:v>
                </c:pt>
                <c:pt idx="14">
                  <c:v>1.585011480860022E-2</c:v>
                </c:pt>
                <c:pt idx="15">
                  <c:v>1.5602808502499009E-2</c:v>
                </c:pt>
                <c:pt idx="16">
                  <c:v>1.5363100979904742E-2</c:v>
                </c:pt>
                <c:pt idx="17">
                  <c:v>1.4478721416283612E-2</c:v>
                </c:pt>
                <c:pt idx="18">
                  <c:v>1.4272079946704352E-2</c:v>
                </c:pt>
                <c:pt idx="19">
                  <c:v>1.4071253886288862E-2</c:v>
                </c:pt>
                <c:pt idx="20">
                  <c:v>1.3876001151164392E-2</c:v>
                </c:pt>
                <c:pt idx="21">
                  <c:v>1.3686092910187684E-2</c:v>
                </c:pt>
                <c:pt idx="22">
                  <c:v>1.3251080978094076E-2</c:v>
                </c:pt>
                <c:pt idx="23">
                  <c:v>1.3077786174481819E-2</c:v>
                </c:pt>
                <c:pt idx="24">
                  <c:v>1.2908965484146388E-2</c:v>
                </c:pt>
                <c:pt idx="25">
                  <c:v>1.274444784677794E-2</c:v>
                </c:pt>
                <c:pt idx="26">
                  <c:v>1.2584070812606516E-2</c:v>
                </c:pt>
                <c:pt idx="27">
                  <c:v>1.2324787763850405E-2</c:v>
                </c:pt>
                <c:pt idx="28">
                  <c:v>1.2174736717723704E-2</c:v>
                </c:pt>
                <c:pt idx="29">
                  <c:v>1.2028295388209246E-2</c:v>
                </c:pt>
                <c:pt idx="30">
                  <c:v>1.1885335067232728E-2</c:v>
                </c:pt>
                <c:pt idx="31">
                  <c:v>1.1745733093802183E-2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BE-4C15-A55A-CC4862891220}"/>
            </c:ext>
          </c:extLst>
        </c:ser>
        <c:ser>
          <c:idx val="7"/>
          <c:order val="7"/>
          <c:tx>
            <c:strRef>
              <c:f>g_GDP!$A$9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g_GDP!$B$9:$AG$9</c:f>
              <c:numCache>
                <c:formatCode>0.00000</c:formatCode>
                <c:ptCount val="32"/>
                <c:pt idx="0">
                  <c:v>7.5053891522403032E-3</c:v>
                </c:pt>
                <c:pt idx="1">
                  <c:v>-6.696361242254685E-2</c:v>
                </c:pt>
                <c:pt idx="2">
                  <c:v>7.3616386402995518E-2</c:v>
                </c:pt>
                <c:pt idx="3">
                  <c:v>1.8091113020383985E-2</c:v>
                </c:pt>
                <c:pt idx="4">
                  <c:v>1.7769640446730593E-2</c:v>
                </c:pt>
                <c:pt idx="5">
                  <c:v>1.7459393305277751E-2</c:v>
                </c:pt>
                <c:pt idx="6">
                  <c:v>1.7159793717722423E-2</c:v>
                </c:pt>
                <c:pt idx="7">
                  <c:v>2.6759414750494391E-2</c:v>
                </c:pt>
                <c:pt idx="8">
                  <c:v>2.6062010599627185E-2</c:v>
                </c:pt>
                <c:pt idx="9">
                  <c:v>2.5400034627923347E-2</c:v>
                </c:pt>
                <c:pt idx="10">
                  <c:v>2.4770854076614113E-2</c:v>
                </c:pt>
                <c:pt idx="11">
                  <c:v>2.4172090744066493E-2</c:v>
                </c:pt>
                <c:pt idx="12">
                  <c:v>3.0439047043125979E-2</c:v>
                </c:pt>
                <c:pt idx="13">
                  <c:v>2.9539881209346332E-2</c:v>
                </c:pt>
                <c:pt idx="14">
                  <c:v>2.8692313671858333E-2</c:v>
                </c:pt>
                <c:pt idx="15">
                  <c:v>2.7892026887459443E-2</c:v>
                </c:pt>
                <c:pt idx="16">
                  <c:v>2.7135171942056061E-2</c:v>
                </c:pt>
                <c:pt idx="17">
                  <c:v>3.1317455669048415E-2</c:v>
                </c:pt>
                <c:pt idx="18">
                  <c:v>3.0366455543731474E-2</c:v>
                </c:pt>
                <c:pt idx="19">
                  <c:v>2.9471510238274292E-2</c:v>
                </c:pt>
                <c:pt idx="20">
                  <c:v>2.8627805573223704E-2</c:v>
                </c:pt>
                <c:pt idx="21">
                  <c:v>2.7831063304058781E-2</c:v>
                </c:pt>
                <c:pt idx="22">
                  <c:v>3.0881176350730417E-2</c:v>
                </c:pt>
                <c:pt idx="23">
                  <c:v>2.9956096841391836E-2</c:v>
                </c:pt>
                <c:pt idx="24">
                  <c:v>2.9084828890531867E-2</c:v>
                </c:pt>
                <c:pt idx="25">
                  <c:v>2.8262809900607078E-2</c:v>
                </c:pt>
                <c:pt idx="26">
                  <c:v>2.7485978903913463E-2</c:v>
                </c:pt>
                <c:pt idx="27">
                  <c:v>2.943636722502686E-2</c:v>
                </c:pt>
                <c:pt idx="28">
                  <c:v>2.859464476116793E-2</c:v>
                </c:pt>
                <c:pt idx="29">
                  <c:v>2.7799721597624491E-2</c:v>
                </c:pt>
                <c:pt idx="30">
                  <c:v>2.7047800280012007E-2</c:v>
                </c:pt>
                <c:pt idx="31">
                  <c:v>2.6335483385133706E-2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BE-4C15-A55A-CC4862891220}"/>
            </c:ext>
          </c:extLst>
        </c:ser>
        <c:ser>
          <c:idx val="8"/>
          <c:order val="8"/>
          <c:tx>
            <c:strRef>
              <c:f>g_GDP!$A$10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g_GDP!$B$10:$AG$10</c:f>
              <c:numCache>
                <c:formatCode>0.00000</c:formatCode>
                <c:ptCount val="32"/>
                <c:pt idx="0">
                  <c:v>1.4773577790862075E-2</c:v>
                </c:pt>
                <c:pt idx="1">
                  <c:v>-5.7136892299979238E-2</c:v>
                </c:pt>
                <c:pt idx="2">
                  <c:v>6.8836886005507622E-2</c:v>
                </c:pt>
                <c:pt idx="3">
                  <c:v>5.1281111666963957E-3</c:v>
                </c:pt>
                <c:pt idx="4">
                  <c:v>5.1019478111541143E-3</c:v>
                </c:pt>
                <c:pt idx="5">
                  <c:v>5.0760500686172242E-3</c:v>
                </c:pt>
                <c:pt idx="6">
                  <c:v>5.050413914718715E-3</c:v>
                </c:pt>
                <c:pt idx="7">
                  <c:v>1.8790468859297804E-2</c:v>
                </c:pt>
                <c:pt idx="8">
                  <c:v>1.8443899343048232E-2</c:v>
                </c:pt>
                <c:pt idx="9">
                  <c:v>1.8109882493228691E-2</c:v>
                </c:pt>
                <c:pt idx="10">
                  <c:v>1.7787748458820345E-2</c:v>
                </c:pt>
                <c:pt idx="11">
                  <c:v>1.747687421641236E-2</c:v>
                </c:pt>
                <c:pt idx="12">
                  <c:v>1.7516454566658894E-2</c:v>
                </c:pt>
                <c:pt idx="13">
                  <c:v>1.7214910371271413E-2</c:v>
                </c:pt>
                <c:pt idx="14">
                  <c:v>1.6923572586041009E-2</c:v>
                </c:pt>
                <c:pt idx="15">
                  <c:v>1.6641931647827075E-2</c:v>
                </c:pt>
                <c:pt idx="16">
                  <c:v>1.6369511358687208E-2</c:v>
                </c:pt>
                <c:pt idx="17">
                  <c:v>1.6727610653076947E-2</c:v>
                </c:pt>
                <c:pt idx="18">
                  <c:v>1.6452401289989819E-2</c:v>
                </c:pt>
                <c:pt idx="19">
                  <c:v>1.6186101060029875E-2</c:v>
                </c:pt>
                <c:pt idx="20">
                  <c:v>1.5928284241582737E-2</c:v>
                </c:pt>
                <c:pt idx="21">
                  <c:v>1.5678551811827809E-2</c:v>
                </c:pt>
                <c:pt idx="22">
                  <c:v>1.5881592250020286E-2</c:v>
                </c:pt>
                <c:pt idx="23">
                  <c:v>1.5633310388905679E-2</c:v>
                </c:pt>
                <c:pt idx="24">
                  <c:v>1.5392671970279688E-2</c:v>
                </c:pt>
                <c:pt idx="25">
                  <c:v>1.5159329385755335E-2</c:v>
                </c:pt>
                <c:pt idx="26">
                  <c:v>1.4932955790228228E-2</c:v>
                </c:pt>
                <c:pt idx="27">
                  <c:v>1.4662738399863427E-2</c:v>
                </c:pt>
                <c:pt idx="28">
                  <c:v>1.4450849375810095E-2</c:v>
                </c:pt>
                <c:pt idx="29">
                  <c:v>1.4244997068809866E-2</c:v>
                </c:pt>
                <c:pt idx="30">
                  <c:v>1.4044927123109523E-2</c:v>
                </c:pt>
                <c:pt idx="31">
                  <c:v>1.3850399274670593E-2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BE-4C15-A55A-CC4862891220}"/>
            </c:ext>
          </c:extLst>
        </c:ser>
        <c:ser>
          <c:idx val="9"/>
          <c:order val="9"/>
          <c:tx>
            <c:strRef>
              <c:f>g_GDP!$A$11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g_GDP!$B$11:$AG$11</c:f>
              <c:numCache>
                <c:formatCode>0.00000</c:formatCode>
                <c:ptCount val="32"/>
                <c:pt idx="0">
                  <c:v>3.9203675098771498E-2</c:v>
                </c:pt>
                <c:pt idx="1">
                  <c:v>-3.3746878604878017E-2</c:v>
                </c:pt>
                <c:pt idx="2">
                  <c:v>6.5773975930125281E-2</c:v>
                </c:pt>
                <c:pt idx="3">
                  <c:v>1.5810917487515678E-2</c:v>
                </c:pt>
                <c:pt idx="4">
                  <c:v>1.5564823349823977E-2</c:v>
                </c:pt>
                <c:pt idx="5">
                  <c:v>1.5326272623822929E-2</c:v>
                </c:pt>
                <c:pt idx="6">
                  <c:v>1.5094923707840638E-2</c:v>
                </c:pt>
                <c:pt idx="7">
                  <c:v>2.9520252455183124E-2</c:v>
                </c:pt>
                <c:pt idx="8">
                  <c:v>2.8673794794015779E-2</c:v>
                </c:pt>
                <c:pt idx="9">
                  <c:v>2.7874526345601502E-2</c:v>
                </c:pt>
                <c:pt idx="10">
                  <c:v>2.7118607992654222E-2</c:v>
                </c:pt>
                <c:pt idx="11">
                  <c:v>2.6402606068692866E-2</c:v>
                </c:pt>
                <c:pt idx="12">
                  <c:v>2.100914545830572E-2</c:v>
                </c:pt>
                <c:pt idx="13">
                  <c:v>2.0576843558903907E-2</c:v>
                </c:pt>
                <c:pt idx="14">
                  <c:v>2.0161973778622468E-2</c:v>
                </c:pt>
                <c:pt idx="15">
                  <c:v>1.9763502558268913E-2</c:v>
                </c:pt>
                <c:pt idx="16">
                  <c:v>1.9380476462128784E-2</c:v>
                </c:pt>
                <c:pt idx="17">
                  <c:v>1.5677369900451238E-2</c:v>
                </c:pt>
                <c:pt idx="18">
                  <c:v>1.543538368092991E-2</c:v>
                </c:pt>
                <c:pt idx="19">
                  <c:v>1.5200754207497674E-2</c:v>
                </c:pt>
                <c:pt idx="20">
                  <c:v>1.4973151019143925E-2</c:v>
                </c:pt>
                <c:pt idx="21">
                  <c:v>1.4752263155048878E-2</c:v>
                </c:pt>
                <c:pt idx="22">
                  <c:v>1.1010546411703652E-2</c:v>
                </c:pt>
                <c:pt idx="23">
                  <c:v>1.089063457427074E-2</c:v>
                </c:pt>
                <c:pt idx="24">
                  <c:v>1.0773306430776512E-2</c:v>
                </c:pt>
                <c:pt idx="25">
                  <c:v>1.0658479366475364E-2</c:v>
                </c:pt>
                <c:pt idx="26">
                  <c:v>1.054607425166698E-2</c:v>
                </c:pt>
                <c:pt idx="27">
                  <c:v>8.7218661035990547E-3</c:v>
                </c:pt>
                <c:pt idx="28">
                  <c:v>8.6464528991416646E-3</c:v>
                </c:pt>
                <c:pt idx="29">
                  <c:v>8.5723326288307047E-3</c:v>
                </c:pt>
                <c:pt idx="30">
                  <c:v>8.4994723248921888E-3</c:v>
                </c:pt>
                <c:pt idx="31">
                  <c:v>8.4278401309407971E-3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7BE-4C15-A55A-CC4862891220}"/>
            </c:ext>
          </c:extLst>
        </c:ser>
        <c:ser>
          <c:idx val="10"/>
          <c:order val="10"/>
          <c:tx>
            <c:strRef>
              <c:f>g_GDP!$A$12</c:f>
              <c:strCache>
                <c:ptCount val="1"/>
                <c:pt idx="0">
                  <c:v>11_CAS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g_GDP!$B$12:$AG$12</c:f>
              <c:numCache>
                <c:formatCode>0.00000</c:formatCode>
                <c:ptCount val="32"/>
                <c:pt idx="0">
                  <c:v>4.0502198940472189E-2</c:v>
                </c:pt>
                <c:pt idx="1">
                  <c:v>-2.4794835576908973E-2</c:v>
                </c:pt>
                <c:pt idx="2">
                  <c:v>4.8875167107129337E-2</c:v>
                </c:pt>
                <c:pt idx="3">
                  <c:v>2.0389149191987411E-2</c:v>
                </c:pt>
                <c:pt idx="4">
                  <c:v>1.9981738543704532E-2</c:v>
                </c:pt>
                <c:pt idx="5">
                  <c:v>1.9590290481311737E-2</c:v>
                </c:pt>
                <c:pt idx="6">
                  <c:v>1.9213884894945271E-2</c:v>
                </c:pt>
                <c:pt idx="7">
                  <c:v>3.9155702979294861E-2</c:v>
                </c:pt>
                <c:pt idx="8">
                  <c:v>3.7680304180628683E-2</c:v>
                </c:pt>
                <c:pt idx="9">
                  <c:v>3.6312054906334316E-2</c:v>
                </c:pt>
                <c:pt idx="10">
                  <c:v>3.5039691697513191E-2</c:v>
                </c:pt>
                <c:pt idx="11">
                  <c:v>3.3853476324223343E-2</c:v>
                </c:pt>
                <c:pt idx="12">
                  <c:v>3.6477947994831943E-2</c:v>
                </c:pt>
                <c:pt idx="13">
                  <c:v>3.5194138057063444E-2</c:v>
                </c:pt>
                <c:pt idx="14">
                  <c:v>3.39976210869187E-2</c:v>
                </c:pt>
                <c:pt idx="15">
                  <c:v>3.2879786561966211E-2</c:v>
                </c:pt>
                <c:pt idx="16">
                  <c:v>3.1833120358961992E-2</c:v>
                </c:pt>
                <c:pt idx="17">
                  <c:v>3.0749887852661709E-2</c:v>
                </c:pt>
                <c:pt idx="18">
                  <c:v>2.9832540575601967E-2</c:v>
                </c:pt>
                <c:pt idx="19">
                  <c:v>2.8968341356671187E-2</c:v>
                </c:pt>
                <c:pt idx="20">
                  <c:v>2.8152801395694149E-2</c:v>
                </c:pt>
                <c:pt idx="21">
                  <c:v>2.7381923540428107E-2</c:v>
                </c:pt>
                <c:pt idx="22">
                  <c:v>2.6032809837281623E-2</c:v>
                </c:pt>
                <c:pt idx="23">
                  <c:v>2.5372297637743343E-2</c:v>
                </c:pt>
                <c:pt idx="24">
                  <c:v>2.4744473491429542E-2</c:v>
                </c:pt>
                <c:pt idx="25">
                  <c:v>2.4146969446072832E-2</c:v>
                </c:pt>
                <c:pt idx="26">
                  <c:v>2.3577640872318603E-2</c:v>
                </c:pt>
                <c:pt idx="27">
                  <c:v>2.3303702419936234E-2</c:v>
                </c:pt>
                <c:pt idx="28">
                  <c:v>2.2773007040653728E-2</c:v>
                </c:pt>
                <c:pt idx="29">
                  <c:v>2.2265944529125153E-2</c:v>
                </c:pt>
                <c:pt idx="30">
                  <c:v>2.1780970644954215E-2</c:v>
                </c:pt>
                <c:pt idx="31">
                  <c:v>2.1316672820013299E-2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BE-4C15-A55A-CC4862891220}"/>
            </c:ext>
          </c:extLst>
        </c:ser>
        <c:ser>
          <c:idx val="11"/>
          <c:order val="11"/>
          <c:tx>
            <c:strRef>
              <c:f>g_GDP!$A$13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g_GDP!$B$13:$AG$13</c:f>
              <c:numCache>
                <c:formatCode>0.00000</c:formatCode>
                <c:ptCount val="32"/>
                <c:pt idx="0">
                  <c:v>9.4682720349441672E-3</c:v>
                </c:pt>
                <c:pt idx="1">
                  <c:v>-3.1908385271156421E-2</c:v>
                </c:pt>
                <c:pt idx="2">
                  <c:v>4.2653416697086777E-2</c:v>
                </c:pt>
                <c:pt idx="3">
                  <c:v>3.8504384275347102E-2</c:v>
                </c:pt>
                <c:pt idx="4">
                  <c:v>3.7076766221083184E-2</c:v>
                </c:pt>
                <c:pt idx="5">
                  <c:v>3.5751226359244562E-2</c:v>
                </c:pt>
                <c:pt idx="6">
                  <c:v>3.4517194331416069E-2</c:v>
                </c:pt>
                <c:pt idx="7">
                  <c:v>4.1449501432567155E-2</c:v>
                </c:pt>
                <c:pt idx="8">
                  <c:v>3.9799818786749853E-2</c:v>
                </c:pt>
                <c:pt idx="9">
                  <c:v>3.8276424045917544E-2</c:v>
                </c:pt>
                <c:pt idx="10">
                  <c:v>3.6865350266515128E-2</c:v>
                </c:pt>
                <c:pt idx="11">
                  <c:v>3.5554616862294712E-2</c:v>
                </c:pt>
                <c:pt idx="12">
                  <c:v>3.8915211996435946E-2</c:v>
                </c:pt>
                <c:pt idx="13">
                  <c:v>3.7457543740893308E-2</c:v>
                </c:pt>
                <c:pt idx="14">
                  <c:v>3.6105134101033047E-2</c:v>
                </c:pt>
                <c:pt idx="15">
                  <c:v>3.4846979242467831E-2</c:v>
                </c:pt>
                <c:pt idx="16">
                  <c:v>3.3673557483809187E-2</c:v>
                </c:pt>
                <c:pt idx="17">
                  <c:v>3.6441410782794559E-2</c:v>
                </c:pt>
                <c:pt idx="18">
                  <c:v>3.516012618144175E-2</c:v>
                </c:pt>
                <c:pt idx="19">
                  <c:v>3.3965881501968637E-2</c:v>
                </c:pt>
                <c:pt idx="20">
                  <c:v>3.2850098934240284E-2</c:v>
                </c:pt>
                <c:pt idx="21">
                  <c:v>3.1805291947144321E-2</c:v>
                </c:pt>
                <c:pt idx="22">
                  <c:v>3.3678381778601663E-2</c:v>
                </c:pt>
                <c:pt idx="23">
                  <c:v>3.2581102954530927E-2</c:v>
                </c:pt>
                <c:pt idx="24">
                  <c:v>3.1553069159707188E-2</c:v>
                </c:pt>
                <c:pt idx="25">
                  <c:v>3.0587926208595354E-2</c:v>
                </c:pt>
                <c:pt idx="26">
                  <c:v>2.9680074286455624E-2</c:v>
                </c:pt>
                <c:pt idx="27">
                  <c:v>3.1464411186232374E-2</c:v>
                </c:pt>
                <c:pt idx="28">
                  <c:v>3.050460185053484E-2</c:v>
                </c:pt>
                <c:pt idx="29">
                  <c:v>2.9601616330248326E-2</c:v>
                </c:pt>
                <c:pt idx="30">
                  <c:v>2.8750553476941613E-2</c:v>
                </c:pt>
                <c:pt idx="31">
                  <c:v>2.7947060032940878E-2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7BE-4C15-A55A-CC4862891220}"/>
            </c:ext>
          </c:extLst>
        </c:ser>
        <c:ser>
          <c:idx val="12"/>
          <c:order val="12"/>
          <c:tx>
            <c:strRef>
              <c:f>g_GDP!$A$14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g_GDP!$B$14:$AG$14</c:f>
              <c:numCache>
                <c:formatCode>0.00000</c:formatCode>
                <c:ptCount val="32"/>
                <c:pt idx="0">
                  <c:v>2.9765866367556314E-2</c:v>
                </c:pt>
                <c:pt idx="1">
                  <c:v>-1.7698628888762565E-2</c:v>
                </c:pt>
                <c:pt idx="2">
                  <c:v>4.5497146003019219E-2</c:v>
                </c:pt>
                <c:pt idx="3">
                  <c:v>4.1519082566880583E-2</c:v>
                </c:pt>
                <c:pt idx="4">
                  <c:v>3.9863967220412841E-2</c:v>
                </c:pt>
                <c:pt idx="5">
                  <c:v>3.8335752057041081E-2</c:v>
                </c:pt>
                <c:pt idx="6">
                  <c:v>3.6920381467260802E-2</c:v>
                </c:pt>
                <c:pt idx="7">
                  <c:v>4.9332631179456805E-2</c:v>
                </c:pt>
                <c:pt idx="8">
                  <c:v>4.701333944414423E-2</c:v>
                </c:pt>
                <c:pt idx="9">
                  <c:v>4.4902330918824257E-2</c:v>
                </c:pt>
                <c:pt idx="10">
                  <c:v>4.2972754094002114E-2</c:v>
                </c:pt>
                <c:pt idx="11">
                  <c:v>4.1202182823396341E-2</c:v>
                </c:pt>
                <c:pt idx="12">
                  <c:v>5.7045612177425417E-2</c:v>
                </c:pt>
                <c:pt idx="13">
                  <c:v>5.3967029918336483E-2</c:v>
                </c:pt>
                <c:pt idx="14">
                  <c:v>5.1203717371043338E-2</c:v>
                </c:pt>
                <c:pt idx="15">
                  <c:v>4.8709604546584725E-2</c:v>
                </c:pt>
                <c:pt idx="16">
                  <c:v>4.6447180740415352E-2</c:v>
                </c:pt>
                <c:pt idx="17">
                  <c:v>5.4982647736414425E-2</c:v>
                </c:pt>
                <c:pt idx="18">
                  <c:v>5.2117110982238396E-2</c:v>
                </c:pt>
                <c:pt idx="19">
                  <c:v>4.9535465622817181E-2</c:v>
                </c:pt>
                <c:pt idx="20">
                  <c:v>4.7197514753273974E-2</c:v>
                </c:pt>
                <c:pt idx="21">
                  <c:v>4.5070308216300904E-2</c:v>
                </c:pt>
                <c:pt idx="22">
                  <c:v>5.3866411743376266E-2</c:v>
                </c:pt>
                <c:pt idx="23">
                  <c:v>5.1113130794506342E-2</c:v>
                </c:pt>
                <c:pt idx="24">
                  <c:v>4.8627620849785586E-2</c:v>
                </c:pt>
                <c:pt idx="25">
                  <c:v>4.6372630171975439E-2</c:v>
                </c:pt>
                <c:pt idx="26">
                  <c:v>4.4317510640883025E-2</c:v>
                </c:pt>
                <c:pt idx="27">
                  <c:v>5.2664852868210404E-2</c:v>
                </c:pt>
                <c:pt idx="28">
                  <c:v>5.0030028764343898E-2</c:v>
                </c:pt>
                <c:pt idx="29">
                  <c:v>4.7646283814586063E-2</c:v>
                </c:pt>
                <c:pt idx="30">
                  <c:v>4.5479361260273007E-2</c:v>
                </c:pt>
                <c:pt idx="31">
                  <c:v>4.3500965151000007E-2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BE-4C15-A55A-CC4862891220}"/>
            </c:ext>
          </c:extLst>
        </c:ser>
        <c:ser>
          <c:idx val="13"/>
          <c:order val="13"/>
          <c:tx>
            <c:strRef>
              <c:f>g_GDP!$A$15</c:f>
              <c:strCache>
                <c:ptCount val="1"/>
                <c:pt idx="0">
                  <c:v>14_CLV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g_GDP!$B$15:$AG$15</c:f>
              <c:numCache>
                <c:formatCode>0.00000</c:formatCode>
                <c:ptCount val="32"/>
                <c:pt idx="0">
                  <c:v>7.2409207290558317E-2</c:v>
                </c:pt>
                <c:pt idx="1">
                  <c:v>2.3568425103394304E-2</c:v>
                </c:pt>
                <c:pt idx="2">
                  <c:v>2.5885691645690875E-2</c:v>
                </c:pt>
                <c:pt idx="3">
                  <c:v>6.7621403678777767E-2</c:v>
                </c:pt>
                <c:pt idx="4">
                  <c:v>6.3338373927096223E-2</c:v>
                </c:pt>
                <c:pt idx="5">
                  <c:v>5.9565586534017799E-2</c:v>
                </c:pt>
                <c:pt idx="6">
                  <c:v>5.6216988632921773E-2</c:v>
                </c:pt>
                <c:pt idx="7">
                  <c:v>7.6458156759645721E-2</c:v>
                </c:pt>
                <c:pt idx="8">
                  <c:v>7.1027523252552668E-2</c:v>
                </c:pt>
                <c:pt idx="9">
                  <c:v>6.6317178326895418E-2</c:v>
                </c:pt>
                <c:pt idx="10">
                  <c:v>6.219273183889841E-2</c:v>
                </c:pt>
                <c:pt idx="11">
                  <c:v>5.8551268498352765E-2</c:v>
                </c:pt>
                <c:pt idx="12">
                  <c:v>6.2150493257456703E-2</c:v>
                </c:pt>
                <c:pt idx="13">
                  <c:v>5.8513829868732103E-2</c:v>
                </c:pt>
                <c:pt idx="14">
                  <c:v>5.5279230386615252E-2</c:v>
                </c:pt>
                <c:pt idx="15">
                  <c:v>5.2383510254781558E-2</c:v>
                </c:pt>
                <c:pt idx="16">
                  <c:v>4.9776065231295678E-2</c:v>
                </c:pt>
                <c:pt idx="17">
                  <c:v>4.5437504585679939E-2</c:v>
                </c:pt>
                <c:pt idx="18">
                  <c:v>4.3462669347879762E-2</c:v>
                </c:pt>
                <c:pt idx="19">
                  <c:v>4.1652347155880627E-2</c:v>
                </c:pt>
                <c:pt idx="20">
                  <c:v>3.9986802957443397E-2</c:v>
                </c:pt>
                <c:pt idx="21">
                  <c:v>3.8449336899017722E-2</c:v>
                </c:pt>
                <c:pt idx="22">
                  <c:v>3.5673364218653518E-2</c:v>
                </c:pt>
                <c:pt idx="23">
                  <c:v>3.444460913172822E-2</c:v>
                </c:pt>
                <c:pt idx="24">
                  <c:v>3.3297683440623907E-2</c:v>
                </c:pt>
                <c:pt idx="25">
                  <c:v>3.2224676367947444E-2</c:v>
                </c:pt>
                <c:pt idx="26">
                  <c:v>3.1218664991942598E-2</c:v>
                </c:pt>
                <c:pt idx="27">
                  <c:v>2.9440845432084507E-2</c:v>
                </c:pt>
                <c:pt idx="28">
                  <c:v>2.8598870505985585E-2</c:v>
                </c:pt>
                <c:pt idx="29">
                  <c:v>2.7803715642733904E-2</c:v>
                </c:pt>
                <c:pt idx="30">
                  <c:v>2.7051581172137462E-2</c:v>
                </c:pt>
                <c:pt idx="31">
                  <c:v>2.6339067743086707E-2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7BE-4C15-A55A-CC4862891220}"/>
            </c:ext>
          </c:extLst>
        </c:ser>
        <c:ser>
          <c:idx val="14"/>
          <c:order val="14"/>
          <c:tx>
            <c:strRef>
              <c:f>g_GDP!$A$16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g_GDP!$B$16:$AG$16</c:f>
              <c:numCache>
                <c:formatCode>0.00000</c:formatCode>
                <c:ptCount val="32"/>
                <c:pt idx="0">
                  <c:v>3.9560329513586547E-2</c:v>
                </c:pt>
                <c:pt idx="1">
                  <c:v>-4.6225710057212703E-2</c:v>
                </c:pt>
                <c:pt idx="2">
                  <c:v>8.4437993679124759E-2</c:v>
                </c:pt>
                <c:pt idx="3">
                  <c:v>6.185824348104501E-2</c:v>
                </c:pt>
                <c:pt idx="4">
                  <c:v>5.8254709478223379E-2</c:v>
                </c:pt>
                <c:pt idx="5">
                  <c:v>5.5047909502756752E-2</c:v>
                </c:pt>
                <c:pt idx="6">
                  <c:v>5.2175743875651034E-2</c:v>
                </c:pt>
                <c:pt idx="7">
                  <c:v>6.4870302876748817E-2</c:v>
                </c:pt>
                <c:pt idx="8">
                  <c:v>6.0918501249872137E-2</c:v>
                </c:pt>
                <c:pt idx="9">
                  <c:v>5.7420528700464567E-2</c:v>
                </c:pt>
                <c:pt idx="10">
                  <c:v>5.4302453131898742E-2</c:v>
                </c:pt>
                <c:pt idx="11">
                  <c:v>5.1505574107874166E-2</c:v>
                </c:pt>
                <c:pt idx="12">
                  <c:v>5.3478662535989666E-2</c:v>
                </c:pt>
                <c:pt idx="13">
                  <c:v>5.0763878223459215E-2</c:v>
                </c:pt>
                <c:pt idx="14">
                  <c:v>4.83114039942888E-2</c:v>
                </c:pt>
                <c:pt idx="15">
                  <c:v>4.6084974188215548E-2</c:v>
                </c:pt>
                <c:pt idx="16">
                  <c:v>4.405471383811687E-2</c:v>
                </c:pt>
                <c:pt idx="17">
                  <c:v>4.6272935490009971E-2</c:v>
                </c:pt>
                <c:pt idx="18">
                  <c:v>4.4226447918523835E-2</c:v>
                </c:pt>
                <c:pt idx="19">
                  <c:v>4.2353311397811504E-2</c:v>
                </c:pt>
                <c:pt idx="20">
                  <c:v>4.0632394922807E-2</c:v>
                </c:pt>
                <c:pt idx="21">
                  <c:v>3.904586780216545E-2</c:v>
                </c:pt>
                <c:pt idx="22">
                  <c:v>4.1288073643348466E-2</c:v>
                </c:pt>
                <c:pt idx="23">
                  <c:v>3.9650961812024023E-2</c:v>
                </c:pt>
                <c:pt idx="24">
                  <c:v>3.8138724695560927E-2</c:v>
                </c:pt>
                <c:pt idx="25">
                  <c:v>3.6737599502171821E-2</c:v>
                </c:pt>
                <c:pt idx="26">
                  <c:v>3.5435774220798931E-2</c:v>
                </c:pt>
                <c:pt idx="27">
                  <c:v>3.7527274596817754E-2</c:v>
                </c:pt>
                <c:pt idx="28">
                  <c:v>3.6169916218733451E-2</c:v>
                </c:pt>
                <c:pt idx="29">
                  <c:v>3.4907321330778777E-2</c:v>
                </c:pt>
                <c:pt idx="30">
                  <c:v>3.3729900843576736E-2</c:v>
                </c:pt>
                <c:pt idx="31">
                  <c:v>3.2629317209506806E-2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BE-4C15-A55A-CC4862891220}"/>
            </c:ext>
          </c:extLst>
        </c:ser>
        <c:ser>
          <c:idx val="15"/>
          <c:order val="15"/>
          <c:tx>
            <c:strRef>
              <c:f>g_GDP!$A$17</c:f>
              <c:strCache>
                <c:ptCount val="1"/>
                <c:pt idx="0">
                  <c:v>16_APC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g_GDP!$B$17:$AG$17</c:f>
              <c:numCache>
                <c:formatCode>0.00000</c:formatCode>
                <c:ptCount val="32"/>
                <c:pt idx="0">
                  <c:v>4.2384746349107078E-2</c:v>
                </c:pt>
                <c:pt idx="1">
                  <c:v>-5.1356219448881739E-2</c:v>
                </c:pt>
                <c:pt idx="2">
                  <c:v>3.4029097354706044E-2</c:v>
                </c:pt>
                <c:pt idx="3">
                  <c:v>0.10217311434084832</c:v>
                </c:pt>
                <c:pt idx="4">
                  <c:v>9.2701512141268913E-2</c:v>
                </c:pt>
                <c:pt idx="5">
                  <c:v>8.4836994468516919E-2</c:v>
                </c:pt>
                <c:pt idx="6">
                  <c:v>7.8202527108766268E-2</c:v>
                </c:pt>
                <c:pt idx="7">
                  <c:v>4.3235159371817544E-2</c:v>
                </c:pt>
                <c:pt idx="8">
                  <c:v>4.1443349549157765E-2</c:v>
                </c:pt>
                <c:pt idx="9">
                  <c:v>3.9794146812785015E-2</c:v>
                </c:pt>
                <c:pt idx="10">
                  <c:v>3.8271177939175255E-2</c:v>
                </c:pt>
                <c:pt idx="11">
                  <c:v>3.6860483804566448E-2</c:v>
                </c:pt>
                <c:pt idx="12">
                  <c:v>3.5459247417298528E-2</c:v>
                </c:pt>
                <c:pt idx="13">
                  <c:v>3.4244947356202579E-2</c:v>
                </c:pt>
                <c:pt idx="14">
                  <c:v>3.3111060821463541E-2</c:v>
                </c:pt>
                <c:pt idx="15">
                  <c:v>3.2049856087239786E-2</c:v>
                </c:pt>
                <c:pt idx="16">
                  <c:v>3.105456184912285E-2</c:v>
                </c:pt>
                <c:pt idx="17">
                  <c:v>2.8720514922313135E-2</c:v>
                </c:pt>
                <c:pt idx="18">
                  <c:v>2.7918676166851838E-2</c:v>
                </c:pt>
                <c:pt idx="19">
                  <c:v>2.7160393924314762E-2</c:v>
                </c:pt>
                <c:pt idx="20">
                  <c:v>2.6442213002924691E-2</c:v>
                </c:pt>
                <c:pt idx="21">
                  <c:v>2.5761034248159113E-2</c:v>
                </c:pt>
                <c:pt idx="22">
                  <c:v>2.4212809494645413E-2</c:v>
                </c:pt>
                <c:pt idx="23">
                  <c:v>2.3640408780468389E-2</c:v>
                </c:pt>
                <c:pt idx="24">
                  <c:v>2.3094446621771018E-2</c:v>
                </c:pt>
                <c:pt idx="25">
                  <c:v>2.2573132615496278E-2</c:v>
                </c:pt>
                <c:pt idx="26">
                  <c:v>2.2074834449991098E-2</c:v>
                </c:pt>
                <c:pt idx="27">
                  <c:v>2.0998509608047486E-2</c:v>
                </c:pt>
                <c:pt idx="28">
                  <c:v>2.0566640803529313E-2</c:v>
                </c:pt>
                <c:pt idx="29">
                  <c:v>2.015217819322063E-2</c:v>
                </c:pt>
                <c:pt idx="30">
                  <c:v>1.9754090246527644E-2</c:v>
                </c:pt>
                <c:pt idx="31">
                  <c:v>1.9371425361728371E-2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7BE-4C15-A55A-CC4862891220}"/>
            </c:ext>
          </c:extLst>
        </c:ser>
        <c:ser>
          <c:idx val="16"/>
          <c:order val="16"/>
          <c:tx>
            <c:strRef>
              <c:f>g_GDP!$A$18</c:f>
              <c:strCache>
                <c:ptCount val="1"/>
                <c:pt idx="0">
                  <c:v>17_ANZ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g_GDP!$B$1:$AG$1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g_GDP!$B$18:$AG$18</c:f>
              <c:numCache>
                <c:formatCode>0.00000</c:formatCode>
                <c:ptCount val="32"/>
                <c:pt idx="0">
                  <c:v>2.2199120009836898E-2</c:v>
                </c:pt>
                <c:pt idx="1">
                  <c:v>-3.8155633721254634E-3</c:v>
                </c:pt>
                <c:pt idx="2">
                  <c:v>2.5592873834949979E-2</c:v>
                </c:pt>
                <c:pt idx="3">
                  <c:v>1.7893208170639115E-2</c:v>
                </c:pt>
                <c:pt idx="4">
                  <c:v>1.7578669380059028E-2</c:v>
                </c:pt>
                <c:pt idx="5">
                  <c:v>1.7274997903374396E-2</c:v>
                </c:pt>
                <c:pt idx="6">
                  <c:v>1.6981640106144742E-2</c:v>
                </c:pt>
                <c:pt idx="7">
                  <c:v>2.7588254405718219E-2</c:v>
                </c:pt>
                <c:pt idx="8">
                  <c:v>2.6847576631433223E-2</c:v>
                </c:pt>
                <c:pt idx="9">
                  <c:v>2.6145629830969193E-2</c:v>
                </c:pt>
                <c:pt idx="10">
                  <c:v>2.5479453472189911E-2</c:v>
                </c:pt>
                <c:pt idx="11">
                  <c:v>2.4846381256999762E-2</c:v>
                </c:pt>
                <c:pt idx="12">
                  <c:v>2.5805795260809689E-2</c:v>
                </c:pt>
                <c:pt idx="13">
                  <c:v>2.5156608960518301E-2</c:v>
                </c:pt>
                <c:pt idx="14">
                  <c:v>2.4539283793942896E-2</c:v>
                </c:pt>
                <c:pt idx="15">
                  <c:v>2.3951530392345873E-2</c:v>
                </c:pt>
                <c:pt idx="16">
                  <c:v>2.3391273591991609E-2</c:v>
                </c:pt>
                <c:pt idx="17">
                  <c:v>2.430426671201134E-2</c:v>
                </c:pt>
                <c:pt idx="18">
                  <c:v>2.3727585153996644E-2</c:v>
                </c:pt>
                <c:pt idx="19">
                  <c:v>2.3177635826260718E-2</c:v>
                </c:pt>
                <c:pt idx="20">
                  <c:v>2.2652602065079113E-2</c:v>
                </c:pt>
                <c:pt idx="21">
                  <c:v>2.2150828169151583E-2</c:v>
                </c:pt>
                <c:pt idx="22">
                  <c:v>2.3323306114127185E-2</c:v>
                </c:pt>
                <c:pt idx="23">
                  <c:v>2.2791727672745909E-2</c:v>
                </c:pt>
                <c:pt idx="24">
                  <c:v>2.2283840449713127E-2</c:v>
                </c:pt>
                <c:pt idx="25">
                  <c:v>2.1798095174731743E-2</c:v>
                </c:pt>
                <c:pt idx="26">
                  <c:v>2.1333074780300894E-2</c:v>
                </c:pt>
                <c:pt idx="27">
                  <c:v>2.1664191492234225E-2</c:v>
                </c:pt>
                <c:pt idx="28">
                  <c:v>2.1204806503584792E-2</c:v>
                </c:pt>
                <c:pt idx="29">
                  <c:v>2.076449931349824E-2</c:v>
                </c:pt>
                <c:pt idx="30">
                  <c:v>2.0342105674191386E-2</c:v>
                </c:pt>
                <c:pt idx="31">
                  <c:v>1.9936554182237078E-2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BE-4C15-A55A-CC4862891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1104736"/>
        <c:axId val="1727733072"/>
      </c:lineChart>
      <c:catAx>
        <c:axId val="166110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733072"/>
        <c:crosses val="autoZero"/>
        <c:auto val="1"/>
        <c:lblAlgn val="ctr"/>
        <c:lblOffset val="100"/>
        <c:noMultiLvlLbl val="0"/>
      </c:catAx>
      <c:valAx>
        <c:axId val="172773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0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PERMIT_NDC!$A$2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0.65685833081631229</c:v>
                </c:pt>
                <c:pt idx="13">
                  <c:v>0.65685833081631229</c:v>
                </c:pt>
                <c:pt idx="14">
                  <c:v>0.65685833081631229</c:v>
                </c:pt>
                <c:pt idx="15">
                  <c:v>0.65685833081631229</c:v>
                </c:pt>
                <c:pt idx="16">
                  <c:v>0.65685833081631229</c:v>
                </c:pt>
                <c:pt idx="17">
                  <c:v>0.65685833081631229</c:v>
                </c:pt>
                <c:pt idx="18">
                  <c:v>0.65685833081631229</c:v>
                </c:pt>
                <c:pt idx="19">
                  <c:v>0.65685833081631229</c:v>
                </c:pt>
                <c:pt idx="20">
                  <c:v>0.65685833081631229</c:v>
                </c:pt>
                <c:pt idx="21">
                  <c:v>0.65685833081631229</c:v>
                </c:pt>
                <c:pt idx="22">
                  <c:v>0.65685833081631229</c:v>
                </c:pt>
                <c:pt idx="23">
                  <c:v>0.65685833081631229</c:v>
                </c:pt>
                <c:pt idx="24">
                  <c:v>0.65685833081631229</c:v>
                </c:pt>
                <c:pt idx="25">
                  <c:v>0.65685833081631229</c:v>
                </c:pt>
                <c:pt idx="26">
                  <c:v>0.65685833081631229</c:v>
                </c:pt>
                <c:pt idx="27">
                  <c:v>0.65685833081631229</c:v>
                </c:pt>
                <c:pt idx="28">
                  <c:v>0.65685833081631229</c:v>
                </c:pt>
                <c:pt idx="29">
                  <c:v>0.65685833081631229</c:v>
                </c:pt>
                <c:pt idx="30">
                  <c:v>0.65685833081631229</c:v>
                </c:pt>
                <c:pt idx="31">
                  <c:v>0.65685833081631229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9C-9329-287CAD2CBAE6}"/>
            </c:ext>
          </c:extLst>
        </c:ser>
        <c:ser>
          <c:idx val="1"/>
          <c:order val="1"/>
          <c:tx>
            <c:strRef>
              <c:f>PERMIT_NDC!$A$3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9C-9329-287CAD2CBAE6}"/>
            </c:ext>
          </c:extLst>
        </c:ser>
        <c:ser>
          <c:idx val="2"/>
          <c:order val="2"/>
          <c:tx>
            <c:strRef>
              <c:f>PERMIT_NDC!$A$4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0.67340518052159881</c:v>
                </c:pt>
                <c:pt idx="13">
                  <c:v>0.67340518052159881</c:v>
                </c:pt>
                <c:pt idx="14">
                  <c:v>0.67340518052159881</c:v>
                </c:pt>
                <c:pt idx="15">
                  <c:v>0.67340518052159881</c:v>
                </c:pt>
                <c:pt idx="16">
                  <c:v>0.67340518052159881</c:v>
                </c:pt>
                <c:pt idx="17">
                  <c:v>0.67340518052159881</c:v>
                </c:pt>
                <c:pt idx="18">
                  <c:v>0.67340518052159881</c:v>
                </c:pt>
                <c:pt idx="19">
                  <c:v>0.67340518052159881</c:v>
                </c:pt>
                <c:pt idx="20">
                  <c:v>0.67340518052159881</c:v>
                </c:pt>
                <c:pt idx="21">
                  <c:v>0.67340518052159881</c:v>
                </c:pt>
                <c:pt idx="22">
                  <c:v>0.67340518052159881</c:v>
                </c:pt>
                <c:pt idx="23">
                  <c:v>0.67340518052159881</c:v>
                </c:pt>
                <c:pt idx="24">
                  <c:v>0.67340518052159881</c:v>
                </c:pt>
                <c:pt idx="25">
                  <c:v>0.67340518052159881</c:v>
                </c:pt>
                <c:pt idx="26">
                  <c:v>0.67340518052159881</c:v>
                </c:pt>
                <c:pt idx="27">
                  <c:v>0.67340518052159881</c:v>
                </c:pt>
                <c:pt idx="28">
                  <c:v>0.67340518052159881</c:v>
                </c:pt>
                <c:pt idx="29">
                  <c:v>0.67340518052159881</c:v>
                </c:pt>
                <c:pt idx="30">
                  <c:v>0.67340518052159881</c:v>
                </c:pt>
                <c:pt idx="31">
                  <c:v>0.67340518052159881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5-439C-9329-287CAD2CBAE6}"/>
            </c:ext>
          </c:extLst>
        </c:ser>
        <c:ser>
          <c:idx val="3"/>
          <c:order val="3"/>
          <c:tx>
            <c:strRef>
              <c:f>PERMIT_NDC!$A$5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1.1345147057436835</c:v>
                </c:pt>
                <c:pt idx="13">
                  <c:v>1.1345147057436835</c:v>
                </c:pt>
                <c:pt idx="14">
                  <c:v>1.1345147057436835</c:v>
                </c:pt>
                <c:pt idx="15">
                  <c:v>1.1345147057436835</c:v>
                </c:pt>
                <c:pt idx="16">
                  <c:v>1.1345147057436835</c:v>
                </c:pt>
                <c:pt idx="17">
                  <c:v>1.1345147057436835</c:v>
                </c:pt>
                <c:pt idx="18">
                  <c:v>1.1345147057436835</c:v>
                </c:pt>
                <c:pt idx="19">
                  <c:v>1.1345147057436835</c:v>
                </c:pt>
                <c:pt idx="20">
                  <c:v>1.1345147057436835</c:v>
                </c:pt>
                <c:pt idx="21">
                  <c:v>1.1345147057436835</c:v>
                </c:pt>
                <c:pt idx="22">
                  <c:v>1.1345147057436835</c:v>
                </c:pt>
                <c:pt idx="23">
                  <c:v>1.1345147057436835</c:v>
                </c:pt>
                <c:pt idx="24">
                  <c:v>1.1345147057436835</c:v>
                </c:pt>
                <c:pt idx="25">
                  <c:v>1.1345147057436835</c:v>
                </c:pt>
                <c:pt idx="26">
                  <c:v>1.1345147057436835</c:v>
                </c:pt>
                <c:pt idx="27">
                  <c:v>1.1345147057436835</c:v>
                </c:pt>
                <c:pt idx="28">
                  <c:v>1.1345147057436835</c:v>
                </c:pt>
                <c:pt idx="29">
                  <c:v>1.1345147057436835</c:v>
                </c:pt>
                <c:pt idx="30">
                  <c:v>1.1345147057436835</c:v>
                </c:pt>
                <c:pt idx="31">
                  <c:v>1.1345147057436835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5-439C-9329-287CAD2CBAE6}"/>
            </c:ext>
          </c:extLst>
        </c:ser>
        <c:ser>
          <c:idx val="4"/>
          <c:order val="4"/>
          <c:tx>
            <c:strRef>
              <c:f>PERMIT_NDC!$A$6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1.1345147057436833</c:v>
                </c:pt>
                <c:pt idx="13">
                  <c:v>1.1345147057436833</c:v>
                </c:pt>
                <c:pt idx="14">
                  <c:v>1.1345147057436833</c:v>
                </c:pt>
                <c:pt idx="15">
                  <c:v>1.1345147057436833</c:v>
                </c:pt>
                <c:pt idx="16">
                  <c:v>1.1345147057436833</c:v>
                </c:pt>
                <c:pt idx="17">
                  <c:v>1.1345147057436833</c:v>
                </c:pt>
                <c:pt idx="18">
                  <c:v>1.1345147057436833</c:v>
                </c:pt>
                <c:pt idx="19">
                  <c:v>1.1345147057436833</c:v>
                </c:pt>
                <c:pt idx="20">
                  <c:v>1.1345147057436833</c:v>
                </c:pt>
                <c:pt idx="21">
                  <c:v>1.1345147057436833</c:v>
                </c:pt>
                <c:pt idx="22">
                  <c:v>1.1345147057436833</c:v>
                </c:pt>
                <c:pt idx="23">
                  <c:v>1.1345147057436833</c:v>
                </c:pt>
                <c:pt idx="24">
                  <c:v>1.1345147057436833</c:v>
                </c:pt>
                <c:pt idx="25">
                  <c:v>1.1345147057436833</c:v>
                </c:pt>
                <c:pt idx="26">
                  <c:v>1.1345147057436833</c:v>
                </c:pt>
                <c:pt idx="27">
                  <c:v>1.1345147057436833</c:v>
                </c:pt>
                <c:pt idx="28">
                  <c:v>1.1345147057436833</c:v>
                </c:pt>
                <c:pt idx="29">
                  <c:v>1.1345147057436833</c:v>
                </c:pt>
                <c:pt idx="30">
                  <c:v>1.1345147057436833</c:v>
                </c:pt>
                <c:pt idx="31">
                  <c:v>1.1345147057436833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5-439C-9329-287CAD2CBAE6}"/>
            </c:ext>
          </c:extLst>
        </c:ser>
        <c:ser>
          <c:idx val="5"/>
          <c:order val="5"/>
          <c:tx>
            <c:strRef>
              <c:f>PERMIT_NDC!$A$7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1.1345147057436835</c:v>
                </c:pt>
                <c:pt idx="13">
                  <c:v>1.1345147057436835</c:v>
                </c:pt>
                <c:pt idx="14">
                  <c:v>1.1345147057436835</c:v>
                </c:pt>
                <c:pt idx="15">
                  <c:v>1.1345147057436835</c:v>
                </c:pt>
                <c:pt idx="16">
                  <c:v>1.1345147057436835</c:v>
                </c:pt>
                <c:pt idx="17">
                  <c:v>1.1345147057436835</c:v>
                </c:pt>
                <c:pt idx="18">
                  <c:v>1.1345147057436835</c:v>
                </c:pt>
                <c:pt idx="19">
                  <c:v>1.1345147057436835</c:v>
                </c:pt>
                <c:pt idx="20">
                  <c:v>1.1345147057436835</c:v>
                </c:pt>
                <c:pt idx="21">
                  <c:v>1.1345147057436835</c:v>
                </c:pt>
                <c:pt idx="22">
                  <c:v>1.1345147057436835</c:v>
                </c:pt>
                <c:pt idx="23">
                  <c:v>1.1345147057436835</c:v>
                </c:pt>
                <c:pt idx="24">
                  <c:v>1.1345147057436835</c:v>
                </c:pt>
                <c:pt idx="25">
                  <c:v>1.1345147057436835</c:v>
                </c:pt>
                <c:pt idx="26">
                  <c:v>1.1345147057436835</c:v>
                </c:pt>
                <c:pt idx="27">
                  <c:v>1.1345147057436835</c:v>
                </c:pt>
                <c:pt idx="28">
                  <c:v>1.1345147057436835</c:v>
                </c:pt>
                <c:pt idx="29">
                  <c:v>1.1345147057436835</c:v>
                </c:pt>
                <c:pt idx="30">
                  <c:v>1.1345147057436835</c:v>
                </c:pt>
                <c:pt idx="31">
                  <c:v>1.1345147057436835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5-439C-9329-287CAD2CBAE6}"/>
            </c:ext>
          </c:extLst>
        </c:ser>
        <c:ser>
          <c:idx val="6"/>
          <c:order val="6"/>
          <c:tx>
            <c:strRef>
              <c:f>PERMIT_NDC!$A$8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5-439C-9329-287CAD2CBAE6}"/>
            </c:ext>
          </c:extLst>
        </c:ser>
        <c:ser>
          <c:idx val="7"/>
          <c:order val="7"/>
          <c:tx>
            <c:strRef>
              <c:f>PERMIT_NDC!$A$9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5-439C-9329-287CAD2CBAE6}"/>
            </c:ext>
          </c:extLst>
        </c:ser>
        <c:ser>
          <c:idx val="8"/>
          <c:order val="8"/>
          <c:tx>
            <c:strRef>
              <c:f>PERMIT_NDC!$A$10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F5-439C-9329-287CAD2CBAE6}"/>
            </c:ext>
          </c:extLst>
        </c:ser>
        <c:ser>
          <c:idx val="9"/>
          <c:order val="9"/>
          <c:tx>
            <c:strRef>
              <c:f>PERMIT_NDC!$A$11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F5-439C-9329-287CAD2CBAE6}"/>
            </c:ext>
          </c:extLst>
        </c:ser>
        <c:ser>
          <c:idx val="10"/>
          <c:order val="10"/>
          <c:tx>
            <c:strRef>
              <c:f>PERMIT_NDC!$A$12</c:f>
              <c:strCache>
                <c:ptCount val="1"/>
                <c:pt idx="0">
                  <c:v>11_CAS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F5-439C-9329-287CAD2CBAE6}"/>
            </c:ext>
          </c:extLst>
        </c:ser>
        <c:ser>
          <c:idx val="11"/>
          <c:order val="11"/>
          <c:tx>
            <c:strRef>
              <c:f>PERMIT_NDC!$A$13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F5-439C-9329-287CAD2CBAE6}"/>
            </c:ext>
          </c:extLst>
        </c:ser>
        <c:ser>
          <c:idx val="12"/>
          <c:order val="12"/>
          <c:tx>
            <c:strRef>
              <c:f>PERMIT_NDC!$A$14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F5-439C-9329-287CAD2CBAE6}"/>
            </c:ext>
          </c:extLst>
        </c:ser>
        <c:ser>
          <c:idx val="13"/>
          <c:order val="13"/>
          <c:tx>
            <c:strRef>
              <c:f>PERMIT_NDC!$A$15</c:f>
              <c:strCache>
                <c:ptCount val="1"/>
                <c:pt idx="0">
                  <c:v>14_CLV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F5-439C-9329-287CAD2CBAE6}"/>
            </c:ext>
          </c:extLst>
        </c:ser>
        <c:ser>
          <c:idx val="14"/>
          <c:order val="14"/>
          <c:tx>
            <c:strRef>
              <c:f>PERMIT_NDC!$A$16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F5-439C-9329-287CAD2CBAE6}"/>
            </c:ext>
          </c:extLst>
        </c:ser>
        <c:ser>
          <c:idx val="15"/>
          <c:order val="15"/>
          <c:tx>
            <c:strRef>
              <c:f>PERMIT_NDC!$A$17</c:f>
              <c:strCache>
                <c:ptCount val="1"/>
                <c:pt idx="0">
                  <c:v>16_APC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F5-439C-9329-287CAD2CBAE6}"/>
            </c:ext>
          </c:extLst>
        </c:ser>
        <c:ser>
          <c:idx val="16"/>
          <c:order val="16"/>
          <c:tx>
            <c:strRef>
              <c:f>PERMIT_NDC!$A$18</c:f>
              <c:strCache>
                <c:ptCount val="1"/>
                <c:pt idx="0">
                  <c:v>17_ANZ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0.65685833081631206</c:v>
                </c:pt>
                <c:pt idx="13">
                  <c:v>0.65685833081631206</c:v>
                </c:pt>
                <c:pt idx="14">
                  <c:v>0.65685833081631206</c:v>
                </c:pt>
                <c:pt idx="15">
                  <c:v>0.65685833081631206</c:v>
                </c:pt>
                <c:pt idx="16">
                  <c:v>0.65685833081631206</c:v>
                </c:pt>
                <c:pt idx="17">
                  <c:v>0.65685833081631206</c:v>
                </c:pt>
                <c:pt idx="18">
                  <c:v>0.65685833081631206</c:v>
                </c:pt>
                <c:pt idx="19">
                  <c:v>0.65685833081631206</c:v>
                </c:pt>
                <c:pt idx="20">
                  <c:v>0.65685833081631206</c:v>
                </c:pt>
                <c:pt idx="21">
                  <c:v>0.65685833081631206</c:v>
                </c:pt>
                <c:pt idx="22">
                  <c:v>0.65685833081631206</c:v>
                </c:pt>
                <c:pt idx="23">
                  <c:v>0.65685833081631206</c:v>
                </c:pt>
                <c:pt idx="24">
                  <c:v>0.65685833081631206</c:v>
                </c:pt>
                <c:pt idx="25">
                  <c:v>0.65685833081631206</c:v>
                </c:pt>
                <c:pt idx="26">
                  <c:v>0.65685833081631206</c:v>
                </c:pt>
                <c:pt idx="27">
                  <c:v>0.65685833081631206</c:v>
                </c:pt>
                <c:pt idx="28">
                  <c:v>0.65685833081631206</c:v>
                </c:pt>
                <c:pt idx="29">
                  <c:v>0.65685833081631206</c:v>
                </c:pt>
                <c:pt idx="30">
                  <c:v>0.65685833081631206</c:v>
                </c:pt>
                <c:pt idx="31">
                  <c:v>0.65685833081631206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F5-439C-9329-287CAD2C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442815"/>
        <c:axId val="2066678607"/>
      </c:lineChart>
      <c:catAx>
        <c:axId val="20584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78607"/>
        <c:crosses val="autoZero"/>
        <c:auto val="1"/>
        <c:lblAlgn val="ctr"/>
        <c:lblOffset val="100"/>
        <c:noMultiLvlLbl val="0"/>
      </c:catAx>
      <c:valAx>
        <c:axId val="20666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0.62811088203873577</c:v>
                </c:pt>
                <c:pt idx="13">
                  <c:v>0.59936343326115926</c:v>
                </c:pt>
                <c:pt idx="14">
                  <c:v>0.57061598448358275</c:v>
                </c:pt>
                <c:pt idx="15">
                  <c:v>0.54186853570600624</c:v>
                </c:pt>
                <c:pt idx="16">
                  <c:v>0.51312108692842973</c:v>
                </c:pt>
                <c:pt idx="17">
                  <c:v>0.48437363815085327</c:v>
                </c:pt>
                <c:pt idx="18">
                  <c:v>0.45562618937327681</c:v>
                </c:pt>
                <c:pt idx="19">
                  <c:v>0.42687874059570036</c:v>
                </c:pt>
                <c:pt idx="20">
                  <c:v>0.3981312918181239</c:v>
                </c:pt>
                <c:pt idx="21">
                  <c:v>0.36938384304054761</c:v>
                </c:pt>
                <c:pt idx="22">
                  <c:v>0.34244545873649285</c:v>
                </c:pt>
                <c:pt idx="23">
                  <c:v>0.31550707443243808</c:v>
                </c:pt>
                <c:pt idx="24">
                  <c:v>0.28856869012838332</c:v>
                </c:pt>
                <c:pt idx="25">
                  <c:v>0.26163030582432856</c:v>
                </c:pt>
                <c:pt idx="26">
                  <c:v>0.23469192152027379</c:v>
                </c:pt>
                <c:pt idx="27">
                  <c:v>0.20775353721621903</c:v>
                </c:pt>
                <c:pt idx="28">
                  <c:v>0.18081515291216427</c:v>
                </c:pt>
                <c:pt idx="29">
                  <c:v>0.1538767686081095</c:v>
                </c:pt>
                <c:pt idx="30">
                  <c:v>0.12693838430405474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4-4753-BD8B-D94140D5F29E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0.63481179568818036</c:v>
                </c:pt>
                <c:pt idx="23">
                  <c:v>0.59205492950060479</c:v>
                </c:pt>
                <c:pt idx="24">
                  <c:v>0.54929806331302922</c:v>
                </c:pt>
                <c:pt idx="25">
                  <c:v>0.50654119712545365</c:v>
                </c:pt>
                <c:pt idx="26">
                  <c:v>0.46378433093787808</c:v>
                </c:pt>
                <c:pt idx="27">
                  <c:v>0.4210274647503025</c:v>
                </c:pt>
                <c:pt idx="28">
                  <c:v>0.37827059856272693</c:v>
                </c:pt>
                <c:pt idx="29">
                  <c:v>0.33551373237515136</c:v>
                </c:pt>
                <c:pt idx="30">
                  <c:v>0.29275686618757579</c:v>
                </c:pt>
                <c:pt idx="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4-4753-BD8B-D94140D5F29E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0.64379368066983944</c:v>
                </c:pt>
                <c:pt idx="13">
                  <c:v>0.61418218081808007</c:v>
                </c:pt>
                <c:pt idx="14">
                  <c:v>0.5845706809663207</c:v>
                </c:pt>
                <c:pt idx="15">
                  <c:v>0.55495918111456133</c:v>
                </c:pt>
                <c:pt idx="16">
                  <c:v>0.52534768126280196</c:v>
                </c:pt>
                <c:pt idx="17">
                  <c:v>0.49573618141104253</c:v>
                </c:pt>
                <c:pt idx="18">
                  <c:v>0.4661246815592831</c:v>
                </c:pt>
                <c:pt idx="19">
                  <c:v>0.43651318170752368</c:v>
                </c:pt>
                <c:pt idx="20">
                  <c:v>0.40690168185576425</c:v>
                </c:pt>
                <c:pt idx="21">
                  <c:v>0.37729018200400471</c:v>
                </c:pt>
                <c:pt idx="22">
                  <c:v>0.34956116380360425</c:v>
                </c:pt>
                <c:pt idx="23">
                  <c:v>0.32183214560320378</c:v>
                </c:pt>
                <c:pt idx="24">
                  <c:v>0.29410312740280331</c:v>
                </c:pt>
                <c:pt idx="25">
                  <c:v>0.26637410920240284</c:v>
                </c:pt>
                <c:pt idx="26">
                  <c:v>0.23864509100200237</c:v>
                </c:pt>
                <c:pt idx="27">
                  <c:v>0.21091607280160191</c:v>
                </c:pt>
                <c:pt idx="28">
                  <c:v>0.18318705460120144</c:v>
                </c:pt>
                <c:pt idx="29">
                  <c:v>0.15545803640080097</c:v>
                </c:pt>
                <c:pt idx="30">
                  <c:v>0.1277290182004005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4-4753-BD8B-D94140D5F29E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0.86946307326156869</c:v>
                </c:pt>
                <c:pt idx="22">
                  <c:v>0.8375167659354118</c:v>
                </c:pt>
                <c:pt idx="23">
                  <c:v>0.80557045860925491</c:v>
                </c:pt>
                <c:pt idx="24">
                  <c:v>0.77362415128309803</c:v>
                </c:pt>
                <c:pt idx="25">
                  <c:v>0.74167784395694114</c:v>
                </c:pt>
                <c:pt idx="26">
                  <c:v>0.70973153663078425</c:v>
                </c:pt>
                <c:pt idx="27">
                  <c:v>0.67778522930462737</c:v>
                </c:pt>
                <c:pt idx="28">
                  <c:v>0.64583892197847048</c:v>
                </c:pt>
                <c:pt idx="29">
                  <c:v>0.6138926146523136</c:v>
                </c:pt>
                <c:pt idx="30">
                  <c:v>0.58194630732615671</c:v>
                </c:pt>
                <c:pt idx="3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4-4753-BD8B-D94140D5F29E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1.1080095424954719</c:v>
                </c:pt>
                <c:pt idx="13">
                  <c:v>1.0815043792472605</c:v>
                </c:pt>
                <c:pt idx="14">
                  <c:v>1.0549992159990491</c:v>
                </c:pt>
                <c:pt idx="15">
                  <c:v>1.0284940527508377</c:v>
                </c:pt>
                <c:pt idx="16">
                  <c:v>1.0019888895026263</c:v>
                </c:pt>
                <c:pt idx="17">
                  <c:v>0.97548372625441493</c:v>
                </c:pt>
                <c:pt idx="18">
                  <c:v>0.94897856300620353</c:v>
                </c:pt>
                <c:pt idx="19">
                  <c:v>0.92247339975799214</c:v>
                </c:pt>
                <c:pt idx="20">
                  <c:v>0.89596823650978075</c:v>
                </c:pt>
                <c:pt idx="21">
                  <c:v>0.8694630732615688</c:v>
                </c:pt>
                <c:pt idx="22">
                  <c:v>0.83751676593541191</c:v>
                </c:pt>
                <c:pt idx="23">
                  <c:v>0.80557045860925502</c:v>
                </c:pt>
                <c:pt idx="24">
                  <c:v>0.77362415128309814</c:v>
                </c:pt>
                <c:pt idx="25">
                  <c:v>0.74167784395694125</c:v>
                </c:pt>
                <c:pt idx="26">
                  <c:v>0.70973153663078437</c:v>
                </c:pt>
                <c:pt idx="27">
                  <c:v>0.67778522930462748</c:v>
                </c:pt>
                <c:pt idx="28">
                  <c:v>0.64583892197847059</c:v>
                </c:pt>
                <c:pt idx="29">
                  <c:v>0.61389261465231371</c:v>
                </c:pt>
                <c:pt idx="30">
                  <c:v>0.58194630732615682</c:v>
                </c:pt>
                <c:pt idx="3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4-4753-BD8B-D94140D5F29E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0.86946307326156858</c:v>
                </c:pt>
                <c:pt idx="22">
                  <c:v>0.83751676593541169</c:v>
                </c:pt>
                <c:pt idx="23">
                  <c:v>0.8055704586092548</c:v>
                </c:pt>
                <c:pt idx="24">
                  <c:v>0.77362415128309792</c:v>
                </c:pt>
                <c:pt idx="25">
                  <c:v>0.74167784395694103</c:v>
                </c:pt>
                <c:pt idx="26">
                  <c:v>0.70973153663078414</c:v>
                </c:pt>
                <c:pt idx="27">
                  <c:v>0.67778522930462726</c:v>
                </c:pt>
                <c:pt idx="28">
                  <c:v>0.64583892197847037</c:v>
                </c:pt>
                <c:pt idx="29">
                  <c:v>0.61389261465231348</c:v>
                </c:pt>
                <c:pt idx="30">
                  <c:v>0.5819463073261566</c:v>
                </c:pt>
                <c:pt idx="3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34-4753-BD8B-D94140D5F29E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34-4753-BD8B-D94140D5F29E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0.63481179568818036</c:v>
                </c:pt>
                <c:pt idx="23">
                  <c:v>0.59205492950060479</c:v>
                </c:pt>
                <c:pt idx="24">
                  <c:v>0.54929806331302922</c:v>
                </c:pt>
                <c:pt idx="25">
                  <c:v>0.50654119712545365</c:v>
                </c:pt>
                <c:pt idx="26">
                  <c:v>0.46378433093787808</c:v>
                </c:pt>
                <c:pt idx="27">
                  <c:v>0.4210274647503025</c:v>
                </c:pt>
                <c:pt idx="28">
                  <c:v>0.37827059856272693</c:v>
                </c:pt>
                <c:pt idx="29">
                  <c:v>0.33551373237515136</c:v>
                </c:pt>
                <c:pt idx="30">
                  <c:v>0.29275686618757579</c:v>
                </c:pt>
                <c:pt idx="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34-4753-BD8B-D94140D5F29E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0.47999999999999987</c:v>
                </c:pt>
                <c:pt idx="13">
                  <c:v>0.45999999999999985</c:v>
                </c:pt>
                <c:pt idx="14">
                  <c:v>0.43999999999999984</c:v>
                </c:pt>
                <c:pt idx="15">
                  <c:v>0.41999999999999982</c:v>
                </c:pt>
                <c:pt idx="16">
                  <c:v>0.3999999999999998</c:v>
                </c:pt>
                <c:pt idx="17">
                  <c:v>0.37999999999999978</c:v>
                </c:pt>
                <c:pt idx="18">
                  <c:v>0.35999999999999976</c:v>
                </c:pt>
                <c:pt idx="19">
                  <c:v>0.33999999999999975</c:v>
                </c:pt>
                <c:pt idx="20">
                  <c:v>0.31999999999999973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34-4753-BD8B-D94140D5F29E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0.50000000000000011</c:v>
                </c:pt>
                <c:pt idx="12">
                  <c:v>0.48000000000000009</c:v>
                </c:pt>
                <c:pt idx="13">
                  <c:v>0.46000000000000008</c:v>
                </c:pt>
                <c:pt idx="14">
                  <c:v>0.44000000000000006</c:v>
                </c:pt>
                <c:pt idx="15">
                  <c:v>0.42000000000000004</c:v>
                </c:pt>
                <c:pt idx="16">
                  <c:v>0.4</c:v>
                </c:pt>
                <c:pt idx="17">
                  <c:v>0.38</c:v>
                </c:pt>
                <c:pt idx="18">
                  <c:v>0.36</c:v>
                </c:pt>
                <c:pt idx="19">
                  <c:v>0.33999999999999997</c:v>
                </c:pt>
                <c:pt idx="20">
                  <c:v>0.31999999999999995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34-4753-BD8B-D94140D5F29E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11_CAS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0.63481179568818036</c:v>
                </c:pt>
                <c:pt idx="23">
                  <c:v>0.59205492950060479</c:v>
                </c:pt>
                <c:pt idx="24">
                  <c:v>0.54929806331302922</c:v>
                </c:pt>
                <c:pt idx="25">
                  <c:v>0.50654119712545365</c:v>
                </c:pt>
                <c:pt idx="26">
                  <c:v>0.46378433093787808</c:v>
                </c:pt>
                <c:pt idx="27">
                  <c:v>0.4210274647503025</c:v>
                </c:pt>
                <c:pt idx="28">
                  <c:v>0.37827059856272693</c:v>
                </c:pt>
                <c:pt idx="29">
                  <c:v>0.33551373237515136</c:v>
                </c:pt>
                <c:pt idx="30">
                  <c:v>0.29275686618757579</c:v>
                </c:pt>
                <c:pt idx="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34-4753-BD8B-D94140D5F29E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0.63481179568818036</c:v>
                </c:pt>
                <c:pt idx="23">
                  <c:v>0.59205492950060479</c:v>
                </c:pt>
                <c:pt idx="24">
                  <c:v>0.54929806331302922</c:v>
                </c:pt>
                <c:pt idx="25">
                  <c:v>0.50654119712545365</c:v>
                </c:pt>
                <c:pt idx="26">
                  <c:v>0.46378433093787808</c:v>
                </c:pt>
                <c:pt idx="27">
                  <c:v>0.4210274647503025</c:v>
                </c:pt>
                <c:pt idx="28">
                  <c:v>0.37827059856272693</c:v>
                </c:pt>
                <c:pt idx="29">
                  <c:v>0.33551373237515136</c:v>
                </c:pt>
                <c:pt idx="30">
                  <c:v>0.29275686618757579</c:v>
                </c:pt>
                <c:pt idx="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34-4753-BD8B-D94140D5F29E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0.63481179568818036</c:v>
                </c:pt>
                <c:pt idx="23">
                  <c:v>0.59205492950060479</c:v>
                </c:pt>
                <c:pt idx="24">
                  <c:v>0.54929806331302922</c:v>
                </c:pt>
                <c:pt idx="25">
                  <c:v>0.50654119712545365</c:v>
                </c:pt>
                <c:pt idx="26">
                  <c:v>0.46378433093787808</c:v>
                </c:pt>
                <c:pt idx="27">
                  <c:v>0.4210274647503025</c:v>
                </c:pt>
                <c:pt idx="28">
                  <c:v>0.37827059856272693</c:v>
                </c:pt>
                <c:pt idx="29">
                  <c:v>0.33551373237515136</c:v>
                </c:pt>
                <c:pt idx="30">
                  <c:v>0.29275686618757579</c:v>
                </c:pt>
                <c:pt idx="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34-4753-BD8B-D94140D5F29E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14_CLV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0.63481179568818036</c:v>
                </c:pt>
                <c:pt idx="23">
                  <c:v>0.59205492950060479</c:v>
                </c:pt>
                <c:pt idx="24">
                  <c:v>0.54929806331302922</c:v>
                </c:pt>
                <c:pt idx="25">
                  <c:v>0.50654119712545365</c:v>
                </c:pt>
                <c:pt idx="26">
                  <c:v>0.46378433093787808</c:v>
                </c:pt>
                <c:pt idx="27">
                  <c:v>0.4210274647503025</c:v>
                </c:pt>
                <c:pt idx="28">
                  <c:v>0.37827059856272693</c:v>
                </c:pt>
                <c:pt idx="29">
                  <c:v>0.33551373237515136</c:v>
                </c:pt>
                <c:pt idx="30">
                  <c:v>0.29275686618757579</c:v>
                </c:pt>
                <c:pt idx="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34-4753-BD8B-D94140D5F29E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0.63481179568818036</c:v>
                </c:pt>
                <c:pt idx="23">
                  <c:v>0.59205492950060479</c:v>
                </c:pt>
                <c:pt idx="24">
                  <c:v>0.54929806331302922</c:v>
                </c:pt>
                <c:pt idx="25">
                  <c:v>0.50654119712545365</c:v>
                </c:pt>
                <c:pt idx="26">
                  <c:v>0.46378433093787808</c:v>
                </c:pt>
                <c:pt idx="27">
                  <c:v>0.4210274647503025</c:v>
                </c:pt>
                <c:pt idx="28">
                  <c:v>0.37827059856272693</c:v>
                </c:pt>
                <c:pt idx="29">
                  <c:v>0.33551373237515136</c:v>
                </c:pt>
                <c:pt idx="30">
                  <c:v>0.29275686618757579</c:v>
                </c:pt>
                <c:pt idx="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34-4753-BD8B-D94140D5F29E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16_APC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0.63481179568818036</c:v>
                </c:pt>
                <c:pt idx="23">
                  <c:v>0.59205492950060479</c:v>
                </c:pt>
                <c:pt idx="24">
                  <c:v>0.54929806331302922</c:v>
                </c:pt>
                <c:pt idx="25">
                  <c:v>0.50654119712545365</c:v>
                </c:pt>
                <c:pt idx="26">
                  <c:v>0.46378433093787808</c:v>
                </c:pt>
                <c:pt idx="27">
                  <c:v>0.4210274647503025</c:v>
                </c:pt>
                <c:pt idx="28">
                  <c:v>0.37827059856272693</c:v>
                </c:pt>
                <c:pt idx="29">
                  <c:v>0.33551373237515136</c:v>
                </c:pt>
                <c:pt idx="30">
                  <c:v>0.29275686618757579</c:v>
                </c:pt>
                <c:pt idx="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34-4753-BD8B-D94140D5F29E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17_ANZ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0.62811088203873566</c:v>
                </c:pt>
                <c:pt idx="13">
                  <c:v>0.59936343326115926</c:v>
                </c:pt>
                <c:pt idx="14">
                  <c:v>0.57061598448358286</c:v>
                </c:pt>
                <c:pt idx="15">
                  <c:v>0.54186853570600646</c:v>
                </c:pt>
                <c:pt idx="16">
                  <c:v>0.51312108692843006</c:v>
                </c:pt>
                <c:pt idx="17">
                  <c:v>0.4843736381508536</c:v>
                </c:pt>
                <c:pt idx="18">
                  <c:v>0.45562618937327715</c:v>
                </c:pt>
                <c:pt idx="19">
                  <c:v>0.42687874059570069</c:v>
                </c:pt>
                <c:pt idx="20">
                  <c:v>0.39813129181812423</c:v>
                </c:pt>
                <c:pt idx="21">
                  <c:v>0.36938384304054761</c:v>
                </c:pt>
                <c:pt idx="22">
                  <c:v>0.34244545873649285</c:v>
                </c:pt>
                <c:pt idx="23">
                  <c:v>0.31550707443243808</c:v>
                </c:pt>
                <c:pt idx="24">
                  <c:v>0.28856869012838332</c:v>
                </c:pt>
                <c:pt idx="25">
                  <c:v>0.26163030582432856</c:v>
                </c:pt>
                <c:pt idx="26">
                  <c:v>0.23469192152027379</c:v>
                </c:pt>
                <c:pt idx="27">
                  <c:v>0.20775353721621903</c:v>
                </c:pt>
                <c:pt idx="28">
                  <c:v>0.18081515291216427</c:v>
                </c:pt>
                <c:pt idx="29">
                  <c:v>0.1538767686081095</c:v>
                </c:pt>
                <c:pt idx="30">
                  <c:v>0.12693838430405474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34-4753-BD8B-D94140D5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533400</xdr:colOff>
      <xdr:row>12</xdr:row>
      <xdr:rowOff>62865</xdr:rowOff>
    </xdr:from>
    <xdr:to>
      <xdr:col>25</xdr:col>
      <xdr:colOff>381000</xdr:colOff>
      <xdr:row>43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6AD27-8FB9-49D8-9951-F10AA6689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180108</xdr:colOff>
      <xdr:row>20</xdr:row>
      <xdr:rowOff>6927</xdr:rowOff>
    </xdr:from>
    <xdr:to>
      <xdr:col>9</xdr:col>
      <xdr:colOff>318653</xdr:colOff>
      <xdr:row>49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6B97D-E072-4DBA-AEEC-E29922CB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443345</xdr:colOff>
      <xdr:row>20</xdr:row>
      <xdr:rowOff>27708</xdr:rowOff>
    </xdr:from>
    <xdr:to>
      <xdr:col>19</xdr:col>
      <xdr:colOff>13855</xdr:colOff>
      <xdr:row>49</xdr:row>
      <xdr:rowOff>96982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595A1-4C9D-40F9-95EB-449133D6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B23" sqref="B23:R23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2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82</v>
      </c>
      <c r="M2" s="1" t="s">
        <v>11</v>
      </c>
      <c r="N2" s="1" t="s">
        <v>12</v>
      </c>
      <c r="O2" s="1" t="s">
        <v>83</v>
      </c>
      <c r="P2" s="1" t="s">
        <v>14</v>
      </c>
      <c r="Q2" s="1" t="s">
        <v>81</v>
      </c>
      <c r="R2" s="1" t="s">
        <v>80</v>
      </c>
    </row>
    <row r="3" spans="1:18" x14ac:dyDescent="0.3">
      <c r="A3" s="21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1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1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1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1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82</v>
      </c>
      <c r="M9" s="1" t="s">
        <v>11</v>
      </c>
      <c r="N9" s="1" t="s">
        <v>12</v>
      </c>
      <c r="O9" s="1" t="s">
        <v>83</v>
      </c>
      <c r="P9" s="1" t="s">
        <v>14</v>
      </c>
      <c r="Q9" s="1" t="s">
        <v>81</v>
      </c>
      <c r="R9" s="1" t="s">
        <v>80</v>
      </c>
    </row>
    <row r="10" spans="1:18" x14ac:dyDescent="0.3">
      <c r="A10" s="21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1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1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1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1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2" t="s">
        <v>32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82</v>
      </c>
      <c r="M17" s="1" t="s">
        <v>11</v>
      </c>
      <c r="N17" s="1" t="s">
        <v>12</v>
      </c>
      <c r="O17" s="1" t="s">
        <v>83</v>
      </c>
      <c r="P17" s="1" t="s">
        <v>14</v>
      </c>
      <c r="Q17" s="1" t="s">
        <v>81</v>
      </c>
      <c r="R17" s="1" t="s">
        <v>80</v>
      </c>
    </row>
    <row r="18" spans="1:18" x14ac:dyDescent="0.3">
      <c r="A18" s="21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1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1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1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82</v>
      </c>
      <c r="M23" s="1" t="s">
        <v>11</v>
      </c>
      <c r="N23" s="1" t="s">
        <v>12</v>
      </c>
      <c r="O23" s="1" t="s">
        <v>83</v>
      </c>
      <c r="P23" s="1" t="s">
        <v>14</v>
      </c>
      <c r="Q23" s="1" t="s">
        <v>81</v>
      </c>
      <c r="R23" s="1" t="s">
        <v>80</v>
      </c>
    </row>
    <row r="24" spans="1:18" x14ac:dyDescent="0.3">
      <c r="A24" s="21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1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1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1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tabSelected="1" zoomScale="85" zoomScaleNormal="85" workbookViewId="0">
      <selection activeCell="B1" sqref="B1:R1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4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82</v>
      </c>
      <c r="M1" s="1" t="s">
        <v>11</v>
      </c>
      <c r="N1" s="1" t="s">
        <v>12</v>
      </c>
      <c r="O1" s="1" t="s">
        <v>83</v>
      </c>
      <c r="P1" s="1" t="s">
        <v>14</v>
      </c>
      <c r="Q1" s="1" t="s">
        <v>81</v>
      </c>
      <c r="R1" s="1" t="s">
        <v>80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0">
        <f>G3+G3*U2</f>
        <v>49.164943368621707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5"/>
      <c r="T2" s="26">
        <v>1682880015376</v>
      </c>
      <c r="U2">
        <f>(T2-T3)/T2</f>
        <v>-3.5332134255997519E-3</v>
      </c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0">
        <f>G4+G4*U3</f>
        <v>49.339269538163229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5"/>
      <c r="T3" s="26">
        <v>1688825989640</v>
      </c>
      <c r="U3">
        <f>(T3-T4)/T3</f>
        <v>4.5323507164474926E-2</v>
      </c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0">
        <v>47.20000000000001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5"/>
      <c r="T4" s="26">
        <v>1612282472799</v>
      </c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0">
        <v>49.522280000000009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5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0">
        <v>51.844560000000001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5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0">
        <v>54.166840000000001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0">
        <v>56.48912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0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0"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0"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0"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0"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0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0">
        <v>81.419399999999996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0">
        <v>86.164299999999997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0">
        <v>90.909199999999998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0">
        <v>95.6541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0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0">
        <v>106.5598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0">
        <v>112.72059999999999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0">
        <v>118.88139999999999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0">
        <v>125.04219999999998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0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0">
        <v>138.798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0">
        <v>146.393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0">
        <v>153.988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0">
        <v>161.583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0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0">
        <v>178.2884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0">
        <v>187.39879999999999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0">
        <v>196.50919999999999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0">
        <v>205.61959999999999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0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0">
        <f t="shared" ref="G35:G70" si="251">G34-G34*0.007</f>
        <v>213.22689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0">
        <f t="shared" si="251"/>
        <v>211.73430177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0">
        <f t="shared" si="251"/>
        <v>210.25216165761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0">
        <f t="shared" si="251"/>
        <v>208.78039652600674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0">
        <f t="shared" si="251"/>
        <v>207.3189337503247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0">
        <f t="shared" si="251"/>
        <v>205.86770121407244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0">
        <f t="shared" si="251"/>
        <v>204.42662730557393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0">
        <f t="shared" si="251"/>
        <v>202.99564091443492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0">
        <f t="shared" si="251"/>
        <v>201.57467142803387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0">
        <f t="shared" si="251"/>
        <v>200.16364872803763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0">
        <f t="shared" si="251"/>
        <v>198.76250318694136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0">
        <f t="shared" si="251"/>
        <v>197.37116566463277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0">
        <f t="shared" si="251"/>
        <v>195.98956750498033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0">
        <f t="shared" si="251"/>
        <v>194.61764053244548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0">
        <f t="shared" si="251"/>
        <v>193.25531704871835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0">
        <f t="shared" si="251"/>
        <v>191.90252982937733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0">
        <f t="shared" si="251"/>
        <v>190.55921212057169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0">
        <f t="shared" si="251"/>
        <v>189.22529763572769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0">
        <f t="shared" si="251"/>
        <v>187.90072055227759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0">
        <f t="shared" si="251"/>
        <v>186.58541550841164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0">
        <f t="shared" si="251"/>
        <v>185.27931759985276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0">
        <f t="shared" si="251"/>
        <v>183.98236237665378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0">
        <f t="shared" si="251"/>
        <v>182.69448584001719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0">
        <f t="shared" si="251"/>
        <v>181.41562443913708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0">
        <f t="shared" si="251"/>
        <v>180.14571506806311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0">
        <f t="shared" si="251"/>
        <v>178.88469506258667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0">
        <f t="shared" si="251"/>
        <v>177.63250219714857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0">
        <f t="shared" si="251"/>
        <v>176.38907468176853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0">
        <f t="shared" si="251"/>
        <v>175.15435115899615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0">
        <f t="shared" si="251"/>
        <v>173.92827070088319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0">
        <f t="shared" si="251"/>
        <v>172.710772805977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0">
        <f t="shared" si="251"/>
        <v>171.50179739633515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0">
        <f t="shared" si="251"/>
        <v>170.3012848145608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0">
        <f t="shared" si="251"/>
        <v>169.10917582085887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0">
        <f t="shared" si="251"/>
        <v>167.92541159011284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0">
        <f t="shared" si="251"/>
        <v>166.74993370898204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0">
        <f t="shared" ref="G71:G84" si="687">G70-G70*0.007</f>
        <v>165.58268417301917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0">
        <f t="shared" si="687"/>
        <v>164.42360538380805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0">
        <f t="shared" si="687"/>
        <v>163.2726401461214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0">
        <f t="shared" si="687"/>
        <v>162.12973166509855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0">
        <f t="shared" si="687"/>
        <v>160.99482354344286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0">
        <f t="shared" si="687"/>
        <v>159.86785977863877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0">
        <f t="shared" si="687"/>
        <v>158.7487847601883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0">
        <f t="shared" si="687"/>
        <v>157.63754326686697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0">
        <f t="shared" si="687"/>
        <v>156.53408046399889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0">
        <f t="shared" si="687"/>
        <v>155.43834190075088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0">
        <f t="shared" si="687"/>
        <v>154.35027350744562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0">
        <f t="shared" si="687"/>
        <v>153.26982159289349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0">
        <f t="shared" si="687"/>
        <v>152.19693284174323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0">
        <f t="shared" si="687"/>
        <v>151.13155431185103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ignoredErrors>
    <ignoredError sqref="G35:G8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85" zoomScaleNormal="85" workbookViewId="0">
      <selection activeCell="B1" sqref="B1:R1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82</v>
      </c>
      <c r="M1" s="1" t="s">
        <v>11</v>
      </c>
      <c r="N1" s="1" t="s">
        <v>12</v>
      </c>
      <c r="O1" s="1" t="s">
        <v>83</v>
      </c>
      <c r="P1" s="1" t="s">
        <v>14</v>
      </c>
      <c r="Q1" s="1" t="s">
        <v>81</v>
      </c>
      <c r="R1" s="1" t="s">
        <v>80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topLeftCell="AY1" zoomScale="85" zoomScaleNormal="85" workbookViewId="0">
      <selection activeCell="BX2" sqref="BX2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49.164943368621707</v>
      </c>
      <c r="C7">
        <v>49.339269538163229</v>
      </c>
      <c r="D7">
        <v>47.20000000000001</v>
      </c>
      <c r="E7">
        <v>49.522280000000009</v>
      </c>
      <c r="F7">
        <v>51.844560000000001</v>
      </c>
      <c r="G7">
        <v>54.166840000000001</v>
      </c>
      <c r="H7">
        <v>56.48912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213.22689</v>
      </c>
      <c r="AJ7">
        <v>211.73430177</v>
      </c>
      <c r="AK7">
        <v>210.25216165761</v>
      </c>
      <c r="AL7">
        <v>208.78039652600674</v>
      </c>
      <c r="AM7">
        <v>207.3189337503247</v>
      </c>
      <c r="AN7">
        <v>205.86770121407244</v>
      </c>
      <c r="AO7">
        <v>204.42662730557393</v>
      </c>
      <c r="AP7">
        <v>202.99564091443492</v>
      </c>
      <c r="AQ7">
        <v>201.57467142803387</v>
      </c>
      <c r="AR7">
        <v>200.16364872803763</v>
      </c>
      <c r="AS7">
        <v>198.76250318694136</v>
      </c>
      <c r="AT7">
        <v>197.37116566463277</v>
      </c>
      <c r="AU7">
        <v>195.98956750498033</v>
      </c>
      <c r="AV7">
        <v>194.61764053244548</v>
      </c>
      <c r="AW7">
        <v>193.25531704871835</v>
      </c>
      <c r="AX7">
        <v>191.90252982937733</v>
      </c>
      <c r="AY7">
        <v>190.55921212057169</v>
      </c>
      <c r="AZ7">
        <v>189.22529763572769</v>
      </c>
      <c r="BA7">
        <v>187.90072055227759</v>
      </c>
      <c r="BB7">
        <v>186.58541550841164</v>
      </c>
      <c r="BC7">
        <v>185.27931759985276</v>
      </c>
      <c r="BD7">
        <v>183.98236237665378</v>
      </c>
      <c r="BE7">
        <v>182.69448584001719</v>
      </c>
      <c r="BF7">
        <v>181.41562443913708</v>
      </c>
      <c r="BG7">
        <v>180.14571506806311</v>
      </c>
      <c r="BH7">
        <v>178.88469506258667</v>
      </c>
      <c r="BI7">
        <v>177.63250219714857</v>
      </c>
      <c r="BJ7">
        <v>176.38907468176853</v>
      </c>
      <c r="BK7">
        <v>175.15435115899615</v>
      </c>
      <c r="BL7">
        <v>173.92827070088319</v>
      </c>
      <c r="BM7">
        <v>172.710772805977</v>
      </c>
      <c r="BN7">
        <v>171.50179739633515</v>
      </c>
      <c r="BO7">
        <v>170.3012848145608</v>
      </c>
      <c r="BP7">
        <v>169.10917582085887</v>
      </c>
      <c r="BQ7">
        <v>167.92541159011284</v>
      </c>
      <c r="BR7">
        <v>166.74993370898204</v>
      </c>
      <c r="BS7">
        <v>165.58268417301917</v>
      </c>
      <c r="BT7">
        <v>164.42360538380805</v>
      </c>
      <c r="BU7">
        <v>163.2726401461214</v>
      </c>
      <c r="BV7">
        <v>162.12973166509855</v>
      </c>
      <c r="BW7">
        <v>160.99482354344286</v>
      </c>
      <c r="BX7">
        <v>159.86785977863877</v>
      </c>
      <c r="BY7">
        <v>158.7487847601883</v>
      </c>
      <c r="BZ7">
        <v>157.63754326686697</v>
      </c>
      <c r="CA7">
        <v>156.53408046399889</v>
      </c>
      <c r="CB7">
        <v>155.43834190075088</v>
      </c>
      <c r="CC7">
        <v>154.35027350744562</v>
      </c>
      <c r="CD7">
        <v>153.26982159289349</v>
      </c>
      <c r="CE7">
        <v>152.19693284174323</v>
      </c>
      <c r="CF7">
        <v>151.13155431185103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82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83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81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80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82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83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81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80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4" bestFit="1" customWidth="1"/>
    <col min="17" max="37" width="12" bestFit="1" customWidth="1"/>
  </cols>
  <sheetData>
    <row r="1" spans="1:37" x14ac:dyDescent="0.3">
      <c r="A1" t="s">
        <v>34</v>
      </c>
      <c r="B1" t="s">
        <v>35</v>
      </c>
      <c r="C1" t="s">
        <v>36</v>
      </c>
      <c r="D1" t="s">
        <v>37</v>
      </c>
      <c r="E1" s="10">
        <v>1990</v>
      </c>
      <c r="F1" s="10">
        <v>1991</v>
      </c>
      <c r="G1" s="10">
        <v>1992</v>
      </c>
      <c r="H1" s="10">
        <v>1993</v>
      </c>
      <c r="I1" s="10">
        <v>1994</v>
      </c>
      <c r="J1" s="10">
        <v>1995</v>
      </c>
      <c r="K1" s="10">
        <v>1996</v>
      </c>
      <c r="L1" s="10">
        <v>1997</v>
      </c>
      <c r="M1" s="10">
        <v>1998</v>
      </c>
      <c r="N1" s="10">
        <v>1999</v>
      </c>
      <c r="O1" s="11">
        <v>2000</v>
      </c>
      <c r="P1" s="12">
        <v>2001</v>
      </c>
      <c r="Q1" s="10">
        <v>2002</v>
      </c>
      <c r="R1" s="10">
        <v>2003</v>
      </c>
      <c r="S1" s="10">
        <v>2004</v>
      </c>
      <c r="T1" s="10">
        <v>2005</v>
      </c>
      <c r="U1" s="10">
        <v>2006</v>
      </c>
      <c r="V1" s="10">
        <v>2007</v>
      </c>
      <c r="W1" s="10">
        <v>2008</v>
      </c>
      <c r="X1" s="10">
        <v>2009</v>
      </c>
      <c r="Y1" s="10">
        <v>2010</v>
      </c>
      <c r="Z1" s="10">
        <v>2011</v>
      </c>
      <c r="AA1" s="10">
        <v>2012</v>
      </c>
      <c r="AB1" s="10">
        <v>2013</v>
      </c>
      <c r="AC1" s="10">
        <v>2014</v>
      </c>
      <c r="AD1" s="10">
        <v>2015</v>
      </c>
      <c r="AE1" s="10">
        <v>2016</v>
      </c>
      <c r="AF1" s="10">
        <v>2017</v>
      </c>
      <c r="AG1" s="10">
        <v>2018</v>
      </c>
      <c r="AH1" s="10">
        <v>2019</v>
      </c>
      <c r="AI1" s="10">
        <v>2020</v>
      </c>
      <c r="AJ1" s="10">
        <v>2021</v>
      </c>
      <c r="AK1" s="10">
        <v>2022</v>
      </c>
    </row>
    <row r="2" spans="1:37" x14ac:dyDescent="0.3">
      <c r="A2" t="s">
        <v>38</v>
      </c>
      <c r="B2" t="s">
        <v>39</v>
      </c>
      <c r="C2" t="s">
        <v>40</v>
      </c>
      <c r="D2" t="s">
        <v>41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3">
        <v>33.893581402048447</v>
      </c>
      <c r="P2" s="14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42</v>
      </c>
      <c r="B3" t="s">
        <v>43</v>
      </c>
      <c r="C3" t="s">
        <v>40</v>
      </c>
      <c r="D3" t="s">
        <v>41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3">
        <v>35.739553532797231</v>
      </c>
      <c r="P3" s="14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44</v>
      </c>
      <c r="B4" t="s">
        <v>45</v>
      </c>
      <c r="C4" t="s">
        <v>40</v>
      </c>
      <c r="D4" t="s">
        <v>41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3">
        <v>31.030854227400319</v>
      </c>
      <c r="P4" s="14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46</v>
      </c>
      <c r="B5" t="s">
        <v>47</v>
      </c>
      <c r="C5" t="s">
        <v>40</v>
      </c>
      <c r="D5" t="s">
        <v>41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3">
        <v>36.154207555873597</v>
      </c>
      <c r="P5" s="14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48</v>
      </c>
      <c r="B6" t="s">
        <v>49</v>
      </c>
      <c r="C6" t="s">
        <v>40</v>
      </c>
      <c r="D6" t="s">
        <v>41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3">
        <v>17.423610400329149</v>
      </c>
      <c r="P6" s="14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50</v>
      </c>
      <c r="B7" t="s">
        <v>51</v>
      </c>
      <c r="C7" t="s">
        <v>40</v>
      </c>
      <c r="D7" t="s">
        <v>41</v>
      </c>
      <c r="O7" s="13"/>
    </row>
    <row r="8" spans="1:37" x14ac:dyDescent="0.3">
      <c r="A8" t="s">
        <v>52</v>
      </c>
      <c r="B8" t="s">
        <v>53</v>
      </c>
      <c r="C8" t="s">
        <v>40</v>
      </c>
      <c r="D8" t="s">
        <v>41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3">
        <v>20.813343318338951</v>
      </c>
      <c r="P8" s="14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54</v>
      </c>
      <c r="B9" t="s">
        <v>55</v>
      </c>
      <c r="C9" t="s">
        <v>40</v>
      </c>
      <c r="D9" t="s">
        <v>41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3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56</v>
      </c>
      <c r="B10" t="s">
        <v>57</v>
      </c>
      <c r="C10" t="s">
        <v>40</v>
      </c>
      <c r="D10" t="s">
        <v>41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3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58</v>
      </c>
      <c r="B11" t="s">
        <v>59</v>
      </c>
      <c r="C11" t="s">
        <v>40</v>
      </c>
      <c r="D11" t="s">
        <v>41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3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60</v>
      </c>
      <c r="B12" t="s">
        <v>61</v>
      </c>
      <c r="C12" t="s">
        <v>40</v>
      </c>
      <c r="D12" t="s">
        <v>41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3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62</v>
      </c>
      <c r="B13" t="s">
        <v>63</v>
      </c>
      <c r="C13" t="s">
        <v>40</v>
      </c>
      <c r="D13" t="s">
        <v>41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3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64</v>
      </c>
      <c r="B14" t="s">
        <v>65</v>
      </c>
      <c r="C14" t="s">
        <v>40</v>
      </c>
      <c r="D14" t="s">
        <v>41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3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66</v>
      </c>
      <c r="B15" t="s">
        <v>67</v>
      </c>
      <c r="C15" t="s">
        <v>40</v>
      </c>
      <c r="D15" t="s">
        <v>41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3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68</v>
      </c>
      <c r="B16" t="s">
        <v>69</v>
      </c>
      <c r="C16" t="s">
        <v>40</v>
      </c>
      <c r="D16" t="s">
        <v>41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3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70</v>
      </c>
      <c r="B17" t="s">
        <v>71</v>
      </c>
      <c r="C17" t="s">
        <v>40</v>
      </c>
      <c r="D17" t="s">
        <v>41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3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72</v>
      </c>
      <c r="B18" t="s">
        <v>73</v>
      </c>
      <c r="C18" t="s">
        <v>40</v>
      </c>
      <c r="D18" t="s">
        <v>41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3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5" t="s">
        <v>74</v>
      </c>
      <c r="G20">
        <v>2019</v>
      </c>
      <c r="J20" t="s">
        <v>78</v>
      </c>
    </row>
    <row r="21" spans="1:37" x14ac:dyDescent="0.3">
      <c r="A21" t="s">
        <v>75</v>
      </c>
      <c r="B21" t="s">
        <v>76</v>
      </c>
      <c r="E21" s="2" t="s">
        <v>0</v>
      </c>
      <c r="F21" s="16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77</v>
      </c>
      <c r="B22" s="18">
        <v>45343</v>
      </c>
      <c r="E22" s="2" t="s">
        <v>1</v>
      </c>
      <c r="F22" s="16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6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6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6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7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6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6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6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6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6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6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6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6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6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6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6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5A82-5356-4521-9081-4E3E5144F8A5}">
  <dimension ref="A1:AG18"/>
  <sheetViews>
    <sheetView topLeftCell="E5" workbookViewId="0">
      <selection sqref="A1:AG18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1">
        <f>(GDP_Projection!C2-GDP_Projection!B2)/GDP_Projection!B2</f>
        <v>2.2439778601101457E-2</v>
      </c>
      <c r="C2" s="31">
        <f>(GDP_Projection!D2-GDP_Projection!C2)/GDP_Projection!C2</f>
        <v>-7.0941535939767686E-3</v>
      </c>
      <c r="D2" s="31">
        <f>(GDP_Projection!E2-GDP_Projection!D2)/GDP_Projection!D2</f>
        <v>4.3047348190697152E-2</v>
      </c>
      <c r="E2" s="31">
        <f>(GDP_Projection!F2-GDP_Projection!E2)/GDP_Projection!E2</f>
        <v>1.5086053961641565E-2</v>
      </c>
      <c r="F2" s="31">
        <f>(GDP_Projection!G2-GDP_Projection!F2)/GDP_Projection!F2</f>
        <v>1.486184733083885E-2</v>
      </c>
      <c r="G2" s="31">
        <f>(GDP_Projection!H2-GDP_Projection!G2)/GDP_Projection!G2</f>
        <v>1.4644207356820635E-2</v>
      </c>
      <c r="H2" s="31">
        <f>(GDP_Projection!I2-GDP_Projection!H2)/GDP_Projection!H2</f>
        <v>1.4432849712875648E-2</v>
      </c>
      <c r="I2" s="31">
        <f>(GDP_Projection!J2-GDP_Projection!I2)/GDP_Projection!I2</f>
        <v>1.9706083221564925E-2</v>
      </c>
      <c r="J2" s="31">
        <f>(GDP_Projection!K2-GDP_Projection!J2)/GDP_Projection!J2</f>
        <v>1.9325258077609337E-2</v>
      </c>
      <c r="K2" s="31">
        <f>(GDP_Projection!L2-GDP_Projection!K2)/GDP_Projection!K2</f>
        <v>1.8958872964705786E-2</v>
      </c>
      <c r="L2" s="31">
        <f>(GDP_Projection!M2-GDP_Projection!L2)/GDP_Projection!L2</f>
        <v>1.8606121863921857E-2</v>
      </c>
      <c r="M2" s="31">
        <f>(GDP_Projection!N2-GDP_Projection!M2)/GDP_Projection!M2</f>
        <v>1.8266257648122911E-2</v>
      </c>
      <c r="N2" s="31">
        <f>(GDP_Projection!O2-GDP_Projection!N2)/GDP_Projection!N2</f>
        <v>1.308934837890567E-2</v>
      </c>
      <c r="O2" s="31">
        <f>(GDP_Projection!P2-GDP_Projection!O2)/GDP_Projection!O2</f>
        <v>1.2920230974543936E-2</v>
      </c>
      <c r="P2" s="31">
        <f>(GDP_Projection!Q2-GDP_Projection!P2)/GDP_Projection!P2</f>
        <v>1.2755427899898111E-2</v>
      </c>
      <c r="Q2" s="31">
        <f>(GDP_Projection!R2-GDP_Projection!Q2)/GDP_Projection!Q2</f>
        <v>1.2594776140917283E-2</v>
      </c>
      <c r="R2" s="31">
        <f>(GDP_Projection!S2-GDP_Projection!R2)/GDP_Projection!R2</f>
        <v>1.2438120793904692E-2</v>
      </c>
      <c r="S2" s="31">
        <f>(GDP_Projection!T2-GDP_Projection!S2)/GDP_Projection!S2</f>
        <v>8.7420822114268864E-3</v>
      </c>
      <c r="T2" s="31">
        <f>(GDP_Projection!U2-GDP_Projection!T2)/GDP_Projection!T2</f>
        <v>8.6663205249273949E-3</v>
      </c>
      <c r="U2" s="31">
        <f>(GDP_Projection!V2-GDP_Projection!U2)/GDP_Projection!U2</f>
        <v>8.5918607061424342E-3</v>
      </c>
      <c r="V2" s="31">
        <f>(GDP_Projection!W2-GDP_Projection!V2)/GDP_Projection!V2</f>
        <v>8.5186694845296902E-3</v>
      </c>
      <c r="W2" s="31">
        <f>(GDP_Projection!X2-GDP_Projection!W2)/GDP_Projection!W2</f>
        <v>8.4467147136541125E-3</v>
      </c>
      <c r="X2" s="31">
        <f>(GDP_Projection!Y2-GDP_Projection!X2)/GDP_Projection!X2</f>
        <v>6.0292131577086312E-3</v>
      </c>
      <c r="Y2" s="31">
        <f>(GDP_Projection!Z2-GDP_Projection!Y2)/GDP_Projection!Y2</f>
        <v>5.993079603309164E-3</v>
      </c>
      <c r="Z2" s="31">
        <f>(GDP_Projection!AA2-GDP_Projection!Z2)/GDP_Projection!Z2</f>
        <v>5.9573765712905308E-3</v>
      </c>
      <c r="AA2" s="31">
        <f>(GDP_Projection!AB2-GDP_Projection!AA2)/GDP_Projection!AA2</f>
        <v>5.9220964128675899E-3</v>
      </c>
      <c r="AB2" s="31">
        <f>(GDP_Projection!AC2-GDP_Projection!AB2)/GDP_Projection!AB2</f>
        <v>5.8872316593757299E-3</v>
      </c>
      <c r="AC2" s="31">
        <f>(GDP_Projection!AD2-GDP_Projection!AC2)/GDP_Projection!AC2</f>
        <v>4.0206360830675018E-3</v>
      </c>
      <c r="AD2" s="31">
        <f>(GDP_Projection!AE2-GDP_Projection!AD2)/GDP_Projection!AD2</f>
        <v>4.0045353039286089E-3</v>
      </c>
      <c r="AE2" s="31">
        <f>(GDP_Projection!AF2-GDP_Projection!AE2)/GDP_Projection!AE2</f>
        <v>3.9885629627324053E-3</v>
      </c>
      <c r="AF2" s="31">
        <f>(GDP_Projection!AG2-GDP_Projection!AF2)/GDP_Projection!AF2</f>
        <v>3.9727175287358916E-3</v>
      </c>
      <c r="AG2" s="31">
        <f>(GDP_Projection!AH2-GDP_Projection!AG2)/GDP_Projection!AG2</f>
        <v>3.9569974954243607E-3</v>
      </c>
    </row>
    <row r="3" spans="1:33" x14ac:dyDescent="0.3">
      <c r="A3" s="1" t="s">
        <v>1</v>
      </c>
      <c r="B3" s="31">
        <f>(GDP_Projection!C3-GDP_Projection!B3)/GDP_Projection!B3</f>
        <v>5.790542609231742E-2</v>
      </c>
      <c r="C3" s="31">
        <f>(GDP_Projection!D3-GDP_Projection!C3)/GDP_Projection!C3</f>
        <v>2.0673305090029282E-2</v>
      </c>
      <c r="D3" s="31">
        <f>(GDP_Projection!E3-GDP_Projection!D3)/GDP_Projection!D3</f>
        <v>8.4126332303287379E-2</v>
      </c>
      <c r="E3" s="31">
        <f>(GDP_Projection!F3-GDP_Projection!E3)/GDP_Projection!E3</f>
        <v>5.1578022740513256E-2</v>
      </c>
      <c r="F3" s="31">
        <f>(GDP_Projection!G3-GDP_Projection!F3)/GDP_Projection!F3</f>
        <v>4.9048212900166907E-2</v>
      </c>
      <c r="G3" s="31">
        <f>(GDP_Projection!H3-GDP_Projection!G3)/GDP_Projection!G3</f>
        <v>4.6754965402943403E-2</v>
      </c>
      <c r="H3" s="31">
        <f>(GDP_Projection!I3-GDP_Projection!H3)/GDP_Projection!H3</f>
        <v>4.4666580955692238E-2</v>
      </c>
      <c r="I3" s="31">
        <f>(GDP_Projection!J3-GDP_Projection!I3)/GDP_Projection!I3</f>
        <v>4.0127926318954815E-2</v>
      </c>
      <c r="J3" s="31">
        <f>(GDP_Projection!K3-GDP_Projection!J3)/GDP_Projection!J3</f>
        <v>3.8579798987773362E-2</v>
      </c>
      <c r="K3" s="31">
        <f>(GDP_Projection!L3-GDP_Projection!K3)/GDP_Projection!K3</f>
        <v>3.7146687260212675E-2</v>
      </c>
      <c r="L3" s="31">
        <f>(GDP_Projection!M3-GDP_Projection!L3)/GDP_Projection!L3</f>
        <v>3.5816232859347541E-2</v>
      </c>
      <c r="M3" s="31">
        <f>(GDP_Projection!N3-GDP_Projection!M3)/GDP_Projection!M3</f>
        <v>3.4577786795711461E-2</v>
      </c>
      <c r="N3" s="31">
        <f>(GDP_Projection!O3-GDP_Projection!N3)/GDP_Projection!N3</f>
        <v>3.0271713510805199E-2</v>
      </c>
      <c r="O3" s="31">
        <f>(GDP_Projection!P3-GDP_Projection!O3)/GDP_Projection!O3</f>
        <v>2.9382262090502126E-2</v>
      </c>
      <c r="P3" s="31">
        <f>(GDP_Projection!Q3-GDP_Projection!P3)/GDP_Projection!P3</f>
        <v>2.85435869380843E-2</v>
      </c>
      <c r="Q3" s="31">
        <f>(GDP_Projection!R3-GDP_Projection!Q3)/GDP_Projection!Q3</f>
        <v>2.7751460706742566E-2</v>
      </c>
      <c r="R3" s="31">
        <f>(GDP_Projection!S3-GDP_Projection!R3)/GDP_Projection!R3</f>
        <v>2.7002112638846401E-2</v>
      </c>
      <c r="S3" s="31">
        <f>(GDP_Projection!T3-GDP_Projection!S3)/GDP_Projection!S3</f>
        <v>2.0997870517846323E-2</v>
      </c>
      <c r="T3" s="31">
        <f>(GDP_Projection!U3-GDP_Projection!T3)/GDP_Projection!T3</f>
        <v>2.0566027730494953E-2</v>
      </c>
      <c r="U3" s="31">
        <f>(GDP_Projection!V3-GDP_Projection!U3)/GDP_Projection!U3</f>
        <v>2.0151589580371481E-2</v>
      </c>
      <c r="V3" s="31">
        <f>(GDP_Projection!W3-GDP_Projection!V3)/GDP_Projection!V3</f>
        <v>1.9753524658683935E-2</v>
      </c>
      <c r="W3" s="31">
        <f>(GDP_Projection!X3-GDP_Projection!W3)/GDP_Projection!W3</f>
        <v>1.9370881473830502E-2</v>
      </c>
      <c r="X3" s="31">
        <f>(GDP_Projection!Y3-GDP_Projection!X3)/GDP_Projection!X3</f>
        <v>1.8136481895345825E-2</v>
      </c>
      <c r="Y3" s="31">
        <f>(GDP_Projection!Z3-GDP_Projection!Y3)/GDP_Projection!Y3</f>
        <v>1.781340931972426E-2</v>
      </c>
      <c r="Z3" s="31">
        <f>(GDP_Projection!AA3-GDP_Projection!Z3)/GDP_Projection!Z3</f>
        <v>1.7501645347382685E-2</v>
      </c>
      <c r="AA3" s="31">
        <f>(GDP_Projection!AB3-GDP_Projection!AA3)/GDP_Projection!AA3</f>
        <v>1.7200606433818093E-2</v>
      </c>
      <c r="AB3" s="31">
        <f>(GDP_Projection!AC3-GDP_Projection!AB3)/GDP_Projection!AB3</f>
        <v>1.6909748504890625E-2</v>
      </c>
      <c r="AC3" s="31">
        <f>(GDP_Projection!AD3-GDP_Projection!AC3)/GDP_Projection!AC3</f>
        <v>1.5496745070816324E-2</v>
      </c>
      <c r="AD3" s="31">
        <f>(GDP_Projection!AE3-GDP_Projection!AD3)/GDP_Projection!AD3</f>
        <v>1.5260260701018446E-2</v>
      </c>
      <c r="AE3" s="31">
        <f>(GDP_Projection!AF3-GDP_Projection!AE3)/GDP_Projection!AE3</f>
        <v>1.5030885470176404E-2</v>
      </c>
      <c r="AF3" s="31">
        <f>(GDP_Projection!AG3-GDP_Projection!AF3)/GDP_Projection!AF3</f>
        <v>1.4808303555427171E-2</v>
      </c>
      <c r="AG3" s="31">
        <f>(GDP_Projection!AH3-GDP_Projection!AG3)/GDP_Projection!AG3</f>
        <v>1.4592217568131175E-2</v>
      </c>
    </row>
    <row r="4" spans="1:33" x14ac:dyDescent="0.3">
      <c r="A4" s="1" t="s">
        <v>2</v>
      </c>
      <c r="B4" s="31">
        <f>(GDP_Projection!C4-GDP_Projection!B4)/GDP_Projection!B4</f>
        <v>-4.0216920091092588E-3</v>
      </c>
      <c r="C4" s="31">
        <f>(GDP_Projection!D4-GDP_Projection!C4)/GDP_Projection!C4</f>
        <v>-4.2786036876396358E-2</v>
      </c>
      <c r="D4" s="31">
        <f>(GDP_Projection!E4-GDP_Projection!D4)/GDP_Projection!D4</f>
        <v>2.1424873690273336E-2</v>
      </c>
      <c r="E4" s="31">
        <f>(GDP_Projection!F4-GDP_Projection!E4)/GDP_Projection!E4</f>
        <v>1.5917675038894141E-2</v>
      </c>
      <c r="F4" s="31">
        <f>(GDP_Projection!G4-GDP_Projection!F4)/GDP_Projection!F4</f>
        <v>1.5668272567740033E-2</v>
      </c>
      <c r="G4" s="31">
        <f>(GDP_Projection!H4-GDP_Projection!G4)/GDP_Projection!G4</f>
        <v>1.5426564943422547E-2</v>
      </c>
      <c r="H4" s="31">
        <f>(GDP_Projection!I4-GDP_Projection!H4)/GDP_Projection!H4</f>
        <v>1.519220146095145E-2</v>
      </c>
      <c r="I4" s="31">
        <f>(GDP_Projection!J4-GDP_Projection!I4)/GDP_Projection!I4</f>
        <v>8.0037625303745856E-3</v>
      </c>
      <c r="J4" s="31">
        <f>(GDP_Projection!K4-GDP_Projection!J4)/GDP_Projection!J4</f>
        <v>7.9402109673508327E-3</v>
      </c>
      <c r="K4" s="31">
        <f>(GDP_Projection!L4-GDP_Projection!K4)/GDP_Projection!K4</f>
        <v>7.8776606796254027E-3</v>
      </c>
      <c r="L4" s="31">
        <f>(GDP_Projection!M4-GDP_Projection!L4)/GDP_Projection!L4</f>
        <v>7.8160881890301948E-3</v>
      </c>
      <c r="M4" s="31">
        <f>(GDP_Projection!N4-GDP_Projection!M4)/GDP_Projection!M4</f>
        <v>7.7554707457340938E-3</v>
      </c>
      <c r="N4" s="31">
        <f>(GDP_Projection!O4-GDP_Projection!N4)/GDP_Projection!N4</f>
        <v>8.5378251419757478E-3</v>
      </c>
      <c r="O4" s="31">
        <f>(GDP_Projection!P4-GDP_Projection!O4)/GDP_Projection!O4</f>
        <v>8.4655477753388629E-3</v>
      </c>
      <c r="P4" s="31">
        <f>(GDP_Projection!Q4-GDP_Projection!P4)/GDP_Projection!P4</f>
        <v>8.3944838710789324E-3</v>
      </c>
      <c r="Q4" s="31">
        <f>(GDP_Projection!R4-GDP_Projection!Q4)/GDP_Projection!Q4</f>
        <v>8.3246031244178734E-3</v>
      </c>
      <c r="R4" s="31">
        <f>(GDP_Projection!S4-GDP_Projection!R4)/GDP_Projection!R4</f>
        <v>8.2558762313475909E-3</v>
      </c>
      <c r="S4" s="31">
        <f>(GDP_Projection!T4-GDP_Projection!S4)/GDP_Projection!S4</f>
        <v>7.0034881277579765E-3</v>
      </c>
      <c r="T4" s="31">
        <f>(GDP_Projection!U4-GDP_Projection!T4)/GDP_Projection!T4</f>
        <v>6.9547804057551064E-3</v>
      </c>
      <c r="U4" s="31">
        <f>(GDP_Projection!V4-GDP_Projection!U4)/GDP_Projection!U4</f>
        <v>6.9067455074324786E-3</v>
      </c>
      <c r="V4" s="31">
        <f>(GDP_Projection!W4-GDP_Projection!V4)/GDP_Projection!V4</f>
        <v>6.8593695873512212E-3</v>
      </c>
      <c r="W4" s="31">
        <f>(GDP_Projection!X4-GDP_Projection!W4)/GDP_Projection!W4</f>
        <v>6.8126391773682344E-3</v>
      </c>
      <c r="X4" s="31">
        <f>(GDP_Projection!Y4-GDP_Projection!X4)/GDP_Projection!X4</f>
        <v>6.963063540066248E-3</v>
      </c>
      <c r="Y4" s="31">
        <f>(GDP_Projection!Z4-GDP_Projection!Y4)/GDP_Projection!Y4</f>
        <v>6.9149145506757648E-3</v>
      </c>
      <c r="Z4" s="31">
        <f>(GDP_Projection!AA4-GDP_Projection!Z4)/GDP_Projection!Z4</f>
        <v>6.86742688061331E-3</v>
      </c>
      <c r="AA4" s="31">
        <f>(GDP_Projection!AB4-GDP_Projection!AA4)/GDP_Projection!AA4</f>
        <v>6.8205869981208525E-3</v>
      </c>
      <c r="AB4" s="31">
        <f>(GDP_Projection!AC4-GDP_Projection!AB4)/GDP_Projection!AB4</f>
        <v>6.7743817381172534E-3</v>
      </c>
      <c r="AC4" s="31">
        <f>(GDP_Projection!AD4-GDP_Projection!AC4)/GDP_Projection!AC4</f>
        <v>7.1312203559017757E-3</v>
      </c>
      <c r="AD4" s="31">
        <f>(GDP_Projection!AE4-GDP_Projection!AD4)/GDP_Projection!AD4</f>
        <v>7.0807261375352192E-3</v>
      </c>
      <c r="AE4" s="31">
        <f>(GDP_Projection!AF4-GDP_Projection!AE4)/GDP_Projection!AE4</f>
        <v>7.0309419630062674E-3</v>
      </c>
      <c r="AF4" s="31">
        <f>(GDP_Projection!AG4-GDP_Projection!AF4)/GDP_Projection!AF4</f>
        <v>6.981852960049913E-3</v>
      </c>
      <c r="AG4" s="31">
        <f>(GDP_Projection!AH4-GDP_Projection!AG4)/GDP_Projection!AG4</f>
        <v>6.9334446688655311E-3</v>
      </c>
    </row>
    <row r="5" spans="1:33" x14ac:dyDescent="0.3">
      <c r="A5" s="1" t="s">
        <v>3</v>
      </c>
      <c r="B5" s="31">
        <f>(GDP_Projection!C5-GDP_Projection!B5)/GDP_Projection!B5</f>
        <v>2.1980757133500665E-2</v>
      </c>
      <c r="C5" s="31">
        <f>(GDP_Projection!D5-GDP_Projection!C5)/GDP_Projection!C5</f>
        <v>-2.6536545010277097E-2</v>
      </c>
      <c r="D5" s="31">
        <f>(GDP_Projection!E5-GDP_Projection!D5)/GDP_Projection!D5</f>
        <v>5.6142903757834386E-2</v>
      </c>
      <c r="E5" s="31">
        <f>(GDP_Projection!F5-GDP_Projection!E5)/GDP_Projection!E5</f>
        <v>-1.1078148153103366E-2</v>
      </c>
      <c r="F5" s="31">
        <f>(GDP_Projection!G5-GDP_Projection!F5)/GDP_Projection!F5</f>
        <v>-1.1202248319636149E-2</v>
      </c>
      <c r="G5" s="31">
        <f>(GDP_Projection!H5-GDP_Projection!G5)/GDP_Projection!G5</f>
        <v>-1.1329160387550474E-2</v>
      </c>
      <c r="H5" s="31">
        <f>(GDP_Projection!I5-GDP_Projection!H5)/GDP_Projection!H5</f>
        <v>-1.145898102141981E-2</v>
      </c>
      <c r="I5" s="31">
        <f>(GDP_Projection!J5-GDP_Projection!I5)/GDP_Projection!I5</f>
        <v>1.4989924279433372E-2</v>
      </c>
      <c r="J5" s="31">
        <f>(GDP_Projection!K5-GDP_Projection!J5)/GDP_Projection!J5</f>
        <v>1.4768544909522223E-2</v>
      </c>
      <c r="K5" s="31">
        <f>(GDP_Projection!L5-GDP_Projection!K5)/GDP_Projection!K5</f>
        <v>1.4553609277314451E-2</v>
      </c>
      <c r="L5" s="31">
        <f>(GDP_Projection!M5-GDP_Projection!L5)/GDP_Projection!L5</f>
        <v>1.434484007964967E-2</v>
      </c>
      <c r="M5" s="31">
        <f>(GDP_Projection!N5-GDP_Projection!M5)/GDP_Projection!M5</f>
        <v>1.4141975699825601E-2</v>
      </c>
      <c r="N5" s="31">
        <f>(GDP_Projection!O5-GDP_Projection!N5)/GDP_Projection!N5</f>
        <v>1.9435193535330502E-2</v>
      </c>
      <c r="O5" s="31">
        <f>(GDP_Projection!P5-GDP_Projection!O5)/GDP_Projection!O5</f>
        <v>1.9064668022623979E-2</v>
      </c>
      <c r="P5" s="31">
        <f>(GDP_Projection!Q5-GDP_Projection!P5)/GDP_Projection!P5</f>
        <v>1.8708006097019086E-2</v>
      </c>
      <c r="Q5" s="31">
        <f>(GDP_Projection!R5-GDP_Projection!Q5)/GDP_Projection!Q5</f>
        <v>1.8364443967310278E-2</v>
      </c>
      <c r="R5" s="31">
        <f>(GDP_Projection!S5-GDP_Projection!R5)/GDP_Projection!R5</f>
        <v>1.8033272936913324E-2</v>
      </c>
      <c r="S5" s="31">
        <f>(GDP_Projection!T5-GDP_Projection!S5)/GDP_Projection!S5</f>
        <v>1.8355855855855908E-2</v>
      </c>
      <c r="T5" s="31">
        <f>(GDP_Projection!U5-GDP_Projection!T5)/GDP_Projection!T5</f>
        <v>1.8024991706292209E-2</v>
      </c>
      <c r="U5" s="31">
        <f>(GDP_Projection!V5-GDP_Projection!U5)/GDP_Projection!U5</f>
        <v>1.7705844014773025E-2</v>
      </c>
      <c r="V5" s="31">
        <f>(GDP_Projection!W5-GDP_Projection!V5)/GDP_Projection!V5</f>
        <v>1.7397801259472778E-2</v>
      </c>
      <c r="W5" s="31">
        <f>(GDP_Projection!X5-GDP_Projection!W5)/GDP_Projection!W5</f>
        <v>1.7100293747377118E-2</v>
      </c>
      <c r="X5" s="31">
        <f>(GDP_Projection!Y5-GDP_Projection!X5)/GDP_Projection!X5</f>
        <v>1.7053859180088404E-2</v>
      </c>
      <c r="Y5" s="31">
        <f>(GDP_Projection!Z5-GDP_Projection!Y5)/GDP_Projection!Y5</f>
        <v>1.6767901744983889E-2</v>
      </c>
      <c r="Z5" s="31">
        <f>(GDP_Projection!AA5-GDP_Projection!Z5)/GDP_Projection!Z5</f>
        <v>1.6491375973028556E-2</v>
      </c>
      <c r="AA5" s="31">
        <f>(GDP_Projection!AB5-GDP_Projection!AA5)/GDP_Projection!AA5</f>
        <v>1.6223822811327164E-2</v>
      </c>
      <c r="AB5" s="31">
        <f>(GDP_Projection!AC5-GDP_Projection!AB5)/GDP_Projection!AB5</f>
        <v>1.596481252175844E-2</v>
      </c>
      <c r="AC5" s="31">
        <f>(GDP_Projection!AD5-GDP_Projection!AC5)/GDP_Projection!AC5</f>
        <v>1.5809712471232619E-2</v>
      </c>
      <c r="AD5" s="31">
        <f>(GDP_Projection!AE5-GDP_Projection!AD5)/GDP_Projection!AD5</f>
        <v>1.556365555195491E-2</v>
      </c>
      <c r="AE5" s="31">
        <f>(GDP_Projection!AF5-GDP_Projection!AE5)/GDP_Projection!AE5</f>
        <v>1.5325140346319427E-2</v>
      </c>
      <c r="AF5" s="31">
        <f>(GDP_Projection!AG5-GDP_Projection!AF5)/GDP_Projection!AF5</f>
        <v>1.5093825354400405E-2</v>
      </c>
      <c r="AG5" s="31">
        <f>(GDP_Projection!AH5-GDP_Projection!AG5)/GDP_Projection!AG5</f>
        <v>1.4869389387853258E-2</v>
      </c>
    </row>
    <row r="6" spans="1:33" x14ac:dyDescent="0.3">
      <c r="A6" s="1" t="s">
        <v>4</v>
      </c>
      <c r="B6" s="31">
        <f>(GDP_Projection!C6-GDP_Projection!B6)/GDP_Projection!B6</f>
        <v>5.6022442206425549E-2</v>
      </c>
      <c r="C6" s="31">
        <f>(GDP_Projection!D6-GDP_Projection!C6)/GDP_Projection!C6</f>
        <v>-4.5577519758343066E-2</v>
      </c>
      <c r="D6" s="31">
        <f>(GDP_Projection!E6-GDP_Projection!D6)/GDP_Projection!D6</f>
        <v>1.6367695773666407E-2</v>
      </c>
      <c r="E6" s="31">
        <f>(GDP_Projection!F6-GDP_Projection!E6)/GDP_Projection!E6</f>
        <v>4.9619633441804444E-2</v>
      </c>
      <c r="F6" s="31">
        <f>(GDP_Projection!G6-GDP_Projection!F6)/GDP_Projection!F6</f>
        <v>4.7273918913937292E-2</v>
      </c>
      <c r="G6" s="31">
        <f>(GDP_Projection!H6-GDP_Projection!G6)/GDP_Projection!G6</f>
        <v>4.5139975378134245E-2</v>
      </c>
      <c r="H6" s="31">
        <f>(GDP_Projection!I6-GDP_Projection!H6)/GDP_Projection!H6</f>
        <v>4.3190363436057762E-2</v>
      </c>
      <c r="I6" s="31">
        <f>(GDP_Projection!J6-GDP_Projection!I6)/GDP_Projection!I6</f>
        <v>4.065908246220358E-2</v>
      </c>
      <c r="J6" s="31">
        <f>(GDP_Projection!K6-GDP_Projection!J6)/GDP_Projection!J6</f>
        <v>3.9070511320579676E-2</v>
      </c>
      <c r="K6" s="31">
        <f>(GDP_Projection!L6-GDP_Projection!K6)/GDP_Projection!K6</f>
        <v>3.7601405193304953E-2</v>
      </c>
      <c r="L6" s="31">
        <f>(GDP_Projection!M6-GDP_Projection!L6)/GDP_Projection!L6</f>
        <v>3.6238776282593622E-2</v>
      </c>
      <c r="M6" s="31">
        <f>(GDP_Projection!N6-GDP_Projection!M6)/GDP_Projection!M6</f>
        <v>3.4971453599330383E-2</v>
      </c>
      <c r="N6" s="31">
        <f>(GDP_Projection!O6-GDP_Projection!N6)/GDP_Projection!N6</f>
        <v>4.1448001391694494E-2</v>
      </c>
      <c r="O6" s="31">
        <f>(GDP_Projection!P6-GDP_Projection!O6)/GDP_Projection!O6</f>
        <v>3.9798435770491879E-2</v>
      </c>
      <c r="P6" s="31">
        <f>(GDP_Projection!Q6-GDP_Projection!P6)/GDP_Projection!P6</f>
        <v>3.8275144875555805E-2</v>
      </c>
      <c r="Q6" s="31">
        <f>(GDP_Projection!R6-GDP_Projection!Q6)/GDP_Projection!Q6</f>
        <v>3.686416367035681E-2</v>
      </c>
      <c r="R6" s="31">
        <f>(GDP_Projection!S6-GDP_Projection!R6)/GDP_Projection!R6</f>
        <v>3.5553513142804291E-2</v>
      </c>
      <c r="S6" s="31">
        <f>(GDP_Projection!T6-GDP_Projection!S6)/GDP_Projection!S6</f>
        <v>3.7328937830195842E-2</v>
      </c>
      <c r="T6" s="31">
        <f>(GDP_Projection!U6-GDP_Projection!T6)/GDP_Projection!T6</f>
        <v>3.598563239571588E-2</v>
      </c>
      <c r="U6" s="31">
        <f>(GDP_Projection!V6-GDP_Projection!U6)/GDP_Projection!U6</f>
        <v>3.4735648131045155E-2</v>
      </c>
      <c r="V6" s="31">
        <f>(GDP_Projection!W6-GDP_Projection!V6)/GDP_Projection!V6</f>
        <v>3.3569586776859575E-2</v>
      </c>
      <c r="W6" s="31">
        <f>(GDP_Projection!X6-GDP_Projection!W6)/GDP_Projection!W6</f>
        <v>3.2479271068283314E-2</v>
      </c>
      <c r="X6" s="31">
        <f>(GDP_Projection!Y6-GDP_Projection!X6)/GDP_Projection!X6</f>
        <v>3.4625736037590012E-2</v>
      </c>
      <c r="Y6" s="31">
        <f>(GDP_Projection!Z6-GDP_Projection!Y6)/GDP_Projection!Y6</f>
        <v>3.3466919323116455E-2</v>
      </c>
      <c r="Z6" s="31">
        <f>(GDP_Projection!AA6-GDP_Projection!Z6)/GDP_Projection!Z6</f>
        <v>3.2383154890952955E-2</v>
      </c>
      <c r="AA6" s="31">
        <f>(GDP_Projection!AB6-GDP_Projection!AA6)/GDP_Projection!AA6</f>
        <v>3.1367380160686048E-2</v>
      </c>
      <c r="AB6" s="31">
        <f>(GDP_Projection!AC6-GDP_Projection!AB6)/GDP_Projection!AB6</f>
        <v>3.0413391740001398E-2</v>
      </c>
      <c r="AC6" s="31">
        <f>(GDP_Projection!AD6-GDP_Projection!AC6)/GDP_Projection!AC6</f>
        <v>3.3564969585198938E-2</v>
      </c>
      <c r="AD6" s="31">
        <f>(GDP_Projection!AE6-GDP_Projection!AD6)/GDP_Projection!AD6</f>
        <v>3.2474948912664468E-2</v>
      </c>
      <c r="AE6" s="31">
        <f>(GDP_Projection!AF6-GDP_Projection!AE6)/GDP_Projection!AE6</f>
        <v>3.145349816658019E-2</v>
      </c>
      <c r="AF6" s="31">
        <f>(GDP_Projection!AG6-GDP_Projection!AF6)/GDP_Projection!AF6</f>
        <v>3.049434436209594E-2</v>
      </c>
      <c r="AG6" s="31">
        <f>(GDP_Projection!AH6-GDP_Projection!AG6)/GDP_Projection!AG6</f>
        <v>2.9591957033954192E-2</v>
      </c>
    </row>
    <row r="7" spans="1:33" x14ac:dyDescent="0.3">
      <c r="A7" s="1" t="s">
        <v>5</v>
      </c>
      <c r="B7" s="31">
        <f>(GDP_Projection!C7-GDP_Projection!B7)/GDP_Projection!B7</f>
        <v>3.54574128631626E-3</v>
      </c>
      <c r="C7" s="31">
        <f>(GDP_Projection!D7-GDP_Projection!C7)/GDP_Projection!C7</f>
        <v>-4.3358354474796683E-2</v>
      </c>
      <c r="D7" s="31">
        <f>(GDP_Projection!E7-GDP_Projection!D7)/GDP_Projection!D7</f>
        <v>4.9200847457627095E-2</v>
      </c>
      <c r="E7" s="31">
        <f>(GDP_Projection!F7-GDP_Projection!E7)/GDP_Projection!E7</f>
        <v>4.6893640599746045E-2</v>
      </c>
      <c r="F7" s="31">
        <f>(GDP_Projection!G7-GDP_Projection!F7)/GDP_Projection!F7</f>
        <v>4.4793127764995964E-2</v>
      </c>
      <c r="G7" s="31">
        <f>(GDP_Projection!H7-GDP_Projection!G7)/GDP_Projection!G7</f>
        <v>4.2872724345743615E-2</v>
      </c>
      <c r="H7" s="31">
        <f>(GDP_Projection!I7-GDP_Projection!H7)/GDP_Projection!H7</f>
        <v>4.1110217330346081E-2</v>
      </c>
      <c r="I7" s="31">
        <f>(GDP_Projection!J7-GDP_Projection!I7)/GDP_Projection!I7</f>
        <v>6.0747066045018491E-2</v>
      </c>
      <c r="J7" s="31">
        <f>(GDP_Projection!K7-GDP_Projection!J7)/GDP_Projection!J7</f>
        <v>5.7268191437486612E-2</v>
      </c>
      <c r="K7" s="31">
        <f>(GDP_Projection!L7-GDP_Projection!K7)/GDP_Projection!K7</f>
        <v>5.4166191607092191E-2</v>
      </c>
      <c r="L7" s="31">
        <f>(GDP_Projection!M7-GDP_Projection!L7)/GDP_Projection!L7</f>
        <v>5.1382971715792758E-2</v>
      </c>
      <c r="M7" s="31">
        <f>(GDP_Projection!N7-GDP_Projection!M7)/GDP_Projection!M7</f>
        <v>4.8871793721310598E-2</v>
      </c>
      <c r="N7" s="31">
        <f>(GDP_Projection!O7-GDP_Projection!N7)/GDP_Projection!N7</f>
        <v>6.1883677102556933E-2</v>
      </c>
      <c r="O7" s="31">
        <f>(GDP_Projection!P7-GDP_Projection!O7)/GDP_Projection!O7</f>
        <v>5.8277265614828919E-2</v>
      </c>
      <c r="P7" s="31">
        <f>(GDP_Projection!Q7-GDP_Projection!P7)/GDP_Projection!P7</f>
        <v>5.5068050224977183E-2</v>
      </c>
      <c r="Q7" s="31">
        <f>(GDP_Projection!R7-GDP_Projection!Q7)/GDP_Projection!Q7</f>
        <v>5.2193837367395177E-2</v>
      </c>
      <c r="R7" s="31">
        <f>(GDP_Projection!S7-GDP_Projection!R7)/GDP_Projection!R7</f>
        <v>4.9604773867508042E-2</v>
      </c>
      <c r="S7" s="31">
        <f>(GDP_Projection!T7-GDP_Projection!S7)/GDP_Projection!S7</f>
        <v>6.1363160987659184E-2</v>
      </c>
      <c r="T7" s="31">
        <f>(GDP_Projection!U7-GDP_Projection!T7)/GDP_Projection!T7</f>
        <v>5.7815423827747375E-2</v>
      </c>
      <c r="U7" s="31">
        <f>(GDP_Projection!V7-GDP_Projection!U7)/GDP_Projection!U7</f>
        <v>5.4655493317104377E-2</v>
      </c>
      <c r="V7" s="31">
        <f>(GDP_Projection!W7-GDP_Projection!V7)/GDP_Projection!V7</f>
        <v>5.1823077453663866E-2</v>
      </c>
      <c r="W7" s="31">
        <f>(GDP_Projection!X7-GDP_Projection!W7)/GDP_Projection!W7</f>
        <v>4.9269766526820739E-2</v>
      </c>
      <c r="X7" s="31">
        <f>(GDP_Projection!Y7-GDP_Projection!X7)/GDP_Projection!X7</f>
        <v>5.7887395867472533E-2</v>
      </c>
      <c r="Y7" s="31">
        <f>(GDP_Projection!Z7-GDP_Projection!Y7)/GDP_Projection!Y7</f>
        <v>5.471980864277582E-2</v>
      </c>
      <c r="Z7" s="31">
        <f>(GDP_Projection!AA7-GDP_Projection!Z7)/GDP_Projection!Z7</f>
        <v>5.1880895944478214E-2</v>
      </c>
      <c r="AA7" s="31">
        <f>(GDP_Projection!AB7-GDP_Projection!AA7)/GDP_Projection!AA7</f>
        <v>4.9322025092864374E-2</v>
      </c>
      <c r="AB7" s="31">
        <f>(GDP_Projection!AC7-GDP_Projection!AB7)/GDP_Projection!AB7</f>
        <v>4.7003707073145065E-2</v>
      </c>
      <c r="AC7" s="31">
        <f>(GDP_Projection!AD7-GDP_Projection!AC7)/GDP_Projection!AC7</f>
        <v>5.3850973530837336E-2</v>
      </c>
      <c r="AD7" s="31">
        <f>(GDP_Projection!AE7-GDP_Projection!AD7)/GDP_Projection!AD7</f>
        <v>5.1099230235954772E-2</v>
      </c>
      <c r="AE7" s="31">
        <f>(GDP_Projection!AF7-GDP_Projection!AE7)/GDP_Projection!AE7</f>
        <v>4.8615039157134401E-2</v>
      </c>
      <c r="AF7" s="31">
        <f>(GDP_Projection!AG7-GDP_Projection!AF7)/GDP_Projection!AF7</f>
        <v>4.6361188178466954E-2</v>
      </c>
      <c r="AG7" s="31">
        <f>(GDP_Projection!AH7-GDP_Projection!AG7)/GDP_Projection!AG7</f>
        <v>4.4307060221885457E-2</v>
      </c>
    </row>
    <row r="8" spans="1:33" x14ac:dyDescent="0.3">
      <c r="A8" s="1" t="s">
        <v>6</v>
      </c>
      <c r="B8" s="31">
        <f>(GDP_Projection!C8-GDP_Projection!B8)/GDP_Projection!B8</f>
        <v>2.2578117805813057E-2</v>
      </c>
      <c r="C8" s="31">
        <f>(GDP_Projection!D8-GDP_Projection!C8)/GDP_Projection!C8</f>
        <v>-2.9646951539343967E-2</v>
      </c>
      <c r="D8" s="31">
        <f>(GDP_Projection!E8-GDP_Projection!D8)/GDP_Projection!D8</f>
        <v>5.8434138292258513E-2</v>
      </c>
      <c r="E8" s="31">
        <f>(GDP_Projection!F8-GDP_Projection!E8)/GDP_Projection!E8</f>
        <v>1.4707487746131277E-2</v>
      </c>
      <c r="F8" s="31">
        <f>(GDP_Projection!G8-GDP_Projection!F8)/GDP_Projection!F8</f>
        <v>1.4494312817972354E-2</v>
      </c>
      <c r="G8" s="31">
        <f>(GDP_Projection!H8-GDP_Projection!G8)/GDP_Projection!G8</f>
        <v>1.4287229247950476E-2</v>
      </c>
      <c r="H8" s="31">
        <f>(GDP_Projection!I8-GDP_Projection!H8)/GDP_Projection!H8</f>
        <v>1.408597962782592E-2</v>
      </c>
      <c r="I8" s="31">
        <f>(GDP_Projection!J8-GDP_Projection!I8)/GDP_Projection!I8</f>
        <v>1.9561833376810445E-2</v>
      </c>
      <c r="J8" s="31">
        <f>(GDP_Projection!K8-GDP_Projection!J8)/GDP_Projection!J8</f>
        <v>1.9186510063858742E-2</v>
      </c>
      <c r="K8" s="31">
        <f>(GDP_Projection!L8-GDP_Projection!K8)/GDP_Projection!K8</f>
        <v>1.8825317912279451E-2</v>
      </c>
      <c r="L8" s="31">
        <f>(GDP_Projection!M8-GDP_Projection!L8)/GDP_Projection!L8</f>
        <v>1.8477473597589087E-2</v>
      </c>
      <c r="M8" s="31">
        <f>(GDP_Projection!N8-GDP_Projection!M8)/GDP_Projection!M8</f>
        <v>1.8142250640380334E-2</v>
      </c>
      <c r="N8" s="31">
        <f>(GDP_Projection!O8-GDP_Projection!N8)/GDP_Projection!N8</f>
        <v>1.6369016386665228E-2</v>
      </c>
      <c r="O8" s="31">
        <f>(GDP_Projection!P8-GDP_Projection!O8)/GDP_Projection!O8</f>
        <v>1.6105387042256936E-2</v>
      </c>
      <c r="P8" s="31">
        <f>(GDP_Projection!Q8-GDP_Projection!P8)/GDP_Projection!P8</f>
        <v>1.585011480860022E-2</v>
      </c>
      <c r="Q8" s="31">
        <f>(GDP_Projection!R8-GDP_Projection!Q8)/GDP_Projection!Q8</f>
        <v>1.5602808502499009E-2</v>
      </c>
      <c r="R8" s="31">
        <f>(GDP_Projection!S8-GDP_Projection!R8)/GDP_Projection!R8</f>
        <v>1.5363100979904742E-2</v>
      </c>
      <c r="S8" s="31">
        <f>(GDP_Projection!T8-GDP_Projection!S8)/GDP_Projection!S8</f>
        <v>1.4478721416283612E-2</v>
      </c>
      <c r="T8" s="31">
        <f>(GDP_Projection!U8-GDP_Projection!T8)/GDP_Projection!T8</f>
        <v>1.4272079946704352E-2</v>
      </c>
      <c r="U8" s="31">
        <f>(GDP_Projection!V8-GDP_Projection!U8)/GDP_Projection!U8</f>
        <v>1.4071253886288862E-2</v>
      </c>
      <c r="V8" s="31">
        <f>(GDP_Projection!W8-GDP_Projection!V8)/GDP_Projection!V8</f>
        <v>1.3876001151164392E-2</v>
      </c>
      <c r="W8" s="31">
        <f>(GDP_Projection!X8-GDP_Projection!W8)/GDP_Projection!W8</f>
        <v>1.3686092910187684E-2</v>
      </c>
      <c r="X8" s="31">
        <f>(GDP_Projection!Y8-GDP_Projection!X8)/GDP_Projection!X8</f>
        <v>1.3251080978094076E-2</v>
      </c>
      <c r="Y8" s="31">
        <f>(GDP_Projection!Z8-GDP_Projection!Y8)/GDP_Projection!Y8</f>
        <v>1.3077786174481819E-2</v>
      </c>
      <c r="Z8" s="31">
        <f>(GDP_Projection!AA8-GDP_Projection!Z8)/GDP_Projection!Z8</f>
        <v>1.2908965484146388E-2</v>
      </c>
      <c r="AA8" s="31">
        <f>(GDP_Projection!AB8-GDP_Projection!AA8)/GDP_Projection!AA8</f>
        <v>1.274444784677794E-2</v>
      </c>
      <c r="AB8" s="31">
        <f>(GDP_Projection!AC8-GDP_Projection!AB8)/GDP_Projection!AB8</f>
        <v>1.2584070812606516E-2</v>
      </c>
      <c r="AC8" s="31">
        <f>(GDP_Projection!AD8-GDP_Projection!AC8)/GDP_Projection!AC8</f>
        <v>1.2324787763850405E-2</v>
      </c>
      <c r="AD8" s="31">
        <f>(GDP_Projection!AE8-GDP_Projection!AD8)/GDP_Projection!AD8</f>
        <v>1.2174736717723704E-2</v>
      </c>
      <c r="AE8" s="31">
        <f>(GDP_Projection!AF8-GDP_Projection!AE8)/GDP_Projection!AE8</f>
        <v>1.2028295388209246E-2</v>
      </c>
      <c r="AF8" s="31">
        <f>(GDP_Projection!AG8-GDP_Projection!AF8)/GDP_Projection!AF8</f>
        <v>1.1885335067232728E-2</v>
      </c>
      <c r="AG8" s="31">
        <f>(GDP_Projection!AH8-GDP_Projection!AG8)/GDP_Projection!AG8</f>
        <v>1.1745733093802183E-2</v>
      </c>
    </row>
    <row r="9" spans="1:33" x14ac:dyDescent="0.3">
      <c r="A9" s="1" t="s">
        <v>7</v>
      </c>
      <c r="B9" s="31">
        <f>(GDP_Projection!C9-GDP_Projection!B9)/GDP_Projection!B9</f>
        <v>7.5053891522403032E-3</v>
      </c>
      <c r="C9" s="31">
        <f>(GDP_Projection!D9-GDP_Projection!C9)/GDP_Projection!C9</f>
        <v>-6.696361242254685E-2</v>
      </c>
      <c r="D9" s="31">
        <f>(GDP_Projection!E9-GDP_Projection!D9)/GDP_Projection!D9</f>
        <v>7.3616386402995518E-2</v>
      </c>
      <c r="E9" s="31">
        <f>(GDP_Projection!F9-GDP_Projection!E9)/GDP_Projection!E9</f>
        <v>1.8091113020383985E-2</v>
      </c>
      <c r="F9" s="31">
        <f>(GDP_Projection!G9-GDP_Projection!F9)/GDP_Projection!F9</f>
        <v>1.7769640446730593E-2</v>
      </c>
      <c r="G9" s="31">
        <f>(GDP_Projection!H9-GDP_Projection!G9)/GDP_Projection!G9</f>
        <v>1.7459393305277751E-2</v>
      </c>
      <c r="H9" s="31">
        <f>(GDP_Projection!I9-GDP_Projection!H9)/GDP_Projection!H9</f>
        <v>1.7159793717722423E-2</v>
      </c>
      <c r="I9" s="31">
        <f>(GDP_Projection!J9-GDP_Projection!I9)/GDP_Projection!I9</f>
        <v>2.6759414750494391E-2</v>
      </c>
      <c r="J9" s="31">
        <f>(GDP_Projection!K9-GDP_Projection!J9)/GDP_Projection!J9</f>
        <v>2.6062010599627185E-2</v>
      </c>
      <c r="K9" s="31">
        <f>(GDP_Projection!L9-GDP_Projection!K9)/GDP_Projection!K9</f>
        <v>2.5400034627923347E-2</v>
      </c>
      <c r="L9" s="31">
        <f>(GDP_Projection!M9-GDP_Projection!L9)/GDP_Projection!L9</f>
        <v>2.4770854076614113E-2</v>
      </c>
      <c r="M9" s="31">
        <f>(GDP_Projection!N9-GDP_Projection!M9)/GDP_Projection!M9</f>
        <v>2.4172090744066493E-2</v>
      </c>
      <c r="N9" s="31">
        <f>(GDP_Projection!O9-GDP_Projection!N9)/GDP_Projection!N9</f>
        <v>3.0439047043125979E-2</v>
      </c>
      <c r="O9" s="31">
        <f>(GDP_Projection!P9-GDP_Projection!O9)/GDP_Projection!O9</f>
        <v>2.9539881209346332E-2</v>
      </c>
      <c r="P9" s="31">
        <f>(GDP_Projection!Q9-GDP_Projection!P9)/GDP_Projection!P9</f>
        <v>2.8692313671858333E-2</v>
      </c>
      <c r="Q9" s="31">
        <f>(GDP_Projection!R9-GDP_Projection!Q9)/GDP_Projection!Q9</f>
        <v>2.7892026887459443E-2</v>
      </c>
      <c r="R9" s="31">
        <f>(GDP_Projection!S9-GDP_Projection!R9)/GDP_Projection!R9</f>
        <v>2.7135171942056061E-2</v>
      </c>
      <c r="S9" s="31">
        <f>(GDP_Projection!T9-GDP_Projection!S9)/GDP_Projection!S9</f>
        <v>3.1317455669048415E-2</v>
      </c>
      <c r="T9" s="31">
        <f>(GDP_Projection!U9-GDP_Projection!T9)/GDP_Projection!T9</f>
        <v>3.0366455543731474E-2</v>
      </c>
      <c r="U9" s="31">
        <f>(GDP_Projection!V9-GDP_Projection!U9)/GDP_Projection!U9</f>
        <v>2.9471510238274292E-2</v>
      </c>
      <c r="V9" s="31">
        <f>(GDP_Projection!W9-GDP_Projection!V9)/GDP_Projection!V9</f>
        <v>2.8627805573223704E-2</v>
      </c>
      <c r="W9" s="31">
        <f>(GDP_Projection!X9-GDP_Projection!W9)/GDP_Projection!W9</f>
        <v>2.7831063304058781E-2</v>
      </c>
      <c r="X9" s="31">
        <f>(GDP_Projection!Y9-GDP_Projection!X9)/GDP_Projection!X9</f>
        <v>3.0881176350730417E-2</v>
      </c>
      <c r="Y9" s="31">
        <f>(GDP_Projection!Z9-GDP_Projection!Y9)/GDP_Projection!Y9</f>
        <v>2.9956096841391836E-2</v>
      </c>
      <c r="Z9" s="31">
        <f>(GDP_Projection!AA9-GDP_Projection!Z9)/GDP_Projection!Z9</f>
        <v>2.9084828890531867E-2</v>
      </c>
      <c r="AA9" s="31">
        <f>(GDP_Projection!AB9-GDP_Projection!AA9)/GDP_Projection!AA9</f>
        <v>2.8262809900607078E-2</v>
      </c>
      <c r="AB9" s="31">
        <f>(GDP_Projection!AC9-GDP_Projection!AB9)/GDP_Projection!AB9</f>
        <v>2.7485978903913463E-2</v>
      </c>
      <c r="AC9" s="31">
        <f>(GDP_Projection!AD9-GDP_Projection!AC9)/GDP_Projection!AC9</f>
        <v>2.943636722502686E-2</v>
      </c>
      <c r="AD9" s="31">
        <f>(GDP_Projection!AE9-GDP_Projection!AD9)/GDP_Projection!AD9</f>
        <v>2.859464476116793E-2</v>
      </c>
      <c r="AE9" s="31">
        <f>(GDP_Projection!AF9-GDP_Projection!AE9)/GDP_Projection!AE9</f>
        <v>2.7799721597624491E-2</v>
      </c>
      <c r="AF9" s="31">
        <f>(GDP_Projection!AG9-GDP_Projection!AF9)/GDP_Projection!AF9</f>
        <v>2.7047800280012007E-2</v>
      </c>
      <c r="AG9" s="31">
        <f>(GDP_Projection!AH9-GDP_Projection!AG9)/GDP_Projection!AG9</f>
        <v>2.6335483385133706E-2</v>
      </c>
    </row>
    <row r="10" spans="1:33" x14ac:dyDescent="0.3">
      <c r="A10" s="1" t="s">
        <v>8</v>
      </c>
      <c r="B10" s="31">
        <f>(GDP_Projection!C10-GDP_Projection!B10)/GDP_Projection!B10</f>
        <v>1.4773577790862075E-2</v>
      </c>
      <c r="C10" s="31">
        <f>(GDP_Projection!D10-GDP_Projection!C10)/GDP_Projection!C10</f>
        <v>-5.7136892299979238E-2</v>
      </c>
      <c r="D10" s="31">
        <f>(GDP_Projection!E10-GDP_Projection!D10)/GDP_Projection!D10</f>
        <v>6.8836886005507622E-2</v>
      </c>
      <c r="E10" s="31">
        <f>(GDP_Projection!F10-GDP_Projection!E10)/GDP_Projection!E10</f>
        <v>5.1281111666963957E-3</v>
      </c>
      <c r="F10" s="31">
        <f>(GDP_Projection!G10-GDP_Projection!F10)/GDP_Projection!F10</f>
        <v>5.1019478111541143E-3</v>
      </c>
      <c r="G10" s="31">
        <f>(GDP_Projection!H10-GDP_Projection!G10)/GDP_Projection!G10</f>
        <v>5.0760500686172242E-3</v>
      </c>
      <c r="H10" s="31">
        <f>(GDP_Projection!I10-GDP_Projection!H10)/GDP_Projection!H10</f>
        <v>5.050413914718715E-3</v>
      </c>
      <c r="I10" s="31">
        <f>(GDP_Projection!J10-GDP_Projection!I10)/GDP_Projection!I10</f>
        <v>1.8790468859297804E-2</v>
      </c>
      <c r="J10" s="31">
        <f>(GDP_Projection!K10-GDP_Projection!J10)/GDP_Projection!J10</f>
        <v>1.8443899343048232E-2</v>
      </c>
      <c r="K10" s="31">
        <f>(GDP_Projection!L10-GDP_Projection!K10)/GDP_Projection!K10</f>
        <v>1.8109882493228691E-2</v>
      </c>
      <c r="L10" s="31">
        <f>(GDP_Projection!M10-GDP_Projection!L10)/GDP_Projection!L10</f>
        <v>1.7787748458820345E-2</v>
      </c>
      <c r="M10" s="31">
        <f>(GDP_Projection!N10-GDP_Projection!M10)/GDP_Projection!M10</f>
        <v>1.747687421641236E-2</v>
      </c>
      <c r="N10" s="31">
        <f>(GDP_Projection!O10-GDP_Projection!N10)/GDP_Projection!N10</f>
        <v>1.7516454566658894E-2</v>
      </c>
      <c r="O10" s="31">
        <f>(GDP_Projection!P10-GDP_Projection!O10)/GDP_Projection!O10</f>
        <v>1.7214910371271413E-2</v>
      </c>
      <c r="P10" s="31">
        <f>(GDP_Projection!Q10-GDP_Projection!P10)/GDP_Projection!P10</f>
        <v>1.6923572586041009E-2</v>
      </c>
      <c r="Q10" s="31">
        <f>(GDP_Projection!R10-GDP_Projection!Q10)/GDP_Projection!Q10</f>
        <v>1.6641931647827075E-2</v>
      </c>
      <c r="R10" s="31">
        <f>(GDP_Projection!S10-GDP_Projection!R10)/GDP_Projection!R10</f>
        <v>1.6369511358687208E-2</v>
      </c>
      <c r="S10" s="31">
        <f>(GDP_Projection!T10-GDP_Projection!S10)/GDP_Projection!S10</f>
        <v>1.6727610653076947E-2</v>
      </c>
      <c r="T10" s="31">
        <f>(GDP_Projection!U10-GDP_Projection!T10)/GDP_Projection!T10</f>
        <v>1.6452401289989819E-2</v>
      </c>
      <c r="U10" s="31">
        <f>(GDP_Projection!V10-GDP_Projection!U10)/GDP_Projection!U10</f>
        <v>1.6186101060029875E-2</v>
      </c>
      <c r="V10" s="31">
        <f>(GDP_Projection!W10-GDP_Projection!V10)/GDP_Projection!V10</f>
        <v>1.5928284241582737E-2</v>
      </c>
      <c r="W10" s="31">
        <f>(GDP_Projection!X10-GDP_Projection!W10)/GDP_Projection!W10</f>
        <v>1.5678551811827809E-2</v>
      </c>
      <c r="X10" s="31">
        <f>(GDP_Projection!Y10-GDP_Projection!X10)/GDP_Projection!X10</f>
        <v>1.5881592250020286E-2</v>
      </c>
      <c r="Y10" s="31">
        <f>(GDP_Projection!Z10-GDP_Projection!Y10)/GDP_Projection!Y10</f>
        <v>1.5633310388905679E-2</v>
      </c>
      <c r="Z10" s="31">
        <f>(GDP_Projection!AA10-GDP_Projection!Z10)/GDP_Projection!Z10</f>
        <v>1.5392671970279688E-2</v>
      </c>
      <c r="AA10" s="31">
        <f>(GDP_Projection!AB10-GDP_Projection!AA10)/GDP_Projection!AA10</f>
        <v>1.5159329385755335E-2</v>
      </c>
      <c r="AB10" s="31">
        <f>(GDP_Projection!AC10-GDP_Projection!AB10)/GDP_Projection!AB10</f>
        <v>1.4932955790228228E-2</v>
      </c>
      <c r="AC10" s="31">
        <f>(GDP_Projection!AD10-GDP_Projection!AC10)/GDP_Projection!AC10</f>
        <v>1.4662738399863427E-2</v>
      </c>
      <c r="AD10" s="31">
        <f>(GDP_Projection!AE10-GDP_Projection!AD10)/GDP_Projection!AD10</f>
        <v>1.4450849375810095E-2</v>
      </c>
      <c r="AE10" s="31">
        <f>(GDP_Projection!AF10-GDP_Projection!AE10)/GDP_Projection!AE10</f>
        <v>1.4244997068809866E-2</v>
      </c>
      <c r="AF10" s="31">
        <f>(GDP_Projection!AG10-GDP_Projection!AF10)/GDP_Projection!AF10</f>
        <v>1.4044927123109523E-2</v>
      </c>
      <c r="AG10" s="31">
        <f>(GDP_Projection!AH10-GDP_Projection!AG10)/GDP_Projection!AG10</f>
        <v>1.3850399274670593E-2</v>
      </c>
    </row>
    <row r="11" spans="1:33" x14ac:dyDescent="0.3">
      <c r="A11" s="1" t="s">
        <v>9</v>
      </c>
      <c r="B11" s="31">
        <f>(GDP_Projection!C11-GDP_Projection!B11)/GDP_Projection!B11</f>
        <v>3.9203675098771498E-2</v>
      </c>
      <c r="C11" s="31">
        <f>(GDP_Projection!D11-GDP_Projection!C11)/GDP_Projection!C11</f>
        <v>-3.3746878604878017E-2</v>
      </c>
      <c r="D11" s="31">
        <f>(GDP_Projection!E11-GDP_Projection!D11)/GDP_Projection!D11</f>
        <v>6.5773975930125281E-2</v>
      </c>
      <c r="E11" s="31">
        <f>(GDP_Projection!F11-GDP_Projection!E11)/GDP_Projection!E11</f>
        <v>1.5810917487515678E-2</v>
      </c>
      <c r="F11" s="31">
        <f>(GDP_Projection!G11-GDP_Projection!F11)/GDP_Projection!F11</f>
        <v>1.5564823349823977E-2</v>
      </c>
      <c r="G11" s="31">
        <f>(GDP_Projection!H11-GDP_Projection!G11)/GDP_Projection!G11</f>
        <v>1.5326272623822929E-2</v>
      </c>
      <c r="H11" s="31">
        <f>(GDP_Projection!I11-GDP_Projection!H11)/GDP_Projection!H11</f>
        <v>1.5094923707840638E-2</v>
      </c>
      <c r="I11" s="31">
        <f>(GDP_Projection!J11-GDP_Projection!I11)/GDP_Projection!I11</f>
        <v>2.9520252455183124E-2</v>
      </c>
      <c r="J11" s="31">
        <f>(GDP_Projection!K11-GDP_Projection!J11)/GDP_Projection!J11</f>
        <v>2.8673794794015779E-2</v>
      </c>
      <c r="K11" s="31">
        <f>(GDP_Projection!L11-GDP_Projection!K11)/GDP_Projection!K11</f>
        <v>2.7874526345601502E-2</v>
      </c>
      <c r="L11" s="31">
        <f>(GDP_Projection!M11-GDP_Projection!L11)/GDP_Projection!L11</f>
        <v>2.7118607992654222E-2</v>
      </c>
      <c r="M11" s="31">
        <f>(GDP_Projection!N11-GDP_Projection!M11)/GDP_Projection!M11</f>
        <v>2.6402606068692866E-2</v>
      </c>
      <c r="N11" s="31">
        <f>(GDP_Projection!O11-GDP_Projection!N11)/GDP_Projection!N11</f>
        <v>2.100914545830572E-2</v>
      </c>
      <c r="O11" s="31">
        <f>(GDP_Projection!P11-GDP_Projection!O11)/GDP_Projection!O11</f>
        <v>2.0576843558903907E-2</v>
      </c>
      <c r="P11" s="31">
        <f>(GDP_Projection!Q11-GDP_Projection!P11)/GDP_Projection!P11</f>
        <v>2.0161973778622468E-2</v>
      </c>
      <c r="Q11" s="31">
        <f>(GDP_Projection!R11-GDP_Projection!Q11)/GDP_Projection!Q11</f>
        <v>1.9763502558268913E-2</v>
      </c>
      <c r="R11" s="31">
        <f>(GDP_Projection!S11-GDP_Projection!R11)/GDP_Projection!R11</f>
        <v>1.9380476462128784E-2</v>
      </c>
      <c r="S11" s="31">
        <f>(GDP_Projection!T11-GDP_Projection!S11)/GDP_Projection!S11</f>
        <v>1.5677369900451238E-2</v>
      </c>
      <c r="T11" s="31">
        <f>(GDP_Projection!U11-GDP_Projection!T11)/GDP_Projection!T11</f>
        <v>1.543538368092991E-2</v>
      </c>
      <c r="U11" s="31">
        <f>(GDP_Projection!V11-GDP_Projection!U11)/GDP_Projection!U11</f>
        <v>1.5200754207497674E-2</v>
      </c>
      <c r="V11" s="31">
        <f>(GDP_Projection!W11-GDP_Projection!V11)/GDP_Projection!V11</f>
        <v>1.4973151019143925E-2</v>
      </c>
      <c r="W11" s="31">
        <f>(GDP_Projection!X11-GDP_Projection!W11)/GDP_Projection!W11</f>
        <v>1.4752263155048878E-2</v>
      </c>
      <c r="X11" s="31">
        <f>(GDP_Projection!Y11-GDP_Projection!X11)/GDP_Projection!X11</f>
        <v>1.1010546411703652E-2</v>
      </c>
      <c r="Y11" s="31">
        <f>(GDP_Projection!Z11-GDP_Projection!Y11)/GDP_Projection!Y11</f>
        <v>1.089063457427074E-2</v>
      </c>
      <c r="Z11" s="31">
        <f>(GDP_Projection!AA11-GDP_Projection!Z11)/GDP_Projection!Z11</f>
        <v>1.0773306430776512E-2</v>
      </c>
      <c r="AA11" s="31">
        <f>(GDP_Projection!AB11-GDP_Projection!AA11)/GDP_Projection!AA11</f>
        <v>1.0658479366475364E-2</v>
      </c>
      <c r="AB11" s="31">
        <f>(GDP_Projection!AC11-GDP_Projection!AB11)/GDP_Projection!AB11</f>
        <v>1.054607425166698E-2</v>
      </c>
      <c r="AC11" s="31">
        <f>(GDP_Projection!AD11-GDP_Projection!AC11)/GDP_Projection!AC11</f>
        <v>8.7218661035990547E-3</v>
      </c>
      <c r="AD11" s="31">
        <f>(GDP_Projection!AE11-GDP_Projection!AD11)/GDP_Projection!AD11</f>
        <v>8.6464528991416646E-3</v>
      </c>
      <c r="AE11" s="31">
        <f>(GDP_Projection!AF11-GDP_Projection!AE11)/GDP_Projection!AE11</f>
        <v>8.5723326288307047E-3</v>
      </c>
      <c r="AF11" s="31">
        <f>(GDP_Projection!AG11-GDP_Projection!AF11)/GDP_Projection!AF11</f>
        <v>8.4994723248921888E-3</v>
      </c>
      <c r="AG11" s="31">
        <f>(GDP_Projection!AH11-GDP_Projection!AG11)/GDP_Projection!AG11</f>
        <v>8.4278401309407971E-3</v>
      </c>
    </row>
    <row r="12" spans="1:33" x14ac:dyDescent="0.3">
      <c r="A12" s="1" t="s">
        <v>82</v>
      </c>
      <c r="B12" s="31">
        <f>(GDP_Projection!C12-GDP_Projection!B12)/GDP_Projection!B12</f>
        <v>4.0502198940472189E-2</v>
      </c>
      <c r="C12" s="31">
        <f>(GDP_Projection!D12-GDP_Projection!C12)/GDP_Projection!C12</f>
        <v>-2.4794835576908973E-2</v>
      </c>
      <c r="D12" s="31">
        <f>(GDP_Projection!E12-GDP_Projection!D12)/GDP_Projection!D12</f>
        <v>4.8875167107129337E-2</v>
      </c>
      <c r="E12" s="31">
        <f>(GDP_Projection!F12-GDP_Projection!E12)/GDP_Projection!E12</f>
        <v>2.0389149191987411E-2</v>
      </c>
      <c r="F12" s="31">
        <f>(GDP_Projection!G12-GDP_Projection!F12)/GDP_Projection!F12</f>
        <v>1.9981738543704532E-2</v>
      </c>
      <c r="G12" s="31">
        <f>(GDP_Projection!H12-GDP_Projection!G12)/GDP_Projection!G12</f>
        <v>1.9590290481311737E-2</v>
      </c>
      <c r="H12" s="31">
        <f>(GDP_Projection!I12-GDP_Projection!H12)/GDP_Projection!H12</f>
        <v>1.9213884894945271E-2</v>
      </c>
      <c r="I12" s="31">
        <f>(GDP_Projection!J12-GDP_Projection!I12)/GDP_Projection!I12</f>
        <v>3.9155702979294861E-2</v>
      </c>
      <c r="J12" s="31">
        <f>(GDP_Projection!K12-GDP_Projection!J12)/GDP_Projection!J12</f>
        <v>3.7680304180628683E-2</v>
      </c>
      <c r="K12" s="31">
        <f>(GDP_Projection!L12-GDP_Projection!K12)/GDP_Projection!K12</f>
        <v>3.6312054906334316E-2</v>
      </c>
      <c r="L12" s="31">
        <f>(GDP_Projection!M12-GDP_Projection!L12)/GDP_Projection!L12</f>
        <v>3.5039691697513191E-2</v>
      </c>
      <c r="M12" s="31">
        <f>(GDP_Projection!N12-GDP_Projection!M12)/GDP_Projection!M12</f>
        <v>3.3853476324223343E-2</v>
      </c>
      <c r="N12" s="31">
        <f>(GDP_Projection!O12-GDP_Projection!N12)/GDP_Projection!N12</f>
        <v>3.6477947994831943E-2</v>
      </c>
      <c r="O12" s="31">
        <f>(GDP_Projection!P12-GDP_Projection!O12)/GDP_Projection!O12</f>
        <v>3.5194138057063444E-2</v>
      </c>
      <c r="P12" s="31">
        <f>(GDP_Projection!Q12-GDP_Projection!P12)/GDP_Projection!P12</f>
        <v>3.39976210869187E-2</v>
      </c>
      <c r="Q12" s="31">
        <f>(GDP_Projection!R12-GDP_Projection!Q12)/GDP_Projection!Q12</f>
        <v>3.2879786561966211E-2</v>
      </c>
      <c r="R12" s="31">
        <f>(GDP_Projection!S12-GDP_Projection!R12)/GDP_Projection!R12</f>
        <v>3.1833120358961992E-2</v>
      </c>
      <c r="S12" s="31">
        <f>(GDP_Projection!T12-GDP_Projection!S12)/GDP_Projection!S12</f>
        <v>3.0749887852661709E-2</v>
      </c>
      <c r="T12" s="31">
        <f>(GDP_Projection!U12-GDP_Projection!T12)/GDP_Projection!T12</f>
        <v>2.9832540575601967E-2</v>
      </c>
      <c r="U12" s="31">
        <f>(GDP_Projection!V12-GDP_Projection!U12)/GDP_Projection!U12</f>
        <v>2.8968341356671187E-2</v>
      </c>
      <c r="V12" s="31">
        <f>(GDP_Projection!W12-GDP_Projection!V12)/GDP_Projection!V12</f>
        <v>2.8152801395694149E-2</v>
      </c>
      <c r="W12" s="31">
        <f>(GDP_Projection!X12-GDP_Projection!W12)/GDP_Projection!W12</f>
        <v>2.7381923540428107E-2</v>
      </c>
      <c r="X12" s="31">
        <f>(GDP_Projection!Y12-GDP_Projection!X12)/GDP_Projection!X12</f>
        <v>2.6032809837281623E-2</v>
      </c>
      <c r="Y12" s="31">
        <f>(GDP_Projection!Z12-GDP_Projection!Y12)/GDP_Projection!Y12</f>
        <v>2.5372297637743343E-2</v>
      </c>
      <c r="Z12" s="31">
        <f>(GDP_Projection!AA12-GDP_Projection!Z12)/GDP_Projection!Z12</f>
        <v>2.4744473491429542E-2</v>
      </c>
      <c r="AA12" s="31">
        <f>(GDP_Projection!AB12-GDP_Projection!AA12)/GDP_Projection!AA12</f>
        <v>2.4146969446072832E-2</v>
      </c>
      <c r="AB12" s="31">
        <f>(GDP_Projection!AC12-GDP_Projection!AB12)/GDP_Projection!AB12</f>
        <v>2.3577640872318603E-2</v>
      </c>
      <c r="AC12" s="31">
        <f>(GDP_Projection!AD12-GDP_Projection!AC12)/GDP_Projection!AC12</f>
        <v>2.3303702419936234E-2</v>
      </c>
      <c r="AD12" s="31">
        <f>(GDP_Projection!AE12-GDP_Projection!AD12)/GDP_Projection!AD12</f>
        <v>2.2773007040653728E-2</v>
      </c>
      <c r="AE12" s="31">
        <f>(GDP_Projection!AF12-GDP_Projection!AE12)/GDP_Projection!AE12</f>
        <v>2.2265944529125153E-2</v>
      </c>
      <c r="AF12" s="31">
        <f>(GDP_Projection!AG12-GDP_Projection!AF12)/GDP_Projection!AF12</f>
        <v>2.1780970644954215E-2</v>
      </c>
      <c r="AG12" s="31">
        <f>(GDP_Projection!AH12-GDP_Projection!AG12)/GDP_Projection!AG12</f>
        <v>2.1316672820013299E-2</v>
      </c>
    </row>
    <row r="13" spans="1:33" x14ac:dyDescent="0.3">
      <c r="A13" s="1" t="s">
        <v>11</v>
      </c>
      <c r="B13" s="31">
        <f>(GDP_Projection!C13-GDP_Projection!B13)/GDP_Projection!B13</f>
        <v>9.4682720349441672E-3</v>
      </c>
      <c r="C13" s="31">
        <f>(GDP_Projection!D13-GDP_Projection!C13)/GDP_Projection!C13</f>
        <v>-3.1908385271156421E-2</v>
      </c>
      <c r="D13" s="31">
        <f>(GDP_Projection!E13-GDP_Projection!D13)/GDP_Projection!D13</f>
        <v>4.2653416697086777E-2</v>
      </c>
      <c r="E13" s="31">
        <f>(GDP_Projection!F13-GDP_Projection!E13)/GDP_Projection!E13</f>
        <v>3.8504384275347102E-2</v>
      </c>
      <c r="F13" s="31">
        <f>(GDP_Projection!G13-GDP_Projection!F13)/GDP_Projection!F13</f>
        <v>3.7076766221083184E-2</v>
      </c>
      <c r="G13" s="31">
        <f>(GDP_Projection!H13-GDP_Projection!G13)/GDP_Projection!G13</f>
        <v>3.5751226359244562E-2</v>
      </c>
      <c r="H13" s="31">
        <f>(GDP_Projection!I13-GDP_Projection!H13)/GDP_Projection!H13</f>
        <v>3.4517194331416069E-2</v>
      </c>
      <c r="I13" s="31">
        <f>(GDP_Projection!J13-GDP_Projection!I13)/GDP_Projection!I13</f>
        <v>4.1449501432567155E-2</v>
      </c>
      <c r="J13" s="31">
        <f>(GDP_Projection!K13-GDP_Projection!J13)/GDP_Projection!J13</f>
        <v>3.9799818786749853E-2</v>
      </c>
      <c r="K13" s="31">
        <f>(GDP_Projection!L13-GDP_Projection!K13)/GDP_Projection!K13</f>
        <v>3.8276424045917544E-2</v>
      </c>
      <c r="L13" s="31">
        <f>(GDP_Projection!M13-GDP_Projection!L13)/GDP_Projection!L13</f>
        <v>3.6865350266515128E-2</v>
      </c>
      <c r="M13" s="31">
        <f>(GDP_Projection!N13-GDP_Projection!M13)/GDP_Projection!M13</f>
        <v>3.5554616862294712E-2</v>
      </c>
      <c r="N13" s="31">
        <f>(GDP_Projection!O13-GDP_Projection!N13)/GDP_Projection!N13</f>
        <v>3.8915211996435946E-2</v>
      </c>
      <c r="O13" s="31">
        <f>(GDP_Projection!P13-GDP_Projection!O13)/GDP_Projection!O13</f>
        <v>3.7457543740893308E-2</v>
      </c>
      <c r="P13" s="31">
        <f>(GDP_Projection!Q13-GDP_Projection!P13)/GDP_Projection!P13</f>
        <v>3.6105134101033047E-2</v>
      </c>
      <c r="Q13" s="31">
        <f>(GDP_Projection!R13-GDP_Projection!Q13)/GDP_Projection!Q13</f>
        <v>3.4846979242467831E-2</v>
      </c>
      <c r="R13" s="31">
        <f>(GDP_Projection!S13-GDP_Projection!R13)/GDP_Projection!R13</f>
        <v>3.3673557483809187E-2</v>
      </c>
      <c r="S13" s="31">
        <f>(GDP_Projection!T13-GDP_Projection!S13)/GDP_Projection!S13</f>
        <v>3.6441410782794559E-2</v>
      </c>
      <c r="T13" s="31">
        <f>(GDP_Projection!U13-GDP_Projection!T13)/GDP_Projection!T13</f>
        <v>3.516012618144175E-2</v>
      </c>
      <c r="U13" s="31">
        <f>(GDP_Projection!V13-GDP_Projection!U13)/GDP_Projection!U13</f>
        <v>3.3965881501968637E-2</v>
      </c>
      <c r="V13" s="31">
        <f>(GDP_Projection!W13-GDP_Projection!V13)/GDP_Projection!V13</f>
        <v>3.2850098934240284E-2</v>
      </c>
      <c r="W13" s="31">
        <f>(GDP_Projection!X13-GDP_Projection!W13)/GDP_Projection!W13</f>
        <v>3.1805291947144321E-2</v>
      </c>
      <c r="X13" s="31">
        <f>(GDP_Projection!Y13-GDP_Projection!X13)/GDP_Projection!X13</f>
        <v>3.3678381778601663E-2</v>
      </c>
      <c r="Y13" s="31">
        <f>(GDP_Projection!Z13-GDP_Projection!Y13)/GDP_Projection!Y13</f>
        <v>3.2581102954530927E-2</v>
      </c>
      <c r="Z13" s="31">
        <f>(GDP_Projection!AA13-GDP_Projection!Z13)/GDP_Projection!Z13</f>
        <v>3.1553069159707188E-2</v>
      </c>
      <c r="AA13" s="31">
        <f>(GDP_Projection!AB13-GDP_Projection!AA13)/GDP_Projection!AA13</f>
        <v>3.0587926208595354E-2</v>
      </c>
      <c r="AB13" s="31">
        <f>(GDP_Projection!AC13-GDP_Projection!AB13)/GDP_Projection!AB13</f>
        <v>2.9680074286455624E-2</v>
      </c>
      <c r="AC13" s="31">
        <f>(GDP_Projection!AD13-GDP_Projection!AC13)/GDP_Projection!AC13</f>
        <v>3.1464411186232374E-2</v>
      </c>
      <c r="AD13" s="31">
        <f>(GDP_Projection!AE13-GDP_Projection!AD13)/GDP_Projection!AD13</f>
        <v>3.050460185053484E-2</v>
      </c>
      <c r="AE13" s="31">
        <f>(GDP_Projection!AF13-GDP_Projection!AE13)/GDP_Projection!AE13</f>
        <v>2.9601616330248326E-2</v>
      </c>
      <c r="AF13" s="31">
        <f>(GDP_Projection!AG13-GDP_Projection!AF13)/GDP_Projection!AF13</f>
        <v>2.8750553476941613E-2</v>
      </c>
      <c r="AG13" s="31">
        <f>(GDP_Projection!AH13-GDP_Projection!AG13)/GDP_Projection!AG13</f>
        <v>2.7947060032940878E-2</v>
      </c>
    </row>
    <row r="14" spans="1:33" x14ac:dyDescent="0.3">
      <c r="A14" s="1" t="s">
        <v>12</v>
      </c>
      <c r="B14" s="31">
        <f>(GDP_Projection!C14-GDP_Projection!B14)/GDP_Projection!B14</f>
        <v>2.9765866367556314E-2</v>
      </c>
      <c r="C14" s="31">
        <f>(GDP_Projection!D14-GDP_Projection!C14)/GDP_Projection!C14</f>
        <v>-1.7698628888762565E-2</v>
      </c>
      <c r="D14" s="31">
        <f>(GDP_Projection!E14-GDP_Projection!D14)/GDP_Projection!D14</f>
        <v>4.5497146003019219E-2</v>
      </c>
      <c r="E14" s="31">
        <f>(GDP_Projection!F14-GDP_Projection!E14)/GDP_Projection!E14</f>
        <v>4.1519082566880583E-2</v>
      </c>
      <c r="F14" s="31">
        <f>(GDP_Projection!G14-GDP_Projection!F14)/GDP_Projection!F14</f>
        <v>3.9863967220412841E-2</v>
      </c>
      <c r="G14" s="31">
        <f>(GDP_Projection!H14-GDP_Projection!G14)/GDP_Projection!G14</f>
        <v>3.8335752057041081E-2</v>
      </c>
      <c r="H14" s="31">
        <f>(GDP_Projection!I14-GDP_Projection!H14)/GDP_Projection!H14</f>
        <v>3.6920381467260802E-2</v>
      </c>
      <c r="I14" s="31">
        <f>(GDP_Projection!J14-GDP_Projection!I14)/GDP_Projection!I14</f>
        <v>4.9332631179456805E-2</v>
      </c>
      <c r="J14" s="31">
        <f>(GDP_Projection!K14-GDP_Projection!J14)/GDP_Projection!J14</f>
        <v>4.701333944414423E-2</v>
      </c>
      <c r="K14" s="31">
        <f>(GDP_Projection!L14-GDP_Projection!K14)/GDP_Projection!K14</f>
        <v>4.4902330918824257E-2</v>
      </c>
      <c r="L14" s="31">
        <f>(GDP_Projection!M14-GDP_Projection!L14)/GDP_Projection!L14</f>
        <v>4.2972754094002114E-2</v>
      </c>
      <c r="M14" s="31">
        <f>(GDP_Projection!N14-GDP_Projection!M14)/GDP_Projection!M14</f>
        <v>4.1202182823396341E-2</v>
      </c>
      <c r="N14" s="31">
        <f>(GDP_Projection!O14-GDP_Projection!N14)/GDP_Projection!N14</f>
        <v>5.7045612177425417E-2</v>
      </c>
      <c r="O14" s="31">
        <f>(GDP_Projection!P14-GDP_Projection!O14)/GDP_Projection!O14</f>
        <v>5.3967029918336483E-2</v>
      </c>
      <c r="P14" s="31">
        <f>(GDP_Projection!Q14-GDP_Projection!P14)/GDP_Projection!P14</f>
        <v>5.1203717371043338E-2</v>
      </c>
      <c r="Q14" s="31">
        <f>(GDP_Projection!R14-GDP_Projection!Q14)/GDP_Projection!Q14</f>
        <v>4.8709604546584725E-2</v>
      </c>
      <c r="R14" s="31">
        <f>(GDP_Projection!S14-GDP_Projection!R14)/GDP_Projection!R14</f>
        <v>4.6447180740415352E-2</v>
      </c>
      <c r="S14" s="31">
        <f>(GDP_Projection!T14-GDP_Projection!S14)/GDP_Projection!S14</f>
        <v>5.4982647736414425E-2</v>
      </c>
      <c r="T14" s="31">
        <f>(GDP_Projection!U14-GDP_Projection!T14)/GDP_Projection!T14</f>
        <v>5.2117110982238396E-2</v>
      </c>
      <c r="U14" s="31">
        <f>(GDP_Projection!V14-GDP_Projection!U14)/GDP_Projection!U14</f>
        <v>4.9535465622817181E-2</v>
      </c>
      <c r="V14" s="31">
        <f>(GDP_Projection!W14-GDP_Projection!V14)/GDP_Projection!V14</f>
        <v>4.7197514753273974E-2</v>
      </c>
      <c r="W14" s="31">
        <f>(GDP_Projection!X14-GDP_Projection!W14)/GDP_Projection!W14</f>
        <v>4.5070308216300904E-2</v>
      </c>
      <c r="X14" s="31">
        <f>(GDP_Projection!Y14-GDP_Projection!X14)/GDP_Projection!X14</f>
        <v>5.3866411743376266E-2</v>
      </c>
      <c r="Y14" s="31">
        <f>(GDP_Projection!Z14-GDP_Projection!Y14)/GDP_Projection!Y14</f>
        <v>5.1113130794506342E-2</v>
      </c>
      <c r="Z14" s="31">
        <f>(GDP_Projection!AA14-GDP_Projection!Z14)/GDP_Projection!Z14</f>
        <v>4.8627620849785586E-2</v>
      </c>
      <c r="AA14" s="31">
        <f>(GDP_Projection!AB14-GDP_Projection!AA14)/GDP_Projection!AA14</f>
        <v>4.6372630171975439E-2</v>
      </c>
      <c r="AB14" s="31">
        <f>(GDP_Projection!AC14-GDP_Projection!AB14)/GDP_Projection!AB14</f>
        <v>4.4317510640883025E-2</v>
      </c>
      <c r="AC14" s="31">
        <f>(GDP_Projection!AD14-GDP_Projection!AC14)/GDP_Projection!AC14</f>
        <v>5.2664852868210404E-2</v>
      </c>
      <c r="AD14" s="31">
        <f>(GDP_Projection!AE14-GDP_Projection!AD14)/GDP_Projection!AD14</f>
        <v>5.0030028764343898E-2</v>
      </c>
      <c r="AE14" s="31">
        <f>(GDP_Projection!AF14-GDP_Projection!AE14)/GDP_Projection!AE14</f>
        <v>4.7646283814586063E-2</v>
      </c>
      <c r="AF14" s="31">
        <f>(GDP_Projection!AG14-GDP_Projection!AF14)/GDP_Projection!AF14</f>
        <v>4.5479361260273007E-2</v>
      </c>
      <c r="AG14" s="31">
        <f>(GDP_Projection!AH14-GDP_Projection!AG14)/GDP_Projection!AG14</f>
        <v>4.3500965151000007E-2</v>
      </c>
    </row>
    <row r="15" spans="1:33" x14ac:dyDescent="0.3">
      <c r="A15" s="1" t="s">
        <v>83</v>
      </c>
      <c r="B15" s="31">
        <f>(GDP_Projection!C15-GDP_Projection!B15)/GDP_Projection!B15</f>
        <v>7.2409207290558317E-2</v>
      </c>
      <c r="C15" s="31">
        <f>(GDP_Projection!D15-GDP_Projection!C15)/GDP_Projection!C15</f>
        <v>2.3568425103394304E-2</v>
      </c>
      <c r="D15" s="31">
        <f>(GDP_Projection!E15-GDP_Projection!D15)/GDP_Projection!D15</f>
        <v>2.5885691645690875E-2</v>
      </c>
      <c r="E15" s="31">
        <f>(GDP_Projection!F15-GDP_Projection!E15)/GDP_Projection!E15</f>
        <v>6.7621403678777767E-2</v>
      </c>
      <c r="F15" s="31">
        <f>(GDP_Projection!G15-GDP_Projection!F15)/GDP_Projection!F15</f>
        <v>6.3338373927096223E-2</v>
      </c>
      <c r="G15" s="31">
        <f>(GDP_Projection!H15-GDP_Projection!G15)/GDP_Projection!G15</f>
        <v>5.9565586534017799E-2</v>
      </c>
      <c r="H15" s="31">
        <f>(GDP_Projection!I15-GDP_Projection!H15)/GDP_Projection!H15</f>
        <v>5.6216988632921773E-2</v>
      </c>
      <c r="I15" s="31">
        <f>(GDP_Projection!J15-GDP_Projection!I15)/GDP_Projection!I15</f>
        <v>7.6458156759645721E-2</v>
      </c>
      <c r="J15" s="31">
        <f>(GDP_Projection!K15-GDP_Projection!J15)/GDP_Projection!J15</f>
        <v>7.1027523252552668E-2</v>
      </c>
      <c r="K15" s="31">
        <f>(GDP_Projection!L15-GDP_Projection!K15)/GDP_Projection!K15</f>
        <v>6.6317178326895418E-2</v>
      </c>
      <c r="L15" s="31">
        <f>(GDP_Projection!M15-GDP_Projection!L15)/GDP_Projection!L15</f>
        <v>6.219273183889841E-2</v>
      </c>
      <c r="M15" s="31">
        <f>(GDP_Projection!N15-GDP_Projection!M15)/GDP_Projection!M15</f>
        <v>5.8551268498352765E-2</v>
      </c>
      <c r="N15" s="31">
        <f>(GDP_Projection!O15-GDP_Projection!N15)/GDP_Projection!N15</f>
        <v>6.2150493257456703E-2</v>
      </c>
      <c r="O15" s="31">
        <f>(GDP_Projection!P15-GDP_Projection!O15)/GDP_Projection!O15</f>
        <v>5.8513829868732103E-2</v>
      </c>
      <c r="P15" s="31">
        <f>(GDP_Projection!Q15-GDP_Projection!P15)/GDP_Projection!P15</f>
        <v>5.5279230386615252E-2</v>
      </c>
      <c r="Q15" s="31">
        <f>(GDP_Projection!R15-GDP_Projection!Q15)/GDP_Projection!Q15</f>
        <v>5.2383510254781558E-2</v>
      </c>
      <c r="R15" s="31">
        <f>(GDP_Projection!S15-GDP_Projection!R15)/GDP_Projection!R15</f>
        <v>4.9776065231295678E-2</v>
      </c>
      <c r="S15" s="31">
        <f>(GDP_Projection!T15-GDP_Projection!S15)/GDP_Projection!S15</f>
        <v>4.5437504585679939E-2</v>
      </c>
      <c r="T15" s="31">
        <f>(GDP_Projection!U15-GDP_Projection!T15)/GDP_Projection!T15</f>
        <v>4.3462669347879762E-2</v>
      </c>
      <c r="U15" s="31">
        <f>(GDP_Projection!V15-GDP_Projection!U15)/GDP_Projection!U15</f>
        <v>4.1652347155880627E-2</v>
      </c>
      <c r="V15" s="31">
        <f>(GDP_Projection!W15-GDP_Projection!V15)/GDP_Projection!V15</f>
        <v>3.9986802957443397E-2</v>
      </c>
      <c r="W15" s="31">
        <f>(GDP_Projection!X15-GDP_Projection!W15)/GDP_Projection!W15</f>
        <v>3.8449336899017722E-2</v>
      </c>
      <c r="X15" s="31">
        <f>(GDP_Projection!Y15-GDP_Projection!X15)/GDP_Projection!X15</f>
        <v>3.5673364218653518E-2</v>
      </c>
      <c r="Y15" s="31">
        <f>(GDP_Projection!Z15-GDP_Projection!Y15)/GDP_Projection!Y15</f>
        <v>3.444460913172822E-2</v>
      </c>
      <c r="Z15" s="31">
        <f>(GDP_Projection!AA15-GDP_Projection!Z15)/GDP_Projection!Z15</f>
        <v>3.3297683440623907E-2</v>
      </c>
      <c r="AA15" s="31">
        <f>(GDP_Projection!AB15-GDP_Projection!AA15)/GDP_Projection!AA15</f>
        <v>3.2224676367947444E-2</v>
      </c>
      <c r="AB15" s="31">
        <f>(GDP_Projection!AC15-GDP_Projection!AB15)/GDP_Projection!AB15</f>
        <v>3.1218664991942598E-2</v>
      </c>
      <c r="AC15" s="31">
        <f>(GDP_Projection!AD15-GDP_Projection!AC15)/GDP_Projection!AC15</f>
        <v>2.9440845432084507E-2</v>
      </c>
      <c r="AD15" s="31">
        <f>(GDP_Projection!AE15-GDP_Projection!AD15)/GDP_Projection!AD15</f>
        <v>2.8598870505985585E-2</v>
      </c>
      <c r="AE15" s="31">
        <f>(GDP_Projection!AF15-GDP_Projection!AE15)/GDP_Projection!AE15</f>
        <v>2.7803715642733904E-2</v>
      </c>
      <c r="AF15" s="31">
        <f>(GDP_Projection!AG15-GDP_Projection!AF15)/GDP_Projection!AF15</f>
        <v>2.7051581172137462E-2</v>
      </c>
      <c r="AG15" s="31">
        <f>(GDP_Projection!AH15-GDP_Projection!AG15)/GDP_Projection!AG15</f>
        <v>2.6339067743086707E-2</v>
      </c>
    </row>
    <row r="16" spans="1:33" x14ac:dyDescent="0.3">
      <c r="A16" s="1" t="s">
        <v>14</v>
      </c>
      <c r="B16" s="31">
        <f>(GDP_Projection!C16-GDP_Projection!B16)/GDP_Projection!B16</f>
        <v>3.9560329513586547E-2</v>
      </c>
      <c r="C16" s="31">
        <f>(GDP_Projection!D16-GDP_Projection!C16)/GDP_Projection!C16</f>
        <v>-4.6225710057212703E-2</v>
      </c>
      <c r="D16" s="31">
        <f>(GDP_Projection!E16-GDP_Projection!D16)/GDP_Projection!D16</f>
        <v>8.4437993679124759E-2</v>
      </c>
      <c r="E16" s="31">
        <f>(GDP_Projection!F16-GDP_Projection!E16)/GDP_Projection!E16</f>
        <v>6.185824348104501E-2</v>
      </c>
      <c r="F16" s="31">
        <f>(GDP_Projection!G16-GDP_Projection!F16)/GDP_Projection!F16</f>
        <v>5.8254709478223379E-2</v>
      </c>
      <c r="G16" s="31">
        <f>(GDP_Projection!H16-GDP_Projection!G16)/GDP_Projection!G16</f>
        <v>5.5047909502756752E-2</v>
      </c>
      <c r="H16" s="31">
        <f>(GDP_Projection!I16-GDP_Projection!H16)/GDP_Projection!H16</f>
        <v>5.2175743875651034E-2</v>
      </c>
      <c r="I16" s="31">
        <f>(GDP_Projection!J16-GDP_Projection!I16)/GDP_Projection!I16</f>
        <v>6.4870302876748817E-2</v>
      </c>
      <c r="J16" s="31">
        <f>(GDP_Projection!K16-GDP_Projection!J16)/GDP_Projection!J16</f>
        <v>6.0918501249872137E-2</v>
      </c>
      <c r="K16" s="31">
        <f>(GDP_Projection!L16-GDP_Projection!K16)/GDP_Projection!K16</f>
        <v>5.7420528700464567E-2</v>
      </c>
      <c r="L16" s="31">
        <f>(GDP_Projection!M16-GDP_Projection!L16)/GDP_Projection!L16</f>
        <v>5.4302453131898742E-2</v>
      </c>
      <c r="M16" s="31">
        <f>(GDP_Projection!N16-GDP_Projection!M16)/GDP_Projection!M16</f>
        <v>5.1505574107874166E-2</v>
      </c>
      <c r="N16" s="31">
        <f>(GDP_Projection!O16-GDP_Projection!N16)/GDP_Projection!N16</f>
        <v>5.3478662535989666E-2</v>
      </c>
      <c r="O16" s="31">
        <f>(GDP_Projection!P16-GDP_Projection!O16)/GDP_Projection!O16</f>
        <v>5.0763878223459215E-2</v>
      </c>
      <c r="P16" s="31">
        <f>(GDP_Projection!Q16-GDP_Projection!P16)/GDP_Projection!P16</f>
        <v>4.83114039942888E-2</v>
      </c>
      <c r="Q16" s="31">
        <f>(GDP_Projection!R16-GDP_Projection!Q16)/GDP_Projection!Q16</f>
        <v>4.6084974188215548E-2</v>
      </c>
      <c r="R16" s="31">
        <f>(GDP_Projection!S16-GDP_Projection!R16)/GDP_Projection!R16</f>
        <v>4.405471383811687E-2</v>
      </c>
      <c r="S16" s="31">
        <f>(GDP_Projection!T16-GDP_Projection!S16)/GDP_Projection!S16</f>
        <v>4.6272935490009971E-2</v>
      </c>
      <c r="T16" s="31">
        <f>(GDP_Projection!U16-GDP_Projection!T16)/GDP_Projection!T16</f>
        <v>4.4226447918523835E-2</v>
      </c>
      <c r="U16" s="31">
        <f>(GDP_Projection!V16-GDP_Projection!U16)/GDP_Projection!U16</f>
        <v>4.2353311397811504E-2</v>
      </c>
      <c r="V16" s="31">
        <f>(GDP_Projection!W16-GDP_Projection!V16)/GDP_Projection!V16</f>
        <v>4.0632394922807E-2</v>
      </c>
      <c r="W16" s="31">
        <f>(GDP_Projection!X16-GDP_Projection!W16)/GDP_Projection!W16</f>
        <v>3.904586780216545E-2</v>
      </c>
      <c r="X16" s="31">
        <f>(GDP_Projection!Y16-GDP_Projection!X16)/GDP_Projection!X16</f>
        <v>4.1288073643348466E-2</v>
      </c>
      <c r="Y16" s="31">
        <f>(GDP_Projection!Z16-GDP_Projection!Y16)/GDP_Projection!Y16</f>
        <v>3.9650961812024023E-2</v>
      </c>
      <c r="Z16" s="31">
        <f>(GDP_Projection!AA16-GDP_Projection!Z16)/GDP_Projection!Z16</f>
        <v>3.8138724695560927E-2</v>
      </c>
      <c r="AA16" s="31">
        <f>(GDP_Projection!AB16-GDP_Projection!AA16)/GDP_Projection!AA16</f>
        <v>3.6737599502171821E-2</v>
      </c>
      <c r="AB16" s="31">
        <f>(GDP_Projection!AC16-GDP_Projection!AB16)/GDP_Projection!AB16</f>
        <v>3.5435774220798931E-2</v>
      </c>
      <c r="AC16" s="31">
        <f>(GDP_Projection!AD16-GDP_Projection!AC16)/GDP_Projection!AC16</f>
        <v>3.7527274596817754E-2</v>
      </c>
      <c r="AD16" s="31">
        <f>(GDP_Projection!AE16-GDP_Projection!AD16)/GDP_Projection!AD16</f>
        <v>3.6169916218733451E-2</v>
      </c>
      <c r="AE16" s="31">
        <f>(GDP_Projection!AF16-GDP_Projection!AE16)/GDP_Projection!AE16</f>
        <v>3.4907321330778777E-2</v>
      </c>
      <c r="AF16" s="31">
        <f>(GDP_Projection!AG16-GDP_Projection!AF16)/GDP_Projection!AF16</f>
        <v>3.3729900843576736E-2</v>
      </c>
      <c r="AG16" s="31">
        <f>(GDP_Projection!AH16-GDP_Projection!AG16)/GDP_Projection!AG16</f>
        <v>3.2629317209506806E-2</v>
      </c>
    </row>
    <row r="17" spans="1:33" x14ac:dyDescent="0.3">
      <c r="A17" s="1" t="s">
        <v>81</v>
      </c>
      <c r="B17" s="31">
        <f>(GDP_Projection!C17-GDP_Projection!B17)/GDP_Projection!B17</f>
        <v>4.2384746349107078E-2</v>
      </c>
      <c r="C17" s="31">
        <f>(GDP_Projection!D17-GDP_Projection!C17)/GDP_Projection!C17</f>
        <v>-5.1356219448881739E-2</v>
      </c>
      <c r="D17" s="31">
        <f>(GDP_Projection!E17-GDP_Projection!D17)/GDP_Projection!D17</f>
        <v>3.4029097354706044E-2</v>
      </c>
      <c r="E17" s="31">
        <f>(GDP_Projection!F17-GDP_Projection!E17)/GDP_Projection!E17</f>
        <v>0.10217311434084832</v>
      </c>
      <c r="F17" s="31">
        <f>(GDP_Projection!G17-GDP_Projection!F17)/GDP_Projection!F17</f>
        <v>9.2701512141268913E-2</v>
      </c>
      <c r="G17" s="31">
        <f>(GDP_Projection!H17-GDP_Projection!G17)/GDP_Projection!G17</f>
        <v>8.4836994468516919E-2</v>
      </c>
      <c r="H17" s="31">
        <f>(GDP_Projection!I17-GDP_Projection!H17)/GDP_Projection!H17</f>
        <v>7.8202527108766268E-2</v>
      </c>
      <c r="I17" s="31">
        <f>(GDP_Projection!J17-GDP_Projection!I17)/GDP_Projection!I17</f>
        <v>4.3235159371817544E-2</v>
      </c>
      <c r="J17" s="31">
        <f>(GDP_Projection!K17-GDP_Projection!J17)/GDP_Projection!J17</f>
        <v>4.1443349549157765E-2</v>
      </c>
      <c r="K17" s="31">
        <f>(GDP_Projection!L17-GDP_Projection!K17)/GDP_Projection!K17</f>
        <v>3.9794146812785015E-2</v>
      </c>
      <c r="L17" s="31">
        <f>(GDP_Projection!M17-GDP_Projection!L17)/GDP_Projection!L17</f>
        <v>3.8271177939175255E-2</v>
      </c>
      <c r="M17" s="31">
        <f>(GDP_Projection!N17-GDP_Projection!M17)/GDP_Projection!M17</f>
        <v>3.6860483804566448E-2</v>
      </c>
      <c r="N17" s="31">
        <f>(GDP_Projection!O17-GDP_Projection!N17)/GDP_Projection!N17</f>
        <v>3.5459247417298528E-2</v>
      </c>
      <c r="O17" s="31">
        <f>(GDP_Projection!P17-GDP_Projection!O17)/GDP_Projection!O17</f>
        <v>3.4244947356202579E-2</v>
      </c>
      <c r="P17" s="31">
        <f>(GDP_Projection!Q17-GDP_Projection!P17)/GDP_Projection!P17</f>
        <v>3.3111060821463541E-2</v>
      </c>
      <c r="Q17" s="31">
        <f>(GDP_Projection!R17-GDP_Projection!Q17)/GDP_Projection!Q17</f>
        <v>3.2049856087239786E-2</v>
      </c>
      <c r="R17" s="31">
        <f>(GDP_Projection!S17-GDP_Projection!R17)/GDP_Projection!R17</f>
        <v>3.105456184912285E-2</v>
      </c>
      <c r="S17" s="31">
        <f>(GDP_Projection!T17-GDP_Projection!S17)/GDP_Projection!S17</f>
        <v>2.8720514922313135E-2</v>
      </c>
      <c r="T17" s="31">
        <f>(GDP_Projection!U17-GDP_Projection!T17)/GDP_Projection!T17</f>
        <v>2.7918676166851838E-2</v>
      </c>
      <c r="U17" s="31">
        <f>(GDP_Projection!V17-GDP_Projection!U17)/GDP_Projection!U17</f>
        <v>2.7160393924314762E-2</v>
      </c>
      <c r="V17" s="31">
        <f>(GDP_Projection!W17-GDP_Projection!V17)/GDP_Projection!V17</f>
        <v>2.6442213002924691E-2</v>
      </c>
      <c r="W17" s="31">
        <f>(GDP_Projection!X17-GDP_Projection!W17)/GDP_Projection!W17</f>
        <v>2.5761034248159113E-2</v>
      </c>
      <c r="X17" s="31">
        <f>(GDP_Projection!Y17-GDP_Projection!X17)/GDP_Projection!X17</f>
        <v>2.4212809494645413E-2</v>
      </c>
      <c r="Y17" s="31">
        <f>(GDP_Projection!Z17-GDP_Projection!Y17)/GDP_Projection!Y17</f>
        <v>2.3640408780468389E-2</v>
      </c>
      <c r="Z17" s="31">
        <f>(GDP_Projection!AA17-GDP_Projection!Z17)/GDP_Projection!Z17</f>
        <v>2.3094446621771018E-2</v>
      </c>
      <c r="AA17" s="31">
        <f>(GDP_Projection!AB17-GDP_Projection!AA17)/GDP_Projection!AA17</f>
        <v>2.2573132615496278E-2</v>
      </c>
      <c r="AB17" s="31">
        <f>(GDP_Projection!AC17-GDP_Projection!AB17)/GDP_Projection!AB17</f>
        <v>2.2074834449991098E-2</v>
      </c>
      <c r="AC17" s="31">
        <f>(GDP_Projection!AD17-GDP_Projection!AC17)/GDP_Projection!AC17</f>
        <v>2.0998509608047486E-2</v>
      </c>
      <c r="AD17" s="31">
        <f>(GDP_Projection!AE17-GDP_Projection!AD17)/GDP_Projection!AD17</f>
        <v>2.0566640803529313E-2</v>
      </c>
      <c r="AE17" s="31">
        <f>(GDP_Projection!AF17-GDP_Projection!AE17)/GDP_Projection!AE17</f>
        <v>2.015217819322063E-2</v>
      </c>
      <c r="AF17" s="31">
        <f>(GDP_Projection!AG17-GDP_Projection!AF17)/GDP_Projection!AF17</f>
        <v>1.9754090246527644E-2</v>
      </c>
      <c r="AG17" s="31">
        <f>(GDP_Projection!AH17-GDP_Projection!AG17)/GDP_Projection!AG17</f>
        <v>1.9371425361728371E-2</v>
      </c>
    </row>
    <row r="18" spans="1:33" x14ac:dyDescent="0.3">
      <c r="A18" s="1" t="s">
        <v>80</v>
      </c>
      <c r="B18" s="31">
        <f>(GDP_Projection!C18-GDP_Projection!B18)/GDP_Projection!B18</f>
        <v>2.2199120009836898E-2</v>
      </c>
      <c r="C18" s="31">
        <f>(GDP_Projection!D18-GDP_Projection!C18)/GDP_Projection!C18</f>
        <v>-3.8155633721254634E-3</v>
      </c>
      <c r="D18" s="31">
        <f>(GDP_Projection!E18-GDP_Projection!D18)/GDP_Projection!D18</f>
        <v>2.5592873834949979E-2</v>
      </c>
      <c r="E18" s="31">
        <f>(GDP_Projection!F18-GDP_Projection!E18)/GDP_Projection!E18</f>
        <v>1.7893208170639115E-2</v>
      </c>
      <c r="F18" s="31">
        <f>(GDP_Projection!G18-GDP_Projection!F18)/GDP_Projection!F18</f>
        <v>1.7578669380059028E-2</v>
      </c>
      <c r="G18" s="31">
        <f>(GDP_Projection!H18-GDP_Projection!G18)/GDP_Projection!G18</f>
        <v>1.7274997903374396E-2</v>
      </c>
      <c r="H18" s="31">
        <f>(GDP_Projection!I18-GDP_Projection!H18)/GDP_Projection!H18</f>
        <v>1.6981640106144742E-2</v>
      </c>
      <c r="I18" s="31">
        <f>(GDP_Projection!J18-GDP_Projection!I18)/GDP_Projection!I18</f>
        <v>2.7588254405718219E-2</v>
      </c>
      <c r="J18" s="31">
        <f>(GDP_Projection!K18-GDP_Projection!J18)/GDP_Projection!J18</f>
        <v>2.6847576631433223E-2</v>
      </c>
      <c r="K18" s="31">
        <f>(GDP_Projection!L18-GDP_Projection!K18)/GDP_Projection!K18</f>
        <v>2.6145629830969193E-2</v>
      </c>
      <c r="L18" s="31">
        <f>(GDP_Projection!M18-GDP_Projection!L18)/GDP_Projection!L18</f>
        <v>2.5479453472189911E-2</v>
      </c>
      <c r="M18" s="31">
        <f>(GDP_Projection!N18-GDP_Projection!M18)/GDP_Projection!M18</f>
        <v>2.4846381256999762E-2</v>
      </c>
      <c r="N18" s="31">
        <f>(GDP_Projection!O18-GDP_Projection!N18)/GDP_Projection!N18</f>
        <v>2.5805795260809689E-2</v>
      </c>
      <c r="O18" s="31">
        <f>(GDP_Projection!P18-GDP_Projection!O18)/GDP_Projection!O18</f>
        <v>2.5156608960518301E-2</v>
      </c>
      <c r="P18" s="31">
        <f>(GDP_Projection!Q18-GDP_Projection!P18)/GDP_Projection!P18</f>
        <v>2.4539283793942896E-2</v>
      </c>
      <c r="Q18" s="31">
        <f>(GDP_Projection!R18-GDP_Projection!Q18)/GDP_Projection!Q18</f>
        <v>2.3951530392345873E-2</v>
      </c>
      <c r="R18" s="31">
        <f>(GDP_Projection!S18-GDP_Projection!R18)/GDP_Projection!R18</f>
        <v>2.3391273591991609E-2</v>
      </c>
      <c r="S18" s="31">
        <f>(GDP_Projection!T18-GDP_Projection!S18)/GDP_Projection!S18</f>
        <v>2.430426671201134E-2</v>
      </c>
      <c r="T18" s="31">
        <f>(GDP_Projection!U18-GDP_Projection!T18)/GDP_Projection!T18</f>
        <v>2.3727585153996644E-2</v>
      </c>
      <c r="U18" s="31">
        <f>(GDP_Projection!V18-GDP_Projection!U18)/GDP_Projection!U18</f>
        <v>2.3177635826260718E-2</v>
      </c>
      <c r="V18" s="31">
        <f>(GDP_Projection!W18-GDP_Projection!V18)/GDP_Projection!V18</f>
        <v>2.2652602065079113E-2</v>
      </c>
      <c r="W18" s="31">
        <f>(GDP_Projection!X18-GDP_Projection!W18)/GDP_Projection!W18</f>
        <v>2.2150828169151583E-2</v>
      </c>
      <c r="X18" s="31">
        <f>(GDP_Projection!Y18-GDP_Projection!X18)/GDP_Projection!X18</f>
        <v>2.3323306114127185E-2</v>
      </c>
      <c r="Y18" s="31">
        <f>(GDP_Projection!Z18-GDP_Projection!Y18)/GDP_Projection!Y18</f>
        <v>2.2791727672745909E-2</v>
      </c>
      <c r="Z18" s="31">
        <f>(GDP_Projection!AA18-GDP_Projection!Z18)/GDP_Projection!Z18</f>
        <v>2.2283840449713127E-2</v>
      </c>
      <c r="AA18" s="31">
        <f>(GDP_Projection!AB18-GDP_Projection!AA18)/GDP_Projection!AA18</f>
        <v>2.1798095174731743E-2</v>
      </c>
      <c r="AB18" s="31">
        <f>(GDP_Projection!AC18-GDP_Projection!AB18)/GDP_Projection!AB18</f>
        <v>2.1333074780300894E-2</v>
      </c>
      <c r="AC18" s="31">
        <f>(GDP_Projection!AD18-GDP_Projection!AC18)/GDP_Projection!AC18</f>
        <v>2.1664191492234225E-2</v>
      </c>
      <c r="AD18" s="31">
        <f>(GDP_Projection!AE18-GDP_Projection!AD18)/GDP_Projection!AD18</f>
        <v>2.1204806503584792E-2</v>
      </c>
      <c r="AE18" s="31">
        <f>(GDP_Projection!AF18-GDP_Projection!AE18)/GDP_Projection!AE18</f>
        <v>2.076449931349824E-2</v>
      </c>
      <c r="AF18" s="31">
        <f>(GDP_Projection!AG18-GDP_Projection!AF18)/GDP_Projection!AF18</f>
        <v>2.0342105674191386E-2</v>
      </c>
      <c r="AG18" s="31">
        <f>(GDP_Projection!AH18-GDP_Projection!AG18)/GDP_Projection!AG18</f>
        <v>1.9936554182237078E-2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D438-5790-4566-ABCC-C42BDF2243D0}">
  <dimension ref="A1:AG18"/>
  <sheetViews>
    <sheetView topLeftCell="E1" workbookViewId="0">
      <selection activeCell="A2" sqref="A2:AG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9">
        <f>(TOT_POP_Projection!C2-TOT_POP_Projection!B2)/TOT_POP_Projection!B2</f>
        <v>3.4848075580336813E-3</v>
      </c>
      <c r="C2" s="9">
        <f>(TOT_POP_Projection!D2-TOT_POP_Projection!C2)/TOT_POP_Projection!C2</f>
        <v>1.8024402749805418E-3</v>
      </c>
      <c r="D2" s="9">
        <f>(TOT_POP_Projection!E2-TOT_POP_Projection!D2)/TOT_POP_Projection!D2</f>
        <v>-1.379401974136117E-3</v>
      </c>
      <c r="E2" s="9">
        <f>(TOT_POP_Projection!F2-TOT_POP_Projection!E2)/TOT_POP_Projection!E2</f>
        <v>-1.3813073522246644E-3</v>
      </c>
      <c r="F2" s="9">
        <f>(TOT_POP_Projection!G2-TOT_POP_Projection!F2)/TOT_POP_Projection!F2</f>
        <v>-1.383218001419755E-3</v>
      </c>
      <c r="G2" s="9">
        <f>(TOT_POP_Projection!H2-TOT_POP_Projection!G2)/TOT_POP_Projection!G2</f>
        <v>-1.3851339436249546E-3</v>
      </c>
      <c r="H2" s="9">
        <f>(TOT_POP_Projection!I2-TOT_POP_Projection!H2)/TOT_POP_Projection!H2</f>
        <v>-1.3870552008653546E-3</v>
      </c>
      <c r="I2" s="9">
        <f>(TOT_POP_Projection!J2-TOT_POP_Projection!I2)/TOT_POP_Projection!I2</f>
        <v>-2.0152325244324437E-3</v>
      </c>
      <c r="J2" s="9">
        <f>(TOT_POP_Projection!K2-TOT_POP_Projection!J2)/TOT_POP_Projection!J2</f>
        <v>-2.0193018872723227E-3</v>
      </c>
      <c r="K2" s="9">
        <f>(TOT_POP_Projection!L2-TOT_POP_Projection!K2)/TOT_POP_Projection!K2</f>
        <v>-2.0233877179097813E-3</v>
      </c>
      <c r="L2" s="9">
        <f>(TOT_POP_Projection!M2-TOT_POP_Projection!L2)/TOT_POP_Projection!L2</f>
        <v>-2.0274901165097106E-3</v>
      </c>
      <c r="M2" s="9">
        <f>(TOT_POP_Projection!N2-TOT_POP_Projection!M2)/TOT_POP_Projection!M2</f>
        <v>-2.0316091840512627E-3</v>
      </c>
      <c r="N2" s="9">
        <f>(TOT_POP_Projection!O2-TOT_POP_Projection!N2)/TOT_POP_Projection!N2</f>
        <v>-2.8539314981746943E-3</v>
      </c>
      <c r="O2" s="9">
        <f>(TOT_POP_Projection!P2-TOT_POP_Projection!O2)/TOT_POP_Projection!O2</f>
        <v>-2.8620997347586392E-3</v>
      </c>
      <c r="P2" s="9">
        <f>(TOT_POP_Projection!Q2-TOT_POP_Projection!P2)/TOT_POP_Projection!P2</f>
        <v>-2.8703148621643136E-3</v>
      </c>
      <c r="Q2" s="9">
        <f>(TOT_POP_Projection!R2-TOT_POP_Projection!Q2)/TOT_POP_Projection!Q2</f>
        <v>-2.8785772853282799E-3</v>
      </c>
      <c r="R2" s="9">
        <f>(TOT_POP_Projection!S2-TOT_POP_Projection!R2)/TOT_POP_Projection!R2</f>
        <v>-2.8868874138629854E-3</v>
      </c>
      <c r="S2" s="9">
        <f>(TOT_POP_Projection!T2-TOT_POP_Projection!S2)/TOT_POP_Projection!S2</f>
        <v>-4.0892988450700858E-3</v>
      </c>
      <c r="T2" s="9">
        <f>(TOT_POP_Projection!U2-TOT_POP_Projection!T2)/TOT_POP_Projection!T2</f>
        <v>-4.1060898736481498E-3</v>
      </c>
      <c r="U2" s="9">
        <f>(TOT_POP_Projection!V2-TOT_POP_Projection!U2)/TOT_POP_Projection!U2</f>
        <v>-4.1230193616980729E-3</v>
      </c>
      <c r="V2" s="9">
        <f>(TOT_POP_Projection!W2-TOT_POP_Projection!V2)/TOT_POP_Projection!V2</f>
        <v>-4.1400890289234786E-3</v>
      </c>
      <c r="W2" s="9">
        <f>(TOT_POP_Projection!X2-TOT_POP_Projection!W2)/TOT_POP_Projection!W2</f>
        <v>-4.1573006236251429E-3</v>
      </c>
      <c r="X2" s="9">
        <f>(TOT_POP_Projection!Y2-TOT_POP_Projection!X2)/TOT_POP_Projection!X2</f>
        <v>-5.3010771185062868E-3</v>
      </c>
      <c r="Y2" s="9">
        <f>(TOT_POP_Projection!Z2-TOT_POP_Projection!Y2)/TOT_POP_Projection!Y2</f>
        <v>-5.3293282988081062E-3</v>
      </c>
      <c r="Z2" s="9">
        <f>(TOT_POP_Projection!AA2-TOT_POP_Projection!Z2)/TOT_POP_Projection!Z2</f>
        <v>-5.3578822121027464E-3</v>
      </c>
      <c r="AA2" s="9">
        <f>(TOT_POP_Projection!AB2-TOT_POP_Projection!AA2)/TOT_POP_Projection!AA2</f>
        <v>-5.3867437506253772E-3</v>
      </c>
      <c r="AB2" s="9">
        <f>(TOT_POP_Projection!AC2-TOT_POP_Projection!AB2)/TOT_POP_Projection!AB2</f>
        <v>-5.4159179125948011E-3</v>
      </c>
      <c r="AC2" s="9">
        <f>(TOT_POP_Projection!AD2-TOT_POP_Projection!AC2)/TOT_POP_Projection!AC2</f>
        <v>-6.0863587719948917E-3</v>
      </c>
      <c r="AD2" s="9">
        <f>(TOT_POP_Projection!AE2-TOT_POP_Projection!AD2)/TOT_POP_Projection!AD2</f>
        <v>-6.1236293773723072E-3</v>
      </c>
      <c r="AE2" s="9">
        <f>(TOT_POP_Projection!AF2-TOT_POP_Projection!AE2)/TOT_POP_Projection!AE2</f>
        <v>-6.1613592579287044E-3</v>
      </c>
      <c r="AF2" s="9">
        <f>(TOT_POP_Projection!AG2-TOT_POP_Projection!AF2)/TOT_POP_Projection!AF2</f>
        <v>-6.1995569555719741E-3</v>
      </c>
      <c r="AG2" s="9">
        <f>(TOT_POP_Projection!AH2-TOT_POP_Projection!AG2)/TOT_POP_Projection!AG2</f>
        <v>-6.2382312253557457E-3</v>
      </c>
    </row>
    <row r="3" spans="1:33" x14ac:dyDescent="0.3">
      <c r="A3" s="1" t="s">
        <v>1</v>
      </c>
      <c r="B3" s="9">
        <f>(TOT_POP_Projection!C3-TOT_POP_Projection!B3)/TOT_POP_Projection!B3</f>
        <v>3.5741419414348505E-3</v>
      </c>
      <c r="C3" s="9">
        <f>(TOT_POP_Projection!D3-TOT_POP_Projection!C3)/TOT_POP_Projection!C3</f>
        <v>1.1479944679852005E-2</v>
      </c>
      <c r="D3" s="9">
        <f>(TOT_POP_Projection!E3-TOT_POP_Projection!D3)/TOT_POP_Projection!D3</f>
        <v>3.3624214126318734E-4</v>
      </c>
      <c r="E3" s="9">
        <f>(TOT_POP_Projection!F3-TOT_POP_Projection!E3)/TOT_POP_Projection!E3</f>
        <v>3.3612912048797355E-4</v>
      </c>
      <c r="F3" s="9">
        <f>(TOT_POP_Projection!G3-TOT_POP_Projection!F3)/TOT_POP_Projection!F3</f>
        <v>3.3601617566637708E-4</v>
      </c>
      <c r="G3" s="9">
        <f>(TOT_POP_Projection!H3-TOT_POP_Projection!G3)/TOT_POP_Projection!G3</f>
        <v>3.3590330672185871E-4</v>
      </c>
      <c r="H3" s="9">
        <f>(TOT_POP_Projection!I3-TOT_POP_Projection!H3)/TOT_POP_Projection!H3</f>
        <v>3.3579051357766475E-4</v>
      </c>
      <c r="I3" s="9">
        <f>(TOT_POP_Projection!J3-TOT_POP_Projection!I3)/TOT_POP_Projection!I3</f>
        <v>-1.4067131227011396E-3</v>
      </c>
      <c r="J3" s="9">
        <f>(TOT_POP_Projection!K3-TOT_POP_Projection!J3)/TOT_POP_Projection!J3</f>
        <v>-1.4086947520947914E-3</v>
      </c>
      <c r="K3" s="9">
        <f>(TOT_POP_Projection!L3-TOT_POP_Projection!K3)/TOT_POP_Projection!K3</f>
        <v>-1.4106819723861666E-3</v>
      </c>
      <c r="L3" s="9">
        <f>(TOT_POP_Projection!M3-TOT_POP_Projection!L3)/TOT_POP_Projection!L3</f>
        <v>-1.412674807269626E-3</v>
      </c>
      <c r="M3" s="9">
        <f>(TOT_POP_Projection!N3-TOT_POP_Projection!M3)/TOT_POP_Projection!M3</f>
        <v>-1.4146732805732909E-3</v>
      </c>
      <c r="N3" s="9">
        <f>(TOT_POP_Projection!O3-TOT_POP_Projection!N3)/TOT_POP_Projection!N3</f>
        <v>-2.44883672190449E-3</v>
      </c>
      <c r="O3" s="9">
        <f>(TOT_POP_Projection!P3-TOT_POP_Projection!O3)/TOT_POP_Projection!O3</f>
        <v>-2.4548482444321585E-3</v>
      </c>
      <c r="P3" s="9">
        <f>(TOT_POP_Projection!Q3-TOT_POP_Projection!P3)/TOT_POP_Projection!P3</f>
        <v>-2.46088935434341E-3</v>
      </c>
      <c r="Q3" s="9">
        <f>(TOT_POP_Projection!R3-TOT_POP_Projection!Q3)/TOT_POP_Projection!Q3</f>
        <v>-2.4669602706109449E-3</v>
      </c>
      <c r="R3" s="9">
        <f>(TOT_POP_Projection!S3-TOT_POP_Projection!R3)/TOT_POP_Projection!R3</f>
        <v>-2.4730612143732708E-3</v>
      </c>
      <c r="S3" s="9">
        <f>(TOT_POP_Projection!T3-TOT_POP_Projection!S3)/TOT_POP_Projection!S3</f>
        <v>-3.297450206782401E-3</v>
      </c>
      <c r="T3" s="9">
        <f>(TOT_POP_Projection!U3-TOT_POP_Projection!T3)/TOT_POP_Projection!T3</f>
        <v>-3.3083593570283447E-3</v>
      </c>
      <c r="U3" s="9">
        <f>(TOT_POP_Projection!V3-TOT_POP_Projection!U3)/TOT_POP_Projection!U3</f>
        <v>-3.3193409296521266E-3</v>
      </c>
      <c r="V3" s="9">
        <f>(TOT_POP_Projection!W3-TOT_POP_Projection!V3)/TOT_POP_Projection!V3</f>
        <v>-3.3303956482392625E-3</v>
      </c>
      <c r="W3" s="9">
        <f>(TOT_POP_Projection!X3-TOT_POP_Projection!W3)/TOT_POP_Projection!W3</f>
        <v>-3.3415242460469465E-3</v>
      </c>
      <c r="X3" s="9">
        <f>(TOT_POP_Projection!Y3-TOT_POP_Projection!X3)/TOT_POP_Projection!X3</f>
        <v>-4.3981994767192129E-3</v>
      </c>
      <c r="Y3" s="9">
        <f>(TOT_POP_Projection!Z3-TOT_POP_Projection!Y3)/TOT_POP_Projection!Y3</f>
        <v>-4.4176290906741559E-3</v>
      </c>
      <c r="Z3" s="9">
        <f>(TOT_POP_Projection!AA3-TOT_POP_Projection!Z3)/TOT_POP_Projection!Z3</f>
        <v>-4.4372311320049459E-3</v>
      </c>
      <c r="AA3" s="9">
        <f>(TOT_POP_Projection!AB3-TOT_POP_Projection!AA3)/TOT_POP_Projection!AA3</f>
        <v>-4.4570079062421159E-3</v>
      </c>
      <c r="AB3" s="9">
        <f>(TOT_POP_Projection!AC3-TOT_POP_Projection!AB3)/TOT_POP_Projection!AB3</f>
        <v>-4.4769617602034529E-3</v>
      </c>
      <c r="AC3" s="9">
        <f>(TOT_POP_Projection!AD3-TOT_POP_Projection!AC3)/TOT_POP_Projection!AC3</f>
        <v>-5.8140720897737986E-3</v>
      </c>
      <c r="AD3" s="9">
        <f>(TOT_POP_Projection!AE3-TOT_POP_Projection!AD3)/TOT_POP_Projection!AD3</f>
        <v>-5.8480732089971829E-3</v>
      </c>
      <c r="AE3" s="9">
        <f>(TOT_POP_Projection!AF3-TOT_POP_Projection!AE3)/TOT_POP_Projection!AE3</f>
        <v>-5.8824743496439496E-3</v>
      </c>
      <c r="AF3" s="9">
        <f>(TOT_POP_Projection!AG3-TOT_POP_Projection!AF3)/TOT_POP_Projection!AF3</f>
        <v>-5.9172826128335368E-3</v>
      </c>
      <c r="AG3" s="9">
        <f>(TOT_POP_Projection!AH3-TOT_POP_Projection!AG3)/TOT_POP_Projection!AG3</f>
        <v>-5.9525052687635334E-3</v>
      </c>
    </row>
    <row r="4" spans="1:33" x14ac:dyDescent="0.3">
      <c r="A4" s="1" t="s">
        <v>2</v>
      </c>
      <c r="B4" s="9">
        <f>(TOT_POP_Projection!C4-TOT_POP_Projection!B4)/TOT_POP_Projection!B4</f>
        <v>-1.4036637200243785E-3</v>
      </c>
      <c r="C4" s="9">
        <f>(TOT_POP_Projection!D4-TOT_POP_Projection!C4)/TOT_POP_Projection!C4</f>
        <v>-8.6093830202237983E-3</v>
      </c>
      <c r="D4" s="9">
        <f>(TOT_POP_Projection!E4-TOT_POP_Projection!D4)/TOT_POP_Projection!D4</f>
        <v>-4.8907588209302294E-3</v>
      </c>
      <c r="E4" s="9">
        <f>(TOT_POP_Projection!F4-TOT_POP_Projection!E4)/TOT_POP_Projection!E4</f>
        <v>-4.9147959023426837E-3</v>
      </c>
      <c r="F4" s="9">
        <f>(TOT_POP_Projection!G4-TOT_POP_Projection!F4)/TOT_POP_Projection!F4</f>
        <v>-4.9390704254309737E-3</v>
      </c>
      <c r="G4" s="9">
        <f>(TOT_POP_Projection!H4-TOT_POP_Projection!G4)/TOT_POP_Projection!G4</f>
        <v>-4.963585925881581E-3</v>
      </c>
      <c r="H4" s="9">
        <f>(TOT_POP_Projection!I4-TOT_POP_Projection!H4)/TOT_POP_Projection!H4</f>
        <v>-4.9883460099300119E-3</v>
      </c>
      <c r="I4" s="9">
        <f>(TOT_POP_Projection!J4-TOT_POP_Projection!I4)/TOT_POP_Projection!I4</f>
        <v>-5.103119615053095E-3</v>
      </c>
      <c r="J4" s="9">
        <f>(TOT_POP_Projection!K4-TOT_POP_Projection!J4)/TOT_POP_Projection!J4</f>
        <v>-5.1292950210865959E-3</v>
      </c>
      <c r="K4" s="9">
        <f>(TOT_POP_Projection!L4-TOT_POP_Projection!K4)/TOT_POP_Projection!K4</f>
        <v>-5.1557403343134049E-3</v>
      </c>
      <c r="L4" s="9">
        <f>(TOT_POP_Projection!M4-TOT_POP_Projection!L4)/TOT_POP_Projection!L4</f>
        <v>-5.1824597510830199E-3</v>
      </c>
      <c r="M4" s="9">
        <f>(TOT_POP_Projection!N4-TOT_POP_Projection!M4)/TOT_POP_Projection!M4</f>
        <v>-5.2094575551875182E-3</v>
      </c>
      <c r="N4" s="9">
        <f>(TOT_POP_Projection!O4-TOT_POP_Projection!N4)/TOT_POP_Projection!N4</f>
        <v>-5.5252444734948747E-3</v>
      </c>
      <c r="O4" s="9">
        <f>(TOT_POP_Projection!P4-TOT_POP_Projection!O4)/TOT_POP_Projection!O4</f>
        <v>-5.5559424136107337E-3</v>
      </c>
      <c r="P4" s="9">
        <f>(TOT_POP_Projection!Q4-TOT_POP_Projection!P4)/TOT_POP_Projection!P4</f>
        <v>-5.5869833714885242E-3</v>
      </c>
      <c r="Q4" s="9">
        <f>(TOT_POP_Projection!R4-TOT_POP_Projection!Q4)/TOT_POP_Projection!Q4</f>
        <v>-5.618373128733577E-3</v>
      </c>
      <c r="R4" s="9">
        <f>(TOT_POP_Projection!S4-TOT_POP_Projection!R4)/TOT_POP_Projection!R4</f>
        <v>-5.650117597618463E-3</v>
      </c>
      <c r="S4" s="9">
        <f>(TOT_POP_Projection!T4-TOT_POP_Projection!S4)/TOT_POP_Projection!S4</f>
        <v>-5.8336084143102776E-3</v>
      </c>
      <c r="T4" s="9">
        <f>(TOT_POP_Projection!U4-TOT_POP_Projection!T4)/TOT_POP_Projection!T4</f>
        <v>-5.8678390897983438E-3</v>
      </c>
      <c r="U4" s="9">
        <f>(TOT_POP_Projection!V4-TOT_POP_Projection!U4)/TOT_POP_Projection!U4</f>
        <v>-5.9024738566207362E-3</v>
      </c>
      <c r="V4" s="9">
        <f>(TOT_POP_Projection!W4-TOT_POP_Projection!V4)/TOT_POP_Projection!V4</f>
        <v>-5.9375199126784853E-3</v>
      </c>
      <c r="W4" s="9">
        <f>(TOT_POP_Projection!X4-TOT_POP_Projection!W4)/TOT_POP_Projection!W4</f>
        <v>-5.97298462784456E-3</v>
      </c>
      <c r="X4" s="9">
        <f>(TOT_POP_Projection!Y4-TOT_POP_Projection!X4)/TOT_POP_Projection!X4</f>
        <v>-6.0403988951207863E-3</v>
      </c>
      <c r="Y4" s="9">
        <f>(TOT_POP_Projection!Z4-TOT_POP_Projection!Y4)/TOT_POP_Projection!Y4</f>
        <v>-6.0771070458058019E-3</v>
      </c>
      <c r="Z4" s="9">
        <f>(TOT_POP_Projection!AA4-TOT_POP_Projection!Z4)/TOT_POP_Projection!Z4</f>
        <v>-6.1142640831454024E-3</v>
      </c>
      <c r="AA4" s="9">
        <f>(TOT_POP_Projection!AB4-TOT_POP_Projection!AA4)/TOT_POP_Projection!AA4</f>
        <v>-6.1518782916277839E-3</v>
      </c>
      <c r="AB4" s="9">
        <f>(TOT_POP_Projection!AC4-TOT_POP_Projection!AB4)/TOT_POP_Projection!AB4</f>
        <v>-6.1899581608635566E-3</v>
      </c>
      <c r="AC4" s="9">
        <f>(TOT_POP_Projection!AD4-TOT_POP_Projection!AC4)/TOT_POP_Projection!AC4</f>
        <v>-6.0062083610096934E-3</v>
      </c>
      <c r="AD4" s="9">
        <f>(TOT_POP_Projection!AE4-TOT_POP_Projection!AD4)/TOT_POP_Projection!AD4</f>
        <v>-6.0425008803184702E-3</v>
      </c>
      <c r="AE4" s="9">
        <f>(TOT_POP_Projection!AF4-TOT_POP_Projection!AE4)/TOT_POP_Projection!AE4</f>
        <v>-6.0792346611098893E-3</v>
      </c>
      <c r="AF4" s="9">
        <f>(TOT_POP_Projection!AG4-TOT_POP_Projection!AF4)/TOT_POP_Projection!AF4</f>
        <v>-6.1164178002027112E-3</v>
      </c>
      <c r="AG4" s="9">
        <f>(TOT_POP_Projection!AH4-TOT_POP_Projection!AG4)/TOT_POP_Projection!AG4</f>
        <v>-6.1540585937287515E-3</v>
      </c>
    </row>
    <row r="5" spans="1:33" x14ac:dyDescent="0.3">
      <c r="A5" s="1" t="s">
        <v>3</v>
      </c>
      <c r="B5" s="9">
        <f>(TOT_POP_Projection!C5-TOT_POP_Projection!B5)/TOT_POP_Projection!B5</f>
        <v>-4.9556382199707498E-4</v>
      </c>
      <c r="C5" s="9">
        <f>(TOT_POP_Projection!D5-TOT_POP_Projection!C5)/TOT_POP_Projection!C5</f>
        <v>9.3860196269468059E-3</v>
      </c>
      <c r="D5" s="9">
        <f>(TOT_POP_Projection!E5-TOT_POP_Projection!D5)/TOT_POP_Projection!D5</f>
        <v>-5.3671863687126573E-4</v>
      </c>
      <c r="E5" s="9">
        <f>(TOT_POP_Projection!F5-TOT_POP_Projection!E5)/TOT_POP_Projection!E5</f>
        <v>-5.3700685846032911E-4</v>
      </c>
      <c r="F5" s="9">
        <f>(TOT_POP_Projection!G5-TOT_POP_Projection!F5)/TOT_POP_Projection!F5</f>
        <v>-5.3729538976965451E-4</v>
      </c>
      <c r="G5" s="9">
        <f>(TOT_POP_Projection!H5-TOT_POP_Projection!G5)/TOT_POP_Projection!G5</f>
        <v>-5.3758423129874418E-4</v>
      </c>
      <c r="H5" s="9">
        <f>(TOT_POP_Projection!I5-TOT_POP_Projection!H5)/TOT_POP_Projection!H5</f>
        <v>-5.3787338354778415E-4</v>
      </c>
      <c r="I5" s="9">
        <f>(TOT_POP_Projection!J5-TOT_POP_Projection!I5)/TOT_POP_Projection!I5</f>
        <v>-2.7113686122388178E-3</v>
      </c>
      <c r="J5" s="9">
        <f>(TOT_POP_Projection!K5-TOT_POP_Projection!J5)/TOT_POP_Projection!J5</f>
        <v>-2.7187401188619345E-3</v>
      </c>
      <c r="K5" s="9">
        <f>(TOT_POP_Projection!L5-TOT_POP_Projection!K5)/TOT_POP_Projection!K5</f>
        <v>-2.7261518171774034E-3</v>
      </c>
      <c r="L5" s="9">
        <f>(TOT_POP_Projection!M5-TOT_POP_Projection!L5)/TOT_POP_Projection!L5</f>
        <v>-2.7336040367897411E-3</v>
      </c>
      <c r="M5" s="9">
        <f>(TOT_POP_Projection!N5-TOT_POP_Projection!M5)/TOT_POP_Projection!M5</f>
        <v>-2.7410971109177729E-3</v>
      </c>
      <c r="N5" s="9">
        <f>(TOT_POP_Projection!O5-TOT_POP_Projection!N5)/TOT_POP_Projection!N5</f>
        <v>-2.5551149743788782E-3</v>
      </c>
      <c r="O5" s="9">
        <f>(TOT_POP_Projection!P5-TOT_POP_Projection!O5)/TOT_POP_Projection!O5</f>
        <v>-2.561660310998783E-3</v>
      </c>
      <c r="P5" s="9">
        <f>(TOT_POP_Projection!Q5-TOT_POP_Projection!P5)/TOT_POP_Projection!P5</f>
        <v>-2.5682392675997422E-3</v>
      </c>
      <c r="Q5" s="9">
        <f>(TOT_POP_Projection!R5-TOT_POP_Projection!Q5)/TOT_POP_Projection!Q5</f>
        <v>-2.5748521038811917E-3</v>
      </c>
      <c r="R5" s="9">
        <f>(TOT_POP_Projection!S5-TOT_POP_Projection!R5)/TOT_POP_Projection!R5</f>
        <v>-2.5814990822242241E-3</v>
      </c>
      <c r="S5" s="9">
        <f>(TOT_POP_Projection!T5-TOT_POP_Projection!S5)/TOT_POP_Projection!S5</f>
        <v>-1.9461711034019461E-3</v>
      </c>
      <c r="T5" s="9">
        <f>(TOT_POP_Projection!U5-TOT_POP_Projection!T5)/TOT_POP_Projection!T5</f>
        <v>-1.9499660710219832E-3</v>
      </c>
      <c r="U5" s="9">
        <f>(TOT_POP_Projection!V5-TOT_POP_Projection!U5)/TOT_POP_Projection!U5</f>
        <v>-1.9537758676743296E-3</v>
      </c>
      <c r="V5" s="9">
        <f>(TOT_POP_Projection!W5-TOT_POP_Projection!V5)/TOT_POP_Projection!V5</f>
        <v>-1.9576005804469521E-3</v>
      </c>
      <c r="W5" s="9">
        <f>(TOT_POP_Projection!X5-TOT_POP_Projection!W5)/TOT_POP_Projection!W5</f>
        <v>-1.9614402971114935E-3</v>
      </c>
      <c r="X5" s="9">
        <f>(TOT_POP_Projection!Y5-TOT_POP_Projection!X5)/TOT_POP_Projection!X5</f>
        <v>-1.2242016275294705E-3</v>
      </c>
      <c r="Y5" s="9">
        <f>(TOT_POP_Projection!Z5-TOT_POP_Projection!Y5)/TOT_POP_Projection!Y5</f>
        <v>-1.2257021340768737E-3</v>
      </c>
      <c r="Z5" s="9">
        <f>(TOT_POP_Projection!AA5-TOT_POP_Projection!Z5)/TOT_POP_Projection!Z5</f>
        <v>-1.2272063234865238E-3</v>
      </c>
      <c r="AA5" s="9">
        <f>(TOT_POP_Projection!AB5-TOT_POP_Projection!AA5)/TOT_POP_Projection!AA5</f>
        <v>-1.2287142093339763E-3</v>
      </c>
      <c r="AB5" s="9">
        <f>(TOT_POP_Projection!AC5-TOT_POP_Projection!AB5)/TOT_POP_Projection!AB5</f>
        <v>-1.2302258052619979E-3</v>
      </c>
      <c r="AC5" s="9">
        <f>(TOT_POP_Projection!AD5-TOT_POP_Projection!AC5)/TOT_POP_Projection!AC5</f>
        <v>-8.2625505575571322E-4</v>
      </c>
      <c r="AD5" s="9">
        <f>(TOT_POP_Projection!AE5-TOT_POP_Projection!AD5)/TOT_POP_Projection!AD5</f>
        <v>-8.2693831772152882E-4</v>
      </c>
      <c r="AE5" s="9">
        <f>(TOT_POP_Projection!AF5-TOT_POP_Projection!AE5)/TOT_POP_Projection!AE5</f>
        <v>-8.2762271065358478E-4</v>
      </c>
      <c r="AF5" s="9">
        <f>(TOT_POP_Projection!AG5-TOT_POP_Projection!AF5)/TOT_POP_Projection!AF5</f>
        <v>-8.283082373622473E-4</v>
      </c>
      <c r="AG5" s="9">
        <f>(TOT_POP_Projection!AH5-TOT_POP_Projection!AG5)/TOT_POP_Projection!AG5</f>
        <v>-8.2899490066761048E-4</v>
      </c>
    </row>
    <row r="6" spans="1:33" x14ac:dyDescent="0.3">
      <c r="A6" s="1" t="s">
        <v>4</v>
      </c>
      <c r="B6" s="9">
        <f>(TOT_POP_Projection!C6-TOT_POP_Projection!B6)/TOT_POP_Projection!B6</f>
        <v>2.1630592501685274E-2</v>
      </c>
      <c r="C6" s="9">
        <f>(TOT_POP_Projection!D6-TOT_POP_Projection!C6)/TOT_POP_Projection!C6</f>
        <v>1.0527683507454146E-2</v>
      </c>
      <c r="D6" s="9">
        <f>(TOT_POP_Projection!E6-TOT_POP_Projection!D6)/TOT_POP_Projection!D6</f>
        <v>1.4766934234614823E-2</v>
      </c>
      <c r="E6" s="9">
        <f>(TOT_POP_Projection!F6-TOT_POP_Projection!E6)/TOT_POP_Projection!E6</f>
        <v>1.4552045141037969E-2</v>
      </c>
      <c r="F6" s="9">
        <f>(TOT_POP_Projection!G6-TOT_POP_Projection!F6)/TOT_POP_Projection!F6</f>
        <v>1.434332049374068E-2</v>
      </c>
      <c r="G6" s="9">
        <f>(TOT_POP_Projection!H6-TOT_POP_Projection!G6)/TOT_POP_Projection!G6</f>
        <v>1.4140498787687526E-2</v>
      </c>
      <c r="H6" s="9">
        <f>(TOT_POP_Projection!I6-TOT_POP_Projection!H6)/TOT_POP_Projection!H6</f>
        <v>1.3943333102850475E-2</v>
      </c>
      <c r="I6" s="9">
        <f>(TOT_POP_Projection!J6-TOT_POP_Projection!I6)/TOT_POP_Projection!I6</f>
        <v>1.2327155766929176E-2</v>
      </c>
      <c r="J6" s="9">
        <f>(TOT_POP_Projection!K6-TOT_POP_Projection!J6)/TOT_POP_Projection!J6</f>
        <v>1.2177047406764707E-2</v>
      </c>
      <c r="K6" s="9">
        <f>(TOT_POP_Projection!L6-TOT_POP_Projection!K6)/TOT_POP_Projection!K6</f>
        <v>1.2030550819110902E-2</v>
      </c>
      <c r="L6" s="9">
        <f>(TOT_POP_Projection!M6-TOT_POP_Projection!L6)/TOT_POP_Projection!L6</f>
        <v>1.1887537198727538E-2</v>
      </c>
      <c r="M6" s="9">
        <f>(TOT_POP_Projection!N6-TOT_POP_Projection!M6)/TOT_POP_Projection!M6</f>
        <v>1.1747883793130492E-2</v>
      </c>
      <c r="N6" s="9">
        <f>(TOT_POP_Projection!O6-TOT_POP_Projection!N6)/TOT_POP_Projection!N6</f>
        <v>1.1286432209384252E-2</v>
      </c>
      <c r="O6" s="9">
        <f>(TOT_POP_Projection!P6-TOT_POP_Projection!O6)/TOT_POP_Projection!O6</f>
        <v>1.1160470317718477E-2</v>
      </c>
      <c r="P6" s="9">
        <f>(TOT_POP_Projection!Q6-TOT_POP_Projection!P6)/TOT_POP_Projection!P6</f>
        <v>1.1037288981650684E-2</v>
      </c>
      <c r="Q6" s="9">
        <f>(TOT_POP_Projection!R6-TOT_POP_Projection!Q6)/TOT_POP_Projection!Q6</f>
        <v>1.0916797136896698E-2</v>
      </c>
      <c r="R6" s="9">
        <f>(TOT_POP_Projection!S6-TOT_POP_Projection!R6)/TOT_POP_Projection!R6</f>
        <v>1.0798907652751301E-2</v>
      </c>
      <c r="S6" s="9">
        <f>(TOT_POP_Projection!T6-TOT_POP_Projection!S6)/TOT_POP_Projection!S6</f>
        <v>1.0724157582985923E-2</v>
      </c>
      <c r="T6" s="9">
        <f>(TOT_POP_Projection!U6-TOT_POP_Projection!T6)/TOT_POP_Projection!T6</f>
        <v>1.061037029987633E-2</v>
      </c>
      <c r="U6" s="9">
        <f>(TOT_POP_Projection!V6-TOT_POP_Projection!U6)/TOT_POP_Projection!U6</f>
        <v>1.0498972315837147E-2</v>
      </c>
      <c r="V6" s="9">
        <f>(TOT_POP_Projection!W6-TOT_POP_Projection!V6)/TOT_POP_Projection!V6</f>
        <v>1.0389889157210973E-2</v>
      </c>
      <c r="W6" s="9">
        <f>(TOT_POP_Projection!X6-TOT_POP_Projection!W6)/TOT_POP_Projection!W6</f>
        <v>1.0283049413605271E-2</v>
      </c>
      <c r="X6" s="9">
        <f>(TOT_POP_Projection!Y6-TOT_POP_Projection!X6)/TOT_POP_Projection!X6</f>
        <v>1.0200049651127634E-2</v>
      </c>
      <c r="Y6" s="9">
        <f>(TOT_POP_Projection!Z6-TOT_POP_Projection!Y6)/TOT_POP_Projection!Y6</f>
        <v>1.0097059146502932E-2</v>
      </c>
      <c r="Z6" s="9">
        <f>(TOT_POP_Projection!AA6-TOT_POP_Projection!Z6)/TOT_POP_Projection!Z6</f>
        <v>9.9961276543410558E-3</v>
      </c>
      <c r="AA6" s="9">
        <f>(TOT_POP_Projection!AB6-TOT_POP_Projection!AA6)/TOT_POP_Projection!AA6</f>
        <v>9.8971940393043859E-3</v>
      </c>
      <c r="AB6" s="9">
        <f>(TOT_POP_Projection!AC6-TOT_POP_Projection!AB6)/TOT_POP_Projection!AB6</f>
        <v>9.8001995626097477E-3</v>
      </c>
      <c r="AC6" s="9">
        <f>(TOT_POP_Projection!AD6-TOT_POP_Projection!AC6)/TOT_POP_Projection!AC6</f>
        <v>9.4416080754523204E-3</v>
      </c>
      <c r="AD6" s="9">
        <f>(TOT_POP_Projection!AE6-TOT_POP_Projection!AD6)/TOT_POP_Projection!AD6</f>
        <v>9.3532979024444889E-3</v>
      </c>
      <c r="AE6" s="9">
        <f>(TOT_POP_Projection!AF6-TOT_POP_Projection!AE6)/TOT_POP_Projection!AE6</f>
        <v>9.2666244038452621E-3</v>
      </c>
      <c r="AF6" s="9">
        <f>(TOT_POP_Projection!AG6-TOT_POP_Projection!AF6)/TOT_POP_Projection!AF6</f>
        <v>9.1815424980677268E-3</v>
      </c>
      <c r="AG6" s="9">
        <f>(TOT_POP_Projection!AH6-TOT_POP_Projection!AG6)/TOT_POP_Projection!AG6</f>
        <v>9.0980087441358496E-3</v>
      </c>
    </row>
    <row r="7" spans="1:33" x14ac:dyDescent="0.3">
      <c r="A7" s="1" t="s">
        <v>5</v>
      </c>
      <c r="B7" s="9">
        <f>(TOT_POP_Projection!C7-TOT_POP_Projection!B7)/TOT_POP_Projection!B7</f>
        <v>4.5749012535968425E-3</v>
      </c>
      <c r="C7" s="9">
        <f>(TOT_POP_Projection!D7-TOT_POP_Projection!C7)/TOT_POP_Projection!C7</f>
        <v>2.2440695152529987E-3</v>
      </c>
      <c r="D7" s="9">
        <f>(TOT_POP_Projection!E7-TOT_POP_Projection!D7)/TOT_POP_Projection!D7</f>
        <v>4.5363080757245093E-3</v>
      </c>
      <c r="E7" s="9">
        <f>(TOT_POP_Projection!F7-TOT_POP_Projection!E7)/TOT_POP_Projection!E7</f>
        <v>4.5158229117812547E-3</v>
      </c>
      <c r="F7" s="9">
        <f>(TOT_POP_Projection!G7-TOT_POP_Projection!F7)/TOT_POP_Projection!F7</f>
        <v>4.4955219308455271E-3</v>
      </c>
      <c r="G7" s="9">
        <f>(TOT_POP_Projection!H7-TOT_POP_Projection!G7)/TOT_POP_Projection!G7</f>
        <v>4.4754026600379616E-3</v>
      </c>
      <c r="H7" s="9">
        <f>(TOT_POP_Projection!I7-TOT_POP_Projection!H7)/TOT_POP_Projection!H7</f>
        <v>4.4554626705507507E-3</v>
      </c>
      <c r="I7" s="9">
        <f>(TOT_POP_Projection!J7-TOT_POP_Projection!I7)/TOT_POP_Projection!I7</f>
        <v>1.0095412952187599E-3</v>
      </c>
      <c r="J7" s="9">
        <f>(TOT_POP_Projection!K7-TOT_POP_Projection!J7)/TOT_POP_Projection!J7</f>
        <v>1.0085231494522038E-3</v>
      </c>
      <c r="K7" s="9">
        <f>(TOT_POP_Projection!L7-TOT_POP_Projection!K7)/TOT_POP_Projection!K7</f>
        <v>1.0075070552637338E-3</v>
      </c>
      <c r="L7" s="9">
        <f>(TOT_POP_Projection!M7-TOT_POP_Projection!L7)/TOT_POP_Projection!L7</f>
        <v>1.0064930064586531E-3</v>
      </c>
      <c r="M7" s="9">
        <f>(TOT_POP_Projection!N7-TOT_POP_Projection!M7)/TOT_POP_Projection!M7</f>
        <v>1.0054809968671793E-3</v>
      </c>
      <c r="N7" s="9">
        <f>(TOT_POP_Projection!O7-TOT_POP_Projection!N7)/TOT_POP_Projection!N7</f>
        <v>-1.1721253317930069E-3</v>
      </c>
      <c r="O7" s="9">
        <f>(TOT_POP_Projection!P7-TOT_POP_Projection!O7)/TOT_POP_Projection!O7</f>
        <v>-1.1735008218331574E-3</v>
      </c>
      <c r="P7" s="9">
        <f>(TOT_POP_Projection!Q7-TOT_POP_Projection!P7)/TOT_POP_Projection!P7</f>
        <v>-1.17487954394353E-3</v>
      </c>
      <c r="Q7" s="9">
        <f>(TOT_POP_Projection!R7-TOT_POP_Projection!Q7)/TOT_POP_Projection!Q7</f>
        <v>-1.1762615095294042E-3</v>
      </c>
      <c r="R7" s="9">
        <f>(TOT_POP_Projection!S7-TOT_POP_Projection!R7)/TOT_POP_Projection!R7</f>
        <v>-1.1776467300500541E-3</v>
      </c>
      <c r="S7" s="9">
        <f>(TOT_POP_Projection!T7-TOT_POP_Projection!S7)/TOT_POP_Projection!S7</f>
        <v>-2.266405438997005E-3</v>
      </c>
      <c r="T7" s="9">
        <f>(TOT_POP_Projection!U7-TOT_POP_Projection!T7)/TOT_POP_Projection!T7</f>
        <v>-2.2715537006591526E-3</v>
      </c>
      <c r="U7" s="9">
        <f>(TOT_POP_Projection!V7-TOT_POP_Projection!U7)/TOT_POP_Projection!U7</f>
        <v>-2.2767254046775326E-3</v>
      </c>
      <c r="V7" s="9">
        <f>(TOT_POP_Projection!W7-TOT_POP_Projection!V7)/TOT_POP_Projection!V7</f>
        <v>-2.2819207115329396E-3</v>
      </c>
      <c r="W7" s="9">
        <f>(TOT_POP_Projection!X7-TOT_POP_Projection!W7)/TOT_POP_Projection!W7</f>
        <v>-2.2871397831740643E-3</v>
      </c>
      <c r="X7" s="9">
        <f>(TOT_POP_Projection!Y7-TOT_POP_Projection!X7)/TOT_POP_Projection!X7</f>
        <v>-3.1086471130643886E-3</v>
      </c>
      <c r="Y7" s="9">
        <f>(TOT_POP_Projection!Z7-TOT_POP_Projection!Y7)/TOT_POP_Projection!Y7</f>
        <v>-3.118340934608309E-3</v>
      </c>
      <c r="Z7" s="9">
        <f>(TOT_POP_Projection!AA7-TOT_POP_Projection!Z7)/TOT_POP_Projection!Z7</f>
        <v>-3.1280954025494391E-3</v>
      </c>
      <c r="AA7" s="9">
        <f>(TOT_POP_Projection!AB7-TOT_POP_Projection!AA7)/TOT_POP_Projection!AA7</f>
        <v>-3.1379110877967852E-3</v>
      </c>
      <c r="AB7" s="9">
        <f>(TOT_POP_Projection!AC7-TOT_POP_Projection!AB7)/TOT_POP_Projection!AB7</f>
        <v>-3.1477885684477575E-3</v>
      </c>
      <c r="AC7" s="9">
        <f>(TOT_POP_Projection!AD7-TOT_POP_Projection!AC7)/TOT_POP_Projection!AC7</f>
        <v>-3.5914885846399145E-3</v>
      </c>
      <c r="AD7" s="9">
        <f>(TOT_POP_Projection!AE7-TOT_POP_Projection!AD7)/TOT_POP_Projection!AD7</f>
        <v>-3.6044338677299562E-3</v>
      </c>
      <c r="AE7" s="9">
        <f>(TOT_POP_Projection!AF7-TOT_POP_Projection!AE7)/TOT_POP_Projection!AE7</f>
        <v>-3.6174728092391701E-3</v>
      </c>
      <c r="AF7" s="9">
        <f>(TOT_POP_Projection!AG7-TOT_POP_Projection!AF7)/TOT_POP_Projection!AF7</f>
        <v>-3.6306064292781328E-3</v>
      </c>
      <c r="AG7" s="9">
        <f>(TOT_POP_Projection!AH7-TOT_POP_Projection!AG7)/TOT_POP_Projection!AG7</f>
        <v>-3.6438357628260222E-3</v>
      </c>
    </row>
    <row r="8" spans="1:33" x14ac:dyDescent="0.3">
      <c r="A8" s="1" t="s">
        <v>6</v>
      </c>
      <c r="B8" s="9">
        <f>(TOT_POP_Projection!C8-TOT_POP_Projection!B8)/TOT_POP_Projection!B8</f>
        <v>5.5198878948733597E-3</v>
      </c>
      <c r="C8" s="9">
        <f>(TOT_POP_Projection!D8-TOT_POP_Projection!C8)/TOT_POP_Projection!C8</f>
        <v>1.9749953011662127E-2</v>
      </c>
      <c r="D8" s="9">
        <f>(TOT_POP_Projection!E8-TOT_POP_Projection!D8)/TOT_POP_Projection!D8</f>
        <v>3.8965382056842159E-3</v>
      </c>
      <c r="E8" s="9">
        <f>(TOT_POP_Projection!F8-TOT_POP_Projection!E8)/TOT_POP_Projection!E8</f>
        <v>3.8814141272453225E-3</v>
      </c>
      <c r="F8" s="9">
        <f>(TOT_POP_Projection!G8-TOT_POP_Projection!F8)/TOT_POP_Projection!F8</f>
        <v>3.8664070004919325E-3</v>
      </c>
      <c r="G8" s="9">
        <f>(TOT_POP_Projection!H8-TOT_POP_Projection!G8)/TOT_POP_Projection!G8</f>
        <v>3.8515154741003681E-3</v>
      </c>
      <c r="H8" s="9">
        <f>(TOT_POP_Projection!I8-TOT_POP_Projection!H8)/TOT_POP_Projection!H8</f>
        <v>3.8367382174855011E-3</v>
      </c>
      <c r="I8" s="9">
        <f>(TOT_POP_Projection!J8-TOT_POP_Projection!I8)/TOT_POP_Projection!I8</f>
        <v>4.3428886274994903E-3</v>
      </c>
      <c r="J8" s="9">
        <f>(TOT_POP_Projection!K8-TOT_POP_Projection!J8)/TOT_POP_Projection!J8</f>
        <v>4.3241095015212712E-3</v>
      </c>
      <c r="K8" s="9">
        <f>(TOT_POP_Projection!L8-TOT_POP_Projection!K8)/TOT_POP_Projection!K8</f>
        <v>4.3054920822994756E-3</v>
      </c>
      <c r="L8" s="9">
        <f>(TOT_POP_Projection!M8-TOT_POP_Projection!L8)/TOT_POP_Projection!L8</f>
        <v>4.2870342901068746E-3</v>
      </c>
      <c r="M8" s="9">
        <f>(TOT_POP_Projection!N8-TOT_POP_Projection!M8)/TOT_POP_Projection!M8</f>
        <v>4.2687340807271565E-3</v>
      </c>
      <c r="N8" s="9">
        <f>(TOT_POP_Projection!O8-TOT_POP_Projection!N8)/TOT_POP_Projection!N8</f>
        <v>4.1480780540182217E-3</v>
      </c>
      <c r="O8" s="9">
        <f>(TOT_POP_Projection!P8-TOT_POP_Projection!O8)/TOT_POP_Projection!O8</f>
        <v>4.1309425817524451E-3</v>
      </c>
      <c r="P8" s="9">
        <f>(TOT_POP_Projection!Q8-TOT_POP_Projection!P8)/TOT_POP_Projection!P8</f>
        <v>4.1139480983737537E-3</v>
      </c>
      <c r="Q8" s="9">
        <f>(TOT_POP_Projection!R8-TOT_POP_Projection!Q8)/TOT_POP_Projection!Q8</f>
        <v>4.0970928709484541E-3</v>
      </c>
      <c r="R8" s="9">
        <f>(TOT_POP_Projection!S8-TOT_POP_Projection!R8)/TOT_POP_Projection!R8</f>
        <v>4.080375194827077E-3</v>
      </c>
      <c r="S8" s="9">
        <f>(TOT_POP_Projection!T8-TOT_POP_Projection!S8)/TOT_POP_Projection!S8</f>
        <v>3.8148240402297463E-3</v>
      </c>
      <c r="T8" s="9">
        <f>(TOT_POP_Projection!U8-TOT_POP_Projection!T8)/TOT_POP_Projection!T8</f>
        <v>3.800326463476156E-3</v>
      </c>
      <c r="U8" s="9">
        <f>(TOT_POP_Projection!V8-TOT_POP_Projection!U8)/TOT_POP_Projection!U8</f>
        <v>3.7859386605951987E-3</v>
      </c>
      <c r="V8" s="9">
        <f>(TOT_POP_Projection!W8-TOT_POP_Projection!V8)/TOT_POP_Projection!V8</f>
        <v>3.7716593894979019E-3</v>
      </c>
      <c r="W8" s="9">
        <f>(TOT_POP_Projection!X8-TOT_POP_Projection!W8)/TOT_POP_Projection!W8</f>
        <v>3.7574874267638277E-3</v>
      </c>
      <c r="X8" s="9">
        <f>(TOT_POP_Projection!Y8-TOT_POP_Projection!X8)/TOT_POP_Projection!X8</f>
        <v>3.4465836483959832E-3</v>
      </c>
      <c r="Y8" s="9">
        <f>(TOT_POP_Projection!Z8-TOT_POP_Projection!Y8)/TOT_POP_Projection!Y8</f>
        <v>3.4347455106824637E-3</v>
      </c>
      <c r="Z8" s="9">
        <f>(TOT_POP_Projection!AA8-TOT_POP_Projection!Z8)/TOT_POP_Projection!Z8</f>
        <v>3.4229884165854784E-3</v>
      </c>
      <c r="AA8" s="9">
        <f>(TOT_POP_Projection!AB8-TOT_POP_Projection!AA8)/TOT_POP_Projection!AA8</f>
        <v>3.4113115367099558E-3</v>
      </c>
      <c r="AB8" s="9">
        <f>(TOT_POP_Projection!AC8-TOT_POP_Projection!AB8)/TOT_POP_Projection!AB8</f>
        <v>3.3997140529396478E-3</v>
      </c>
      <c r="AC8" s="9">
        <f>(TOT_POP_Projection!AD8-TOT_POP_Projection!AC8)/TOT_POP_Projection!AC8</f>
        <v>3.2134643747413131E-3</v>
      </c>
      <c r="AD8" s="9">
        <f>(TOT_POP_Projection!AE8-TOT_POP_Projection!AD8)/TOT_POP_Projection!AD8</f>
        <v>3.2031710985299861E-3</v>
      </c>
      <c r="AE8" s="9">
        <f>(TOT_POP_Projection!AF8-TOT_POP_Projection!AE8)/TOT_POP_Projection!AE8</f>
        <v>3.1929435540185166E-3</v>
      </c>
      <c r="AF8" s="9">
        <f>(TOT_POP_Projection!AG8-TOT_POP_Projection!AF8)/TOT_POP_Projection!AF8</f>
        <v>3.1827811135780653E-3</v>
      </c>
      <c r="AG8" s="9">
        <f>(TOT_POP_Projection!AH8-TOT_POP_Projection!AG8)/TOT_POP_Projection!AG8</f>
        <v>3.1726831575445941E-3</v>
      </c>
    </row>
    <row r="9" spans="1:33" x14ac:dyDescent="0.3">
      <c r="A9" s="1" t="s">
        <v>7</v>
      </c>
      <c r="B9" s="9">
        <f>(TOT_POP_Projection!C9-TOT_POP_Projection!B9)/TOT_POP_Projection!B9</f>
        <v>1.075848318033603E-2</v>
      </c>
      <c r="C9" s="9">
        <f>(TOT_POP_Projection!D9-TOT_POP_Projection!C9)/TOT_POP_Projection!C9</f>
        <v>5.9259961964082952E-3</v>
      </c>
      <c r="D9" s="9">
        <f>(TOT_POP_Projection!E9-TOT_POP_Projection!D9)/TOT_POP_Projection!D9</f>
        <v>6.8884985192786486E-3</v>
      </c>
      <c r="E9" s="9">
        <f>(TOT_POP_Projection!F9-TOT_POP_Projection!E9)/TOT_POP_Projection!E9</f>
        <v>6.8413717401766072E-3</v>
      </c>
      <c r="F9" s="9">
        <f>(TOT_POP_Projection!G9-TOT_POP_Projection!F9)/TOT_POP_Projection!F9</f>
        <v>6.7948854032014068E-3</v>
      </c>
      <c r="G9" s="9">
        <f>(TOT_POP_Projection!H9-TOT_POP_Projection!G9)/TOT_POP_Projection!G9</f>
        <v>6.7490265412703107E-3</v>
      </c>
      <c r="H9" s="9">
        <f>(TOT_POP_Projection!I9-TOT_POP_Projection!H9)/TOT_POP_Projection!H9</f>
        <v>6.7037825350142336E-3</v>
      </c>
      <c r="I9" s="9">
        <f>(TOT_POP_Projection!J9-TOT_POP_Projection!I9)/TOT_POP_Projection!I9</f>
        <v>6.6528259194289247E-3</v>
      </c>
      <c r="J9" s="9">
        <f>(TOT_POP_Projection!K9-TOT_POP_Projection!J9)/TOT_POP_Projection!J9</f>
        <v>6.6088583353973588E-3</v>
      </c>
      <c r="K9" s="9">
        <f>(TOT_POP_Projection!L9-TOT_POP_Projection!K9)/TOT_POP_Projection!K9</f>
        <v>6.5654680869054287E-3</v>
      </c>
      <c r="L9" s="9">
        <f>(TOT_POP_Projection!M9-TOT_POP_Projection!L9)/TOT_POP_Projection!L9</f>
        <v>6.5226438766907667E-3</v>
      </c>
      <c r="M9" s="9">
        <f>(TOT_POP_Projection!N9-TOT_POP_Projection!M9)/TOT_POP_Projection!M9</f>
        <v>6.4803747003326301E-3</v>
      </c>
      <c r="N9" s="9">
        <f>(TOT_POP_Projection!O9-TOT_POP_Projection!N9)/TOT_POP_Projection!N9</f>
        <v>5.3854676338228585E-3</v>
      </c>
      <c r="O9" s="9">
        <f>(TOT_POP_Projection!P9-TOT_POP_Projection!O9)/TOT_POP_Projection!O9</f>
        <v>5.3566197316314602E-3</v>
      </c>
      <c r="P9" s="9">
        <f>(TOT_POP_Projection!Q9-TOT_POP_Projection!P9)/TOT_POP_Projection!P9</f>
        <v>5.3280792372574709E-3</v>
      </c>
      <c r="Q9" s="9">
        <f>(TOT_POP_Projection!R9-TOT_POP_Projection!Q9)/TOT_POP_Projection!Q9</f>
        <v>5.2998412630629842E-3</v>
      </c>
      <c r="R9" s="9">
        <f>(TOT_POP_Projection!S9-TOT_POP_Projection!R9)/TOT_POP_Projection!R9</f>
        <v>5.2719010244788372E-3</v>
      </c>
      <c r="S9" s="9">
        <f>(TOT_POP_Projection!T9-TOT_POP_Projection!S9)/TOT_POP_Projection!S9</f>
        <v>4.0951959927826619E-3</v>
      </c>
      <c r="T9" s="9">
        <f>(TOT_POP_Projection!U9-TOT_POP_Projection!T9)/TOT_POP_Projection!T9</f>
        <v>4.0784937614740842E-3</v>
      </c>
      <c r="U9" s="9">
        <f>(TOT_POP_Projection!V9-TOT_POP_Projection!U9)/TOT_POP_Projection!U9</f>
        <v>4.0619272166613684E-3</v>
      </c>
      <c r="V9" s="9">
        <f>(TOT_POP_Projection!W9-TOT_POP_Projection!V9)/TOT_POP_Projection!V9</f>
        <v>4.0454947115875122E-3</v>
      </c>
      <c r="W9" s="9">
        <f>(TOT_POP_Projection!X9-TOT_POP_Projection!W9)/TOT_POP_Projection!W9</f>
        <v>4.0291946260360917E-3</v>
      </c>
      <c r="X9" s="9">
        <f>(TOT_POP_Projection!Y9-TOT_POP_Projection!X9)/TOT_POP_Projection!X9</f>
        <v>2.8662257087910068E-3</v>
      </c>
      <c r="Y9" s="9">
        <f>(TOT_POP_Projection!Z9-TOT_POP_Projection!Y9)/TOT_POP_Projection!Y9</f>
        <v>2.8580339384400525E-3</v>
      </c>
      <c r="Z9" s="9">
        <f>(TOT_POP_Projection!AA9-TOT_POP_Projection!Z9)/TOT_POP_Projection!Z9</f>
        <v>2.8498888593592219E-3</v>
      </c>
      <c r="AA9" s="9">
        <f>(TOT_POP_Projection!AB9-TOT_POP_Projection!AA9)/TOT_POP_Projection!AA9</f>
        <v>2.8417900734881503E-3</v>
      </c>
      <c r="AB9" s="9">
        <f>(TOT_POP_Projection!AC9-TOT_POP_Projection!AB9)/TOT_POP_Projection!AB9</f>
        <v>2.8337371872786308E-3</v>
      </c>
      <c r="AC9" s="9">
        <f>(TOT_POP_Projection!AD9-TOT_POP_Projection!AC9)/TOT_POP_Projection!AC9</f>
        <v>1.7217028956485734E-3</v>
      </c>
      <c r="AD9" s="9">
        <f>(TOT_POP_Projection!AE9-TOT_POP_Projection!AD9)/TOT_POP_Projection!AD9</f>
        <v>1.7187437295924563E-3</v>
      </c>
      <c r="AE9" s="9">
        <f>(TOT_POP_Projection!AF9-TOT_POP_Projection!AE9)/TOT_POP_Projection!AE9</f>
        <v>1.7157947181793178E-3</v>
      </c>
      <c r="AF9" s="9">
        <f>(TOT_POP_Projection!AG9-TOT_POP_Projection!AF9)/TOT_POP_Projection!AF9</f>
        <v>1.7128558092288401E-3</v>
      </c>
      <c r="AG9" s="9">
        <f>(TOT_POP_Projection!AH9-TOT_POP_Projection!AG9)/TOT_POP_Projection!AG9</f>
        <v>1.7099269509174427E-3</v>
      </c>
    </row>
    <row r="10" spans="1:33" x14ac:dyDescent="0.3">
      <c r="A10" s="1" t="s">
        <v>8</v>
      </c>
      <c r="B10" s="9">
        <f>(TOT_POP_Projection!C10-TOT_POP_Projection!B10)/TOT_POP_Projection!B10</f>
        <v>4.2625033419188101E-3</v>
      </c>
      <c r="C10" s="9">
        <f>(TOT_POP_Projection!D10-TOT_POP_Projection!C10)/TOT_POP_Projection!C10</f>
        <v>-2.4240616908280817E-3</v>
      </c>
      <c r="D10" s="9">
        <f>(TOT_POP_Projection!E10-TOT_POP_Projection!D10)/TOT_POP_Projection!D10</f>
        <v>2.3401707138845751E-3</v>
      </c>
      <c r="E10" s="9">
        <f>(TOT_POP_Projection!F10-TOT_POP_Projection!E10)/TOT_POP_Projection!E10</f>
        <v>2.3347071007020141E-3</v>
      </c>
      <c r="F10" s="9">
        <f>(TOT_POP_Projection!G10-TOT_POP_Projection!F10)/TOT_POP_Projection!F10</f>
        <v>2.3292689399684249E-3</v>
      </c>
      <c r="G10" s="9">
        <f>(TOT_POP_Projection!H10-TOT_POP_Projection!G10)/TOT_POP_Projection!G10</f>
        <v>2.3238560542403254E-3</v>
      </c>
      <c r="H10" s="9">
        <f>(TOT_POP_Projection!I10-TOT_POP_Projection!H10)/TOT_POP_Projection!H10</f>
        <v>2.3184682677198204E-3</v>
      </c>
      <c r="I10" s="9">
        <f>(TOT_POP_Projection!J10-TOT_POP_Projection!I10)/TOT_POP_Projection!I10</f>
        <v>1.5818617770598747E-3</v>
      </c>
      <c r="J10" s="9">
        <f>(TOT_POP_Projection!K10-TOT_POP_Projection!J10)/TOT_POP_Projection!J10</f>
        <v>1.5793634423982594E-3</v>
      </c>
      <c r="K10" s="9">
        <f>(TOT_POP_Projection!L10-TOT_POP_Projection!K10)/TOT_POP_Projection!K10</f>
        <v>1.5768729868495238E-3</v>
      </c>
      <c r="L10" s="9">
        <f>(TOT_POP_Projection!M10-TOT_POP_Projection!L10)/TOT_POP_Projection!L10</f>
        <v>1.57439037319927E-3</v>
      </c>
      <c r="M10" s="9">
        <f>(TOT_POP_Projection!N10-TOT_POP_Projection!M10)/TOT_POP_Projection!M10</f>
        <v>1.5719155644670908E-3</v>
      </c>
      <c r="N10" s="9">
        <f>(TOT_POP_Projection!O10-TOT_POP_Projection!N10)/TOT_POP_Projection!N10</f>
        <v>1.4329044591618559E-3</v>
      </c>
      <c r="O10" s="9">
        <f>(TOT_POP_Projection!P10-TOT_POP_Projection!O10)/TOT_POP_Projection!O10</f>
        <v>1.4308541818243096E-3</v>
      </c>
      <c r="P10" s="9">
        <f>(TOT_POP_Projection!Q10-TOT_POP_Projection!P10)/TOT_POP_Projection!P10</f>
        <v>1.4288097633993182E-3</v>
      </c>
      <c r="Q10" s="9">
        <f>(TOT_POP_Projection!R10-TOT_POP_Projection!Q10)/TOT_POP_Projection!Q10</f>
        <v>1.4267711788088994E-3</v>
      </c>
      <c r="R10" s="9">
        <f>(TOT_POP_Projection!S10-TOT_POP_Projection!R10)/TOT_POP_Projection!R10</f>
        <v>1.4247384031179885E-3</v>
      </c>
      <c r="S10" s="9">
        <f>(TOT_POP_Projection!T10-TOT_POP_Projection!S10)/TOT_POP_Projection!S10</f>
        <v>1.3844587437379086E-3</v>
      </c>
      <c r="T10" s="9">
        <f>(TOT_POP_Projection!U10-TOT_POP_Projection!T10)/TOT_POP_Projection!T10</f>
        <v>1.3825446676841251E-3</v>
      </c>
      <c r="U10" s="9">
        <f>(TOT_POP_Projection!V10-TOT_POP_Projection!U10)/TOT_POP_Projection!U10</f>
        <v>1.3806358769144836E-3</v>
      </c>
      <c r="V10" s="9">
        <f>(TOT_POP_Projection!W10-TOT_POP_Projection!V10)/TOT_POP_Projection!V10</f>
        <v>1.3787323495680075E-3</v>
      </c>
      <c r="W10" s="9">
        <f>(TOT_POP_Projection!X10-TOT_POP_Projection!W10)/TOT_POP_Projection!W10</f>
        <v>1.3768340639043325E-3</v>
      </c>
      <c r="X10" s="9">
        <f>(TOT_POP_Projection!Y10-TOT_POP_Projection!X10)/TOT_POP_Projection!X10</f>
        <v>1.2937564452888723E-3</v>
      </c>
      <c r="Y10" s="9">
        <f>(TOT_POP_Projection!Z10-TOT_POP_Projection!Y10)/TOT_POP_Projection!Y10</f>
        <v>1.2920848022481039E-3</v>
      </c>
      <c r="Z10" s="9">
        <f>(TOT_POP_Projection!AA10-TOT_POP_Projection!Z10)/TOT_POP_Projection!Z10</f>
        <v>1.2904174734421139E-3</v>
      </c>
      <c r="AA10" s="9">
        <f>(TOT_POP_Projection!AB10-TOT_POP_Projection!AA10)/TOT_POP_Projection!AA10</f>
        <v>1.2887544421909347E-3</v>
      </c>
      <c r="AB10" s="9">
        <f>(TOT_POP_Projection!AC10-TOT_POP_Projection!AB10)/TOT_POP_Projection!AB10</f>
        <v>1.2870956919006887E-3</v>
      </c>
      <c r="AC10" s="9">
        <f>(TOT_POP_Projection!AD10-TOT_POP_Projection!AC10)/TOT_POP_Projection!AC10</f>
        <v>1.1129330829355711E-3</v>
      </c>
      <c r="AD10" s="9">
        <f>(TOT_POP_Projection!AE10-TOT_POP_Projection!AD10)/TOT_POP_Projection!AD10</f>
        <v>1.1116958398572322E-3</v>
      </c>
      <c r="AE10" s="9">
        <f>(TOT_POP_Projection!AF10-TOT_POP_Projection!AE10)/TOT_POP_Projection!AE10</f>
        <v>1.1104613446001181E-3</v>
      </c>
      <c r="AF10" s="9">
        <f>(TOT_POP_Projection!AG10-TOT_POP_Projection!AF10)/TOT_POP_Projection!AF10</f>
        <v>1.1092295880203347E-3</v>
      </c>
      <c r="AG10" s="9">
        <f>(TOT_POP_Projection!AH10-TOT_POP_Projection!AG10)/TOT_POP_Projection!AG10</f>
        <v>1.1080005610147286E-3</v>
      </c>
    </row>
    <row r="11" spans="1:33" x14ac:dyDescent="0.3">
      <c r="A11" s="1" t="s">
        <v>9</v>
      </c>
      <c r="B11" s="9">
        <f>(TOT_POP_Projection!C11-TOT_POP_Projection!B11)/TOT_POP_Projection!B11</f>
        <v>-1.9294093165636184E-3</v>
      </c>
      <c r="C11" s="9">
        <f>(TOT_POP_Projection!D11-TOT_POP_Projection!C11)/TOT_POP_Projection!C11</f>
        <v>9.642694990510384E-3</v>
      </c>
      <c r="D11" s="9">
        <f>(TOT_POP_Projection!E11-TOT_POP_Projection!D11)/TOT_POP_Projection!D11</f>
        <v>-1.6831544750822048E-3</v>
      </c>
      <c r="E11" s="9">
        <f>(TOT_POP_Projection!F11-TOT_POP_Projection!E11)/TOT_POP_Projection!E11</f>
        <v>-1.6859922605004202E-3</v>
      </c>
      <c r="F11" s="9">
        <f>(TOT_POP_Projection!G11-TOT_POP_Projection!F11)/TOT_POP_Projection!F11</f>
        <v>-1.6888396310475926E-3</v>
      </c>
      <c r="G11" s="9">
        <f>(TOT_POP_Projection!H11-TOT_POP_Projection!G11)/TOT_POP_Projection!G11</f>
        <v>-1.691696635369114E-3</v>
      </c>
      <c r="H11" s="9">
        <f>(TOT_POP_Projection!I11-TOT_POP_Projection!H11)/TOT_POP_Projection!H11</f>
        <v>-1.6945633224403453E-3</v>
      </c>
      <c r="I11" s="9">
        <f>(TOT_POP_Projection!J11-TOT_POP_Projection!I11)/TOT_POP_Projection!I11</f>
        <v>-4.5820825121832207E-3</v>
      </c>
      <c r="J11" s="9">
        <f>(TOT_POP_Projection!K11-TOT_POP_Projection!J11)/TOT_POP_Projection!J11</f>
        <v>-4.603174638193412E-3</v>
      </c>
      <c r="K11" s="9">
        <f>(TOT_POP_Projection!L11-TOT_POP_Projection!K11)/TOT_POP_Projection!K11</f>
        <v>-4.6244618436674751E-3</v>
      </c>
      <c r="L11" s="9">
        <f>(TOT_POP_Projection!M11-TOT_POP_Projection!L11)/TOT_POP_Projection!L11</f>
        <v>-4.6459468475918706E-3</v>
      </c>
      <c r="M11" s="9">
        <f>(TOT_POP_Projection!N11-TOT_POP_Projection!M11)/TOT_POP_Projection!M11</f>
        <v>-4.6676324197180994E-3</v>
      </c>
      <c r="N11" s="9">
        <f>(TOT_POP_Projection!O11-TOT_POP_Projection!N11)/TOT_POP_Projection!N11</f>
        <v>-4.8959451769824969E-3</v>
      </c>
      <c r="O11" s="9">
        <f>(TOT_POP_Projection!P11-TOT_POP_Projection!O11)/TOT_POP_Projection!O11</f>
        <v>-4.9200333907324463E-3</v>
      </c>
      <c r="P11" s="9">
        <f>(TOT_POP_Projection!Q11-TOT_POP_Projection!P11)/TOT_POP_Projection!P11</f>
        <v>-4.9443598060741265E-3</v>
      </c>
      <c r="Q11" s="9">
        <f>(TOT_POP_Projection!R11-TOT_POP_Projection!Q11)/TOT_POP_Projection!Q11</f>
        <v>-4.9689279738271948E-3</v>
      </c>
      <c r="R11" s="9">
        <f>(TOT_POP_Projection!S11-TOT_POP_Projection!R11)/TOT_POP_Projection!R11</f>
        <v>-4.9937415157385607E-3</v>
      </c>
      <c r="S11" s="9">
        <f>(TOT_POP_Projection!T11-TOT_POP_Projection!S11)/TOT_POP_Projection!S11</f>
        <v>-4.9223723005388858E-3</v>
      </c>
      <c r="T11" s="9">
        <f>(TOT_POP_Projection!U11-TOT_POP_Projection!T11)/TOT_POP_Projection!T11</f>
        <v>-4.9467219074345098E-3</v>
      </c>
      <c r="U11" s="9">
        <f>(TOT_POP_Projection!V11-TOT_POP_Projection!U11)/TOT_POP_Projection!U11</f>
        <v>-4.9713136133946161E-3</v>
      </c>
      <c r="V11" s="9">
        <f>(TOT_POP_Projection!W11-TOT_POP_Projection!V11)/TOT_POP_Projection!V11</f>
        <v>-4.9961510471096884E-3</v>
      </c>
      <c r="W11" s="9">
        <f>(TOT_POP_Projection!X11-TOT_POP_Projection!W11)/TOT_POP_Projection!W11</f>
        <v>-5.0212379101525397E-3</v>
      </c>
      <c r="X11" s="9">
        <f>(TOT_POP_Projection!Y11-TOT_POP_Projection!X11)/TOT_POP_Projection!X11</f>
        <v>-4.7995088561795926E-3</v>
      </c>
      <c r="Y11" s="9">
        <f>(TOT_POP_Projection!Z11-TOT_POP_Projection!Y11)/TOT_POP_Projection!Y11</f>
        <v>-4.8226552326791367E-3</v>
      </c>
      <c r="Z11" s="9">
        <f>(TOT_POP_Projection!AA11-TOT_POP_Projection!Z11)/TOT_POP_Projection!Z11</f>
        <v>-4.8460259450607826E-3</v>
      </c>
      <c r="AA11" s="9">
        <f>(TOT_POP_Projection!AB11-TOT_POP_Projection!AA11)/TOT_POP_Projection!AA11</f>
        <v>-4.8696242706189E-3</v>
      </c>
      <c r="AB11" s="9">
        <f>(TOT_POP_Projection!AC11-TOT_POP_Projection!AB11)/TOT_POP_Projection!AB11</f>
        <v>-4.8934535507968759E-3</v>
      </c>
      <c r="AC11" s="9">
        <f>(TOT_POP_Projection!AD11-TOT_POP_Projection!AC11)/TOT_POP_Projection!AC11</f>
        <v>-4.5603313241387852E-3</v>
      </c>
      <c r="AD11" s="9">
        <f>(TOT_POP_Projection!AE11-TOT_POP_Projection!AD11)/TOT_POP_Projection!AD11</f>
        <v>-4.5812232198913271E-3</v>
      </c>
      <c r="AE11" s="9">
        <f>(TOT_POP_Projection!AF11-TOT_POP_Projection!AE11)/TOT_POP_Projection!AE11</f>
        <v>-4.6023074174974445E-3</v>
      </c>
      <c r="AF11" s="9">
        <f>(TOT_POP_Projection!AG11-TOT_POP_Projection!AF11)/TOT_POP_Projection!AF11</f>
        <v>-4.623586584329948E-3</v>
      </c>
      <c r="AG11" s="9">
        <f>(TOT_POP_Projection!AH11-TOT_POP_Projection!AG11)/TOT_POP_Projection!AG11</f>
        <v>-4.6450634373221122E-3</v>
      </c>
    </row>
    <row r="12" spans="1:33" x14ac:dyDescent="0.3">
      <c r="A12" s="1" t="s">
        <v>82</v>
      </c>
      <c r="B12" s="9">
        <f>(TOT_POP_Projection!C12-TOT_POP_Projection!B12)/TOT_POP_Projection!B12</f>
        <v>6.6396781385626808E-3</v>
      </c>
      <c r="C12" s="9">
        <f>(TOT_POP_Projection!D12-TOT_POP_Projection!C12)/TOT_POP_Projection!C12</f>
        <v>5.1209532733717852E-2</v>
      </c>
      <c r="D12" s="9">
        <f>(TOT_POP_Projection!E12-TOT_POP_Projection!D12)/TOT_POP_Projection!D12</f>
        <v>-3.0301719384265161E-3</v>
      </c>
      <c r="E12" s="9">
        <f>(TOT_POP_Projection!F12-TOT_POP_Projection!E12)/TOT_POP_Projection!E12</f>
        <v>-3.0393817878301634E-3</v>
      </c>
      <c r="F12" s="9">
        <f>(TOT_POP_Projection!G12-TOT_POP_Projection!F12)/TOT_POP_Projection!F12</f>
        <v>-3.0486477924079169E-3</v>
      </c>
      <c r="G12" s="9">
        <f>(TOT_POP_Projection!H12-TOT_POP_Projection!G12)/TOT_POP_Projection!G12</f>
        <v>-3.0579704673223676E-3</v>
      </c>
      <c r="H12" s="9">
        <f>(TOT_POP_Projection!I12-TOT_POP_Projection!H12)/TOT_POP_Projection!H12</f>
        <v>-3.0673503340564556E-3</v>
      </c>
      <c r="I12" s="9">
        <f>(TOT_POP_Projection!J12-TOT_POP_Projection!I12)/TOT_POP_Projection!I12</f>
        <v>7.4303909481599727E-3</v>
      </c>
      <c r="J12" s="9">
        <f>(TOT_POP_Projection!K12-TOT_POP_Projection!J12)/TOT_POP_Projection!J12</f>
        <v>7.3755874499346159E-3</v>
      </c>
      <c r="K12" s="9">
        <f>(TOT_POP_Projection!L12-TOT_POP_Projection!K12)/TOT_POP_Projection!K12</f>
        <v>7.3215864488091684E-3</v>
      </c>
      <c r="L12" s="9">
        <f>(TOT_POP_Projection!M12-TOT_POP_Projection!L12)/TOT_POP_Projection!L12</f>
        <v>7.2683704462450155E-3</v>
      </c>
      <c r="M12" s="9">
        <f>(TOT_POP_Projection!N12-TOT_POP_Projection!M12)/TOT_POP_Projection!M12</f>
        <v>7.2159224487755571E-3</v>
      </c>
      <c r="N12" s="9">
        <f>(TOT_POP_Projection!O12-TOT_POP_Projection!N12)/TOT_POP_Projection!N12</f>
        <v>5.8139982611094126E-3</v>
      </c>
      <c r="O12" s="9">
        <f>(TOT_POP_Projection!P12-TOT_POP_Projection!O12)/TOT_POP_Projection!O12</f>
        <v>5.780391077436664E-3</v>
      </c>
      <c r="P12" s="9">
        <f>(TOT_POP_Projection!Q12-TOT_POP_Projection!P12)/TOT_POP_Projection!P12</f>
        <v>5.7471701861720051E-3</v>
      </c>
      <c r="Q12" s="9">
        <f>(TOT_POP_Projection!R12-TOT_POP_Projection!Q12)/TOT_POP_Projection!Q12</f>
        <v>5.7143289651097476E-3</v>
      </c>
      <c r="R12" s="9">
        <f>(TOT_POP_Projection!S12-TOT_POP_Projection!R12)/TOT_POP_Projection!R12</f>
        <v>5.6818609425501919E-3</v>
      </c>
      <c r="S12" s="9">
        <f>(TOT_POP_Projection!T12-TOT_POP_Projection!S12)/TOT_POP_Projection!S12</f>
        <v>4.8686113606157431E-3</v>
      </c>
      <c r="T12" s="9">
        <f>(TOT_POP_Projection!U12-TOT_POP_Projection!T12)/TOT_POP_Projection!T12</f>
        <v>4.8450228274356478E-3</v>
      </c>
      <c r="U12" s="9">
        <f>(TOT_POP_Projection!V12-TOT_POP_Projection!U12)/TOT_POP_Projection!U12</f>
        <v>4.8216617661126582E-3</v>
      </c>
      <c r="V12" s="9">
        <f>(TOT_POP_Projection!W12-TOT_POP_Projection!V12)/TOT_POP_Projection!V12</f>
        <v>4.7985249020586623E-3</v>
      </c>
      <c r="W12" s="9">
        <f>(TOT_POP_Projection!X12-TOT_POP_Projection!W12)/TOT_POP_Projection!W12</f>
        <v>4.775609023238158E-3</v>
      </c>
      <c r="X12" s="9">
        <f>(TOT_POP_Projection!Y12-TOT_POP_Projection!X12)/TOT_POP_Projection!X12</f>
        <v>4.0872746255181105E-3</v>
      </c>
      <c r="Y12" s="9">
        <f>(TOT_POP_Projection!Z12-TOT_POP_Projection!Y12)/TOT_POP_Projection!Y12</f>
        <v>4.070636814954647E-3</v>
      </c>
      <c r="Z12" s="9">
        <f>(TOT_POP_Projection!AA12-TOT_POP_Projection!Z12)/TOT_POP_Projection!Z12</f>
        <v>4.0541339082151105E-3</v>
      </c>
      <c r="AA12" s="9">
        <f>(TOT_POP_Projection!AB12-TOT_POP_Projection!AA12)/TOT_POP_Projection!AA12</f>
        <v>4.0377642711699807E-3</v>
      </c>
      <c r="AB12" s="9">
        <f>(TOT_POP_Projection!AC12-TOT_POP_Projection!AB12)/TOT_POP_Projection!AB12</f>
        <v>4.0215262959761647E-3</v>
      </c>
      <c r="AC12" s="9">
        <f>(TOT_POP_Projection!AD12-TOT_POP_Projection!AC12)/TOT_POP_Projection!AC12</f>
        <v>3.2324416235582432E-3</v>
      </c>
      <c r="AD12" s="9">
        <f>(TOT_POP_Projection!AE12-TOT_POP_Projection!AD12)/TOT_POP_Projection!AD12</f>
        <v>3.2220266106298308E-3</v>
      </c>
      <c r="AE12" s="9">
        <f>(TOT_POP_Projection!AF12-TOT_POP_Projection!AE12)/TOT_POP_Projection!AE12</f>
        <v>3.2116784970475563E-3</v>
      </c>
      <c r="AF12" s="9">
        <f>(TOT_POP_Projection!AG12-TOT_POP_Projection!AF12)/TOT_POP_Projection!AF12</f>
        <v>3.2013966402973928E-3</v>
      </c>
      <c r="AG12" s="9">
        <f>(TOT_POP_Projection!AH12-TOT_POP_Projection!AG12)/TOT_POP_Projection!AG12</f>
        <v>3.1911804060666548E-3</v>
      </c>
    </row>
    <row r="13" spans="1:33" x14ac:dyDescent="0.3">
      <c r="A13" s="1" t="s">
        <v>11</v>
      </c>
      <c r="B13" s="9">
        <f>(TOT_POP_Projection!C13-TOT_POP_Projection!B13)/TOT_POP_Projection!B13</f>
        <v>1.7268323565845935E-2</v>
      </c>
      <c r="C13" s="9">
        <f>(TOT_POP_Projection!D13-TOT_POP_Projection!C13)/TOT_POP_Projection!C13</f>
        <v>8.5047024531914595E-3</v>
      </c>
      <c r="D13" s="9">
        <f>(TOT_POP_Projection!E13-TOT_POP_Projection!D13)/TOT_POP_Projection!D13</f>
        <v>1.6485345101927378E-2</v>
      </c>
      <c r="E13" s="9">
        <f>(TOT_POP_Projection!F13-TOT_POP_Projection!E13)/TOT_POP_Projection!E13</f>
        <v>1.6217986005764129E-2</v>
      </c>
      <c r="F13" s="9">
        <f>(TOT_POP_Projection!G13-TOT_POP_Projection!F13)/TOT_POP_Projection!F13</f>
        <v>1.5959160563088222E-2</v>
      </c>
      <c r="G13" s="9">
        <f>(TOT_POP_Projection!H13-TOT_POP_Projection!G13)/TOT_POP_Projection!G13</f>
        <v>1.5708466622066746E-2</v>
      </c>
      <c r="H13" s="9">
        <f>(TOT_POP_Projection!I13-TOT_POP_Projection!H13)/TOT_POP_Projection!H13</f>
        <v>1.5465526908826554E-2</v>
      </c>
      <c r="I13" s="9">
        <f>(TOT_POP_Projection!J13-TOT_POP_Projection!I13)/TOT_POP_Projection!I13</f>
        <v>1.4793489552025437E-2</v>
      </c>
      <c r="J13" s="9">
        <f>(TOT_POP_Projection!K13-TOT_POP_Projection!J13)/TOT_POP_Projection!J13</f>
        <v>1.4577832538673395E-2</v>
      </c>
      <c r="K13" s="9">
        <f>(TOT_POP_Projection!L13-TOT_POP_Projection!K13)/TOT_POP_Projection!K13</f>
        <v>1.4368372806053518E-2</v>
      </c>
      <c r="L13" s="9">
        <f>(TOT_POP_Projection!M13-TOT_POP_Projection!L13)/TOT_POP_Projection!L13</f>
        <v>1.4164847003565578E-2</v>
      </c>
      <c r="M13" s="9">
        <f>(TOT_POP_Projection!N13-TOT_POP_Projection!M13)/TOT_POP_Projection!M13</f>
        <v>1.3967006493487127E-2</v>
      </c>
      <c r="N13" s="9">
        <f>(TOT_POP_Projection!O13-TOT_POP_Projection!N13)/TOT_POP_Projection!N13</f>
        <v>1.3109388550170969E-2</v>
      </c>
      <c r="O13" s="9">
        <f>(TOT_POP_Projection!P13-TOT_POP_Projection!O13)/TOT_POP_Projection!O13</f>
        <v>1.2939756257644994E-2</v>
      </c>
      <c r="P13" s="9">
        <f>(TOT_POP_Projection!Q13-TOT_POP_Projection!P13)/TOT_POP_Projection!P13</f>
        <v>1.277445788627307E-2</v>
      </c>
      <c r="Q13" s="9">
        <f>(TOT_POP_Projection!R13-TOT_POP_Projection!Q13)/TOT_POP_Projection!Q13</f>
        <v>1.261332944052934E-2</v>
      </c>
      <c r="R13" s="9">
        <f>(TOT_POP_Projection!S13-TOT_POP_Projection!R13)/TOT_POP_Projection!R13</f>
        <v>1.2456215095942495E-2</v>
      </c>
      <c r="S13" s="9">
        <f>(TOT_POP_Projection!T13-TOT_POP_Projection!S13)/TOT_POP_Projection!S13</f>
        <v>1.1741233171180259E-2</v>
      </c>
      <c r="T13" s="9">
        <f>(TOT_POP_Projection!U13-TOT_POP_Projection!T13)/TOT_POP_Projection!T13</f>
        <v>1.1604976436888697E-2</v>
      </c>
      <c r="U13" s="9">
        <f>(TOT_POP_Projection!V13-TOT_POP_Projection!U13)/TOT_POP_Projection!U13</f>
        <v>1.1471845935123966E-2</v>
      </c>
      <c r="V13" s="9">
        <f>(TOT_POP_Projection!W13-TOT_POP_Projection!V13)/TOT_POP_Projection!V13</f>
        <v>1.1341735295180694E-2</v>
      </c>
      <c r="W13" s="9">
        <f>(TOT_POP_Projection!X13-TOT_POP_Projection!W13)/TOT_POP_Projection!W13</f>
        <v>1.1214542917948874E-2</v>
      </c>
      <c r="X13" s="9">
        <f>(TOT_POP_Projection!Y13-TOT_POP_Projection!X13)/TOT_POP_Projection!X13</f>
        <v>1.036026595783926E-2</v>
      </c>
      <c r="Y13" s="9">
        <f>(TOT_POP_Projection!Z13-TOT_POP_Projection!Y13)/TOT_POP_Projection!Y13</f>
        <v>1.025403146472466E-2</v>
      </c>
      <c r="Z13" s="9">
        <f>(TOT_POP_Projection!AA13-TOT_POP_Projection!Z13)/TOT_POP_Projection!Z13</f>
        <v>1.0149953521945143E-2</v>
      </c>
      <c r="AA13" s="9">
        <f>(TOT_POP_Projection!AB13-TOT_POP_Projection!AA13)/TOT_POP_Projection!AA13</f>
        <v>1.0047967122660109E-2</v>
      </c>
      <c r="AB13" s="9">
        <f>(TOT_POP_Projection!AC13-TOT_POP_Projection!AB13)/TOT_POP_Projection!AB13</f>
        <v>9.9480098467835624E-3</v>
      </c>
      <c r="AC13" s="9">
        <f>(TOT_POP_Projection!AD13-TOT_POP_Projection!AC13)/TOT_POP_Projection!AC13</f>
        <v>8.8275725334225428E-3</v>
      </c>
      <c r="AD13" s="9">
        <f>(TOT_POP_Projection!AE13-TOT_POP_Projection!AD13)/TOT_POP_Projection!AD13</f>
        <v>8.7503283750009573E-3</v>
      </c>
      <c r="AE13" s="9">
        <f>(TOT_POP_Projection!AF13-TOT_POP_Projection!AE13)/TOT_POP_Projection!AE13</f>
        <v>8.674424313791191E-3</v>
      </c>
      <c r="AF13" s="9">
        <f>(TOT_POP_Projection!AG13-TOT_POP_Projection!AF13)/TOT_POP_Projection!AF13</f>
        <v>8.5998257759856145E-3</v>
      </c>
      <c r="AG13" s="9">
        <f>(TOT_POP_Projection!AH13-TOT_POP_Projection!AG13)/TOT_POP_Projection!AG13</f>
        <v>8.5264993669507856E-3</v>
      </c>
    </row>
    <row r="14" spans="1:33" x14ac:dyDescent="0.3">
      <c r="A14" s="1" t="s">
        <v>12</v>
      </c>
      <c r="B14" s="9">
        <f>(TOT_POP_Projection!C14-TOT_POP_Projection!B14)/TOT_POP_Projection!B14</f>
        <v>2.6776861441750528E-2</v>
      </c>
      <c r="C14" s="9">
        <f>(TOT_POP_Projection!D14-TOT_POP_Projection!C14)/TOT_POP_Projection!C14</f>
        <v>-1.1292979880867084E-2</v>
      </c>
      <c r="D14" s="9">
        <f>(TOT_POP_Projection!E14-TOT_POP_Projection!D14)/TOT_POP_Projection!D14</f>
        <v>2.6765579609897925E-2</v>
      </c>
      <c r="E14" s="9">
        <f>(TOT_POP_Projection!F14-TOT_POP_Projection!E14)/TOT_POP_Projection!E14</f>
        <v>2.6067858274005495E-2</v>
      </c>
      <c r="F14" s="9">
        <f>(TOT_POP_Projection!G14-TOT_POP_Projection!F14)/TOT_POP_Projection!F14</f>
        <v>2.5405588981079089E-2</v>
      </c>
      <c r="G14" s="9">
        <f>(TOT_POP_Projection!H14-TOT_POP_Projection!G14)/TOT_POP_Projection!G14</f>
        <v>2.4776136637136934E-2</v>
      </c>
      <c r="H14" s="9">
        <f>(TOT_POP_Projection!I14-TOT_POP_Projection!H14)/TOT_POP_Projection!H14</f>
        <v>2.4177120984141452E-2</v>
      </c>
      <c r="I14" s="9">
        <f>(TOT_POP_Projection!J14-TOT_POP_Projection!I14)/TOT_POP_Projection!I14</f>
        <v>2.5316891387624087E-2</v>
      </c>
      <c r="J14" s="9">
        <f>(TOT_POP_Projection!K14-TOT_POP_Projection!J14)/TOT_POP_Projection!J14</f>
        <v>2.4691772465936054E-2</v>
      </c>
      <c r="K14" s="9">
        <f>(TOT_POP_Projection!L14-TOT_POP_Projection!K14)/TOT_POP_Projection!K14</f>
        <v>2.4096780250821119E-2</v>
      </c>
      <c r="L14" s="9">
        <f>(TOT_POP_Projection!M14-TOT_POP_Projection!L14)/TOT_POP_Projection!L14</f>
        <v>2.3529788117212274E-2</v>
      </c>
      <c r="M14" s="9">
        <f>(TOT_POP_Projection!N14-TOT_POP_Projection!M14)/TOT_POP_Projection!M14</f>
        <v>2.2988864994828408E-2</v>
      </c>
      <c r="N14" s="9">
        <f>(TOT_POP_Projection!O14-TOT_POP_Projection!N14)/TOT_POP_Projection!N14</f>
        <v>2.3491362344485078E-2</v>
      </c>
      <c r="O14" s="9">
        <f>(TOT_POP_Projection!P14-TOT_POP_Projection!O14)/TOT_POP_Projection!O14</f>
        <v>2.2952184267265356E-2</v>
      </c>
      <c r="P14" s="9">
        <f>(TOT_POP_Projection!Q14-TOT_POP_Projection!P14)/TOT_POP_Projection!P14</f>
        <v>2.2437201484354689E-2</v>
      </c>
      <c r="Q14" s="9">
        <f>(TOT_POP_Projection!R14-TOT_POP_Projection!Q14)/TOT_POP_Projection!Q14</f>
        <v>2.1944821111537012E-2</v>
      </c>
      <c r="R14" s="9">
        <f>(TOT_POP_Projection!S14-TOT_POP_Projection!R14)/TOT_POP_Projection!R14</f>
        <v>2.1473587084347982E-2</v>
      </c>
      <c r="S14" s="9">
        <f>(TOT_POP_Projection!T14-TOT_POP_Projection!S14)/TOT_POP_Projection!S14</f>
        <v>2.1623445019474993E-2</v>
      </c>
      <c r="T14" s="9">
        <f>(TOT_POP_Projection!U14-TOT_POP_Projection!T14)/TOT_POP_Projection!T14</f>
        <v>2.1165768194623596E-2</v>
      </c>
      <c r="U14" s="9">
        <f>(TOT_POP_Projection!V14-TOT_POP_Projection!U14)/TOT_POP_Projection!U14</f>
        <v>2.0727063963418741E-2</v>
      </c>
      <c r="V14" s="9">
        <f>(TOT_POP_Projection!W14-TOT_POP_Projection!V14)/TOT_POP_Projection!V14</f>
        <v>2.0306176543352206E-2</v>
      </c>
      <c r="W14" s="9">
        <f>(TOT_POP_Projection!X14-TOT_POP_Projection!W14)/TOT_POP_Projection!W14</f>
        <v>1.9902042161644751E-2</v>
      </c>
      <c r="X14" s="9">
        <f>(TOT_POP_Projection!Y14-TOT_POP_Projection!X14)/TOT_POP_Projection!X14</f>
        <v>1.971790132021288E-2</v>
      </c>
      <c r="Y14" s="9">
        <f>(TOT_POP_Projection!Z14-TOT_POP_Projection!Y14)/TOT_POP_Projection!Y14</f>
        <v>1.93366236825738E-2</v>
      </c>
      <c r="Z14" s="9">
        <f>(TOT_POP_Projection!AA14-TOT_POP_Projection!Z14)/TOT_POP_Projection!Z14</f>
        <v>1.896981157482213E-2</v>
      </c>
      <c r="AA14" s="9">
        <f>(TOT_POP_Projection!AB14-TOT_POP_Projection!AA14)/TOT_POP_Projection!AA14</f>
        <v>1.8616657097528931E-2</v>
      </c>
      <c r="AB14" s="9">
        <f>(TOT_POP_Projection!AC14-TOT_POP_Projection!AB14)/TOT_POP_Projection!AB14</f>
        <v>1.8276411413274383E-2</v>
      </c>
      <c r="AC14" s="9">
        <f>(TOT_POP_Projection!AD14-TOT_POP_Projection!AC14)/TOT_POP_Projection!AC14</f>
        <v>1.781415482051265E-2</v>
      </c>
      <c r="AD14" s="9">
        <f>(TOT_POP_Projection!AE14-TOT_POP_Projection!AD14)/TOT_POP_Projection!AD14</f>
        <v>1.7502364981015716E-2</v>
      </c>
      <c r="AE14" s="9">
        <f>(TOT_POP_Projection!AF14-TOT_POP_Projection!AE14)/TOT_POP_Projection!AE14</f>
        <v>1.7201301523601147E-2</v>
      </c>
      <c r="AF14" s="9">
        <f>(TOT_POP_Projection!AG14-TOT_POP_Projection!AF14)/TOT_POP_Projection!AF14</f>
        <v>1.6910420285381481E-2</v>
      </c>
      <c r="AG14" s="9">
        <f>(TOT_POP_Projection!AH14-TOT_POP_Projection!AG14)/TOT_POP_Projection!AG14</f>
        <v>1.6629213299472267E-2</v>
      </c>
    </row>
    <row r="15" spans="1:33" x14ac:dyDescent="0.3">
      <c r="A15" s="1" t="s">
        <v>83</v>
      </c>
      <c r="B15" s="9">
        <f>(TOT_POP_Projection!C15-TOT_POP_Projection!B15)/TOT_POP_Projection!B15</f>
        <v>9.758525622702555E-3</v>
      </c>
      <c r="C15" s="9">
        <f>(TOT_POP_Projection!D15-TOT_POP_Projection!C15)/TOT_POP_Projection!C15</f>
        <v>4.773612718459037E-3</v>
      </c>
      <c r="D15" s="9">
        <f>(TOT_POP_Projection!E15-TOT_POP_Projection!D15)/TOT_POP_Projection!D15</f>
        <v>8.5322658785753989E-3</v>
      </c>
      <c r="E15" s="9">
        <f>(TOT_POP_Projection!F15-TOT_POP_Projection!E15)/TOT_POP_Projection!E15</f>
        <v>8.4600822078236427E-3</v>
      </c>
      <c r="F15" s="9">
        <f>(TOT_POP_Projection!G15-TOT_POP_Projection!F15)/TOT_POP_Projection!F15</f>
        <v>8.3891096505297139E-3</v>
      </c>
      <c r="G15" s="9">
        <f>(TOT_POP_Projection!H15-TOT_POP_Projection!G15)/TOT_POP_Projection!G15</f>
        <v>8.3193179797797188E-3</v>
      </c>
      <c r="H15" s="9">
        <f>(TOT_POP_Projection!I15-TOT_POP_Projection!H15)/TOT_POP_Projection!H15</f>
        <v>8.2506779662300054E-3</v>
      </c>
      <c r="I15" s="9">
        <f>(TOT_POP_Projection!J15-TOT_POP_Projection!I15)/TOT_POP_Projection!I15</f>
        <v>6.7975390628839602E-3</v>
      </c>
      <c r="J15" s="9">
        <f>(TOT_POP_Projection!K15-TOT_POP_Projection!J15)/TOT_POP_Projection!J15</f>
        <v>6.7516444956858303E-3</v>
      </c>
      <c r="K15" s="9">
        <f>(TOT_POP_Projection!L15-TOT_POP_Projection!K15)/TOT_POP_Projection!K15</f>
        <v>6.7063654999718874E-3</v>
      </c>
      <c r="L15" s="9">
        <f>(TOT_POP_Projection!M15-TOT_POP_Projection!L15)/TOT_POP_Projection!L15</f>
        <v>6.6616897735033492E-3</v>
      </c>
      <c r="M15" s="9">
        <f>(TOT_POP_Projection!N15-TOT_POP_Projection!M15)/TOT_POP_Projection!M15</f>
        <v>6.6176053396869872E-3</v>
      </c>
      <c r="N15" s="9">
        <f>(TOT_POP_Projection!O15-TOT_POP_Projection!N15)/TOT_POP_Projection!N15</f>
        <v>5.0102417862681091E-3</v>
      </c>
      <c r="O15" s="9">
        <f>(TOT_POP_Projection!P15-TOT_POP_Projection!O15)/TOT_POP_Projection!O15</f>
        <v>4.9852644062244478E-3</v>
      </c>
      <c r="P15" s="9">
        <f>(TOT_POP_Projection!Q15-TOT_POP_Projection!P15)/TOT_POP_Projection!P15</f>
        <v>4.9605348285080503E-3</v>
      </c>
      <c r="Q15" s="9">
        <f>(TOT_POP_Projection!R15-TOT_POP_Projection!Q15)/TOT_POP_Projection!Q15</f>
        <v>4.9360493836253412E-3</v>
      </c>
      <c r="R15" s="9">
        <f>(TOT_POP_Projection!S15-TOT_POP_Projection!R15)/TOT_POP_Projection!R15</f>
        <v>4.9118044741776543E-3</v>
      </c>
      <c r="S15" s="9">
        <f>(TOT_POP_Projection!T15-TOT_POP_Projection!S15)/TOT_POP_Projection!S15</f>
        <v>3.6305892454040665E-3</v>
      </c>
      <c r="T15" s="9">
        <f>(TOT_POP_Projection!U15-TOT_POP_Projection!T15)/TOT_POP_Projection!T15</f>
        <v>3.6174557494643364E-3</v>
      </c>
      <c r="U15" s="9">
        <f>(TOT_POP_Projection!V15-TOT_POP_Projection!U15)/TOT_POP_Projection!U15</f>
        <v>3.6044169307148551E-3</v>
      </c>
      <c r="V15" s="9">
        <f>(TOT_POP_Projection!W15-TOT_POP_Projection!V15)/TOT_POP_Projection!V15</f>
        <v>3.5914717690642556E-3</v>
      </c>
      <c r="W15" s="9">
        <f>(TOT_POP_Projection!X15-TOT_POP_Projection!W15)/TOT_POP_Projection!W15</f>
        <v>3.5786192590236674E-3</v>
      </c>
      <c r="X15" s="9">
        <f>(TOT_POP_Projection!Y15-TOT_POP_Projection!X15)/TOT_POP_Projection!X15</f>
        <v>2.3916333217757508E-3</v>
      </c>
      <c r="Y15" s="9">
        <f>(TOT_POP_Projection!Z15-TOT_POP_Projection!Y15)/TOT_POP_Projection!Y15</f>
        <v>2.3859270591178377E-3</v>
      </c>
      <c r="Z15" s="9">
        <f>(TOT_POP_Projection!AA15-TOT_POP_Projection!Z15)/TOT_POP_Projection!Z15</f>
        <v>2.3802479611000392E-3</v>
      </c>
      <c r="AA15" s="9">
        <f>(TOT_POP_Projection!AB15-TOT_POP_Projection!AA15)/TOT_POP_Projection!AA15</f>
        <v>2.3745958342072308E-3</v>
      </c>
      <c r="AB15" s="9">
        <f>(TOT_POP_Projection!AC15-TOT_POP_Projection!AB15)/TOT_POP_Projection!AB15</f>
        <v>2.3689704867575975E-3</v>
      </c>
      <c r="AC15" s="9">
        <f>(TOT_POP_Projection!AD15-TOT_POP_Projection!AC15)/TOT_POP_Projection!AC15</f>
        <v>1.3472470470539042E-3</v>
      </c>
      <c r="AD15" s="9">
        <f>(TOT_POP_Projection!AE15-TOT_POP_Projection!AD15)/TOT_POP_Projection!AD15</f>
        <v>1.3454344145119484E-3</v>
      </c>
      <c r="AE15" s="9">
        <f>(TOT_POP_Projection!AF15-TOT_POP_Projection!AE15)/TOT_POP_Projection!AE15</f>
        <v>1.3436266529727832E-3</v>
      </c>
      <c r="AF15" s="9">
        <f>(TOT_POP_Projection!AG15-TOT_POP_Projection!AF15)/TOT_POP_Projection!AF15</f>
        <v>1.3418237428283273E-3</v>
      </c>
      <c r="AG15" s="9">
        <f>(TOT_POP_Projection!AH15-TOT_POP_Projection!AG15)/TOT_POP_Projection!AG15</f>
        <v>1.3400256645758079E-3</v>
      </c>
    </row>
    <row r="16" spans="1:33" x14ac:dyDescent="0.3">
      <c r="A16" s="1" t="s">
        <v>14</v>
      </c>
      <c r="B16" s="9">
        <f>(TOT_POP_Projection!C16-TOT_POP_Projection!B16)/TOT_POP_Projection!B16</f>
        <v>1.1077271285825906E-2</v>
      </c>
      <c r="C16" s="9">
        <f>(TOT_POP_Projection!D16-TOT_POP_Projection!C16)/TOT_POP_Projection!C16</f>
        <v>5.285850768198248E-3</v>
      </c>
      <c r="D16" s="9">
        <f>(TOT_POP_Projection!E16-TOT_POP_Projection!D16)/TOT_POP_Projection!D16</f>
        <v>9.8642587566398852E-3</v>
      </c>
      <c r="E16" s="9">
        <f>(TOT_POP_Projection!F16-TOT_POP_Projection!E16)/TOT_POP_Projection!E16</f>
        <v>9.767905608210066E-3</v>
      </c>
      <c r="F16" s="9">
        <f>(TOT_POP_Projection!G16-TOT_POP_Projection!F16)/TOT_POP_Projection!F16</f>
        <v>9.6734165880689154E-3</v>
      </c>
      <c r="G16" s="9">
        <f>(TOT_POP_Projection!H16-TOT_POP_Projection!G16)/TOT_POP_Projection!G16</f>
        <v>9.5807381170415814E-3</v>
      </c>
      <c r="H16" s="9">
        <f>(TOT_POP_Projection!I16-TOT_POP_Projection!H16)/TOT_POP_Projection!H16</f>
        <v>9.489818649779944E-3</v>
      </c>
      <c r="I16" s="9">
        <f>(TOT_POP_Projection!J16-TOT_POP_Projection!I16)/TOT_POP_Projection!I16</f>
        <v>9.4401522434505395E-3</v>
      </c>
      <c r="J16" s="9">
        <f>(TOT_POP_Projection!K16-TOT_POP_Projection!J16)/TOT_POP_Projection!J16</f>
        <v>9.35186917468072E-3</v>
      </c>
      <c r="K16" s="9">
        <f>(TOT_POP_Projection!L16-TOT_POP_Projection!K16)/TOT_POP_Projection!K16</f>
        <v>9.2652220303782538E-3</v>
      </c>
      <c r="L16" s="9">
        <f>(TOT_POP_Projection!M16-TOT_POP_Projection!L16)/TOT_POP_Projection!L16</f>
        <v>9.1801657563698128E-3</v>
      </c>
      <c r="M16" s="9">
        <f>(TOT_POP_Projection!N16-TOT_POP_Projection!M16)/TOT_POP_Projection!M16</f>
        <v>9.0966569378516174E-3</v>
      </c>
      <c r="N16" s="9">
        <f>(TOT_POP_Projection!O16-TOT_POP_Projection!N16)/TOT_POP_Projection!N16</f>
        <v>7.856798532532204E-3</v>
      </c>
      <c r="O16" s="9">
        <f>(TOT_POP_Projection!P16-TOT_POP_Projection!O16)/TOT_POP_Projection!O16</f>
        <v>7.7955504630934907E-3</v>
      </c>
      <c r="P16" s="9">
        <f>(TOT_POP_Projection!Q16-TOT_POP_Projection!P16)/TOT_POP_Projection!P16</f>
        <v>7.7352499319046867E-3</v>
      </c>
      <c r="Q16" s="9">
        <f>(TOT_POP_Projection!R16-TOT_POP_Projection!Q16)/TOT_POP_Projection!Q16</f>
        <v>7.6758751194100725E-3</v>
      </c>
      <c r="R16" s="9">
        <f>(TOT_POP_Projection!S16-TOT_POP_Projection!R16)/TOT_POP_Projection!R16</f>
        <v>7.6174048708869376E-3</v>
      </c>
      <c r="S16" s="9">
        <f>(TOT_POP_Projection!T16-TOT_POP_Projection!S16)/TOT_POP_Projection!S16</f>
        <v>6.308688653334023E-3</v>
      </c>
      <c r="T16" s="9">
        <f>(TOT_POP_Projection!U16-TOT_POP_Projection!T16)/TOT_POP_Projection!T16</f>
        <v>6.2691386097206998E-3</v>
      </c>
      <c r="U16" s="9">
        <f>(TOT_POP_Projection!V16-TOT_POP_Projection!U16)/TOT_POP_Projection!U16</f>
        <v>6.2300813660868632E-3</v>
      </c>
      <c r="V16" s="9">
        <f>(TOT_POP_Projection!W16-TOT_POP_Projection!V16)/TOT_POP_Projection!V16</f>
        <v>6.1915077689078087E-3</v>
      </c>
      <c r="W16" s="9">
        <f>(TOT_POP_Projection!X16-TOT_POP_Projection!W16)/TOT_POP_Projection!W16</f>
        <v>6.1534088899603528E-3</v>
      </c>
      <c r="X16" s="9">
        <f>(TOT_POP_Projection!Y16-TOT_POP_Projection!X16)/TOT_POP_Projection!X16</f>
        <v>4.7952251571639296E-3</v>
      </c>
      <c r="Y16" s="9">
        <f>(TOT_POP_Projection!Z16-TOT_POP_Projection!Y16)/TOT_POP_Projection!Y16</f>
        <v>4.7723407089378736E-3</v>
      </c>
      <c r="Z16" s="9">
        <f>(TOT_POP_Projection!AA16-TOT_POP_Projection!Z16)/TOT_POP_Projection!Z16</f>
        <v>4.7496736480331951E-3</v>
      </c>
      <c r="AA16" s="9">
        <f>(TOT_POP_Projection!AB16-TOT_POP_Projection!AA16)/TOT_POP_Projection!AA16</f>
        <v>4.7272208915362336E-3</v>
      </c>
      <c r="AB16" s="9">
        <f>(TOT_POP_Projection!AC16-TOT_POP_Projection!AB16)/TOT_POP_Projection!AB16</f>
        <v>4.7049794145537149E-3</v>
      </c>
      <c r="AC16" s="9">
        <f>(TOT_POP_Projection!AD16-TOT_POP_Projection!AC16)/TOT_POP_Projection!AC16</f>
        <v>3.4431299156699024E-3</v>
      </c>
      <c r="AD16" s="9">
        <f>(TOT_POP_Projection!AE16-TOT_POP_Projection!AD16)/TOT_POP_Projection!AD16</f>
        <v>3.4313154507911829E-3</v>
      </c>
      <c r="AE16" s="9">
        <f>(TOT_POP_Projection!AF16-TOT_POP_Projection!AE16)/TOT_POP_Projection!AE16</f>
        <v>3.4195817869703076E-3</v>
      </c>
      <c r="AF16" s="9">
        <f>(TOT_POP_Projection!AG16-TOT_POP_Projection!AF16)/TOT_POP_Projection!AF16</f>
        <v>3.4079280981146902E-3</v>
      </c>
      <c r="AG16" s="9">
        <f>(TOT_POP_Projection!AH16-TOT_POP_Projection!AG16)/TOT_POP_Projection!AG16</f>
        <v>3.3963535693541493E-3</v>
      </c>
    </row>
    <row r="17" spans="1:33" x14ac:dyDescent="0.3">
      <c r="A17" s="1" t="s">
        <v>81</v>
      </c>
      <c r="B17" s="9">
        <f>(TOT_POP_Projection!C17-TOT_POP_Projection!B17)/TOT_POP_Projection!B17</f>
        <v>1.019499830276472E-2</v>
      </c>
      <c r="C17" s="9">
        <f>(TOT_POP_Projection!D17-TOT_POP_Projection!C17)/TOT_POP_Projection!C17</f>
        <v>5.0201168353349562E-2</v>
      </c>
      <c r="D17" s="9">
        <f>(TOT_POP_Projection!E17-TOT_POP_Projection!D17)/TOT_POP_Projection!D17</f>
        <v>8.1053949992002852E-3</v>
      </c>
      <c r="E17" s="9">
        <f>(TOT_POP_Projection!F17-TOT_POP_Projection!E17)/TOT_POP_Projection!E17</f>
        <v>8.0402257932631286E-3</v>
      </c>
      <c r="F17" s="9">
        <f>(TOT_POP_Projection!G17-TOT_POP_Projection!F17)/TOT_POP_Projection!F17</f>
        <v>7.9760961790349052E-3</v>
      </c>
      <c r="G17" s="9">
        <f>(TOT_POP_Projection!H17-TOT_POP_Projection!G17)/TOT_POP_Projection!G17</f>
        <v>7.9129814777058015E-3</v>
      </c>
      <c r="H17" s="9">
        <f>(TOT_POP_Projection!I17-TOT_POP_Projection!H17)/TOT_POP_Projection!H17</f>
        <v>7.8508577854649372E-3</v>
      </c>
      <c r="I17" s="9">
        <f>(TOT_POP_Projection!J17-TOT_POP_Projection!I17)/TOT_POP_Projection!I17</f>
        <v>7.3712259243419219E-3</v>
      </c>
      <c r="J17" s="9">
        <f>(TOT_POP_Projection!K17-TOT_POP_Projection!J17)/TOT_POP_Projection!J17</f>
        <v>7.3172885373793016E-3</v>
      </c>
      <c r="K17" s="9">
        <f>(TOT_POP_Projection!L17-TOT_POP_Projection!K17)/TOT_POP_Projection!K17</f>
        <v>7.2641347673124681E-3</v>
      </c>
      <c r="L17" s="9">
        <f>(TOT_POP_Projection!M17-TOT_POP_Projection!L17)/TOT_POP_Projection!L17</f>
        <v>7.2117476603994757E-3</v>
      </c>
      <c r="M17" s="9">
        <f>(TOT_POP_Projection!N17-TOT_POP_Projection!M17)/TOT_POP_Projection!M17</f>
        <v>7.160110748461423E-3</v>
      </c>
      <c r="N17" s="9">
        <f>(TOT_POP_Projection!O17-TOT_POP_Projection!N17)/TOT_POP_Projection!N17</f>
        <v>5.8962360603767817E-3</v>
      </c>
      <c r="O17" s="9">
        <f>(TOT_POP_Projection!P17-TOT_POP_Projection!O17)/TOT_POP_Projection!O17</f>
        <v>5.8616742453173592E-3</v>
      </c>
      <c r="P17" s="9">
        <f>(TOT_POP_Projection!Q17-TOT_POP_Projection!P17)/TOT_POP_Projection!P17</f>
        <v>5.8275152492665398E-3</v>
      </c>
      <c r="Q17" s="9">
        <f>(TOT_POP_Projection!R17-TOT_POP_Projection!Q17)/TOT_POP_Projection!Q17</f>
        <v>5.793752070723926E-3</v>
      </c>
      <c r="R17" s="9">
        <f>(TOT_POP_Projection!S17-TOT_POP_Projection!R17)/TOT_POP_Projection!R17</f>
        <v>5.7603778695142754E-3</v>
      </c>
      <c r="S17" s="9">
        <f>(TOT_POP_Projection!T17-TOT_POP_Projection!S17)/TOT_POP_Projection!S17</f>
        <v>4.3948513191254908E-3</v>
      </c>
      <c r="T17" s="9">
        <f>(TOT_POP_Projection!U17-TOT_POP_Projection!T17)/TOT_POP_Projection!T17</f>
        <v>4.3756211148966934E-3</v>
      </c>
      <c r="U17" s="9">
        <f>(TOT_POP_Projection!V17-TOT_POP_Projection!U17)/TOT_POP_Projection!U17</f>
        <v>4.3565584656859559E-3</v>
      </c>
      <c r="V17" s="9">
        <f>(TOT_POP_Projection!W17-TOT_POP_Projection!V17)/TOT_POP_Projection!V17</f>
        <v>4.3376611911025804E-3</v>
      </c>
      <c r="W17" s="9">
        <f>(TOT_POP_Projection!X17-TOT_POP_Projection!W17)/TOT_POP_Projection!W17</f>
        <v>4.3189271484234924E-3</v>
      </c>
      <c r="X17" s="9">
        <f>(TOT_POP_Projection!Y17-TOT_POP_Projection!X17)/TOT_POP_Projection!X17</f>
        <v>3.0698503748495696E-3</v>
      </c>
      <c r="Y17" s="9">
        <f>(TOT_POP_Projection!Z17-TOT_POP_Projection!Y17)/TOT_POP_Projection!Y17</f>
        <v>3.0604552351985847E-3</v>
      </c>
      <c r="Z17" s="9">
        <f>(TOT_POP_Projection!AA17-TOT_POP_Projection!Z17)/TOT_POP_Projection!Z17</f>
        <v>3.0511174268962348E-3</v>
      </c>
      <c r="AA17" s="9">
        <f>(TOT_POP_Projection!AB17-TOT_POP_Projection!AA17)/TOT_POP_Projection!AA17</f>
        <v>3.041836426764765E-3</v>
      </c>
      <c r="AB17" s="9">
        <f>(TOT_POP_Projection!AC17-TOT_POP_Projection!AB17)/TOT_POP_Projection!AB17</f>
        <v>3.0326117179731394E-3</v>
      </c>
      <c r="AC17" s="9">
        <f>(TOT_POP_Projection!AD17-TOT_POP_Projection!AC17)/TOT_POP_Projection!AC17</f>
        <v>1.8623039970953627E-3</v>
      </c>
      <c r="AD17" s="9">
        <f>(TOT_POP_Projection!AE17-TOT_POP_Projection!AD17)/TOT_POP_Projection!AD17</f>
        <v>1.858842267710236E-3</v>
      </c>
      <c r="AE17" s="9">
        <f>(TOT_POP_Projection!AF17-TOT_POP_Projection!AE17)/TOT_POP_Projection!AE17</f>
        <v>1.8553933840647068E-3</v>
      </c>
      <c r="AF17" s="9">
        <f>(TOT_POP_Projection!AG17-TOT_POP_Projection!AF17)/TOT_POP_Projection!AF17</f>
        <v>1.8519572747894917E-3</v>
      </c>
      <c r="AG17" s="9">
        <f>(TOT_POP_Projection!AH17-TOT_POP_Projection!AG17)/TOT_POP_Projection!AG17</f>
        <v>1.8485338690426884E-3</v>
      </c>
    </row>
    <row r="18" spans="1:33" x14ac:dyDescent="0.3">
      <c r="A18" s="1" t="s">
        <v>80</v>
      </c>
      <c r="B18" s="9">
        <f>(TOT_POP_Projection!C18-TOT_POP_Projection!B18)/TOT_POP_Projection!B18</f>
        <v>1.507400684800999E-2</v>
      </c>
      <c r="C18" s="9">
        <f>(TOT_POP_Projection!D18-TOT_POP_Projection!C18)/TOT_POP_Projection!C18</f>
        <v>8.4661140028052667E-3</v>
      </c>
      <c r="D18" s="9">
        <f>(TOT_POP_Projection!E18-TOT_POP_Projection!D18)/TOT_POP_Projection!D18</f>
        <v>7.6928577419374793E-3</v>
      </c>
      <c r="E18" s="9">
        <f>(TOT_POP_Projection!F18-TOT_POP_Projection!E18)/TOT_POP_Projection!E18</f>
        <v>7.6341294699416862E-3</v>
      </c>
      <c r="F18" s="9">
        <f>(TOT_POP_Projection!G18-TOT_POP_Projection!F18)/TOT_POP_Projection!F18</f>
        <v>7.576291082912765E-3</v>
      </c>
      <c r="G18" s="9">
        <f>(TOT_POP_Projection!H18-TOT_POP_Projection!G18)/TOT_POP_Projection!G18</f>
        <v>7.5193225068545377E-3</v>
      </c>
      <c r="H18" s="9">
        <f>(TOT_POP_Projection!I18-TOT_POP_Projection!H18)/TOT_POP_Projection!H18</f>
        <v>7.4632042670360471E-3</v>
      </c>
      <c r="I18" s="9">
        <f>(TOT_POP_Projection!J18-TOT_POP_Projection!I18)/TOT_POP_Projection!I18</f>
        <v>7.1043946921219101E-3</v>
      </c>
      <c r="J18" s="9">
        <f>(TOT_POP_Projection!K18-TOT_POP_Projection!J18)/TOT_POP_Projection!J18</f>
        <v>7.0542783147061611E-3</v>
      </c>
      <c r="K18" s="9">
        <f>(TOT_POP_Projection!L18-TOT_POP_Projection!K18)/TOT_POP_Projection!K18</f>
        <v>7.0048640541118855E-3</v>
      </c>
      <c r="L18" s="9">
        <f>(TOT_POP_Projection!M18-TOT_POP_Projection!L18)/TOT_POP_Projection!L18</f>
        <v>6.95613725827592E-3</v>
      </c>
      <c r="M18" s="9">
        <f>(TOT_POP_Projection!N18-TOT_POP_Projection!M18)/TOT_POP_Projection!M18</f>
        <v>6.9080836800059246E-3</v>
      </c>
      <c r="N18" s="9">
        <f>(TOT_POP_Projection!O18-TOT_POP_Projection!N18)/TOT_POP_Projection!N18</f>
        <v>6.3608513983606342E-3</v>
      </c>
      <c r="O18" s="9">
        <f>(TOT_POP_Projection!P18-TOT_POP_Projection!O18)/TOT_POP_Projection!O18</f>
        <v>6.3206467039353632E-3</v>
      </c>
      <c r="P18" s="9">
        <f>(TOT_POP_Projection!Q18-TOT_POP_Projection!P18)/TOT_POP_Projection!P18</f>
        <v>6.2809470566243183E-3</v>
      </c>
      <c r="Q18" s="9">
        <f>(TOT_POP_Projection!R18-TOT_POP_Projection!Q18)/TOT_POP_Projection!Q18</f>
        <v>6.2417429993046301E-3</v>
      </c>
      <c r="R18" s="9">
        <f>(TOT_POP_Projection!S18-TOT_POP_Projection!R18)/TOT_POP_Projection!R18</f>
        <v>6.2030253095040995E-3</v>
      </c>
      <c r="S18" s="9">
        <f>(TOT_POP_Projection!T18-TOT_POP_Projection!S18)/TOT_POP_Projection!S18</f>
        <v>5.8071235586733046E-3</v>
      </c>
      <c r="T18" s="9">
        <f>(TOT_POP_Projection!U18-TOT_POP_Projection!T18)/TOT_POP_Projection!T18</f>
        <v>5.7735955757869011E-3</v>
      </c>
      <c r="U18" s="9">
        <f>(TOT_POP_Projection!V18-TOT_POP_Projection!U18)/TOT_POP_Projection!U18</f>
        <v>5.7404525244884996E-3</v>
      </c>
      <c r="V18" s="9">
        <f>(TOT_POP_Projection!W18-TOT_POP_Projection!V18)/TOT_POP_Projection!V18</f>
        <v>5.7076878135700988E-3</v>
      </c>
      <c r="W18" s="9">
        <f>(TOT_POP_Projection!X18-TOT_POP_Projection!W18)/TOT_POP_Projection!W18</f>
        <v>5.6752950014514868E-3</v>
      </c>
      <c r="X18" s="9">
        <f>(TOT_POP_Projection!Y18-TOT_POP_Projection!X18)/TOT_POP_Projection!X18</f>
        <v>5.5353796497718049E-3</v>
      </c>
      <c r="Y18" s="9">
        <f>(TOT_POP_Projection!Z18-TOT_POP_Projection!Y18)/TOT_POP_Projection!Y18</f>
        <v>5.5049078946379582E-3</v>
      </c>
      <c r="Z18" s="9">
        <f>(TOT_POP_Projection!AA18-TOT_POP_Projection!Z18)/TOT_POP_Projection!Z18</f>
        <v>5.4747697911930937E-3</v>
      </c>
      <c r="AA18" s="9">
        <f>(TOT_POP_Projection!AB18-TOT_POP_Projection!AA18)/TOT_POP_Projection!AA18</f>
        <v>5.4449598892770219E-3</v>
      </c>
      <c r="AB18" s="9">
        <f>(TOT_POP_Projection!AC18-TOT_POP_Projection!AB18)/TOT_POP_Projection!AB18</f>
        <v>5.4154728567905293E-3</v>
      </c>
      <c r="AC18" s="9">
        <f>(TOT_POP_Projection!AD18-TOT_POP_Projection!AC18)/TOT_POP_Projection!AC18</f>
        <v>5.4253771244029431E-3</v>
      </c>
      <c r="AD18" s="9">
        <f>(TOT_POP_Projection!AE18-TOT_POP_Projection!AD18)/TOT_POP_Projection!AD18</f>
        <v>5.3961012401735429E-3</v>
      </c>
      <c r="AE18" s="9">
        <f>(TOT_POP_Projection!AF18-TOT_POP_Projection!AE18)/TOT_POP_Projection!AE18</f>
        <v>5.367139611459959E-3</v>
      </c>
      <c r="AF18" s="9">
        <f>(TOT_POP_Projection!AG18-TOT_POP_Projection!AF18)/TOT_POP_Projection!AF18</f>
        <v>5.3384872053150413E-3</v>
      </c>
      <c r="AG18" s="9">
        <f>(TOT_POP_Projection!AH18-TOT_POP_Projection!AG18)/TOT_POP_Projection!AG18</f>
        <v>5.3101390956946217E-3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A2" sqref="A2:A18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9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19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19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19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19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19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19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19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19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19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82</v>
      </c>
      <c r="B12" s="19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19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19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83</v>
      </c>
      <c r="B15" s="19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19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81</v>
      </c>
      <c r="B17" s="19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80</v>
      </c>
      <c r="B18" s="19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E527-2858-4B35-8C57-9F97BEF4A048}">
  <dimension ref="A1:AG18"/>
  <sheetViews>
    <sheetView zoomScale="55" zoomScaleNormal="55" workbookViewId="0">
      <selection activeCell="AA54" sqref="AA54"/>
    </sheetView>
  </sheetViews>
  <sheetFormatPr defaultRowHeight="14.4" x14ac:dyDescent="0.3"/>
  <cols>
    <col min="1" max="1" width="11.21875" bestFit="1" customWidth="1"/>
    <col min="2" max="33" width="7.3320312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7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</row>
    <row r="3" spans="1:33" x14ac:dyDescent="0.3">
      <c r="A3" s="1" t="s">
        <v>1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</row>
    <row r="4" spans="1:33" x14ac:dyDescent="0.3">
      <c r="A4" s="1" t="s">
        <v>2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</row>
    <row r="5" spans="1:33" x14ac:dyDescent="0.3">
      <c r="A5" s="1" t="s">
        <v>3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</row>
    <row r="6" spans="1:33" x14ac:dyDescent="0.3">
      <c r="A6" s="1" t="s">
        <v>4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</row>
    <row r="7" spans="1:33" x14ac:dyDescent="0.3">
      <c r="A7" s="1" t="s">
        <v>5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</row>
    <row r="8" spans="1:33" x14ac:dyDescent="0.3">
      <c r="A8" s="1" t="s">
        <v>6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</row>
    <row r="9" spans="1:33" x14ac:dyDescent="0.3">
      <c r="A9" s="1" t="s">
        <v>7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</row>
    <row r="10" spans="1:33" x14ac:dyDescent="0.3">
      <c r="A10" s="1" t="s">
        <v>8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</row>
    <row r="11" spans="1:33" x14ac:dyDescent="0.3">
      <c r="A11" s="1" t="s">
        <v>9</v>
      </c>
      <c r="B11" s="27">
        <v>0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</row>
    <row r="12" spans="1:33" x14ac:dyDescent="0.3">
      <c r="A12" s="1" t="s">
        <v>82</v>
      </c>
      <c r="B12" s="27">
        <v>0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</row>
    <row r="13" spans="1:33" x14ac:dyDescent="0.3">
      <c r="A13" s="1" t="s">
        <v>11</v>
      </c>
      <c r="B13" s="27">
        <v>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</row>
    <row r="14" spans="1:33" x14ac:dyDescent="0.3">
      <c r="A14" s="1" t="s">
        <v>12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</row>
    <row r="15" spans="1:33" x14ac:dyDescent="0.3">
      <c r="A15" s="1" t="s">
        <v>83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</row>
    <row r="16" spans="1:33" x14ac:dyDescent="0.3">
      <c r="A16" s="1" t="s">
        <v>14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</row>
    <row r="17" spans="1:33" x14ac:dyDescent="0.3">
      <c r="A17" s="1" t="s">
        <v>81</v>
      </c>
      <c r="B17" s="27">
        <v>0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</row>
    <row r="18" spans="1:33" x14ac:dyDescent="0.3">
      <c r="A18" s="1" t="s">
        <v>80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zoomScale="55" zoomScaleNormal="55" workbookViewId="0">
      <selection activeCell="AI16" sqref="AI16"/>
    </sheetView>
  </sheetViews>
  <sheetFormatPr defaultRowHeight="14.4" x14ac:dyDescent="0.3"/>
  <cols>
    <col min="1" max="1" width="11.21875" bestFit="1" customWidth="1"/>
    <col min="2" max="33" width="7.3320312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7">
        <f>PERMIT_NZ!B2</f>
        <v>1</v>
      </c>
      <c r="C2" s="27">
        <f>PERMIT_NZ!C2</f>
        <v>0.96880530280148291</v>
      </c>
      <c r="D2" s="27">
        <f>PERMIT_NZ!D2</f>
        <v>0.93761060560296583</v>
      </c>
      <c r="E2" s="27">
        <f>PERMIT_NZ!E2</f>
        <v>0.90641590840444874</v>
      </c>
      <c r="F2" s="27">
        <f>PERMIT_NZ!F2</f>
        <v>0.87522121120593166</v>
      </c>
      <c r="G2" s="27">
        <f>PERMIT_NZ!G2</f>
        <v>0.84402651400741457</v>
      </c>
      <c r="H2" s="27">
        <f>PERMIT_NZ!H2</f>
        <v>0.81283181680889749</v>
      </c>
      <c r="I2" s="27">
        <f>PERMIT_NZ!I2</f>
        <v>0.7816371196103804</v>
      </c>
      <c r="J2" s="27">
        <f>PERMIT_NZ!J2</f>
        <v>0.75044242241186332</v>
      </c>
      <c r="K2" s="27">
        <f>PERMIT_NZ!K2</f>
        <v>0.71924772521334623</v>
      </c>
      <c r="L2" s="27">
        <f>PERMIT_NZ!L2</f>
        <v>0.68805302801482915</v>
      </c>
      <c r="M2" s="27">
        <f>PERMIT_NZ!M2</f>
        <v>0.65685833081631229</v>
      </c>
      <c r="N2" s="27">
        <f>M2</f>
        <v>0.65685833081631229</v>
      </c>
      <c r="O2" s="27">
        <f t="shared" ref="O2:AG16" si="0">N2</f>
        <v>0.65685833081631229</v>
      </c>
      <c r="P2" s="27">
        <f t="shared" si="0"/>
        <v>0.65685833081631229</v>
      </c>
      <c r="Q2" s="27">
        <f t="shared" si="0"/>
        <v>0.65685833081631229</v>
      </c>
      <c r="R2" s="27">
        <f t="shared" si="0"/>
        <v>0.65685833081631229</v>
      </c>
      <c r="S2" s="27">
        <f t="shared" si="0"/>
        <v>0.65685833081631229</v>
      </c>
      <c r="T2" s="27">
        <f t="shared" si="0"/>
        <v>0.65685833081631229</v>
      </c>
      <c r="U2" s="27">
        <f t="shared" si="0"/>
        <v>0.65685833081631229</v>
      </c>
      <c r="V2" s="27">
        <f t="shared" si="0"/>
        <v>0.65685833081631229</v>
      </c>
      <c r="W2" s="27">
        <f t="shared" si="0"/>
        <v>0.65685833081631229</v>
      </c>
      <c r="X2" s="27">
        <f t="shared" si="0"/>
        <v>0.65685833081631229</v>
      </c>
      <c r="Y2" s="27">
        <f t="shared" si="0"/>
        <v>0.65685833081631229</v>
      </c>
      <c r="Z2" s="27">
        <f t="shared" si="0"/>
        <v>0.65685833081631229</v>
      </c>
      <c r="AA2" s="27">
        <f t="shared" si="0"/>
        <v>0.65685833081631229</v>
      </c>
      <c r="AB2" s="27">
        <f t="shared" si="0"/>
        <v>0.65685833081631229</v>
      </c>
      <c r="AC2" s="27">
        <f t="shared" si="0"/>
        <v>0.65685833081631229</v>
      </c>
      <c r="AD2" s="27">
        <f t="shared" si="0"/>
        <v>0.65685833081631229</v>
      </c>
      <c r="AE2" s="27">
        <f t="shared" si="0"/>
        <v>0.65685833081631229</v>
      </c>
      <c r="AF2" s="27">
        <f t="shared" si="0"/>
        <v>0.65685833081631229</v>
      </c>
      <c r="AG2" s="27">
        <f t="shared" si="0"/>
        <v>0.65685833081631229</v>
      </c>
    </row>
    <row r="3" spans="1:33" x14ac:dyDescent="0.3">
      <c r="A3" s="1" t="s">
        <v>1</v>
      </c>
      <c r="B3" s="27">
        <f>PERMIT_NZ!B3</f>
        <v>1</v>
      </c>
      <c r="C3" s="27">
        <f>PERMIT_NZ!C3</f>
        <v>0.99732060293140912</v>
      </c>
      <c r="D3" s="27">
        <f>PERMIT_NZ!D3</f>
        <v>0.99464120586281823</v>
      </c>
      <c r="E3" s="27">
        <f>PERMIT_NZ!E3</f>
        <v>0.99196180879422735</v>
      </c>
      <c r="F3" s="27">
        <f>PERMIT_NZ!F3</f>
        <v>0.98928241172563647</v>
      </c>
      <c r="G3" s="27">
        <f>PERMIT_NZ!G3</f>
        <v>0.98660301465704558</v>
      </c>
      <c r="H3" s="27">
        <f>PERMIT_NZ!H3</f>
        <v>0.9839236175884547</v>
      </c>
      <c r="I3" s="27">
        <f>PERMIT_NZ!I3</f>
        <v>0.98124422051986382</v>
      </c>
      <c r="J3" s="27">
        <f>PERMIT_NZ!J3</f>
        <v>0.97856482345127294</v>
      </c>
      <c r="K3" s="27">
        <f>PERMIT_NZ!K3</f>
        <v>0.97588542638268205</v>
      </c>
      <c r="L3" s="27">
        <f>PERMIT_NZ!L3</f>
        <v>0.97320602931409117</v>
      </c>
      <c r="M3" s="27">
        <f>PERMIT_NZ!M3</f>
        <v>0.97052663224549995</v>
      </c>
      <c r="N3" s="27">
        <f t="shared" ref="N3:AC18" si="1">M3</f>
        <v>0.97052663224549995</v>
      </c>
      <c r="O3" s="27">
        <f t="shared" si="1"/>
        <v>0.97052663224549995</v>
      </c>
      <c r="P3" s="27">
        <f t="shared" si="1"/>
        <v>0.97052663224549995</v>
      </c>
      <c r="Q3" s="27">
        <f t="shared" si="1"/>
        <v>0.97052663224549995</v>
      </c>
      <c r="R3" s="27">
        <f t="shared" si="1"/>
        <v>0.97052663224549995</v>
      </c>
      <c r="S3" s="27">
        <f t="shared" si="1"/>
        <v>0.97052663224549995</v>
      </c>
      <c r="T3" s="27">
        <f t="shared" si="1"/>
        <v>0.97052663224549995</v>
      </c>
      <c r="U3" s="27">
        <f t="shared" si="1"/>
        <v>0.97052663224549995</v>
      </c>
      <c r="V3" s="27">
        <f t="shared" si="1"/>
        <v>0.97052663224549995</v>
      </c>
      <c r="W3" s="27">
        <f t="shared" si="1"/>
        <v>0.97052663224549995</v>
      </c>
      <c r="X3" s="27">
        <f t="shared" si="1"/>
        <v>0.97052663224549995</v>
      </c>
      <c r="Y3" s="27">
        <f t="shared" si="1"/>
        <v>0.97052663224549995</v>
      </c>
      <c r="Z3" s="27">
        <f t="shared" si="1"/>
        <v>0.97052663224549995</v>
      </c>
      <c r="AA3" s="27">
        <f t="shared" si="1"/>
        <v>0.97052663224549995</v>
      </c>
      <c r="AB3" s="27">
        <f t="shared" si="1"/>
        <v>0.97052663224549995</v>
      </c>
      <c r="AC3" s="27">
        <f t="shared" si="1"/>
        <v>0.97052663224549995</v>
      </c>
      <c r="AD3" s="27">
        <f t="shared" si="0"/>
        <v>0.97052663224549995</v>
      </c>
      <c r="AE3" s="27">
        <f t="shared" si="0"/>
        <v>0.97052663224549995</v>
      </c>
      <c r="AF3" s="27">
        <f t="shared" si="0"/>
        <v>0.97052663224549995</v>
      </c>
      <c r="AG3" s="27">
        <f t="shared" si="0"/>
        <v>0.97052663224549995</v>
      </c>
    </row>
    <row r="4" spans="1:33" x14ac:dyDescent="0.3">
      <c r="A4" s="1" t="s">
        <v>2</v>
      </c>
      <c r="B4" s="27">
        <f>PERMIT_NZ!B4</f>
        <v>1</v>
      </c>
      <c r="C4" s="27">
        <f>PERMIT_NZ!C4</f>
        <v>0.97030956186559991</v>
      </c>
      <c r="D4" s="27">
        <f>PERMIT_NZ!D4</f>
        <v>0.94061912373119982</v>
      </c>
      <c r="E4" s="27">
        <f>PERMIT_NZ!E4</f>
        <v>0.91092868559679974</v>
      </c>
      <c r="F4" s="27">
        <f>PERMIT_NZ!F4</f>
        <v>0.88123824746239965</v>
      </c>
      <c r="G4" s="27">
        <f>PERMIT_NZ!G4</f>
        <v>0.85154780932799956</v>
      </c>
      <c r="H4" s="27">
        <f>PERMIT_NZ!H4</f>
        <v>0.82185737119359947</v>
      </c>
      <c r="I4" s="27">
        <f>PERMIT_NZ!I4</f>
        <v>0.79216693305919939</v>
      </c>
      <c r="J4" s="27">
        <f>PERMIT_NZ!J4</f>
        <v>0.7624764949247993</v>
      </c>
      <c r="K4" s="27">
        <f>PERMIT_NZ!K4</f>
        <v>0.73278605679039921</v>
      </c>
      <c r="L4" s="27">
        <f>PERMIT_NZ!L4</f>
        <v>0.70309561865599912</v>
      </c>
      <c r="M4" s="27">
        <f>PERMIT_NZ!M4</f>
        <v>0.67340518052159881</v>
      </c>
      <c r="N4" s="27">
        <f t="shared" si="1"/>
        <v>0.67340518052159881</v>
      </c>
      <c r="O4" s="27">
        <f t="shared" si="0"/>
        <v>0.67340518052159881</v>
      </c>
      <c r="P4" s="27">
        <f t="shared" si="0"/>
        <v>0.67340518052159881</v>
      </c>
      <c r="Q4" s="27">
        <f t="shared" si="0"/>
        <v>0.67340518052159881</v>
      </c>
      <c r="R4" s="27">
        <f t="shared" si="0"/>
        <v>0.67340518052159881</v>
      </c>
      <c r="S4" s="27">
        <f t="shared" si="0"/>
        <v>0.67340518052159881</v>
      </c>
      <c r="T4" s="27">
        <f t="shared" si="0"/>
        <v>0.67340518052159881</v>
      </c>
      <c r="U4" s="27">
        <f t="shared" si="0"/>
        <v>0.67340518052159881</v>
      </c>
      <c r="V4" s="27">
        <f t="shared" si="0"/>
        <v>0.67340518052159881</v>
      </c>
      <c r="W4" s="27">
        <f t="shared" si="0"/>
        <v>0.67340518052159881</v>
      </c>
      <c r="X4" s="27">
        <f t="shared" si="0"/>
        <v>0.67340518052159881</v>
      </c>
      <c r="Y4" s="27">
        <f t="shared" si="0"/>
        <v>0.67340518052159881</v>
      </c>
      <c r="Z4" s="27">
        <f t="shared" si="0"/>
        <v>0.67340518052159881</v>
      </c>
      <c r="AA4" s="27">
        <f t="shared" si="0"/>
        <v>0.67340518052159881</v>
      </c>
      <c r="AB4" s="27">
        <f t="shared" si="0"/>
        <v>0.67340518052159881</v>
      </c>
      <c r="AC4" s="27">
        <f t="shared" si="0"/>
        <v>0.67340518052159881</v>
      </c>
      <c r="AD4" s="27">
        <f t="shared" si="0"/>
        <v>0.67340518052159881</v>
      </c>
      <c r="AE4" s="27">
        <f t="shared" si="0"/>
        <v>0.67340518052159881</v>
      </c>
      <c r="AF4" s="27">
        <f t="shared" si="0"/>
        <v>0.67340518052159881</v>
      </c>
      <c r="AG4" s="27">
        <f t="shared" si="0"/>
        <v>0.67340518052159881</v>
      </c>
    </row>
    <row r="5" spans="1:33" x14ac:dyDescent="0.3">
      <c r="A5" s="1" t="s">
        <v>3</v>
      </c>
      <c r="B5" s="27">
        <f>PERMIT_NZ!B5</f>
        <v>1</v>
      </c>
      <c r="C5" s="27">
        <f>PERMIT_NZ!C5</f>
        <v>1.0122286096130622</v>
      </c>
      <c r="D5" s="27">
        <f>PERMIT_NZ!D5</f>
        <v>1.0244572192261243</v>
      </c>
      <c r="E5" s="27">
        <f>PERMIT_NZ!E5</f>
        <v>1.0366858288391865</v>
      </c>
      <c r="F5" s="27">
        <f>PERMIT_NZ!F5</f>
        <v>1.0489144384522486</v>
      </c>
      <c r="G5" s="27">
        <f>PERMIT_NZ!G5</f>
        <v>1.0611430480653108</v>
      </c>
      <c r="H5" s="27">
        <f>PERMIT_NZ!H5</f>
        <v>1.0733716576783729</v>
      </c>
      <c r="I5" s="27">
        <f>PERMIT_NZ!I5</f>
        <v>1.0856002672914351</v>
      </c>
      <c r="J5" s="27">
        <f>PERMIT_NZ!J5</f>
        <v>1.0978288769044973</v>
      </c>
      <c r="K5" s="27">
        <f>PERMIT_NZ!K5</f>
        <v>1.1100574865175594</v>
      </c>
      <c r="L5" s="27">
        <f>PERMIT_NZ!L5</f>
        <v>1.1222860961306216</v>
      </c>
      <c r="M5" s="27">
        <f>PERMIT_NZ!M5</f>
        <v>1.1345147057436835</v>
      </c>
      <c r="N5" s="27">
        <f t="shared" si="1"/>
        <v>1.1345147057436835</v>
      </c>
      <c r="O5" s="27">
        <f t="shared" si="0"/>
        <v>1.1345147057436835</v>
      </c>
      <c r="P5" s="27">
        <f t="shared" si="0"/>
        <v>1.1345147057436835</v>
      </c>
      <c r="Q5" s="27">
        <f t="shared" si="0"/>
        <v>1.1345147057436835</v>
      </c>
      <c r="R5" s="27">
        <f t="shared" si="0"/>
        <v>1.1345147057436835</v>
      </c>
      <c r="S5" s="27">
        <f t="shared" si="0"/>
        <v>1.1345147057436835</v>
      </c>
      <c r="T5" s="27">
        <f t="shared" si="0"/>
        <v>1.1345147057436835</v>
      </c>
      <c r="U5" s="27">
        <f t="shared" si="0"/>
        <v>1.1345147057436835</v>
      </c>
      <c r="V5" s="27">
        <f t="shared" si="0"/>
        <v>1.1345147057436835</v>
      </c>
      <c r="W5" s="27">
        <f t="shared" si="0"/>
        <v>1.1345147057436835</v>
      </c>
      <c r="X5" s="27">
        <f t="shared" si="0"/>
        <v>1.1345147057436835</v>
      </c>
      <c r="Y5" s="27">
        <f t="shared" si="0"/>
        <v>1.1345147057436835</v>
      </c>
      <c r="Z5" s="27">
        <f t="shared" si="0"/>
        <v>1.1345147057436835</v>
      </c>
      <c r="AA5" s="27">
        <f t="shared" si="0"/>
        <v>1.1345147057436835</v>
      </c>
      <c r="AB5" s="27">
        <f t="shared" si="0"/>
        <v>1.1345147057436835</v>
      </c>
      <c r="AC5" s="27">
        <f t="shared" si="0"/>
        <v>1.1345147057436835</v>
      </c>
      <c r="AD5" s="27">
        <f t="shared" si="0"/>
        <v>1.1345147057436835</v>
      </c>
      <c r="AE5" s="27">
        <f t="shared" si="0"/>
        <v>1.1345147057436835</v>
      </c>
      <c r="AF5" s="27">
        <f t="shared" si="0"/>
        <v>1.1345147057436835</v>
      </c>
      <c r="AG5" s="27">
        <f t="shared" si="0"/>
        <v>1.1345147057436835</v>
      </c>
    </row>
    <row r="6" spans="1:33" x14ac:dyDescent="0.3">
      <c r="A6" s="1" t="s">
        <v>4</v>
      </c>
      <c r="B6" s="27">
        <f>PERMIT_NZ!B6</f>
        <v>1</v>
      </c>
      <c r="C6" s="27">
        <f>PERMIT_NZ!C6</f>
        <v>1.0122286096130622</v>
      </c>
      <c r="D6" s="27">
        <f>PERMIT_NZ!D6</f>
        <v>1.0244572192261243</v>
      </c>
      <c r="E6" s="27">
        <f>PERMIT_NZ!E6</f>
        <v>1.0366858288391865</v>
      </c>
      <c r="F6" s="27">
        <f>PERMIT_NZ!F6</f>
        <v>1.0489144384522486</v>
      </c>
      <c r="G6" s="27">
        <f>PERMIT_NZ!G6</f>
        <v>1.0611430480653108</v>
      </c>
      <c r="H6" s="27">
        <f>PERMIT_NZ!H6</f>
        <v>1.0733716576783729</v>
      </c>
      <c r="I6" s="27">
        <f>PERMIT_NZ!I6</f>
        <v>1.0856002672914351</v>
      </c>
      <c r="J6" s="27">
        <f>PERMIT_NZ!J6</f>
        <v>1.0978288769044973</v>
      </c>
      <c r="K6" s="27">
        <f>PERMIT_NZ!K6</f>
        <v>1.1100574865175594</v>
      </c>
      <c r="L6" s="27">
        <f>PERMIT_NZ!L6</f>
        <v>1.1222860961306216</v>
      </c>
      <c r="M6" s="27">
        <f>PERMIT_NZ!M6</f>
        <v>1.1345147057436833</v>
      </c>
      <c r="N6" s="27">
        <f t="shared" si="1"/>
        <v>1.1345147057436833</v>
      </c>
      <c r="O6" s="27">
        <f t="shared" si="0"/>
        <v>1.1345147057436833</v>
      </c>
      <c r="P6" s="27">
        <f t="shared" si="0"/>
        <v>1.1345147057436833</v>
      </c>
      <c r="Q6" s="27">
        <f t="shared" si="0"/>
        <v>1.1345147057436833</v>
      </c>
      <c r="R6" s="27">
        <f t="shared" si="0"/>
        <v>1.1345147057436833</v>
      </c>
      <c r="S6" s="27">
        <f t="shared" si="0"/>
        <v>1.1345147057436833</v>
      </c>
      <c r="T6" s="27">
        <f t="shared" si="0"/>
        <v>1.1345147057436833</v>
      </c>
      <c r="U6" s="27">
        <f t="shared" si="0"/>
        <v>1.1345147057436833</v>
      </c>
      <c r="V6" s="27">
        <f t="shared" si="0"/>
        <v>1.1345147057436833</v>
      </c>
      <c r="W6" s="27">
        <f t="shared" si="0"/>
        <v>1.1345147057436833</v>
      </c>
      <c r="X6" s="27">
        <f t="shared" si="0"/>
        <v>1.1345147057436833</v>
      </c>
      <c r="Y6" s="27">
        <f t="shared" si="0"/>
        <v>1.1345147057436833</v>
      </c>
      <c r="Z6" s="27">
        <f t="shared" si="0"/>
        <v>1.1345147057436833</v>
      </c>
      <c r="AA6" s="27">
        <f t="shared" si="0"/>
        <v>1.1345147057436833</v>
      </c>
      <c r="AB6" s="27">
        <f t="shared" si="0"/>
        <v>1.1345147057436833</v>
      </c>
      <c r="AC6" s="27">
        <f t="shared" si="0"/>
        <v>1.1345147057436833</v>
      </c>
      <c r="AD6" s="27">
        <f t="shared" si="0"/>
        <v>1.1345147057436833</v>
      </c>
      <c r="AE6" s="27">
        <f t="shared" si="0"/>
        <v>1.1345147057436833</v>
      </c>
      <c r="AF6" s="27">
        <f t="shared" si="0"/>
        <v>1.1345147057436833</v>
      </c>
      <c r="AG6" s="27">
        <f t="shared" si="0"/>
        <v>1.1345147057436833</v>
      </c>
    </row>
    <row r="7" spans="1:33" x14ac:dyDescent="0.3">
      <c r="A7" s="1" t="s">
        <v>5</v>
      </c>
      <c r="B7" s="27">
        <f>PERMIT_NZ!B7</f>
        <v>1</v>
      </c>
      <c r="C7" s="27">
        <f>PERMIT_NZ!C7</f>
        <v>1.0122286096130622</v>
      </c>
      <c r="D7" s="27">
        <f>PERMIT_NZ!D7</f>
        <v>1.0244572192261243</v>
      </c>
      <c r="E7" s="27">
        <f>PERMIT_NZ!E7</f>
        <v>1.0366858288391865</v>
      </c>
      <c r="F7" s="27">
        <f>PERMIT_NZ!F7</f>
        <v>1.0489144384522486</v>
      </c>
      <c r="G7" s="27">
        <f>PERMIT_NZ!G7</f>
        <v>1.0611430480653108</v>
      </c>
      <c r="H7" s="27">
        <f>PERMIT_NZ!H7</f>
        <v>1.0733716576783729</v>
      </c>
      <c r="I7" s="27">
        <f>PERMIT_NZ!I7</f>
        <v>1.0856002672914351</v>
      </c>
      <c r="J7" s="27">
        <f>PERMIT_NZ!J7</f>
        <v>1.0978288769044973</v>
      </c>
      <c r="K7" s="27">
        <f>PERMIT_NZ!K7</f>
        <v>1.1100574865175594</v>
      </c>
      <c r="L7" s="27">
        <f>PERMIT_NZ!L7</f>
        <v>1.1222860961306216</v>
      </c>
      <c r="M7" s="27">
        <f>PERMIT_NZ!M7</f>
        <v>1.1345147057436835</v>
      </c>
      <c r="N7" s="27">
        <f t="shared" si="1"/>
        <v>1.1345147057436835</v>
      </c>
      <c r="O7" s="27">
        <f t="shared" si="0"/>
        <v>1.1345147057436835</v>
      </c>
      <c r="P7" s="27">
        <f t="shared" si="0"/>
        <v>1.1345147057436835</v>
      </c>
      <c r="Q7" s="27">
        <f t="shared" si="0"/>
        <v>1.1345147057436835</v>
      </c>
      <c r="R7" s="27">
        <f t="shared" si="0"/>
        <v>1.1345147057436835</v>
      </c>
      <c r="S7" s="27">
        <f t="shared" si="0"/>
        <v>1.1345147057436835</v>
      </c>
      <c r="T7" s="27">
        <f t="shared" si="0"/>
        <v>1.1345147057436835</v>
      </c>
      <c r="U7" s="27">
        <f t="shared" si="0"/>
        <v>1.1345147057436835</v>
      </c>
      <c r="V7" s="27">
        <f t="shared" si="0"/>
        <v>1.1345147057436835</v>
      </c>
      <c r="W7" s="27">
        <f t="shared" si="0"/>
        <v>1.1345147057436835</v>
      </c>
      <c r="X7" s="27">
        <f t="shared" si="0"/>
        <v>1.1345147057436835</v>
      </c>
      <c r="Y7" s="27">
        <f t="shared" si="0"/>
        <v>1.1345147057436835</v>
      </c>
      <c r="Z7" s="27">
        <f t="shared" si="0"/>
        <v>1.1345147057436835</v>
      </c>
      <c r="AA7" s="27">
        <f t="shared" si="0"/>
        <v>1.1345147057436835</v>
      </c>
      <c r="AB7" s="27">
        <f t="shared" si="0"/>
        <v>1.1345147057436835</v>
      </c>
      <c r="AC7" s="27">
        <f t="shared" si="0"/>
        <v>1.1345147057436835</v>
      </c>
      <c r="AD7" s="27">
        <f t="shared" si="0"/>
        <v>1.1345147057436835</v>
      </c>
      <c r="AE7" s="27">
        <f t="shared" si="0"/>
        <v>1.1345147057436835</v>
      </c>
      <c r="AF7" s="27">
        <f t="shared" si="0"/>
        <v>1.1345147057436835</v>
      </c>
      <c r="AG7" s="27">
        <f t="shared" si="0"/>
        <v>1.1345147057436835</v>
      </c>
    </row>
    <row r="8" spans="1:33" x14ac:dyDescent="0.3">
      <c r="A8" s="1" t="s">
        <v>6</v>
      </c>
      <c r="B8" s="27">
        <f>PERMIT_NZ!B8</f>
        <v>1</v>
      </c>
      <c r="C8" s="27">
        <f>PERMIT_NZ!C8</f>
        <v>0.95454545454545459</v>
      </c>
      <c r="D8" s="27">
        <f>PERMIT_NZ!D8</f>
        <v>0.90909090909090917</v>
      </c>
      <c r="E8" s="27">
        <f>PERMIT_NZ!E8</f>
        <v>0.86363636363636376</v>
      </c>
      <c r="F8" s="27">
        <f>PERMIT_NZ!F8</f>
        <v>0.81818181818181834</v>
      </c>
      <c r="G8" s="27">
        <f>PERMIT_NZ!G8</f>
        <v>0.77272727272727293</v>
      </c>
      <c r="H8" s="27">
        <f>PERMIT_NZ!H8</f>
        <v>0.72727272727272751</v>
      </c>
      <c r="I8" s="27">
        <f>PERMIT_NZ!I8</f>
        <v>0.6818181818181821</v>
      </c>
      <c r="J8" s="27">
        <f>PERMIT_NZ!J8</f>
        <v>0.63636363636363669</v>
      </c>
      <c r="K8" s="27">
        <f>PERMIT_NZ!K8</f>
        <v>0.59090909090909127</v>
      </c>
      <c r="L8" s="27">
        <f>PERMIT_NZ!L8</f>
        <v>0.54545454545454586</v>
      </c>
      <c r="M8" s="27">
        <f>PERMIT_NZ!M8</f>
        <v>0.5</v>
      </c>
      <c r="N8" s="27">
        <f t="shared" si="1"/>
        <v>0.5</v>
      </c>
      <c r="O8" s="27">
        <f t="shared" si="0"/>
        <v>0.5</v>
      </c>
      <c r="P8" s="27">
        <f t="shared" si="0"/>
        <v>0.5</v>
      </c>
      <c r="Q8" s="27">
        <f t="shared" si="0"/>
        <v>0.5</v>
      </c>
      <c r="R8" s="27">
        <f t="shared" si="0"/>
        <v>0.5</v>
      </c>
      <c r="S8" s="27">
        <f t="shared" si="0"/>
        <v>0.5</v>
      </c>
      <c r="T8" s="27">
        <f t="shared" si="0"/>
        <v>0.5</v>
      </c>
      <c r="U8" s="27">
        <f t="shared" si="0"/>
        <v>0.5</v>
      </c>
      <c r="V8" s="27">
        <f t="shared" si="0"/>
        <v>0.5</v>
      </c>
      <c r="W8" s="27">
        <f t="shared" si="0"/>
        <v>0.5</v>
      </c>
      <c r="X8" s="27">
        <f t="shared" si="0"/>
        <v>0.5</v>
      </c>
      <c r="Y8" s="27">
        <f t="shared" si="0"/>
        <v>0.5</v>
      </c>
      <c r="Z8" s="27">
        <f t="shared" si="0"/>
        <v>0.5</v>
      </c>
      <c r="AA8" s="27">
        <f t="shared" si="0"/>
        <v>0.5</v>
      </c>
      <c r="AB8" s="27">
        <f t="shared" si="0"/>
        <v>0.5</v>
      </c>
      <c r="AC8" s="27">
        <f t="shared" si="0"/>
        <v>0.5</v>
      </c>
      <c r="AD8" s="27">
        <f t="shared" si="0"/>
        <v>0.5</v>
      </c>
      <c r="AE8" s="27">
        <f t="shared" si="0"/>
        <v>0.5</v>
      </c>
      <c r="AF8" s="27">
        <f t="shared" si="0"/>
        <v>0.5</v>
      </c>
      <c r="AG8" s="27">
        <f t="shared" si="0"/>
        <v>0.5</v>
      </c>
    </row>
    <row r="9" spans="1:33" x14ac:dyDescent="0.3">
      <c r="A9" s="1" t="s">
        <v>7</v>
      </c>
      <c r="B9" s="27">
        <f>PERMIT_NZ!B9</f>
        <v>1</v>
      </c>
      <c r="C9" s="27">
        <f>PERMIT_NZ!C9</f>
        <v>0.99732060293140912</v>
      </c>
      <c r="D9" s="27">
        <f>PERMIT_NZ!D9</f>
        <v>0.99464120586281823</v>
      </c>
      <c r="E9" s="27">
        <f>PERMIT_NZ!E9</f>
        <v>0.99196180879422735</v>
      </c>
      <c r="F9" s="27">
        <f>PERMIT_NZ!F9</f>
        <v>0.98928241172563647</v>
      </c>
      <c r="G9" s="27">
        <f>PERMIT_NZ!G9</f>
        <v>0.98660301465704558</v>
      </c>
      <c r="H9" s="27">
        <f>PERMIT_NZ!H9</f>
        <v>0.9839236175884547</v>
      </c>
      <c r="I9" s="27">
        <f>PERMIT_NZ!I9</f>
        <v>0.98124422051986382</v>
      </c>
      <c r="J9" s="27">
        <f>PERMIT_NZ!J9</f>
        <v>0.97856482345127294</v>
      </c>
      <c r="K9" s="27">
        <f>PERMIT_NZ!K9</f>
        <v>0.97588542638268205</v>
      </c>
      <c r="L9" s="27">
        <f>PERMIT_NZ!L9</f>
        <v>0.97320602931409117</v>
      </c>
      <c r="M9" s="27">
        <f>PERMIT_NZ!M9</f>
        <v>0.97052663224550006</v>
      </c>
      <c r="N9" s="27">
        <f t="shared" si="1"/>
        <v>0.97052663224550006</v>
      </c>
      <c r="O9" s="27">
        <f t="shared" si="0"/>
        <v>0.97052663224550006</v>
      </c>
      <c r="P9" s="27">
        <f t="shared" si="0"/>
        <v>0.97052663224550006</v>
      </c>
      <c r="Q9" s="27">
        <f t="shared" si="0"/>
        <v>0.97052663224550006</v>
      </c>
      <c r="R9" s="27">
        <f t="shared" si="0"/>
        <v>0.97052663224550006</v>
      </c>
      <c r="S9" s="27">
        <f t="shared" si="0"/>
        <v>0.97052663224550006</v>
      </c>
      <c r="T9" s="27">
        <f t="shared" si="0"/>
        <v>0.97052663224550006</v>
      </c>
      <c r="U9" s="27">
        <f t="shared" si="0"/>
        <v>0.97052663224550006</v>
      </c>
      <c r="V9" s="27">
        <f t="shared" si="0"/>
        <v>0.97052663224550006</v>
      </c>
      <c r="W9" s="27">
        <f t="shared" si="0"/>
        <v>0.97052663224550006</v>
      </c>
      <c r="X9" s="27">
        <f t="shared" si="0"/>
        <v>0.97052663224550006</v>
      </c>
      <c r="Y9" s="27">
        <f t="shared" si="0"/>
        <v>0.97052663224550006</v>
      </c>
      <c r="Z9" s="27">
        <f t="shared" si="0"/>
        <v>0.97052663224550006</v>
      </c>
      <c r="AA9" s="27">
        <f t="shared" si="0"/>
        <v>0.97052663224550006</v>
      </c>
      <c r="AB9" s="27">
        <f t="shared" si="0"/>
        <v>0.97052663224550006</v>
      </c>
      <c r="AC9" s="27">
        <f t="shared" si="0"/>
        <v>0.97052663224550006</v>
      </c>
      <c r="AD9" s="27">
        <f t="shared" si="0"/>
        <v>0.97052663224550006</v>
      </c>
      <c r="AE9" s="27">
        <f t="shared" si="0"/>
        <v>0.97052663224550006</v>
      </c>
      <c r="AF9" s="27">
        <f t="shared" si="0"/>
        <v>0.97052663224550006</v>
      </c>
      <c r="AG9" s="27">
        <f t="shared" si="0"/>
        <v>0.97052663224550006</v>
      </c>
    </row>
    <row r="10" spans="1:33" x14ac:dyDescent="0.3">
      <c r="A10" s="1" t="s">
        <v>8</v>
      </c>
      <c r="B10" s="27">
        <f>PERMIT_NZ!B10</f>
        <v>1</v>
      </c>
      <c r="C10" s="27">
        <f>PERMIT_NZ!C10</f>
        <v>0.95454545454545459</v>
      </c>
      <c r="D10" s="27">
        <f>PERMIT_NZ!D10</f>
        <v>0.90909090909090917</v>
      </c>
      <c r="E10" s="27">
        <f>PERMIT_NZ!E10</f>
        <v>0.86363636363636376</v>
      </c>
      <c r="F10" s="27">
        <f>PERMIT_NZ!F10</f>
        <v>0.81818181818181834</v>
      </c>
      <c r="G10" s="27">
        <f>PERMIT_NZ!G10</f>
        <v>0.77272727272727293</v>
      </c>
      <c r="H10" s="27">
        <f>PERMIT_NZ!H10</f>
        <v>0.72727272727272751</v>
      </c>
      <c r="I10" s="27">
        <f>PERMIT_NZ!I10</f>
        <v>0.6818181818181821</v>
      </c>
      <c r="J10" s="27">
        <f>PERMIT_NZ!J10</f>
        <v>0.63636363636363669</v>
      </c>
      <c r="K10" s="27">
        <f>PERMIT_NZ!K10</f>
        <v>0.59090909090909127</v>
      </c>
      <c r="L10" s="27">
        <f>PERMIT_NZ!L10</f>
        <v>0.54545454545454586</v>
      </c>
      <c r="M10" s="27">
        <f>PERMIT_NZ!M10</f>
        <v>0.49999999999999989</v>
      </c>
      <c r="N10" s="27">
        <f t="shared" si="1"/>
        <v>0.49999999999999989</v>
      </c>
      <c r="O10" s="27">
        <f t="shared" si="0"/>
        <v>0.49999999999999989</v>
      </c>
      <c r="P10" s="27">
        <f t="shared" si="0"/>
        <v>0.49999999999999989</v>
      </c>
      <c r="Q10" s="27">
        <f t="shared" si="0"/>
        <v>0.49999999999999989</v>
      </c>
      <c r="R10" s="27">
        <f t="shared" si="0"/>
        <v>0.49999999999999989</v>
      </c>
      <c r="S10" s="27">
        <f t="shared" si="0"/>
        <v>0.49999999999999989</v>
      </c>
      <c r="T10" s="27">
        <f t="shared" si="0"/>
        <v>0.49999999999999989</v>
      </c>
      <c r="U10" s="27">
        <f t="shared" si="0"/>
        <v>0.49999999999999989</v>
      </c>
      <c r="V10" s="27">
        <f t="shared" si="0"/>
        <v>0.49999999999999989</v>
      </c>
      <c r="W10" s="27">
        <f t="shared" si="0"/>
        <v>0.49999999999999989</v>
      </c>
      <c r="X10" s="27">
        <f t="shared" si="0"/>
        <v>0.49999999999999989</v>
      </c>
      <c r="Y10" s="27">
        <f t="shared" si="0"/>
        <v>0.49999999999999989</v>
      </c>
      <c r="Z10" s="27">
        <f t="shared" si="0"/>
        <v>0.49999999999999989</v>
      </c>
      <c r="AA10" s="27">
        <f t="shared" si="0"/>
        <v>0.49999999999999989</v>
      </c>
      <c r="AB10" s="27">
        <f t="shared" si="0"/>
        <v>0.49999999999999989</v>
      </c>
      <c r="AC10" s="27">
        <f t="shared" si="0"/>
        <v>0.49999999999999989</v>
      </c>
      <c r="AD10" s="27">
        <f t="shared" si="0"/>
        <v>0.49999999999999989</v>
      </c>
      <c r="AE10" s="27">
        <f t="shared" si="0"/>
        <v>0.49999999999999989</v>
      </c>
      <c r="AF10" s="27">
        <f t="shared" si="0"/>
        <v>0.49999999999999989</v>
      </c>
      <c r="AG10" s="27">
        <f t="shared" si="0"/>
        <v>0.49999999999999989</v>
      </c>
    </row>
    <row r="11" spans="1:33" x14ac:dyDescent="0.3">
      <c r="A11" s="1" t="s">
        <v>9</v>
      </c>
      <c r="B11" s="27">
        <f>PERMIT_NZ!B11</f>
        <v>1</v>
      </c>
      <c r="C11" s="27">
        <f>PERMIT_NZ!C11</f>
        <v>0.95454545454545459</v>
      </c>
      <c r="D11" s="27">
        <f>PERMIT_NZ!D11</f>
        <v>0.90909090909090917</v>
      </c>
      <c r="E11" s="27">
        <f>PERMIT_NZ!E11</f>
        <v>0.86363636363636376</v>
      </c>
      <c r="F11" s="27">
        <f>PERMIT_NZ!F11</f>
        <v>0.81818181818181834</v>
      </c>
      <c r="G11" s="27">
        <f>PERMIT_NZ!G11</f>
        <v>0.77272727272727293</v>
      </c>
      <c r="H11" s="27">
        <f>PERMIT_NZ!H11</f>
        <v>0.72727272727272751</v>
      </c>
      <c r="I11" s="27">
        <f>PERMIT_NZ!I11</f>
        <v>0.6818181818181821</v>
      </c>
      <c r="J11" s="27">
        <f>PERMIT_NZ!J11</f>
        <v>0.63636363636363669</v>
      </c>
      <c r="K11" s="27">
        <f>PERMIT_NZ!K11</f>
        <v>0.59090909090909127</v>
      </c>
      <c r="L11" s="27">
        <f>PERMIT_NZ!L11</f>
        <v>0.54545454545454586</v>
      </c>
      <c r="M11" s="27">
        <f>M10</f>
        <v>0.49999999999999989</v>
      </c>
      <c r="N11" s="27">
        <f t="shared" si="1"/>
        <v>0.49999999999999989</v>
      </c>
      <c r="O11" s="27">
        <f t="shared" si="0"/>
        <v>0.49999999999999989</v>
      </c>
      <c r="P11" s="27">
        <f t="shared" si="0"/>
        <v>0.49999999999999989</v>
      </c>
      <c r="Q11" s="27">
        <f t="shared" si="0"/>
        <v>0.49999999999999989</v>
      </c>
      <c r="R11" s="27">
        <f t="shared" si="0"/>
        <v>0.49999999999999989</v>
      </c>
      <c r="S11" s="27">
        <f t="shared" si="0"/>
        <v>0.49999999999999989</v>
      </c>
      <c r="T11" s="27">
        <f t="shared" si="0"/>
        <v>0.49999999999999989</v>
      </c>
      <c r="U11" s="27">
        <f t="shared" si="0"/>
        <v>0.49999999999999989</v>
      </c>
      <c r="V11" s="27">
        <f t="shared" si="0"/>
        <v>0.49999999999999989</v>
      </c>
      <c r="W11" s="27">
        <f t="shared" si="0"/>
        <v>0.49999999999999989</v>
      </c>
      <c r="X11" s="27">
        <f t="shared" si="0"/>
        <v>0.49999999999999989</v>
      </c>
      <c r="Y11" s="27">
        <f t="shared" si="0"/>
        <v>0.49999999999999989</v>
      </c>
      <c r="Z11" s="27">
        <f t="shared" si="0"/>
        <v>0.49999999999999989</v>
      </c>
      <c r="AA11" s="27">
        <f t="shared" si="0"/>
        <v>0.49999999999999989</v>
      </c>
      <c r="AB11" s="27">
        <f t="shared" si="0"/>
        <v>0.49999999999999989</v>
      </c>
      <c r="AC11" s="27">
        <f t="shared" si="0"/>
        <v>0.49999999999999989</v>
      </c>
      <c r="AD11" s="27">
        <f t="shared" si="0"/>
        <v>0.49999999999999989</v>
      </c>
      <c r="AE11" s="27">
        <f t="shared" si="0"/>
        <v>0.49999999999999989</v>
      </c>
      <c r="AF11" s="27">
        <f t="shared" si="0"/>
        <v>0.49999999999999989</v>
      </c>
      <c r="AG11" s="27">
        <f t="shared" si="0"/>
        <v>0.49999999999999989</v>
      </c>
    </row>
    <row r="12" spans="1:33" x14ac:dyDescent="0.3">
      <c r="A12" s="1" t="s">
        <v>82</v>
      </c>
      <c r="B12" s="27">
        <f>PERMIT_NZ!B12</f>
        <v>1</v>
      </c>
      <c r="C12" s="27">
        <f>PERMIT_NZ!C12</f>
        <v>0.99732060293140912</v>
      </c>
      <c r="D12" s="27">
        <f>PERMIT_NZ!D12</f>
        <v>0.99464120586281823</v>
      </c>
      <c r="E12" s="27">
        <f>PERMIT_NZ!E12</f>
        <v>0.99196180879422735</v>
      </c>
      <c r="F12" s="27">
        <f>PERMIT_NZ!F12</f>
        <v>0.98928241172563647</v>
      </c>
      <c r="G12" s="27">
        <f>PERMIT_NZ!G12</f>
        <v>0.98660301465704558</v>
      </c>
      <c r="H12" s="27">
        <f>PERMIT_NZ!H12</f>
        <v>0.9839236175884547</v>
      </c>
      <c r="I12" s="27">
        <f>PERMIT_NZ!I12</f>
        <v>0.98124422051986382</v>
      </c>
      <c r="J12" s="27">
        <f>PERMIT_NZ!J12</f>
        <v>0.97856482345127294</v>
      </c>
      <c r="K12" s="27">
        <f>PERMIT_NZ!K12</f>
        <v>0.97588542638268205</v>
      </c>
      <c r="L12" s="27">
        <f>PERMIT_NZ!L12</f>
        <v>0.97320602931409117</v>
      </c>
      <c r="M12" s="27">
        <f>PERMIT_NZ!M12</f>
        <v>0.97052663224550006</v>
      </c>
      <c r="N12" s="27">
        <f t="shared" si="1"/>
        <v>0.97052663224550006</v>
      </c>
      <c r="O12" s="27">
        <f t="shared" si="0"/>
        <v>0.97052663224550006</v>
      </c>
      <c r="P12" s="27">
        <f t="shared" si="0"/>
        <v>0.97052663224550006</v>
      </c>
      <c r="Q12" s="27">
        <f t="shared" si="0"/>
        <v>0.97052663224550006</v>
      </c>
      <c r="R12" s="27">
        <f t="shared" si="0"/>
        <v>0.97052663224550006</v>
      </c>
      <c r="S12" s="27">
        <f t="shared" si="0"/>
        <v>0.97052663224550006</v>
      </c>
      <c r="T12" s="27">
        <f t="shared" si="0"/>
        <v>0.97052663224550006</v>
      </c>
      <c r="U12" s="27">
        <f t="shared" si="0"/>
        <v>0.97052663224550006</v>
      </c>
      <c r="V12" s="27">
        <f t="shared" si="0"/>
        <v>0.97052663224550006</v>
      </c>
      <c r="W12" s="27">
        <f t="shared" si="0"/>
        <v>0.97052663224550006</v>
      </c>
      <c r="X12" s="27">
        <f t="shared" si="0"/>
        <v>0.97052663224550006</v>
      </c>
      <c r="Y12" s="27">
        <f t="shared" si="0"/>
        <v>0.97052663224550006</v>
      </c>
      <c r="Z12" s="27">
        <f t="shared" si="0"/>
        <v>0.97052663224550006</v>
      </c>
      <c r="AA12" s="27">
        <f t="shared" si="0"/>
        <v>0.97052663224550006</v>
      </c>
      <c r="AB12" s="27">
        <f t="shared" si="0"/>
        <v>0.97052663224550006</v>
      </c>
      <c r="AC12" s="27">
        <f t="shared" si="0"/>
        <v>0.97052663224550006</v>
      </c>
      <c r="AD12" s="27">
        <f t="shared" si="0"/>
        <v>0.97052663224550006</v>
      </c>
      <c r="AE12" s="27">
        <f t="shared" si="0"/>
        <v>0.97052663224550006</v>
      </c>
      <c r="AF12" s="27">
        <f t="shared" si="0"/>
        <v>0.97052663224550006</v>
      </c>
      <c r="AG12" s="27">
        <f t="shared" si="0"/>
        <v>0.97052663224550006</v>
      </c>
    </row>
    <row r="13" spans="1:33" x14ac:dyDescent="0.3">
      <c r="A13" s="1" t="s">
        <v>11</v>
      </c>
      <c r="B13" s="27">
        <f>PERMIT_NZ!B13</f>
        <v>1</v>
      </c>
      <c r="C13" s="27">
        <f>PERMIT_NZ!C13</f>
        <v>0.99732060293140912</v>
      </c>
      <c r="D13" s="27">
        <f>PERMIT_NZ!D13</f>
        <v>0.99464120586281823</v>
      </c>
      <c r="E13" s="27">
        <f>PERMIT_NZ!E13</f>
        <v>0.99196180879422735</v>
      </c>
      <c r="F13" s="27">
        <f>PERMIT_NZ!F13</f>
        <v>0.98928241172563647</v>
      </c>
      <c r="G13" s="27">
        <f>PERMIT_NZ!G13</f>
        <v>0.98660301465704558</v>
      </c>
      <c r="H13" s="27">
        <f>PERMIT_NZ!H13</f>
        <v>0.9839236175884547</v>
      </c>
      <c r="I13" s="27">
        <f>PERMIT_NZ!I13</f>
        <v>0.98124422051986382</v>
      </c>
      <c r="J13" s="27">
        <f>PERMIT_NZ!J13</f>
        <v>0.97856482345127294</v>
      </c>
      <c r="K13" s="27">
        <f>PERMIT_NZ!K13</f>
        <v>0.97588542638268205</v>
      </c>
      <c r="L13" s="27">
        <f>PERMIT_NZ!L13</f>
        <v>0.97320602931409117</v>
      </c>
      <c r="M13" s="27">
        <f>PERMIT_NZ!M13</f>
        <v>0.97052663224549995</v>
      </c>
      <c r="N13" s="27">
        <f t="shared" si="1"/>
        <v>0.97052663224549995</v>
      </c>
      <c r="O13" s="27">
        <f t="shared" si="0"/>
        <v>0.97052663224549995</v>
      </c>
      <c r="P13" s="27">
        <f t="shared" si="0"/>
        <v>0.97052663224549995</v>
      </c>
      <c r="Q13" s="27">
        <f t="shared" si="0"/>
        <v>0.97052663224549995</v>
      </c>
      <c r="R13" s="27">
        <f t="shared" si="0"/>
        <v>0.97052663224549995</v>
      </c>
      <c r="S13" s="27">
        <f t="shared" si="0"/>
        <v>0.97052663224549995</v>
      </c>
      <c r="T13" s="27">
        <f t="shared" si="0"/>
        <v>0.97052663224549995</v>
      </c>
      <c r="U13" s="27">
        <f t="shared" si="0"/>
        <v>0.97052663224549995</v>
      </c>
      <c r="V13" s="27">
        <f t="shared" si="0"/>
        <v>0.97052663224549995</v>
      </c>
      <c r="W13" s="27">
        <f t="shared" si="0"/>
        <v>0.97052663224549995</v>
      </c>
      <c r="X13" s="27">
        <f t="shared" si="0"/>
        <v>0.97052663224549995</v>
      </c>
      <c r="Y13" s="27">
        <f t="shared" si="0"/>
        <v>0.97052663224549995</v>
      </c>
      <c r="Z13" s="27">
        <f t="shared" si="0"/>
        <v>0.97052663224549995</v>
      </c>
      <c r="AA13" s="27">
        <f t="shared" si="0"/>
        <v>0.97052663224549995</v>
      </c>
      <c r="AB13" s="27">
        <f t="shared" si="0"/>
        <v>0.97052663224549995</v>
      </c>
      <c r="AC13" s="27">
        <f t="shared" si="0"/>
        <v>0.97052663224549995</v>
      </c>
      <c r="AD13" s="27">
        <f t="shared" si="0"/>
        <v>0.97052663224549995</v>
      </c>
      <c r="AE13" s="27">
        <f t="shared" si="0"/>
        <v>0.97052663224549995</v>
      </c>
      <c r="AF13" s="27">
        <f t="shared" si="0"/>
        <v>0.97052663224549995</v>
      </c>
      <c r="AG13" s="27">
        <f t="shared" si="0"/>
        <v>0.97052663224549995</v>
      </c>
    </row>
    <row r="14" spans="1:33" x14ac:dyDescent="0.3">
      <c r="A14" s="1" t="s">
        <v>12</v>
      </c>
      <c r="B14" s="27">
        <f>PERMIT_NZ!B14</f>
        <v>1</v>
      </c>
      <c r="C14" s="27">
        <f>PERMIT_NZ!C14</f>
        <v>0.99732060293140912</v>
      </c>
      <c r="D14" s="27">
        <f>PERMIT_NZ!D14</f>
        <v>0.99464120586281823</v>
      </c>
      <c r="E14" s="27">
        <f>PERMIT_NZ!E14</f>
        <v>0.99196180879422735</v>
      </c>
      <c r="F14" s="27">
        <f>PERMIT_NZ!F14</f>
        <v>0.98928241172563647</v>
      </c>
      <c r="G14" s="27">
        <f>PERMIT_NZ!G14</f>
        <v>0.98660301465704558</v>
      </c>
      <c r="H14" s="27">
        <f>PERMIT_NZ!H14</f>
        <v>0.9839236175884547</v>
      </c>
      <c r="I14" s="27">
        <f>PERMIT_NZ!I14</f>
        <v>0.98124422051986382</v>
      </c>
      <c r="J14" s="27">
        <f>PERMIT_NZ!J14</f>
        <v>0.97856482345127294</v>
      </c>
      <c r="K14" s="27">
        <f>PERMIT_NZ!K14</f>
        <v>0.97588542638268205</v>
      </c>
      <c r="L14" s="27">
        <f>PERMIT_NZ!L14</f>
        <v>0.97320602931409117</v>
      </c>
      <c r="M14" s="27">
        <f>PERMIT_NZ!M14</f>
        <v>0.97052663224549995</v>
      </c>
      <c r="N14" s="27">
        <f t="shared" si="1"/>
        <v>0.97052663224549995</v>
      </c>
      <c r="O14" s="27">
        <f t="shared" si="0"/>
        <v>0.97052663224549995</v>
      </c>
      <c r="P14" s="27">
        <f t="shared" si="0"/>
        <v>0.97052663224549995</v>
      </c>
      <c r="Q14" s="27">
        <f t="shared" si="0"/>
        <v>0.97052663224549995</v>
      </c>
      <c r="R14" s="27">
        <f t="shared" si="0"/>
        <v>0.97052663224549995</v>
      </c>
      <c r="S14" s="27">
        <f t="shared" si="0"/>
        <v>0.97052663224549995</v>
      </c>
      <c r="T14" s="27">
        <f t="shared" si="0"/>
        <v>0.97052663224549995</v>
      </c>
      <c r="U14" s="27">
        <f t="shared" si="0"/>
        <v>0.97052663224549995</v>
      </c>
      <c r="V14" s="27">
        <f t="shared" si="0"/>
        <v>0.97052663224549995</v>
      </c>
      <c r="W14" s="27">
        <f t="shared" si="0"/>
        <v>0.97052663224549995</v>
      </c>
      <c r="X14" s="27">
        <f t="shared" si="0"/>
        <v>0.97052663224549995</v>
      </c>
      <c r="Y14" s="27">
        <f t="shared" si="0"/>
        <v>0.97052663224549995</v>
      </c>
      <c r="Z14" s="27">
        <f t="shared" si="0"/>
        <v>0.97052663224549995</v>
      </c>
      <c r="AA14" s="27">
        <f t="shared" si="0"/>
        <v>0.97052663224549995</v>
      </c>
      <c r="AB14" s="27">
        <f t="shared" si="0"/>
        <v>0.97052663224549995</v>
      </c>
      <c r="AC14" s="27">
        <f t="shared" si="0"/>
        <v>0.97052663224549995</v>
      </c>
      <c r="AD14" s="27">
        <f t="shared" si="0"/>
        <v>0.97052663224549995</v>
      </c>
      <c r="AE14" s="27">
        <f t="shared" si="0"/>
        <v>0.97052663224549995</v>
      </c>
      <c r="AF14" s="27">
        <f t="shared" si="0"/>
        <v>0.97052663224549995</v>
      </c>
      <c r="AG14" s="27">
        <f t="shared" si="0"/>
        <v>0.97052663224549995</v>
      </c>
    </row>
    <row r="15" spans="1:33" x14ac:dyDescent="0.3">
      <c r="A15" s="1" t="s">
        <v>83</v>
      </c>
      <c r="B15" s="27">
        <f>PERMIT_NZ!B15</f>
        <v>1</v>
      </c>
      <c r="C15" s="27">
        <f>PERMIT_NZ!C15</f>
        <v>0.99732060293140912</v>
      </c>
      <c r="D15" s="27">
        <f>PERMIT_NZ!D15</f>
        <v>0.99464120586281823</v>
      </c>
      <c r="E15" s="27">
        <f>PERMIT_NZ!E15</f>
        <v>0.99196180879422735</v>
      </c>
      <c r="F15" s="27">
        <f>PERMIT_NZ!F15</f>
        <v>0.98928241172563647</v>
      </c>
      <c r="G15" s="27">
        <f>PERMIT_NZ!G15</f>
        <v>0.98660301465704558</v>
      </c>
      <c r="H15" s="27">
        <f>PERMIT_NZ!H15</f>
        <v>0.9839236175884547</v>
      </c>
      <c r="I15" s="27">
        <f>PERMIT_NZ!I15</f>
        <v>0.98124422051986382</v>
      </c>
      <c r="J15" s="27">
        <f>PERMIT_NZ!J15</f>
        <v>0.97856482345127294</v>
      </c>
      <c r="K15" s="27">
        <f>PERMIT_NZ!K15</f>
        <v>0.97588542638268205</v>
      </c>
      <c r="L15" s="27">
        <f>PERMIT_NZ!L15</f>
        <v>0.97320602931409117</v>
      </c>
      <c r="M15" s="27">
        <f>PERMIT_NZ!M15</f>
        <v>0.97052663224550006</v>
      </c>
      <c r="N15" s="27">
        <f t="shared" si="1"/>
        <v>0.97052663224550006</v>
      </c>
      <c r="O15" s="27">
        <f t="shared" si="0"/>
        <v>0.97052663224550006</v>
      </c>
      <c r="P15" s="27">
        <f t="shared" si="0"/>
        <v>0.97052663224550006</v>
      </c>
      <c r="Q15" s="27">
        <f t="shared" si="0"/>
        <v>0.97052663224550006</v>
      </c>
      <c r="R15" s="27">
        <f t="shared" si="0"/>
        <v>0.97052663224550006</v>
      </c>
      <c r="S15" s="27">
        <f t="shared" si="0"/>
        <v>0.97052663224550006</v>
      </c>
      <c r="T15" s="27">
        <f t="shared" si="0"/>
        <v>0.97052663224550006</v>
      </c>
      <c r="U15" s="27">
        <f t="shared" si="0"/>
        <v>0.97052663224550006</v>
      </c>
      <c r="V15" s="27">
        <f t="shared" si="0"/>
        <v>0.97052663224550006</v>
      </c>
      <c r="W15" s="27">
        <f t="shared" si="0"/>
        <v>0.97052663224550006</v>
      </c>
      <c r="X15" s="27">
        <f t="shared" si="0"/>
        <v>0.97052663224550006</v>
      </c>
      <c r="Y15" s="27">
        <f t="shared" si="0"/>
        <v>0.97052663224550006</v>
      </c>
      <c r="Z15" s="27">
        <f t="shared" si="0"/>
        <v>0.97052663224550006</v>
      </c>
      <c r="AA15" s="27">
        <f t="shared" si="0"/>
        <v>0.97052663224550006</v>
      </c>
      <c r="AB15" s="27">
        <f t="shared" si="0"/>
        <v>0.97052663224550006</v>
      </c>
      <c r="AC15" s="27">
        <f t="shared" si="0"/>
        <v>0.97052663224550006</v>
      </c>
      <c r="AD15" s="27">
        <f t="shared" si="0"/>
        <v>0.97052663224550006</v>
      </c>
      <c r="AE15" s="27">
        <f t="shared" si="0"/>
        <v>0.97052663224550006</v>
      </c>
      <c r="AF15" s="27">
        <f t="shared" si="0"/>
        <v>0.97052663224550006</v>
      </c>
      <c r="AG15" s="27">
        <f t="shared" si="0"/>
        <v>0.97052663224550006</v>
      </c>
    </row>
    <row r="16" spans="1:33" x14ac:dyDescent="0.3">
      <c r="A16" s="1" t="s">
        <v>14</v>
      </c>
      <c r="B16" s="27">
        <f>PERMIT_NZ!B16</f>
        <v>1</v>
      </c>
      <c r="C16" s="27">
        <f>PERMIT_NZ!C16</f>
        <v>0.99732060293140912</v>
      </c>
      <c r="D16" s="27">
        <f>PERMIT_NZ!D16</f>
        <v>0.99464120586281823</v>
      </c>
      <c r="E16" s="27">
        <f>PERMIT_NZ!E16</f>
        <v>0.99196180879422735</v>
      </c>
      <c r="F16" s="27">
        <f>PERMIT_NZ!F16</f>
        <v>0.98928241172563647</v>
      </c>
      <c r="G16" s="27">
        <f>PERMIT_NZ!G16</f>
        <v>0.98660301465704558</v>
      </c>
      <c r="H16" s="27">
        <f>PERMIT_NZ!H16</f>
        <v>0.9839236175884547</v>
      </c>
      <c r="I16" s="27">
        <f>PERMIT_NZ!I16</f>
        <v>0.98124422051986382</v>
      </c>
      <c r="J16" s="27">
        <f>PERMIT_NZ!J16</f>
        <v>0.97856482345127294</v>
      </c>
      <c r="K16" s="27">
        <f>PERMIT_NZ!K16</f>
        <v>0.97588542638268205</v>
      </c>
      <c r="L16" s="27">
        <f>PERMIT_NZ!L16</f>
        <v>0.97320602931409117</v>
      </c>
      <c r="M16" s="27">
        <f>PERMIT_NZ!M16</f>
        <v>0.97052663224550018</v>
      </c>
      <c r="N16" s="27">
        <f t="shared" si="1"/>
        <v>0.97052663224550018</v>
      </c>
      <c r="O16" s="27">
        <f t="shared" si="0"/>
        <v>0.97052663224550018</v>
      </c>
      <c r="P16" s="27">
        <f t="shared" si="0"/>
        <v>0.97052663224550018</v>
      </c>
      <c r="Q16" s="27">
        <f t="shared" si="0"/>
        <v>0.97052663224550018</v>
      </c>
      <c r="R16" s="27">
        <f t="shared" si="0"/>
        <v>0.97052663224550018</v>
      </c>
      <c r="S16" s="27">
        <f t="shared" ref="O16:AG18" si="2">R16</f>
        <v>0.97052663224550018</v>
      </c>
      <c r="T16" s="27">
        <f t="shared" si="2"/>
        <v>0.97052663224550018</v>
      </c>
      <c r="U16" s="27">
        <f t="shared" si="2"/>
        <v>0.97052663224550018</v>
      </c>
      <c r="V16" s="27">
        <f t="shared" si="2"/>
        <v>0.97052663224550018</v>
      </c>
      <c r="W16" s="27">
        <f t="shared" si="2"/>
        <v>0.97052663224550018</v>
      </c>
      <c r="X16" s="27">
        <f t="shared" si="2"/>
        <v>0.97052663224550018</v>
      </c>
      <c r="Y16" s="27">
        <f t="shared" si="2"/>
        <v>0.97052663224550018</v>
      </c>
      <c r="Z16" s="27">
        <f t="shared" si="2"/>
        <v>0.97052663224550018</v>
      </c>
      <c r="AA16" s="27">
        <f t="shared" si="2"/>
        <v>0.97052663224550018</v>
      </c>
      <c r="AB16" s="27">
        <f t="shared" si="2"/>
        <v>0.97052663224550018</v>
      </c>
      <c r="AC16" s="27">
        <f t="shared" si="2"/>
        <v>0.97052663224550018</v>
      </c>
      <c r="AD16" s="27">
        <f t="shared" si="2"/>
        <v>0.97052663224550018</v>
      </c>
      <c r="AE16" s="27">
        <f t="shared" si="2"/>
        <v>0.97052663224550018</v>
      </c>
      <c r="AF16" s="27">
        <f t="shared" si="2"/>
        <v>0.97052663224550018</v>
      </c>
      <c r="AG16" s="27">
        <f t="shared" si="2"/>
        <v>0.97052663224550018</v>
      </c>
    </row>
    <row r="17" spans="1:33" x14ac:dyDescent="0.3">
      <c r="A17" s="1" t="s">
        <v>81</v>
      </c>
      <c r="B17" s="27">
        <f>PERMIT_NZ!B17</f>
        <v>1</v>
      </c>
      <c r="C17" s="27">
        <f>PERMIT_NZ!C17</f>
        <v>0.99732060293140912</v>
      </c>
      <c r="D17" s="27">
        <f>PERMIT_NZ!D17</f>
        <v>0.99464120586281823</v>
      </c>
      <c r="E17" s="27">
        <f>PERMIT_NZ!E17</f>
        <v>0.99196180879422735</v>
      </c>
      <c r="F17" s="27">
        <f>PERMIT_NZ!F17</f>
        <v>0.98928241172563647</v>
      </c>
      <c r="G17" s="27">
        <f>PERMIT_NZ!G17</f>
        <v>0.98660301465704558</v>
      </c>
      <c r="H17" s="27">
        <f>PERMIT_NZ!H17</f>
        <v>0.9839236175884547</v>
      </c>
      <c r="I17" s="27">
        <f>PERMIT_NZ!I17</f>
        <v>0.98124422051986382</v>
      </c>
      <c r="J17" s="27">
        <f>PERMIT_NZ!J17</f>
        <v>0.97856482345127294</v>
      </c>
      <c r="K17" s="27">
        <f>PERMIT_NZ!K17</f>
        <v>0.97588542638268205</v>
      </c>
      <c r="L17" s="27">
        <f>PERMIT_NZ!L17</f>
        <v>0.97320602931409117</v>
      </c>
      <c r="M17" s="27">
        <f>PERMIT_NZ!M17</f>
        <v>0.97052663224550018</v>
      </c>
      <c r="N17" s="27">
        <f t="shared" si="1"/>
        <v>0.97052663224550018</v>
      </c>
      <c r="O17" s="27">
        <f t="shared" si="2"/>
        <v>0.97052663224550018</v>
      </c>
      <c r="P17" s="27">
        <f t="shared" si="2"/>
        <v>0.97052663224550018</v>
      </c>
      <c r="Q17" s="27">
        <f t="shared" si="2"/>
        <v>0.97052663224550018</v>
      </c>
      <c r="R17" s="27">
        <f t="shared" si="2"/>
        <v>0.97052663224550018</v>
      </c>
      <c r="S17" s="27">
        <f t="shared" si="2"/>
        <v>0.97052663224550018</v>
      </c>
      <c r="T17" s="27">
        <f t="shared" si="2"/>
        <v>0.97052663224550018</v>
      </c>
      <c r="U17" s="27">
        <f t="shared" si="2"/>
        <v>0.97052663224550018</v>
      </c>
      <c r="V17" s="27">
        <f t="shared" si="2"/>
        <v>0.97052663224550018</v>
      </c>
      <c r="W17" s="27">
        <f t="shared" si="2"/>
        <v>0.97052663224550018</v>
      </c>
      <c r="X17" s="27">
        <f t="shared" si="2"/>
        <v>0.97052663224550018</v>
      </c>
      <c r="Y17" s="27">
        <f t="shared" si="2"/>
        <v>0.97052663224550018</v>
      </c>
      <c r="Z17" s="27">
        <f t="shared" si="2"/>
        <v>0.97052663224550018</v>
      </c>
      <c r="AA17" s="27">
        <f t="shared" si="2"/>
        <v>0.97052663224550018</v>
      </c>
      <c r="AB17" s="27">
        <f t="shared" si="2"/>
        <v>0.97052663224550018</v>
      </c>
      <c r="AC17" s="27">
        <f t="shared" si="2"/>
        <v>0.97052663224550018</v>
      </c>
      <c r="AD17" s="27">
        <f t="shared" si="2"/>
        <v>0.97052663224550018</v>
      </c>
      <c r="AE17" s="27">
        <f t="shared" si="2"/>
        <v>0.97052663224550018</v>
      </c>
      <c r="AF17" s="27">
        <f t="shared" si="2"/>
        <v>0.97052663224550018</v>
      </c>
      <c r="AG17" s="27">
        <f t="shared" si="2"/>
        <v>0.97052663224550018</v>
      </c>
    </row>
    <row r="18" spans="1:33" x14ac:dyDescent="0.3">
      <c r="A18" s="1" t="s">
        <v>80</v>
      </c>
      <c r="B18" s="27">
        <f>PERMIT_NZ!B18</f>
        <v>1</v>
      </c>
      <c r="C18" s="27">
        <f>PERMIT_NZ!C18</f>
        <v>0.96880530280148291</v>
      </c>
      <c r="D18" s="27">
        <f>PERMIT_NZ!D18</f>
        <v>0.93761060560296583</v>
      </c>
      <c r="E18" s="27">
        <f>PERMIT_NZ!E18</f>
        <v>0.90641590840444874</v>
      </c>
      <c r="F18" s="27">
        <f>PERMIT_NZ!F18</f>
        <v>0.87522121120593166</v>
      </c>
      <c r="G18" s="27">
        <f>PERMIT_NZ!G18</f>
        <v>0.84402651400741457</v>
      </c>
      <c r="H18" s="27">
        <f>PERMIT_NZ!H18</f>
        <v>0.81283181680889749</v>
      </c>
      <c r="I18" s="27">
        <f>PERMIT_NZ!I18</f>
        <v>0.7816371196103804</v>
      </c>
      <c r="J18" s="27">
        <f>PERMIT_NZ!J18</f>
        <v>0.75044242241186332</v>
      </c>
      <c r="K18" s="27">
        <f>PERMIT_NZ!K18</f>
        <v>0.71924772521334623</v>
      </c>
      <c r="L18" s="27">
        <f>PERMIT_NZ!L18</f>
        <v>0.68805302801482915</v>
      </c>
      <c r="M18" s="27">
        <f>PERMIT_NZ!M18</f>
        <v>0.65685833081631206</v>
      </c>
      <c r="N18" s="27">
        <f t="shared" si="1"/>
        <v>0.65685833081631206</v>
      </c>
      <c r="O18" s="27">
        <f t="shared" si="2"/>
        <v>0.65685833081631206</v>
      </c>
      <c r="P18" s="27">
        <f t="shared" si="2"/>
        <v>0.65685833081631206</v>
      </c>
      <c r="Q18" s="27">
        <f t="shared" si="2"/>
        <v>0.65685833081631206</v>
      </c>
      <c r="R18" s="27">
        <f t="shared" si="2"/>
        <v>0.65685833081631206</v>
      </c>
      <c r="S18" s="27">
        <f t="shared" si="2"/>
        <v>0.65685833081631206</v>
      </c>
      <c r="T18" s="27">
        <f t="shared" si="2"/>
        <v>0.65685833081631206</v>
      </c>
      <c r="U18" s="27">
        <f t="shared" si="2"/>
        <v>0.65685833081631206</v>
      </c>
      <c r="V18" s="27">
        <f t="shared" si="2"/>
        <v>0.65685833081631206</v>
      </c>
      <c r="W18" s="27">
        <f t="shared" si="2"/>
        <v>0.65685833081631206</v>
      </c>
      <c r="X18" s="27">
        <f t="shared" si="2"/>
        <v>0.65685833081631206</v>
      </c>
      <c r="Y18" s="27">
        <f t="shared" si="2"/>
        <v>0.65685833081631206</v>
      </c>
      <c r="Z18" s="27">
        <f t="shared" si="2"/>
        <v>0.65685833081631206</v>
      </c>
      <c r="AA18" s="27">
        <f t="shared" si="2"/>
        <v>0.65685833081631206</v>
      </c>
      <c r="AB18" s="27">
        <f t="shared" si="2"/>
        <v>0.65685833081631206</v>
      </c>
      <c r="AC18" s="27">
        <f t="shared" si="2"/>
        <v>0.65685833081631206</v>
      </c>
      <c r="AD18" s="27">
        <f t="shared" si="2"/>
        <v>0.65685833081631206</v>
      </c>
      <c r="AE18" s="27">
        <f t="shared" si="2"/>
        <v>0.65685833081631206</v>
      </c>
      <c r="AF18" s="27">
        <f t="shared" si="2"/>
        <v>0.65685833081631206</v>
      </c>
      <c r="AG18" s="27">
        <f t="shared" si="2"/>
        <v>0.65685833081631206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60"/>
  <sheetViews>
    <sheetView zoomScale="55" zoomScaleNormal="55" workbookViewId="0">
      <selection activeCell="AG17" sqref="AG17"/>
    </sheetView>
  </sheetViews>
  <sheetFormatPr defaultRowHeight="14.4" x14ac:dyDescent="0.3"/>
  <cols>
    <col min="1" max="1" width="11.109375" bestFit="1" customWidth="1"/>
    <col min="2" max="2" width="11" bestFit="1" customWidth="1"/>
    <col min="3" max="3" width="12.21875" bestFit="1" customWidth="1"/>
    <col min="4" max="27" width="11" bestFit="1" customWidth="1"/>
    <col min="28" max="28" width="9.77734375" bestFit="1" customWidth="1"/>
    <col min="29" max="33" width="11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7">
        <f t="shared" ref="B2:B18" si="0">B23</f>
        <v>1</v>
      </c>
      <c r="C2" s="27">
        <f t="shared" ref="C2:L2" si="1">B2+($M2-$B2)/(2030-2019)</f>
        <v>0.96880530280148291</v>
      </c>
      <c r="D2" s="27">
        <f t="shared" si="1"/>
        <v>0.93761060560296583</v>
      </c>
      <c r="E2" s="27">
        <f t="shared" si="1"/>
        <v>0.90641590840444874</v>
      </c>
      <c r="F2" s="27">
        <f t="shared" si="1"/>
        <v>0.87522121120593166</v>
      </c>
      <c r="G2" s="27">
        <f t="shared" si="1"/>
        <v>0.84402651400741457</v>
      </c>
      <c r="H2" s="27">
        <f t="shared" si="1"/>
        <v>0.81283181680889749</v>
      </c>
      <c r="I2" s="27">
        <f t="shared" si="1"/>
        <v>0.7816371196103804</v>
      </c>
      <c r="J2" s="27">
        <f t="shared" si="1"/>
        <v>0.75044242241186332</v>
      </c>
      <c r="K2" s="27">
        <f t="shared" si="1"/>
        <v>0.71924772521334623</v>
      </c>
      <c r="L2" s="27">
        <f t="shared" si="1"/>
        <v>0.68805302801482915</v>
      </c>
      <c r="M2" s="27">
        <v>0.65685833081631229</v>
      </c>
      <c r="N2" s="29">
        <f>M2+($W2-$M2)/(2040-2030)</f>
        <v>0.62811088203873577</v>
      </c>
      <c r="O2" s="29">
        <f t="shared" ref="O2:V2" si="2">N2+($W2-$M2)/(2040-2030)</f>
        <v>0.59936343326115926</v>
      </c>
      <c r="P2" s="29">
        <f t="shared" si="2"/>
        <v>0.57061598448358275</v>
      </c>
      <c r="Q2" s="29">
        <f t="shared" si="2"/>
        <v>0.54186853570600624</v>
      </c>
      <c r="R2" s="29">
        <f t="shared" si="2"/>
        <v>0.51312108692842973</v>
      </c>
      <c r="S2" s="29">
        <f t="shared" si="2"/>
        <v>0.48437363815085327</v>
      </c>
      <c r="T2" s="29">
        <f t="shared" si="2"/>
        <v>0.45562618937327681</v>
      </c>
      <c r="U2" s="29">
        <f t="shared" si="2"/>
        <v>0.42687874059570036</v>
      </c>
      <c r="V2" s="29">
        <f t="shared" si="2"/>
        <v>0.3981312918181239</v>
      </c>
      <c r="W2" s="27">
        <v>0.36938384304054761</v>
      </c>
      <c r="X2" s="27">
        <f>W2+($AG2-$W2)/(2050-2040)</f>
        <v>0.34244545873649285</v>
      </c>
      <c r="Y2" s="27">
        <f t="shared" ref="Y2:AF2" si="3">X2+($AG2-$W2)/(2050-2040)</f>
        <v>0.31550707443243808</v>
      </c>
      <c r="Z2" s="27">
        <f t="shared" si="3"/>
        <v>0.28856869012838332</v>
      </c>
      <c r="AA2" s="27">
        <f t="shared" si="3"/>
        <v>0.26163030582432856</v>
      </c>
      <c r="AB2" s="27">
        <f t="shared" si="3"/>
        <v>0.23469192152027379</v>
      </c>
      <c r="AC2" s="27">
        <f t="shared" si="3"/>
        <v>0.20775353721621903</v>
      </c>
      <c r="AD2" s="27">
        <f t="shared" si="3"/>
        <v>0.18081515291216427</v>
      </c>
      <c r="AE2" s="27">
        <f t="shared" si="3"/>
        <v>0.1538767686081095</v>
      </c>
      <c r="AF2" s="27">
        <f t="shared" si="3"/>
        <v>0.12693838430405474</v>
      </c>
      <c r="AG2" s="28">
        <v>0.1</v>
      </c>
    </row>
    <row r="3" spans="1:33" x14ac:dyDescent="0.3">
      <c r="A3" s="1" t="s">
        <v>1</v>
      </c>
      <c r="B3" s="27">
        <f t="shared" si="0"/>
        <v>1</v>
      </c>
      <c r="C3" s="27">
        <f t="shared" ref="C3:L3" si="4">B3+($M3-$B3)/(2030-2019)</f>
        <v>0.99732060293140912</v>
      </c>
      <c r="D3" s="27">
        <f t="shared" si="4"/>
        <v>0.99464120586281823</v>
      </c>
      <c r="E3" s="27">
        <f t="shared" si="4"/>
        <v>0.99196180879422735</v>
      </c>
      <c r="F3" s="27">
        <f t="shared" si="4"/>
        <v>0.98928241172563647</v>
      </c>
      <c r="G3" s="27">
        <f t="shared" si="4"/>
        <v>0.98660301465704558</v>
      </c>
      <c r="H3" s="27">
        <f t="shared" si="4"/>
        <v>0.9839236175884547</v>
      </c>
      <c r="I3" s="27">
        <f t="shared" si="4"/>
        <v>0.98124422051986382</v>
      </c>
      <c r="J3" s="27">
        <f t="shared" si="4"/>
        <v>0.97856482345127294</v>
      </c>
      <c r="K3" s="27">
        <f t="shared" si="4"/>
        <v>0.97588542638268205</v>
      </c>
      <c r="L3" s="27">
        <f t="shared" si="4"/>
        <v>0.97320602931409117</v>
      </c>
      <c r="M3" s="27">
        <v>0.97052663224549995</v>
      </c>
      <c r="N3" s="29">
        <f t="shared" ref="N3:V3" si="5">M3+($W3-$M3)/(2040-2030)</f>
        <v>0.94123083520852557</v>
      </c>
      <c r="O3" s="29">
        <f t="shared" si="5"/>
        <v>0.91193503817155119</v>
      </c>
      <c r="P3" s="29">
        <f t="shared" si="5"/>
        <v>0.88263924113457681</v>
      </c>
      <c r="Q3" s="29">
        <f t="shared" si="5"/>
        <v>0.85334344409760243</v>
      </c>
      <c r="R3" s="29">
        <f t="shared" si="5"/>
        <v>0.82404764706062805</v>
      </c>
      <c r="S3" s="29">
        <f t="shared" si="5"/>
        <v>0.79475185002365367</v>
      </c>
      <c r="T3" s="29">
        <f t="shared" si="5"/>
        <v>0.76545605298667929</v>
      </c>
      <c r="U3" s="29">
        <f t="shared" si="5"/>
        <v>0.73616025594970491</v>
      </c>
      <c r="V3" s="29">
        <f t="shared" si="5"/>
        <v>0.70686445891273053</v>
      </c>
      <c r="W3" s="27">
        <v>0.67756866187575593</v>
      </c>
      <c r="X3" s="27">
        <f t="shared" ref="X3:AF3" si="6">W3+($AG3-$W3)/(2050-2040)</f>
        <v>0.63481179568818036</v>
      </c>
      <c r="Y3" s="27">
        <f t="shared" si="6"/>
        <v>0.59205492950060479</v>
      </c>
      <c r="Z3" s="27">
        <f t="shared" si="6"/>
        <v>0.54929806331302922</v>
      </c>
      <c r="AA3" s="27">
        <f t="shared" si="6"/>
        <v>0.50654119712545365</v>
      </c>
      <c r="AB3" s="27">
        <f t="shared" si="6"/>
        <v>0.46378433093787808</v>
      </c>
      <c r="AC3" s="27">
        <f t="shared" si="6"/>
        <v>0.4210274647503025</v>
      </c>
      <c r="AD3" s="27">
        <f t="shared" si="6"/>
        <v>0.37827059856272693</v>
      </c>
      <c r="AE3" s="27">
        <f t="shared" si="6"/>
        <v>0.33551373237515136</v>
      </c>
      <c r="AF3" s="27">
        <f t="shared" si="6"/>
        <v>0.29275686618757579</v>
      </c>
      <c r="AG3" s="27">
        <v>0.25</v>
      </c>
    </row>
    <row r="4" spans="1:33" x14ac:dyDescent="0.3">
      <c r="A4" s="1" t="s">
        <v>2</v>
      </c>
      <c r="B4" s="27">
        <f t="shared" si="0"/>
        <v>1</v>
      </c>
      <c r="C4" s="27">
        <f t="shared" ref="C4:L4" si="7">B4+($M4-$B4)/(2030-2019)</f>
        <v>0.97030956186559991</v>
      </c>
      <c r="D4" s="27">
        <f t="shared" si="7"/>
        <v>0.94061912373119982</v>
      </c>
      <c r="E4" s="27">
        <f t="shared" si="7"/>
        <v>0.91092868559679974</v>
      </c>
      <c r="F4" s="27">
        <f t="shared" si="7"/>
        <v>0.88123824746239965</v>
      </c>
      <c r="G4" s="27">
        <f t="shared" si="7"/>
        <v>0.85154780932799956</v>
      </c>
      <c r="H4" s="27">
        <f t="shared" si="7"/>
        <v>0.82185737119359947</v>
      </c>
      <c r="I4" s="27">
        <f t="shared" si="7"/>
        <v>0.79216693305919939</v>
      </c>
      <c r="J4" s="27">
        <f t="shared" si="7"/>
        <v>0.7624764949247993</v>
      </c>
      <c r="K4" s="27">
        <f t="shared" si="7"/>
        <v>0.73278605679039921</v>
      </c>
      <c r="L4" s="27">
        <f t="shared" si="7"/>
        <v>0.70309561865599912</v>
      </c>
      <c r="M4" s="27">
        <v>0.67340518052159881</v>
      </c>
      <c r="N4" s="29">
        <f t="shared" ref="N4:V4" si="8">M4+($W4-$M4)/(2040-2030)</f>
        <v>0.64379368066983944</v>
      </c>
      <c r="O4" s="29">
        <f t="shared" si="8"/>
        <v>0.61418218081808007</v>
      </c>
      <c r="P4" s="29">
        <f t="shared" si="8"/>
        <v>0.5845706809663207</v>
      </c>
      <c r="Q4" s="29">
        <f t="shared" si="8"/>
        <v>0.55495918111456133</v>
      </c>
      <c r="R4" s="29">
        <f t="shared" si="8"/>
        <v>0.52534768126280196</v>
      </c>
      <c r="S4" s="29">
        <f t="shared" si="8"/>
        <v>0.49573618141104253</v>
      </c>
      <c r="T4" s="29">
        <f t="shared" si="8"/>
        <v>0.4661246815592831</v>
      </c>
      <c r="U4" s="29">
        <f t="shared" si="8"/>
        <v>0.43651318170752368</v>
      </c>
      <c r="V4" s="29">
        <f t="shared" si="8"/>
        <v>0.40690168185576425</v>
      </c>
      <c r="W4" s="27">
        <v>0.37729018200400471</v>
      </c>
      <c r="X4" s="27">
        <f t="shared" ref="X4:AF4" si="9">W4+($AG4-$W4)/(2050-2040)</f>
        <v>0.34956116380360425</v>
      </c>
      <c r="Y4" s="27">
        <f t="shared" si="9"/>
        <v>0.32183214560320378</v>
      </c>
      <c r="Z4" s="27">
        <f t="shared" si="9"/>
        <v>0.29410312740280331</v>
      </c>
      <c r="AA4" s="27">
        <f t="shared" si="9"/>
        <v>0.26637410920240284</v>
      </c>
      <c r="AB4" s="27">
        <f t="shared" si="9"/>
        <v>0.23864509100200237</v>
      </c>
      <c r="AC4" s="27">
        <f t="shared" si="9"/>
        <v>0.21091607280160191</v>
      </c>
      <c r="AD4" s="27">
        <f t="shared" si="9"/>
        <v>0.18318705460120144</v>
      </c>
      <c r="AE4" s="27">
        <f t="shared" si="9"/>
        <v>0.15545803640080097</v>
      </c>
      <c r="AF4" s="27">
        <f t="shared" si="9"/>
        <v>0.1277290182004005</v>
      </c>
      <c r="AG4" s="28">
        <v>0.1</v>
      </c>
    </row>
    <row r="5" spans="1:33" x14ac:dyDescent="0.3">
      <c r="A5" s="1" t="s">
        <v>3</v>
      </c>
      <c r="B5" s="27">
        <f t="shared" si="0"/>
        <v>1</v>
      </c>
      <c r="C5" s="27">
        <f t="shared" ref="C5:L5" si="10">B5+($M5-$B5)/(2030-2019)</f>
        <v>1.0122286096130622</v>
      </c>
      <c r="D5" s="27">
        <f t="shared" si="10"/>
        <v>1.0244572192261243</v>
      </c>
      <c r="E5" s="27">
        <f t="shared" si="10"/>
        <v>1.0366858288391865</v>
      </c>
      <c r="F5" s="27">
        <f t="shared" si="10"/>
        <v>1.0489144384522486</v>
      </c>
      <c r="G5" s="27">
        <f t="shared" si="10"/>
        <v>1.0611430480653108</v>
      </c>
      <c r="H5" s="27">
        <f t="shared" si="10"/>
        <v>1.0733716576783729</v>
      </c>
      <c r="I5" s="27">
        <f t="shared" si="10"/>
        <v>1.0856002672914351</v>
      </c>
      <c r="J5" s="27">
        <f t="shared" si="10"/>
        <v>1.0978288769044973</v>
      </c>
      <c r="K5" s="27">
        <f t="shared" si="10"/>
        <v>1.1100574865175594</v>
      </c>
      <c r="L5" s="27">
        <f t="shared" si="10"/>
        <v>1.1222860961306216</v>
      </c>
      <c r="M5" s="27">
        <v>1.1345147057436835</v>
      </c>
      <c r="N5" s="29">
        <f t="shared" ref="N5:V5" si="11">M5+($W5-$M5)/(2040-2030)</f>
        <v>1.1080095424954721</v>
      </c>
      <c r="O5" s="29">
        <f t="shared" si="11"/>
        <v>1.0815043792472607</v>
      </c>
      <c r="P5" s="29">
        <f t="shared" si="11"/>
        <v>1.0549992159990493</v>
      </c>
      <c r="Q5" s="29">
        <f t="shared" si="11"/>
        <v>1.0284940527508379</v>
      </c>
      <c r="R5" s="29">
        <f t="shared" si="11"/>
        <v>1.0019888895026265</v>
      </c>
      <c r="S5" s="29">
        <f t="shared" si="11"/>
        <v>0.97548372625441504</v>
      </c>
      <c r="T5" s="29">
        <f t="shared" si="11"/>
        <v>0.94897856300620353</v>
      </c>
      <c r="U5" s="29">
        <f t="shared" si="11"/>
        <v>0.92247339975799203</v>
      </c>
      <c r="V5" s="29">
        <f t="shared" si="11"/>
        <v>0.89596823650978052</v>
      </c>
      <c r="W5" s="27">
        <v>0.86946307326156869</v>
      </c>
      <c r="X5" s="27">
        <f t="shared" ref="X5:AF5" si="12">W5+($AG5-$W5)/(2050-2040)</f>
        <v>0.8375167659354118</v>
      </c>
      <c r="Y5" s="27">
        <f t="shared" si="12"/>
        <v>0.80557045860925491</v>
      </c>
      <c r="Z5" s="27">
        <f t="shared" si="12"/>
        <v>0.77362415128309803</v>
      </c>
      <c r="AA5" s="27">
        <f t="shared" si="12"/>
        <v>0.74167784395694114</v>
      </c>
      <c r="AB5" s="27">
        <f t="shared" si="12"/>
        <v>0.70973153663078425</v>
      </c>
      <c r="AC5" s="27">
        <f t="shared" si="12"/>
        <v>0.67778522930462737</v>
      </c>
      <c r="AD5" s="27">
        <f t="shared" si="12"/>
        <v>0.64583892197847048</v>
      </c>
      <c r="AE5" s="27">
        <f t="shared" si="12"/>
        <v>0.6138926146523136</v>
      </c>
      <c r="AF5" s="27">
        <f t="shared" si="12"/>
        <v>0.58194630732615671</v>
      </c>
      <c r="AG5" s="27">
        <v>0.55000000000000004</v>
      </c>
    </row>
    <row r="6" spans="1:33" s="14" customFormat="1" x14ac:dyDescent="0.3">
      <c r="A6" s="1" t="s">
        <v>4</v>
      </c>
      <c r="B6" s="27">
        <f t="shared" si="0"/>
        <v>1</v>
      </c>
      <c r="C6" s="27">
        <f t="shared" ref="C6:L6" si="13">B6+($M6-$B6)/(2030-2019)</f>
        <v>1.0122286096130622</v>
      </c>
      <c r="D6" s="27">
        <f t="shared" si="13"/>
        <v>1.0244572192261243</v>
      </c>
      <c r="E6" s="27">
        <f t="shared" si="13"/>
        <v>1.0366858288391865</v>
      </c>
      <c r="F6" s="27">
        <f t="shared" si="13"/>
        <v>1.0489144384522486</v>
      </c>
      <c r="G6" s="27">
        <f t="shared" si="13"/>
        <v>1.0611430480653108</v>
      </c>
      <c r="H6" s="27">
        <f t="shared" si="13"/>
        <v>1.0733716576783729</v>
      </c>
      <c r="I6" s="27">
        <f t="shared" si="13"/>
        <v>1.0856002672914351</v>
      </c>
      <c r="J6" s="27">
        <f t="shared" si="13"/>
        <v>1.0978288769044973</v>
      </c>
      <c r="K6" s="27">
        <f t="shared" si="13"/>
        <v>1.1100574865175594</v>
      </c>
      <c r="L6" s="27">
        <f t="shared" si="13"/>
        <v>1.1222860961306216</v>
      </c>
      <c r="M6" s="27">
        <v>1.1345147057436833</v>
      </c>
      <c r="N6" s="29">
        <f t="shared" ref="N6:V6" si="14">M6+($W6-$M6)/(2040-2030)</f>
        <v>1.1080095424954719</v>
      </c>
      <c r="O6" s="29">
        <f t="shared" si="14"/>
        <v>1.0815043792472605</v>
      </c>
      <c r="P6" s="29">
        <f t="shared" si="14"/>
        <v>1.0549992159990491</v>
      </c>
      <c r="Q6" s="29">
        <f t="shared" si="14"/>
        <v>1.0284940527508377</v>
      </c>
      <c r="R6" s="29">
        <f t="shared" si="14"/>
        <v>1.0019888895026263</v>
      </c>
      <c r="S6" s="29">
        <f t="shared" si="14"/>
        <v>0.97548372625441493</v>
      </c>
      <c r="T6" s="29">
        <f t="shared" si="14"/>
        <v>0.94897856300620353</v>
      </c>
      <c r="U6" s="29">
        <f t="shared" si="14"/>
        <v>0.92247339975799214</v>
      </c>
      <c r="V6" s="29">
        <f t="shared" si="14"/>
        <v>0.89596823650978075</v>
      </c>
      <c r="W6" s="27">
        <v>0.8694630732615688</v>
      </c>
      <c r="X6" s="27">
        <f t="shared" ref="X6:AF6" si="15">W6+($AG6-$W6)/(2050-2040)</f>
        <v>0.83751676593541191</v>
      </c>
      <c r="Y6" s="27">
        <f t="shared" si="15"/>
        <v>0.80557045860925502</v>
      </c>
      <c r="Z6" s="27">
        <f t="shared" si="15"/>
        <v>0.77362415128309814</v>
      </c>
      <c r="AA6" s="27">
        <f t="shared" si="15"/>
        <v>0.74167784395694125</v>
      </c>
      <c r="AB6" s="27">
        <f t="shared" si="15"/>
        <v>0.70973153663078437</v>
      </c>
      <c r="AC6" s="27">
        <f t="shared" si="15"/>
        <v>0.67778522930462748</v>
      </c>
      <c r="AD6" s="27">
        <f t="shared" si="15"/>
        <v>0.64583892197847059</v>
      </c>
      <c r="AE6" s="27">
        <f t="shared" si="15"/>
        <v>0.61389261465231371</v>
      </c>
      <c r="AF6" s="27">
        <f t="shared" si="15"/>
        <v>0.58194630732615682</v>
      </c>
      <c r="AG6" s="27">
        <v>0.55000000000000004</v>
      </c>
    </row>
    <row r="7" spans="1:33" s="14" customFormat="1" x14ac:dyDescent="0.3">
      <c r="A7" s="1" t="s">
        <v>5</v>
      </c>
      <c r="B7" s="27">
        <f t="shared" si="0"/>
        <v>1</v>
      </c>
      <c r="C7" s="27">
        <f t="shared" ref="C7:L7" si="16">B7+($M7-$B7)/(2030-2019)</f>
        <v>1.0122286096130622</v>
      </c>
      <c r="D7" s="27">
        <f t="shared" si="16"/>
        <v>1.0244572192261243</v>
      </c>
      <c r="E7" s="27">
        <f t="shared" si="16"/>
        <v>1.0366858288391865</v>
      </c>
      <c r="F7" s="27">
        <f t="shared" si="16"/>
        <v>1.0489144384522486</v>
      </c>
      <c r="G7" s="27">
        <f t="shared" si="16"/>
        <v>1.0611430480653108</v>
      </c>
      <c r="H7" s="27">
        <f t="shared" si="16"/>
        <v>1.0733716576783729</v>
      </c>
      <c r="I7" s="27">
        <f t="shared" si="16"/>
        <v>1.0856002672914351</v>
      </c>
      <c r="J7" s="27">
        <f t="shared" si="16"/>
        <v>1.0978288769044973</v>
      </c>
      <c r="K7" s="27">
        <f t="shared" si="16"/>
        <v>1.1100574865175594</v>
      </c>
      <c r="L7" s="27">
        <f t="shared" si="16"/>
        <v>1.1222860961306216</v>
      </c>
      <c r="M7" s="27">
        <v>1.1345147057436835</v>
      </c>
      <c r="N7" s="29">
        <f t="shared" ref="N7:V7" si="17">M7+($W7-$M7)/(2040-2030)</f>
        <v>1.1080095424954721</v>
      </c>
      <c r="O7" s="29">
        <f t="shared" si="17"/>
        <v>1.0815043792472607</v>
      </c>
      <c r="P7" s="29">
        <f t="shared" si="17"/>
        <v>1.0549992159990493</v>
      </c>
      <c r="Q7" s="29">
        <f t="shared" si="17"/>
        <v>1.0284940527508379</v>
      </c>
      <c r="R7" s="29">
        <f t="shared" si="17"/>
        <v>1.0019888895026265</v>
      </c>
      <c r="S7" s="29">
        <f t="shared" si="17"/>
        <v>0.97548372625441504</v>
      </c>
      <c r="T7" s="29">
        <f t="shared" si="17"/>
        <v>0.94897856300620353</v>
      </c>
      <c r="U7" s="29">
        <f t="shared" si="17"/>
        <v>0.92247339975799203</v>
      </c>
      <c r="V7" s="29">
        <f t="shared" si="17"/>
        <v>0.89596823650978052</v>
      </c>
      <c r="W7" s="27">
        <v>0.86946307326156858</v>
      </c>
      <c r="X7" s="27">
        <f t="shared" ref="X7:AF7" si="18">W7+($AG7-$W7)/(2050-2040)</f>
        <v>0.83751676593541169</v>
      </c>
      <c r="Y7" s="27">
        <f t="shared" si="18"/>
        <v>0.8055704586092548</v>
      </c>
      <c r="Z7" s="27">
        <f t="shared" si="18"/>
        <v>0.77362415128309792</v>
      </c>
      <c r="AA7" s="27">
        <f t="shared" si="18"/>
        <v>0.74167784395694103</v>
      </c>
      <c r="AB7" s="27">
        <f t="shared" si="18"/>
        <v>0.70973153663078414</v>
      </c>
      <c r="AC7" s="27">
        <f t="shared" si="18"/>
        <v>0.67778522930462726</v>
      </c>
      <c r="AD7" s="27">
        <f t="shared" si="18"/>
        <v>0.64583892197847037</v>
      </c>
      <c r="AE7" s="27">
        <f t="shared" si="18"/>
        <v>0.61389261465231348</v>
      </c>
      <c r="AF7" s="27">
        <f t="shared" si="18"/>
        <v>0.5819463073261566</v>
      </c>
      <c r="AG7" s="27">
        <v>0.55000000000000004</v>
      </c>
    </row>
    <row r="8" spans="1:33" x14ac:dyDescent="0.3">
      <c r="A8" s="1" t="s">
        <v>6</v>
      </c>
      <c r="B8" s="27">
        <f t="shared" si="0"/>
        <v>1</v>
      </c>
      <c r="C8" s="27">
        <f t="shared" ref="C8:L8" si="19">B8+($M8-$B8)/(2030-2019)</f>
        <v>0.95454545454545459</v>
      </c>
      <c r="D8" s="27">
        <f t="shared" si="19"/>
        <v>0.90909090909090917</v>
      </c>
      <c r="E8" s="27">
        <f t="shared" si="19"/>
        <v>0.86363636363636376</v>
      </c>
      <c r="F8" s="27">
        <f t="shared" si="19"/>
        <v>0.81818181818181834</v>
      </c>
      <c r="G8" s="27">
        <f t="shared" si="19"/>
        <v>0.77272727272727293</v>
      </c>
      <c r="H8" s="27">
        <f t="shared" si="19"/>
        <v>0.72727272727272751</v>
      </c>
      <c r="I8" s="27">
        <f t="shared" si="19"/>
        <v>0.6818181818181821</v>
      </c>
      <c r="J8" s="27">
        <f t="shared" si="19"/>
        <v>0.63636363636363669</v>
      </c>
      <c r="K8" s="27">
        <f t="shared" si="19"/>
        <v>0.59090909090909127</v>
      </c>
      <c r="L8" s="27">
        <f t="shared" si="19"/>
        <v>0.54545454545454586</v>
      </c>
      <c r="M8" s="27">
        <v>0.5</v>
      </c>
      <c r="N8" s="29">
        <f t="shared" ref="N8:V8" si="20">M8+($W8-$M8)/(2040-2030)</f>
        <v>0.48</v>
      </c>
      <c r="O8" s="29">
        <f t="shared" si="20"/>
        <v>0.45999999999999996</v>
      </c>
      <c r="P8" s="29">
        <f t="shared" si="20"/>
        <v>0.43999999999999995</v>
      </c>
      <c r="Q8" s="29">
        <f t="shared" si="20"/>
        <v>0.41999999999999993</v>
      </c>
      <c r="R8" s="29">
        <f t="shared" si="20"/>
        <v>0.39999999999999991</v>
      </c>
      <c r="S8" s="29">
        <f t="shared" si="20"/>
        <v>0.37999999999999989</v>
      </c>
      <c r="T8" s="29">
        <f t="shared" si="20"/>
        <v>0.35999999999999988</v>
      </c>
      <c r="U8" s="29">
        <f t="shared" si="20"/>
        <v>0.33999999999999986</v>
      </c>
      <c r="V8" s="29">
        <f t="shared" si="20"/>
        <v>0.31999999999999984</v>
      </c>
      <c r="W8" s="28">
        <v>0.29999999999999977</v>
      </c>
      <c r="X8" s="27">
        <f t="shared" ref="X8:AF8" si="21">W8+($AG8-$W8)/(2050-2040)</f>
        <v>0.2749999999999998</v>
      </c>
      <c r="Y8" s="27">
        <f t="shared" si="21"/>
        <v>0.24999999999999983</v>
      </c>
      <c r="Z8" s="27">
        <f t="shared" si="21"/>
        <v>0.22499999999999987</v>
      </c>
      <c r="AA8" s="27">
        <f t="shared" si="21"/>
        <v>0.1999999999999999</v>
      </c>
      <c r="AB8" s="27">
        <f t="shared" si="21"/>
        <v>0.17499999999999993</v>
      </c>
      <c r="AC8" s="27">
        <f t="shared" si="21"/>
        <v>0.14999999999999997</v>
      </c>
      <c r="AD8" s="27">
        <f t="shared" si="21"/>
        <v>0.12499999999999999</v>
      </c>
      <c r="AE8" s="27">
        <f t="shared" si="21"/>
        <v>0.1</v>
      </c>
      <c r="AF8" s="27">
        <f t="shared" si="21"/>
        <v>7.5000000000000025E-2</v>
      </c>
      <c r="AG8" s="28">
        <v>0.05</v>
      </c>
    </row>
    <row r="9" spans="1:33" x14ac:dyDescent="0.3">
      <c r="A9" s="1" t="s">
        <v>7</v>
      </c>
      <c r="B9" s="27">
        <f t="shared" si="0"/>
        <v>1</v>
      </c>
      <c r="C9" s="27">
        <f t="shared" ref="C9:L9" si="22">B9+($M9-$B9)/(2030-2019)</f>
        <v>0.99732060293140912</v>
      </c>
      <c r="D9" s="27">
        <f t="shared" si="22"/>
        <v>0.99464120586281823</v>
      </c>
      <c r="E9" s="27">
        <f t="shared" si="22"/>
        <v>0.99196180879422735</v>
      </c>
      <c r="F9" s="27">
        <f t="shared" si="22"/>
        <v>0.98928241172563647</v>
      </c>
      <c r="G9" s="27">
        <f t="shared" si="22"/>
        <v>0.98660301465704558</v>
      </c>
      <c r="H9" s="27">
        <f t="shared" si="22"/>
        <v>0.9839236175884547</v>
      </c>
      <c r="I9" s="27">
        <f t="shared" si="22"/>
        <v>0.98124422051986382</v>
      </c>
      <c r="J9" s="27">
        <f t="shared" si="22"/>
        <v>0.97856482345127294</v>
      </c>
      <c r="K9" s="27">
        <f t="shared" si="22"/>
        <v>0.97588542638268205</v>
      </c>
      <c r="L9" s="27">
        <f t="shared" si="22"/>
        <v>0.97320602931409117</v>
      </c>
      <c r="M9" s="27">
        <v>0.97052663224550006</v>
      </c>
      <c r="N9" s="29">
        <f t="shared" ref="N9:V9" si="23">M9+($W9-$M9)/(2040-2030)</f>
        <v>0.94123083520852568</v>
      </c>
      <c r="O9" s="29">
        <f t="shared" si="23"/>
        <v>0.9119350381715513</v>
      </c>
      <c r="P9" s="29">
        <f t="shared" si="23"/>
        <v>0.88263924113457692</v>
      </c>
      <c r="Q9" s="29">
        <f t="shared" si="23"/>
        <v>0.85334344409760254</v>
      </c>
      <c r="R9" s="29">
        <f t="shared" si="23"/>
        <v>0.82404764706062816</v>
      </c>
      <c r="S9" s="29">
        <f t="shared" si="23"/>
        <v>0.79475185002365378</v>
      </c>
      <c r="T9" s="29">
        <f t="shared" si="23"/>
        <v>0.7654560529866794</v>
      </c>
      <c r="U9" s="29">
        <f t="shared" si="23"/>
        <v>0.73616025594970502</v>
      </c>
      <c r="V9" s="29">
        <f t="shared" si="23"/>
        <v>0.70686445891273064</v>
      </c>
      <c r="W9" s="27">
        <v>0.67756866187575593</v>
      </c>
      <c r="X9" s="27">
        <f t="shared" ref="X9:AF9" si="24">W9+($AG9-$W9)/(2050-2040)</f>
        <v>0.63481179568818036</v>
      </c>
      <c r="Y9" s="27">
        <f t="shared" si="24"/>
        <v>0.59205492950060479</v>
      </c>
      <c r="Z9" s="27">
        <f t="shared" si="24"/>
        <v>0.54929806331302922</v>
      </c>
      <c r="AA9" s="27">
        <f t="shared" si="24"/>
        <v>0.50654119712545365</v>
      </c>
      <c r="AB9" s="27">
        <f t="shared" si="24"/>
        <v>0.46378433093787808</v>
      </c>
      <c r="AC9" s="27">
        <f t="shared" si="24"/>
        <v>0.4210274647503025</v>
      </c>
      <c r="AD9" s="27">
        <f t="shared" si="24"/>
        <v>0.37827059856272693</v>
      </c>
      <c r="AE9" s="27">
        <f t="shared" si="24"/>
        <v>0.33551373237515136</v>
      </c>
      <c r="AF9" s="27">
        <f t="shared" si="24"/>
        <v>0.29275686618757579</v>
      </c>
      <c r="AG9" s="27">
        <v>0.25</v>
      </c>
    </row>
    <row r="10" spans="1:33" x14ac:dyDescent="0.3">
      <c r="A10" s="1" t="s">
        <v>8</v>
      </c>
      <c r="B10" s="27">
        <f t="shared" si="0"/>
        <v>1</v>
      </c>
      <c r="C10" s="27">
        <f t="shared" ref="C10:L10" si="25">B10+($M10-$B10)/(2030-2019)</f>
        <v>0.95454545454545459</v>
      </c>
      <c r="D10" s="27">
        <f t="shared" si="25"/>
        <v>0.90909090909090917</v>
      </c>
      <c r="E10" s="27">
        <f t="shared" si="25"/>
        <v>0.86363636363636376</v>
      </c>
      <c r="F10" s="27">
        <f t="shared" si="25"/>
        <v>0.81818181818181834</v>
      </c>
      <c r="G10" s="27">
        <f t="shared" si="25"/>
        <v>0.77272727272727293</v>
      </c>
      <c r="H10" s="27">
        <f t="shared" si="25"/>
        <v>0.72727272727272751</v>
      </c>
      <c r="I10" s="27">
        <f t="shared" si="25"/>
        <v>0.6818181818181821</v>
      </c>
      <c r="J10" s="27">
        <f t="shared" si="25"/>
        <v>0.63636363636363669</v>
      </c>
      <c r="K10" s="27">
        <f t="shared" si="25"/>
        <v>0.59090909090909127</v>
      </c>
      <c r="L10" s="27">
        <f t="shared" si="25"/>
        <v>0.54545454545454586</v>
      </c>
      <c r="M10" s="27">
        <v>0.49999999999999989</v>
      </c>
      <c r="N10" s="29">
        <f t="shared" ref="N10:V10" si="26">M10+($W10-$M10)/(2040-2030)</f>
        <v>0.47999999999999987</v>
      </c>
      <c r="O10" s="29">
        <f t="shared" si="26"/>
        <v>0.45999999999999985</v>
      </c>
      <c r="P10" s="29">
        <f t="shared" si="26"/>
        <v>0.43999999999999984</v>
      </c>
      <c r="Q10" s="29">
        <f t="shared" si="26"/>
        <v>0.41999999999999982</v>
      </c>
      <c r="R10" s="29">
        <f t="shared" si="26"/>
        <v>0.3999999999999998</v>
      </c>
      <c r="S10" s="29">
        <f t="shared" si="26"/>
        <v>0.37999999999999978</v>
      </c>
      <c r="T10" s="29">
        <f t="shared" si="26"/>
        <v>0.35999999999999976</v>
      </c>
      <c r="U10" s="29">
        <f t="shared" si="26"/>
        <v>0.33999999999999975</v>
      </c>
      <c r="V10" s="29">
        <f t="shared" si="26"/>
        <v>0.31999999999999973</v>
      </c>
      <c r="W10" s="28">
        <v>0.29999999999999977</v>
      </c>
      <c r="X10" s="27">
        <f t="shared" ref="X10:AF10" si="27">W10+($AG10-$W10)/(2050-2040)</f>
        <v>0.2749999999999998</v>
      </c>
      <c r="Y10" s="27">
        <f t="shared" si="27"/>
        <v>0.24999999999999983</v>
      </c>
      <c r="Z10" s="27">
        <f t="shared" si="27"/>
        <v>0.22499999999999987</v>
      </c>
      <c r="AA10" s="27">
        <f t="shared" si="27"/>
        <v>0.1999999999999999</v>
      </c>
      <c r="AB10" s="27">
        <f t="shared" si="27"/>
        <v>0.17499999999999993</v>
      </c>
      <c r="AC10" s="27">
        <f t="shared" si="27"/>
        <v>0.14999999999999997</v>
      </c>
      <c r="AD10" s="27">
        <f t="shared" si="27"/>
        <v>0.12499999999999999</v>
      </c>
      <c r="AE10" s="27">
        <f t="shared" si="27"/>
        <v>0.1</v>
      </c>
      <c r="AF10" s="27">
        <f t="shared" si="27"/>
        <v>7.5000000000000025E-2</v>
      </c>
      <c r="AG10" s="28">
        <v>0.05</v>
      </c>
    </row>
    <row r="11" spans="1:33" x14ac:dyDescent="0.3">
      <c r="A11" s="1" t="s">
        <v>9</v>
      </c>
      <c r="B11" s="27">
        <f t="shared" si="0"/>
        <v>1</v>
      </c>
      <c r="C11" s="27">
        <f t="shared" ref="C11:L11" si="28">B11+($M11-$B11)/(2030-2019)</f>
        <v>0.95454545454545459</v>
      </c>
      <c r="D11" s="27">
        <f t="shared" si="28"/>
        <v>0.90909090909090917</v>
      </c>
      <c r="E11" s="27">
        <f t="shared" si="28"/>
        <v>0.86363636363636376</v>
      </c>
      <c r="F11" s="27">
        <f t="shared" si="28"/>
        <v>0.81818181818181834</v>
      </c>
      <c r="G11" s="27">
        <f t="shared" si="28"/>
        <v>0.77272727272727293</v>
      </c>
      <c r="H11" s="27">
        <f t="shared" si="28"/>
        <v>0.72727272727272751</v>
      </c>
      <c r="I11" s="27">
        <f t="shared" si="28"/>
        <v>0.6818181818181821</v>
      </c>
      <c r="J11" s="27">
        <f t="shared" si="28"/>
        <v>0.63636363636363669</v>
      </c>
      <c r="K11" s="27">
        <f t="shared" si="28"/>
        <v>0.59090909090909127</v>
      </c>
      <c r="L11" s="27">
        <f t="shared" si="28"/>
        <v>0.54545454545454586</v>
      </c>
      <c r="M11" s="27">
        <v>0.50000000000000011</v>
      </c>
      <c r="N11" s="29">
        <f t="shared" ref="N11:V11" si="29">M11+($W11-$M11)/(2040-2030)</f>
        <v>0.48000000000000009</v>
      </c>
      <c r="O11" s="29">
        <f t="shared" si="29"/>
        <v>0.46000000000000008</v>
      </c>
      <c r="P11" s="29">
        <f t="shared" si="29"/>
        <v>0.44000000000000006</v>
      </c>
      <c r="Q11" s="29">
        <f t="shared" si="29"/>
        <v>0.42000000000000004</v>
      </c>
      <c r="R11" s="29">
        <f t="shared" si="29"/>
        <v>0.4</v>
      </c>
      <c r="S11" s="29">
        <f t="shared" si="29"/>
        <v>0.38</v>
      </c>
      <c r="T11" s="29">
        <f t="shared" si="29"/>
        <v>0.36</v>
      </c>
      <c r="U11" s="29">
        <f t="shared" si="29"/>
        <v>0.33999999999999997</v>
      </c>
      <c r="V11" s="29">
        <f t="shared" si="29"/>
        <v>0.31999999999999995</v>
      </c>
      <c r="W11" s="28">
        <v>0.29999999999999977</v>
      </c>
      <c r="X11" s="27">
        <f t="shared" ref="X11:AF11" si="30">W11+($AG11-$W11)/(2050-2040)</f>
        <v>0.2749999999999998</v>
      </c>
      <c r="Y11" s="27">
        <f t="shared" si="30"/>
        <v>0.24999999999999983</v>
      </c>
      <c r="Z11" s="27">
        <f t="shared" si="30"/>
        <v>0.22499999999999987</v>
      </c>
      <c r="AA11" s="27">
        <f t="shared" si="30"/>
        <v>0.1999999999999999</v>
      </c>
      <c r="AB11" s="27">
        <f t="shared" si="30"/>
        <v>0.17499999999999993</v>
      </c>
      <c r="AC11" s="27">
        <f t="shared" si="30"/>
        <v>0.14999999999999997</v>
      </c>
      <c r="AD11" s="27">
        <f t="shared" si="30"/>
        <v>0.12499999999999999</v>
      </c>
      <c r="AE11" s="27">
        <f t="shared" si="30"/>
        <v>0.1</v>
      </c>
      <c r="AF11" s="27">
        <f t="shared" si="30"/>
        <v>7.5000000000000025E-2</v>
      </c>
      <c r="AG11" s="28">
        <v>0.05</v>
      </c>
    </row>
    <row r="12" spans="1:33" x14ac:dyDescent="0.3">
      <c r="A12" s="1" t="s">
        <v>82</v>
      </c>
      <c r="B12" s="27">
        <f t="shared" si="0"/>
        <v>1</v>
      </c>
      <c r="C12" s="27">
        <f t="shared" ref="C12:L12" si="31">B12+($M12-$B12)/(2030-2019)</f>
        <v>0.99732060293140912</v>
      </c>
      <c r="D12" s="27">
        <f t="shared" si="31"/>
        <v>0.99464120586281823</v>
      </c>
      <c r="E12" s="27">
        <f t="shared" si="31"/>
        <v>0.99196180879422735</v>
      </c>
      <c r="F12" s="27">
        <f t="shared" si="31"/>
        <v>0.98928241172563647</v>
      </c>
      <c r="G12" s="27">
        <f t="shared" si="31"/>
        <v>0.98660301465704558</v>
      </c>
      <c r="H12" s="27">
        <f t="shared" si="31"/>
        <v>0.9839236175884547</v>
      </c>
      <c r="I12" s="27">
        <f t="shared" si="31"/>
        <v>0.98124422051986382</v>
      </c>
      <c r="J12" s="27">
        <f t="shared" si="31"/>
        <v>0.97856482345127294</v>
      </c>
      <c r="K12" s="27">
        <f t="shared" si="31"/>
        <v>0.97588542638268205</v>
      </c>
      <c r="L12" s="27">
        <f t="shared" si="31"/>
        <v>0.97320602931409117</v>
      </c>
      <c r="M12" s="27">
        <v>0.97052663224550006</v>
      </c>
      <c r="N12" s="29">
        <f t="shared" ref="N12:V12" si="32">M12+($W12-$M12)/(2040-2030)</f>
        <v>0.94123083520852568</v>
      </c>
      <c r="O12" s="29">
        <f t="shared" si="32"/>
        <v>0.9119350381715513</v>
      </c>
      <c r="P12" s="29">
        <f t="shared" si="32"/>
        <v>0.88263924113457692</v>
      </c>
      <c r="Q12" s="29">
        <f t="shared" si="32"/>
        <v>0.85334344409760254</v>
      </c>
      <c r="R12" s="29">
        <f t="shared" si="32"/>
        <v>0.82404764706062816</v>
      </c>
      <c r="S12" s="29">
        <f t="shared" si="32"/>
        <v>0.79475185002365378</v>
      </c>
      <c r="T12" s="29">
        <f t="shared" si="32"/>
        <v>0.7654560529866794</v>
      </c>
      <c r="U12" s="29">
        <f t="shared" si="32"/>
        <v>0.73616025594970502</v>
      </c>
      <c r="V12" s="29">
        <f t="shared" si="32"/>
        <v>0.70686445891273064</v>
      </c>
      <c r="W12" s="27">
        <v>0.67756866187575593</v>
      </c>
      <c r="X12" s="27">
        <f t="shared" ref="X12:AF12" si="33">W12+($AG12-$W12)/(2050-2040)</f>
        <v>0.63481179568818036</v>
      </c>
      <c r="Y12" s="27">
        <f t="shared" si="33"/>
        <v>0.59205492950060479</v>
      </c>
      <c r="Z12" s="27">
        <f t="shared" si="33"/>
        <v>0.54929806331302922</v>
      </c>
      <c r="AA12" s="27">
        <f t="shared" si="33"/>
        <v>0.50654119712545365</v>
      </c>
      <c r="AB12" s="27">
        <f t="shared" si="33"/>
        <v>0.46378433093787808</v>
      </c>
      <c r="AC12" s="27">
        <f t="shared" si="33"/>
        <v>0.4210274647503025</v>
      </c>
      <c r="AD12" s="27">
        <f t="shared" si="33"/>
        <v>0.37827059856272693</v>
      </c>
      <c r="AE12" s="27">
        <f t="shared" si="33"/>
        <v>0.33551373237515136</v>
      </c>
      <c r="AF12" s="27">
        <f t="shared" si="33"/>
        <v>0.29275686618757579</v>
      </c>
      <c r="AG12" s="27">
        <v>0.25</v>
      </c>
    </row>
    <row r="13" spans="1:33" x14ac:dyDescent="0.3">
      <c r="A13" s="1" t="s">
        <v>11</v>
      </c>
      <c r="B13" s="27">
        <f t="shared" si="0"/>
        <v>1</v>
      </c>
      <c r="C13" s="27">
        <f t="shared" ref="C13:L13" si="34">B13+($M13-$B13)/(2030-2019)</f>
        <v>0.99732060293140912</v>
      </c>
      <c r="D13" s="27">
        <f t="shared" si="34"/>
        <v>0.99464120586281823</v>
      </c>
      <c r="E13" s="27">
        <f t="shared" si="34"/>
        <v>0.99196180879422735</v>
      </c>
      <c r="F13" s="27">
        <f t="shared" si="34"/>
        <v>0.98928241172563647</v>
      </c>
      <c r="G13" s="27">
        <f t="shared" si="34"/>
        <v>0.98660301465704558</v>
      </c>
      <c r="H13" s="27">
        <f t="shared" si="34"/>
        <v>0.9839236175884547</v>
      </c>
      <c r="I13" s="27">
        <f t="shared" si="34"/>
        <v>0.98124422051986382</v>
      </c>
      <c r="J13" s="27">
        <f t="shared" si="34"/>
        <v>0.97856482345127294</v>
      </c>
      <c r="K13" s="27">
        <f t="shared" si="34"/>
        <v>0.97588542638268205</v>
      </c>
      <c r="L13" s="27">
        <f t="shared" si="34"/>
        <v>0.97320602931409117</v>
      </c>
      <c r="M13" s="27">
        <v>0.97052663224549995</v>
      </c>
      <c r="N13" s="29">
        <f t="shared" ref="N13:V13" si="35">M13+($W13-$M13)/(2040-2030)</f>
        <v>0.94123083520852557</v>
      </c>
      <c r="O13" s="29">
        <f t="shared" si="35"/>
        <v>0.91193503817155119</v>
      </c>
      <c r="P13" s="29">
        <f t="shared" si="35"/>
        <v>0.88263924113457681</v>
      </c>
      <c r="Q13" s="29">
        <f t="shared" si="35"/>
        <v>0.85334344409760243</v>
      </c>
      <c r="R13" s="29">
        <f t="shared" si="35"/>
        <v>0.82404764706062805</v>
      </c>
      <c r="S13" s="29">
        <f t="shared" si="35"/>
        <v>0.79475185002365367</v>
      </c>
      <c r="T13" s="29">
        <f t="shared" si="35"/>
        <v>0.76545605298667929</v>
      </c>
      <c r="U13" s="29">
        <f t="shared" si="35"/>
        <v>0.73616025594970491</v>
      </c>
      <c r="V13" s="29">
        <f t="shared" si="35"/>
        <v>0.70686445891273053</v>
      </c>
      <c r="W13" s="27">
        <v>0.67756866187575593</v>
      </c>
      <c r="X13" s="27">
        <f t="shared" ref="X13:AF13" si="36">W13+($AG13-$W13)/(2050-2040)</f>
        <v>0.63481179568818036</v>
      </c>
      <c r="Y13" s="27">
        <f t="shared" si="36"/>
        <v>0.59205492950060479</v>
      </c>
      <c r="Z13" s="27">
        <f t="shared" si="36"/>
        <v>0.54929806331302922</v>
      </c>
      <c r="AA13" s="27">
        <f t="shared" si="36"/>
        <v>0.50654119712545365</v>
      </c>
      <c r="AB13" s="27">
        <f t="shared" si="36"/>
        <v>0.46378433093787808</v>
      </c>
      <c r="AC13" s="27">
        <f t="shared" si="36"/>
        <v>0.4210274647503025</v>
      </c>
      <c r="AD13" s="27">
        <f t="shared" si="36"/>
        <v>0.37827059856272693</v>
      </c>
      <c r="AE13" s="27">
        <f t="shared" si="36"/>
        <v>0.33551373237515136</v>
      </c>
      <c r="AF13" s="27">
        <f t="shared" si="36"/>
        <v>0.29275686618757579</v>
      </c>
      <c r="AG13" s="27">
        <v>0.25</v>
      </c>
    </row>
    <row r="14" spans="1:33" x14ac:dyDescent="0.3">
      <c r="A14" s="1" t="s">
        <v>12</v>
      </c>
      <c r="B14" s="27">
        <f t="shared" si="0"/>
        <v>1</v>
      </c>
      <c r="C14" s="27">
        <f t="shared" ref="C14:L14" si="37">B14+($M14-$B14)/(2030-2019)</f>
        <v>0.99732060293140912</v>
      </c>
      <c r="D14" s="27">
        <f t="shared" si="37"/>
        <v>0.99464120586281823</v>
      </c>
      <c r="E14" s="27">
        <f t="shared" si="37"/>
        <v>0.99196180879422735</v>
      </c>
      <c r="F14" s="27">
        <f t="shared" si="37"/>
        <v>0.98928241172563647</v>
      </c>
      <c r="G14" s="27">
        <f t="shared" si="37"/>
        <v>0.98660301465704558</v>
      </c>
      <c r="H14" s="27">
        <f t="shared" si="37"/>
        <v>0.9839236175884547</v>
      </c>
      <c r="I14" s="27">
        <f t="shared" si="37"/>
        <v>0.98124422051986382</v>
      </c>
      <c r="J14" s="27">
        <f t="shared" si="37"/>
        <v>0.97856482345127294</v>
      </c>
      <c r="K14" s="27">
        <f t="shared" si="37"/>
        <v>0.97588542638268205</v>
      </c>
      <c r="L14" s="27">
        <f t="shared" si="37"/>
        <v>0.97320602931409117</v>
      </c>
      <c r="M14" s="27">
        <v>0.97052663224549995</v>
      </c>
      <c r="N14" s="29">
        <f t="shared" ref="N14:V14" si="38">M14+($W14-$M14)/(2040-2030)</f>
        <v>0.94123083520852557</v>
      </c>
      <c r="O14" s="29">
        <f t="shared" si="38"/>
        <v>0.91193503817155119</v>
      </c>
      <c r="P14" s="29">
        <f t="shared" si="38"/>
        <v>0.88263924113457681</v>
      </c>
      <c r="Q14" s="29">
        <f t="shared" si="38"/>
        <v>0.85334344409760243</v>
      </c>
      <c r="R14" s="29">
        <f t="shared" si="38"/>
        <v>0.82404764706062805</v>
      </c>
      <c r="S14" s="29">
        <f t="shared" si="38"/>
        <v>0.79475185002365367</v>
      </c>
      <c r="T14" s="29">
        <f t="shared" si="38"/>
        <v>0.76545605298667929</v>
      </c>
      <c r="U14" s="29">
        <f t="shared" si="38"/>
        <v>0.73616025594970491</v>
      </c>
      <c r="V14" s="29">
        <f t="shared" si="38"/>
        <v>0.70686445891273053</v>
      </c>
      <c r="W14" s="27">
        <v>0.67756866187575593</v>
      </c>
      <c r="X14" s="27">
        <f t="shared" ref="X14:AF14" si="39">W14+($AG14-$W14)/(2050-2040)</f>
        <v>0.63481179568818036</v>
      </c>
      <c r="Y14" s="27">
        <f t="shared" si="39"/>
        <v>0.59205492950060479</v>
      </c>
      <c r="Z14" s="27">
        <f t="shared" si="39"/>
        <v>0.54929806331302922</v>
      </c>
      <c r="AA14" s="27">
        <f t="shared" si="39"/>
        <v>0.50654119712545365</v>
      </c>
      <c r="AB14" s="27">
        <f t="shared" si="39"/>
        <v>0.46378433093787808</v>
      </c>
      <c r="AC14" s="27">
        <f t="shared" si="39"/>
        <v>0.4210274647503025</v>
      </c>
      <c r="AD14" s="27">
        <f t="shared" si="39"/>
        <v>0.37827059856272693</v>
      </c>
      <c r="AE14" s="27">
        <f t="shared" si="39"/>
        <v>0.33551373237515136</v>
      </c>
      <c r="AF14" s="27">
        <f t="shared" si="39"/>
        <v>0.29275686618757579</v>
      </c>
      <c r="AG14" s="27">
        <v>0.25</v>
      </c>
    </row>
    <row r="15" spans="1:33" x14ac:dyDescent="0.3">
      <c r="A15" s="1" t="s">
        <v>83</v>
      </c>
      <c r="B15" s="27">
        <f t="shared" si="0"/>
        <v>1</v>
      </c>
      <c r="C15" s="27">
        <f t="shared" ref="C15:L15" si="40">B15+($M15-$B15)/(2030-2019)</f>
        <v>0.99732060293140912</v>
      </c>
      <c r="D15" s="27">
        <f t="shared" si="40"/>
        <v>0.99464120586281823</v>
      </c>
      <c r="E15" s="27">
        <f t="shared" si="40"/>
        <v>0.99196180879422735</v>
      </c>
      <c r="F15" s="27">
        <f t="shared" si="40"/>
        <v>0.98928241172563647</v>
      </c>
      <c r="G15" s="27">
        <f t="shared" si="40"/>
        <v>0.98660301465704558</v>
      </c>
      <c r="H15" s="27">
        <f t="shared" si="40"/>
        <v>0.9839236175884547</v>
      </c>
      <c r="I15" s="27">
        <f t="shared" si="40"/>
        <v>0.98124422051986382</v>
      </c>
      <c r="J15" s="27">
        <f t="shared" si="40"/>
        <v>0.97856482345127294</v>
      </c>
      <c r="K15" s="27">
        <f t="shared" si="40"/>
        <v>0.97588542638268205</v>
      </c>
      <c r="L15" s="27">
        <f t="shared" si="40"/>
        <v>0.97320602931409117</v>
      </c>
      <c r="M15" s="27">
        <v>0.97052663224550006</v>
      </c>
      <c r="N15" s="29">
        <f t="shared" ref="N15:V15" si="41">M15+($W15-$M15)/(2040-2030)</f>
        <v>0.94123083520852568</v>
      </c>
      <c r="O15" s="29">
        <f t="shared" si="41"/>
        <v>0.9119350381715513</v>
      </c>
      <c r="P15" s="29">
        <f t="shared" si="41"/>
        <v>0.88263924113457692</v>
      </c>
      <c r="Q15" s="29">
        <f t="shared" si="41"/>
        <v>0.85334344409760254</v>
      </c>
      <c r="R15" s="29">
        <f t="shared" si="41"/>
        <v>0.82404764706062816</v>
      </c>
      <c r="S15" s="29">
        <f t="shared" si="41"/>
        <v>0.79475185002365378</v>
      </c>
      <c r="T15" s="29">
        <f t="shared" si="41"/>
        <v>0.7654560529866794</v>
      </c>
      <c r="U15" s="29">
        <f t="shared" si="41"/>
        <v>0.73616025594970502</v>
      </c>
      <c r="V15" s="29">
        <f t="shared" si="41"/>
        <v>0.70686445891273064</v>
      </c>
      <c r="W15" s="27">
        <v>0.67756866187575593</v>
      </c>
      <c r="X15" s="27">
        <f t="shared" ref="X15:AF15" si="42">W15+($AG15-$W15)/(2050-2040)</f>
        <v>0.63481179568818036</v>
      </c>
      <c r="Y15" s="27">
        <f t="shared" si="42"/>
        <v>0.59205492950060479</v>
      </c>
      <c r="Z15" s="27">
        <f t="shared" si="42"/>
        <v>0.54929806331302922</v>
      </c>
      <c r="AA15" s="27">
        <f t="shared" si="42"/>
        <v>0.50654119712545365</v>
      </c>
      <c r="AB15" s="27">
        <f t="shared" si="42"/>
        <v>0.46378433093787808</v>
      </c>
      <c r="AC15" s="27">
        <f t="shared" si="42"/>
        <v>0.4210274647503025</v>
      </c>
      <c r="AD15" s="27">
        <f t="shared" si="42"/>
        <v>0.37827059856272693</v>
      </c>
      <c r="AE15" s="27">
        <f t="shared" si="42"/>
        <v>0.33551373237515136</v>
      </c>
      <c r="AF15" s="27">
        <f t="shared" si="42"/>
        <v>0.29275686618757579</v>
      </c>
      <c r="AG15" s="27">
        <v>0.25</v>
      </c>
    </row>
    <row r="16" spans="1:33" x14ac:dyDescent="0.3">
      <c r="A16" s="1" t="s">
        <v>14</v>
      </c>
      <c r="B16" s="27">
        <f t="shared" si="0"/>
        <v>1</v>
      </c>
      <c r="C16" s="27">
        <f t="shared" ref="C16:L16" si="43">B16+($M16-$B16)/(2030-2019)</f>
        <v>0.99732060293140912</v>
      </c>
      <c r="D16" s="27">
        <f t="shared" si="43"/>
        <v>0.99464120586281823</v>
      </c>
      <c r="E16" s="27">
        <f t="shared" si="43"/>
        <v>0.99196180879422735</v>
      </c>
      <c r="F16" s="27">
        <f t="shared" si="43"/>
        <v>0.98928241172563647</v>
      </c>
      <c r="G16" s="27">
        <f t="shared" si="43"/>
        <v>0.98660301465704558</v>
      </c>
      <c r="H16" s="27">
        <f t="shared" si="43"/>
        <v>0.9839236175884547</v>
      </c>
      <c r="I16" s="27">
        <f t="shared" si="43"/>
        <v>0.98124422051986382</v>
      </c>
      <c r="J16" s="27">
        <f t="shared" si="43"/>
        <v>0.97856482345127294</v>
      </c>
      <c r="K16" s="27">
        <f t="shared" si="43"/>
        <v>0.97588542638268205</v>
      </c>
      <c r="L16" s="27">
        <f t="shared" si="43"/>
        <v>0.97320602931409117</v>
      </c>
      <c r="M16" s="27">
        <v>0.97052663224550018</v>
      </c>
      <c r="N16" s="29">
        <f t="shared" ref="N16:V16" si="44">M16+($W16-$M16)/(2040-2030)</f>
        <v>0.9412308352085258</v>
      </c>
      <c r="O16" s="29">
        <f t="shared" si="44"/>
        <v>0.91193503817155142</v>
      </c>
      <c r="P16" s="29">
        <f t="shared" si="44"/>
        <v>0.88263924113457704</v>
      </c>
      <c r="Q16" s="29">
        <f t="shared" si="44"/>
        <v>0.85334344409760265</v>
      </c>
      <c r="R16" s="29">
        <f t="shared" si="44"/>
        <v>0.82404764706062827</v>
      </c>
      <c r="S16" s="29">
        <f t="shared" si="44"/>
        <v>0.79475185002365389</v>
      </c>
      <c r="T16" s="29">
        <f t="shared" si="44"/>
        <v>0.76545605298667951</v>
      </c>
      <c r="U16" s="29">
        <f t="shared" si="44"/>
        <v>0.73616025594970513</v>
      </c>
      <c r="V16" s="29">
        <f t="shared" si="44"/>
        <v>0.70686445891273075</v>
      </c>
      <c r="W16" s="27">
        <v>0.67756866187575593</v>
      </c>
      <c r="X16" s="27">
        <f t="shared" ref="X16:AF16" si="45">W16+($AG16-$W16)/(2050-2040)</f>
        <v>0.63481179568818036</v>
      </c>
      <c r="Y16" s="27">
        <f t="shared" si="45"/>
        <v>0.59205492950060479</v>
      </c>
      <c r="Z16" s="27">
        <f t="shared" si="45"/>
        <v>0.54929806331302922</v>
      </c>
      <c r="AA16" s="27">
        <f t="shared" si="45"/>
        <v>0.50654119712545365</v>
      </c>
      <c r="AB16" s="27">
        <f t="shared" si="45"/>
        <v>0.46378433093787808</v>
      </c>
      <c r="AC16" s="27">
        <f t="shared" si="45"/>
        <v>0.4210274647503025</v>
      </c>
      <c r="AD16" s="27">
        <f t="shared" si="45"/>
        <v>0.37827059856272693</v>
      </c>
      <c r="AE16" s="27">
        <f t="shared" si="45"/>
        <v>0.33551373237515136</v>
      </c>
      <c r="AF16" s="27">
        <f t="shared" si="45"/>
        <v>0.29275686618757579</v>
      </c>
      <c r="AG16" s="27">
        <v>0.25</v>
      </c>
    </row>
    <row r="17" spans="1:33" x14ac:dyDescent="0.3">
      <c r="A17" s="1" t="s">
        <v>81</v>
      </c>
      <c r="B17" s="27">
        <f t="shared" si="0"/>
        <v>1</v>
      </c>
      <c r="C17" s="27">
        <f t="shared" ref="C17:L17" si="46">B17+($M17-$B17)/(2030-2019)</f>
        <v>0.99732060293140912</v>
      </c>
      <c r="D17" s="27">
        <f t="shared" si="46"/>
        <v>0.99464120586281823</v>
      </c>
      <c r="E17" s="27">
        <f t="shared" si="46"/>
        <v>0.99196180879422735</v>
      </c>
      <c r="F17" s="27">
        <f t="shared" si="46"/>
        <v>0.98928241172563647</v>
      </c>
      <c r="G17" s="27">
        <f t="shared" si="46"/>
        <v>0.98660301465704558</v>
      </c>
      <c r="H17" s="27">
        <f t="shared" si="46"/>
        <v>0.9839236175884547</v>
      </c>
      <c r="I17" s="27">
        <f t="shared" si="46"/>
        <v>0.98124422051986382</v>
      </c>
      <c r="J17" s="27">
        <f t="shared" si="46"/>
        <v>0.97856482345127294</v>
      </c>
      <c r="K17" s="27">
        <f t="shared" si="46"/>
        <v>0.97588542638268205</v>
      </c>
      <c r="L17" s="27">
        <f t="shared" si="46"/>
        <v>0.97320602931409117</v>
      </c>
      <c r="M17" s="27">
        <v>0.97052663224550018</v>
      </c>
      <c r="N17" s="29">
        <f t="shared" ref="N17:V17" si="47">M17+($W17-$M17)/(2040-2030)</f>
        <v>0.9412308352085258</v>
      </c>
      <c r="O17" s="29">
        <f t="shared" si="47"/>
        <v>0.91193503817155142</v>
      </c>
      <c r="P17" s="29">
        <f t="shared" si="47"/>
        <v>0.88263924113457704</v>
      </c>
      <c r="Q17" s="29">
        <f t="shared" si="47"/>
        <v>0.85334344409760265</v>
      </c>
      <c r="R17" s="29">
        <f t="shared" si="47"/>
        <v>0.82404764706062827</v>
      </c>
      <c r="S17" s="29">
        <f t="shared" si="47"/>
        <v>0.79475185002365389</v>
      </c>
      <c r="T17" s="29">
        <f t="shared" si="47"/>
        <v>0.76545605298667951</v>
      </c>
      <c r="U17" s="29">
        <f t="shared" si="47"/>
        <v>0.73616025594970513</v>
      </c>
      <c r="V17" s="29">
        <f t="shared" si="47"/>
        <v>0.70686445891273075</v>
      </c>
      <c r="W17" s="27">
        <v>0.67756866187575593</v>
      </c>
      <c r="X17" s="27">
        <f t="shared" ref="X17:AF17" si="48">W17+($AG17-$W17)/(2050-2040)</f>
        <v>0.63481179568818036</v>
      </c>
      <c r="Y17" s="27">
        <f t="shared" si="48"/>
        <v>0.59205492950060479</v>
      </c>
      <c r="Z17" s="27">
        <f t="shared" si="48"/>
        <v>0.54929806331302922</v>
      </c>
      <c r="AA17" s="27">
        <f t="shared" si="48"/>
        <v>0.50654119712545365</v>
      </c>
      <c r="AB17" s="27">
        <f t="shared" si="48"/>
        <v>0.46378433093787808</v>
      </c>
      <c r="AC17" s="27">
        <f t="shared" si="48"/>
        <v>0.4210274647503025</v>
      </c>
      <c r="AD17" s="27">
        <f t="shared" si="48"/>
        <v>0.37827059856272693</v>
      </c>
      <c r="AE17" s="27">
        <f t="shared" si="48"/>
        <v>0.33551373237515136</v>
      </c>
      <c r="AF17" s="27">
        <f t="shared" si="48"/>
        <v>0.29275686618757579</v>
      </c>
      <c r="AG17" s="27">
        <v>0.25</v>
      </c>
    </row>
    <row r="18" spans="1:33" x14ac:dyDescent="0.3">
      <c r="A18" s="1" t="s">
        <v>80</v>
      </c>
      <c r="B18" s="27">
        <f t="shared" si="0"/>
        <v>1</v>
      </c>
      <c r="C18" s="27">
        <f t="shared" ref="C18:L18" si="49">B18+($M18-$B18)/(2030-2019)</f>
        <v>0.96880530280148291</v>
      </c>
      <c r="D18" s="27">
        <f t="shared" si="49"/>
        <v>0.93761060560296583</v>
      </c>
      <c r="E18" s="27">
        <f t="shared" si="49"/>
        <v>0.90641590840444874</v>
      </c>
      <c r="F18" s="27">
        <f t="shared" si="49"/>
        <v>0.87522121120593166</v>
      </c>
      <c r="G18" s="27">
        <f t="shared" si="49"/>
        <v>0.84402651400741457</v>
      </c>
      <c r="H18" s="27">
        <f t="shared" si="49"/>
        <v>0.81283181680889749</v>
      </c>
      <c r="I18" s="27">
        <f t="shared" si="49"/>
        <v>0.7816371196103804</v>
      </c>
      <c r="J18" s="27">
        <f t="shared" si="49"/>
        <v>0.75044242241186332</v>
      </c>
      <c r="K18" s="27">
        <f t="shared" si="49"/>
        <v>0.71924772521334623</v>
      </c>
      <c r="L18" s="27">
        <f t="shared" si="49"/>
        <v>0.68805302801482915</v>
      </c>
      <c r="M18" s="27">
        <v>0.65685833081631206</v>
      </c>
      <c r="N18" s="29">
        <f t="shared" ref="N18:V18" si="50">M18+($W18-$M18)/(2040-2030)</f>
        <v>0.62811088203873566</v>
      </c>
      <c r="O18" s="29">
        <f t="shared" si="50"/>
        <v>0.59936343326115926</v>
      </c>
      <c r="P18" s="29">
        <f t="shared" si="50"/>
        <v>0.57061598448358286</v>
      </c>
      <c r="Q18" s="29">
        <f t="shared" si="50"/>
        <v>0.54186853570600646</v>
      </c>
      <c r="R18" s="29">
        <f t="shared" si="50"/>
        <v>0.51312108692843006</v>
      </c>
      <c r="S18" s="29">
        <f t="shared" si="50"/>
        <v>0.4843736381508536</v>
      </c>
      <c r="T18" s="29">
        <f t="shared" si="50"/>
        <v>0.45562618937327715</v>
      </c>
      <c r="U18" s="29">
        <f t="shared" si="50"/>
        <v>0.42687874059570069</v>
      </c>
      <c r="V18" s="29">
        <f t="shared" si="50"/>
        <v>0.39813129181812423</v>
      </c>
      <c r="W18" s="27">
        <v>0.36938384304054761</v>
      </c>
      <c r="X18" s="27">
        <f t="shared" ref="X18:AF18" si="51">W18+($AG18-$W18)/(2050-2040)</f>
        <v>0.34244545873649285</v>
      </c>
      <c r="Y18" s="27">
        <f t="shared" si="51"/>
        <v>0.31550707443243808</v>
      </c>
      <c r="Z18" s="27">
        <f t="shared" si="51"/>
        <v>0.28856869012838332</v>
      </c>
      <c r="AA18" s="27">
        <f t="shared" si="51"/>
        <v>0.26163030582432856</v>
      </c>
      <c r="AB18" s="27">
        <f t="shared" si="51"/>
        <v>0.23469192152027379</v>
      </c>
      <c r="AC18" s="27">
        <f t="shared" si="51"/>
        <v>0.20775353721621903</v>
      </c>
      <c r="AD18" s="27">
        <f t="shared" si="51"/>
        <v>0.18081515291216427</v>
      </c>
      <c r="AE18" s="27">
        <f t="shared" si="51"/>
        <v>0.1538767686081095</v>
      </c>
      <c r="AF18" s="27">
        <f t="shared" si="51"/>
        <v>0.12693838430405474</v>
      </c>
      <c r="AG18" s="28">
        <v>0.1</v>
      </c>
    </row>
    <row r="20" spans="1:33" x14ac:dyDescent="0.3">
      <c r="N20" s="4"/>
    </row>
    <row r="21" spans="1:33" x14ac:dyDescent="0.3"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</row>
    <row r="22" spans="1:33" x14ac:dyDescent="0.3">
      <c r="B22">
        <v>2019</v>
      </c>
      <c r="C22">
        <v>2020</v>
      </c>
      <c r="D22">
        <v>2021</v>
      </c>
      <c r="E22">
        <v>2022</v>
      </c>
      <c r="F22">
        <v>2023</v>
      </c>
      <c r="G22">
        <v>2024</v>
      </c>
      <c r="H22">
        <v>2025</v>
      </c>
      <c r="I22">
        <v>2026</v>
      </c>
      <c r="J22">
        <v>2027</v>
      </c>
      <c r="K22">
        <v>2028</v>
      </c>
      <c r="L22">
        <v>2029</v>
      </c>
      <c r="M22">
        <v>2030</v>
      </c>
      <c r="N22">
        <v>2031</v>
      </c>
      <c r="O22">
        <v>2032</v>
      </c>
      <c r="P22">
        <v>2033</v>
      </c>
      <c r="Q22">
        <v>2034</v>
      </c>
      <c r="R22">
        <v>2035</v>
      </c>
      <c r="S22">
        <v>2036</v>
      </c>
      <c r="T22">
        <v>2037</v>
      </c>
      <c r="U22">
        <v>2038</v>
      </c>
      <c r="V22">
        <v>2039</v>
      </c>
      <c r="W22">
        <v>2040</v>
      </c>
      <c r="X22">
        <v>2041</v>
      </c>
      <c r="Y22">
        <v>2042</v>
      </c>
      <c r="Z22">
        <v>2043</v>
      </c>
      <c r="AA22">
        <v>2044</v>
      </c>
      <c r="AB22">
        <v>2045</v>
      </c>
      <c r="AC22">
        <v>2046</v>
      </c>
      <c r="AD22">
        <v>2047</v>
      </c>
      <c r="AE22">
        <v>2048</v>
      </c>
      <c r="AF22">
        <v>2049</v>
      </c>
      <c r="AG22">
        <v>2050</v>
      </c>
    </row>
    <row r="23" spans="1:33" x14ac:dyDescent="0.3">
      <c r="A23" t="s">
        <v>0</v>
      </c>
      <c r="B23" s="4">
        <f>B44/$B44</f>
        <v>1</v>
      </c>
      <c r="C23" s="4">
        <f t="shared" ref="C23:AG31" si="52">C44/$B44</f>
        <v>1.0156526606978629</v>
      </c>
      <c r="D23" s="4">
        <f t="shared" si="52"/>
        <v>1.0603986957327778</v>
      </c>
      <c r="E23" s="4">
        <f t="shared" si="52"/>
        <v>1.0933325336154156</v>
      </c>
      <c r="F23" s="4">
        <f t="shared" si="52"/>
        <v>1.1130001417681763</v>
      </c>
      <c r="G23" s="4">
        <f t="shared" si="52"/>
        <v>1.159587345554477</v>
      </c>
      <c r="H23" s="4">
        <f t="shared" si="52"/>
        <v>1.219257207457733</v>
      </c>
      <c r="I23" s="4">
        <f t="shared" si="52"/>
        <v>1.2430379102643794</v>
      </c>
      <c r="J23" s="4">
        <f t="shared" si="52"/>
        <v>1.2622293227479759</v>
      </c>
      <c r="K23" s="4">
        <f t="shared" si="52"/>
        <v>1.2892925040985543</v>
      </c>
      <c r="L23" s="4">
        <f t="shared" si="52"/>
        <v>1.3152288102014924</v>
      </c>
      <c r="M23" s="4">
        <f t="shared" si="52"/>
        <v>1.3476373788154723</v>
      </c>
      <c r="N23" s="4">
        <f t="shared" si="52"/>
        <v>1.3680792593158049</v>
      </c>
      <c r="O23" s="4">
        <f t="shared" si="52"/>
        <v>1.4051080164451084</v>
      </c>
      <c r="P23" s="4">
        <f t="shared" si="52"/>
        <v>1.4275201110880888</v>
      </c>
      <c r="Q23" s="4">
        <f t="shared" si="52"/>
        <v>1.4695998138838298</v>
      </c>
      <c r="R23" s="4">
        <f t="shared" si="52"/>
        <v>1.4890638574757267</v>
      </c>
      <c r="S23" s="4">
        <f t="shared" si="52"/>
        <v>1.5160270740865947</v>
      </c>
      <c r="T23" s="4">
        <f t="shared" si="52"/>
        <v>1.5288207432287517</v>
      </c>
      <c r="U23" s="4">
        <f t="shared" si="52"/>
        <v>1.5544335270831744</v>
      </c>
      <c r="V23" s="4">
        <f t="shared" si="52"/>
        <v>1.5680541772538414</v>
      </c>
      <c r="W23" s="4">
        <f t="shared" si="52"/>
        <v>1.5947265873491894</v>
      </c>
      <c r="X23" s="4">
        <f t="shared" si="52"/>
        <v>1.6065151564720808</v>
      </c>
      <c r="Y23" s="4">
        <f t="shared" si="52"/>
        <v>1.6312809663500512</v>
      </c>
      <c r="Z23" s="4">
        <f t="shared" si="52"/>
        <v>1.6426678589733803</v>
      </c>
      <c r="AA23" s="4">
        <f t="shared" si="52"/>
        <v>1.6652726129328925</v>
      </c>
      <c r="AB23" s="4">
        <f t="shared" si="52"/>
        <v>1.6762905447896559</v>
      </c>
      <c r="AC23" s="4">
        <f t="shared" si="52"/>
        <v>1.6951602525654585</v>
      </c>
      <c r="AD23" s="4">
        <f t="shared" si="52"/>
        <v>1.7052821368462761</v>
      </c>
      <c r="AE23" s="4">
        <f t="shared" si="52"/>
        <v>1.7221725427758208</v>
      </c>
      <c r="AF23" s="4">
        <f t="shared" si="52"/>
        <v>1.7325016266989464</v>
      </c>
      <c r="AG23" s="4">
        <f t="shared" si="52"/>
        <v>1.7474236360265649</v>
      </c>
    </row>
    <row r="24" spans="1:33" x14ac:dyDescent="0.3">
      <c r="A24" t="s">
        <v>1</v>
      </c>
      <c r="B24" s="4">
        <f t="shared" ref="B24:Q39" si="53">B45/$B45</f>
        <v>1</v>
      </c>
      <c r="C24" s="4">
        <f t="shared" si="53"/>
        <v>1.0418874581950412</v>
      </c>
      <c r="D24" s="4">
        <f t="shared" si="53"/>
        <v>1.1284112952186338</v>
      </c>
      <c r="E24" s="4">
        <f t="shared" si="53"/>
        <v>1.2026395561111922</v>
      </c>
      <c r="F24" s="4">
        <f t="shared" si="53"/>
        <v>1.2700034480497364</v>
      </c>
      <c r="G24" s="4">
        <f t="shared" si="53"/>
        <v>1.3296462470199755</v>
      </c>
      <c r="H24" s="4">
        <f t="shared" si="53"/>
        <v>1.3869727180997229</v>
      </c>
      <c r="I24" s="4">
        <f t="shared" si="53"/>
        <v>1.4390424998572129</v>
      </c>
      <c r="J24" s="4">
        <f t="shared" si="53"/>
        <v>1.488637301128972</v>
      </c>
      <c r="K24" s="4">
        <f t="shared" si="53"/>
        <v>1.5352705872896002</v>
      </c>
      <c r="L24" s="4">
        <f t="shared" si="53"/>
        <v>1.5803596548565675</v>
      </c>
      <c r="M24" s="4">
        <f t="shared" si="53"/>
        <v>1.6235131607616173</v>
      </c>
      <c r="N24" s="4">
        <f t="shared" si="53"/>
        <v>1.6621292024428269</v>
      </c>
      <c r="O24" s="4">
        <f t="shared" si="53"/>
        <v>1.6983337246764016</v>
      </c>
      <c r="P24" s="4">
        <f t="shared" si="53"/>
        <v>1.7336074850179066</v>
      </c>
      <c r="Q24" s="4">
        <f t="shared" si="53"/>
        <v>1.7668610689800333</v>
      </c>
      <c r="R24" s="4">
        <f t="shared" si="52"/>
        <v>1.7998396551104117</v>
      </c>
      <c r="S24" s="4">
        <f t="shared" si="52"/>
        <v>1.8236692749153323</v>
      </c>
      <c r="T24" s="4">
        <f t="shared" si="52"/>
        <v>1.8460604445234183</v>
      </c>
      <c r="U24" s="4">
        <f t="shared" si="52"/>
        <v>1.8668016271410168</v>
      </c>
      <c r="V24" s="4">
        <f t="shared" si="52"/>
        <v>1.8869716604157545</v>
      </c>
      <c r="W24" s="4">
        <f t="shared" si="52"/>
        <v>1.9060734328825484</v>
      </c>
      <c r="X24" s="4">
        <f t="shared" si="52"/>
        <v>1.9238107930302859</v>
      </c>
      <c r="Y24" s="4">
        <f t="shared" si="52"/>
        <v>1.9404904692097622</v>
      </c>
      <c r="Z24" s="4">
        <f t="shared" si="52"/>
        <v>1.9566730339241558</v>
      </c>
      <c r="AA24" s="4">
        <f t="shared" si="52"/>
        <v>1.9718719525480664</v>
      </c>
      <c r="AB24" s="4">
        <f t="shared" si="52"/>
        <v>1.9866795281037208</v>
      </c>
      <c r="AC24" s="4">
        <f t="shared" si="52"/>
        <v>1.9990861610514226</v>
      </c>
      <c r="AD24" s="4">
        <f t="shared" si="52"/>
        <v>2.0109956825340416</v>
      </c>
      <c r="AE24" s="4">
        <f t="shared" si="52"/>
        <v>2.0220061726436387</v>
      </c>
      <c r="AF24" s="4">
        <f t="shared" si="52"/>
        <v>2.0325301281278358</v>
      </c>
      <c r="AG24" s="4">
        <f t="shared" si="52"/>
        <v>2.0423877427120285</v>
      </c>
    </row>
    <row r="25" spans="1:33" x14ac:dyDescent="0.3">
      <c r="A25" t="s">
        <v>2</v>
      </c>
      <c r="B25" s="4">
        <f t="shared" si="53"/>
        <v>1</v>
      </c>
      <c r="C25" s="4">
        <f t="shared" si="52"/>
        <v>0.98175956490666538</v>
      </c>
      <c r="D25" s="4">
        <f t="shared" si="52"/>
        <v>1.0018864319411882</v>
      </c>
      <c r="E25" s="4">
        <f t="shared" si="52"/>
        <v>1.0272893968168175</v>
      </c>
      <c r="F25" s="4">
        <f t="shared" si="52"/>
        <v>1.0558001712251039</v>
      </c>
      <c r="G25" s="4">
        <f t="shared" si="52"/>
        <v>1.0776730698380961</v>
      </c>
      <c r="H25" s="4">
        <f t="shared" si="52"/>
        <v>1.1005066025117942</v>
      </c>
      <c r="I25" s="4">
        <f t="shared" si="52"/>
        <v>1.1200043070186458</v>
      </c>
      <c r="J25" s="4">
        <f t="shared" si="52"/>
        <v>1.1395442371984954</v>
      </c>
      <c r="K25" s="4">
        <f t="shared" si="52"/>
        <v>1.1569517708919435</v>
      </c>
      <c r="L25" s="4">
        <f t="shared" si="52"/>
        <v>1.1739264914371612</v>
      </c>
      <c r="M25" s="4">
        <f t="shared" si="52"/>
        <v>1.189602772537689</v>
      </c>
      <c r="N25" s="4">
        <f t="shared" si="52"/>
        <v>1.207875932527597</v>
      </c>
      <c r="O25" s="4">
        <f t="shared" si="52"/>
        <v>1.2246711939625732</v>
      </c>
      <c r="P25" s="4">
        <f t="shared" si="52"/>
        <v>1.2415825759982939</v>
      </c>
      <c r="Q25" s="4">
        <f t="shared" si="52"/>
        <v>1.2568577132053402</v>
      </c>
      <c r="R25" s="4">
        <f t="shared" si="52"/>
        <v>1.2727134534161098</v>
      </c>
      <c r="S25" s="4">
        <f t="shared" si="52"/>
        <v>1.288073041969152</v>
      </c>
      <c r="T25" s="4">
        <f t="shared" si="52"/>
        <v>1.3033692920126971</v>
      </c>
      <c r="U25" s="4">
        <f t="shared" si="52"/>
        <v>1.3174515539575484</v>
      </c>
      <c r="V25" s="4">
        <f t="shared" si="52"/>
        <v>1.3313965824651557</v>
      </c>
      <c r="W25" s="4">
        <f t="shared" si="52"/>
        <v>1.3443387512390594</v>
      </c>
      <c r="X25" s="4">
        <f t="shared" si="52"/>
        <v>1.3586110287124018</v>
      </c>
      <c r="Y25" s="4">
        <f t="shared" si="52"/>
        <v>1.3720176798892842</v>
      </c>
      <c r="Z25" s="4">
        <f t="shared" si="52"/>
        <v>1.385477113157414</v>
      </c>
      <c r="AA25" s="4">
        <f t="shared" si="52"/>
        <v>1.3980181380378363</v>
      </c>
      <c r="AB25" s="4">
        <f t="shared" si="52"/>
        <v>1.4105486065000088</v>
      </c>
      <c r="AC25" s="4">
        <f t="shared" si="52"/>
        <v>1.4236807908024038</v>
      </c>
      <c r="AD25" s="4">
        <f t="shared" si="52"/>
        <v>1.4367813058500503</v>
      </c>
      <c r="AE25" s="4">
        <f t="shared" si="52"/>
        <v>1.4492062101297276</v>
      </c>
      <c r="AF25" s="4">
        <f t="shared" si="52"/>
        <v>1.4614094296261655</v>
      </c>
      <c r="AG25" s="4">
        <f t="shared" si="52"/>
        <v>1.4730426025371295</v>
      </c>
    </row>
    <row r="26" spans="1:33" x14ac:dyDescent="0.3">
      <c r="A26" t="s">
        <v>3</v>
      </c>
      <c r="B26" s="4">
        <f t="shared" si="53"/>
        <v>1</v>
      </c>
      <c r="C26" s="4">
        <f t="shared" si="52"/>
        <v>0.98121058792432869</v>
      </c>
      <c r="D26" s="4">
        <f t="shared" si="52"/>
        <v>1.0285994789109996</v>
      </c>
      <c r="E26" s="4">
        <f t="shared" si="52"/>
        <v>1.0193482611486613</v>
      </c>
      <c r="F26" s="4">
        <f t="shared" si="52"/>
        <v>1.0072801419778725</v>
      </c>
      <c r="G26" s="4">
        <f t="shared" si="52"/>
        <v>0.99051466978816594</v>
      </c>
      <c r="H26" s="4">
        <f t="shared" si="52"/>
        <v>0.97393799796095604</v>
      </c>
      <c r="I26" s="4">
        <f t="shared" si="52"/>
        <v>0.98195823735981569</v>
      </c>
      <c r="J26" s="4">
        <f t="shared" si="52"/>
        <v>0.99200241664463995</v>
      </c>
      <c r="K26" s="4">
        <f t="shared" si="52"/>
        <v>1.0018577955669674</v>
      </c>
      <c r="L26" s="4">
        <f t="shared" si="52"/>
        <v>1.0116603103877959</v>
      </c>
      <c r="M26" s="4">
        <f t="shared" si="52"/>
        <v>1.0209946003096326</v>
      </c>
      <c r="N26" s="4">
        <f t="shared" si="52"/>
        <v>1.0360231091643697</v>
      </c>
      <c r="O26" s="4">
        <f t="shared" si="52"/>
        <v>1.0509156817581089</v>
      </c>
      <c r="P26" s="4">
        <f t="shared" si="52"/>
        <v>1.0657553902503492</v>
      </c>
      <c r="Q26" s="4">
        <f t="shared" si="52"/>
        <v>1.0800438016840992</v>
      </c>
      <c r="R26" s="4">
        <f t="shared" si="52"/>
        <v>1.0943095570743495</v>
      </c>
      <c r="S26" s="4">
        <f t="shared" si="52"/>
        <v>1.1090812974360911</v>
      </c>
      <c r="T26" s="4">
        <f t="shared" si="52"/>
        <v>1.1237624136238342</v>
      </c>
      <c r="U26" s="4">
        <f t="shared" si="52"/>
        <v>1.1379979609560851</v>
      </c>
      <c r="V26" s="4">
        <f t="shared" si="52"/>
        <v>1.1520749159838386</v>
      </c>
      <c r="W26" s="4">
        <f t="shared" si="52"/>
        <v>1.1657818223010987</v>
      </c>
      <c r="X26" s="4">
        <f t="shared" si="52"/>
        <v>1.1797001850243554</v>
      </c>
      <c r="Y26" s="4">
        <f t="shared" si="52"/>
        <v>1.1932787070951176</v>
      </c>
      <c r="Z26" s="4">
        <f t="shared" si="52"/>
        <v>1.206743948948382</v>
      </c>
      <c r="AA26" s="4">
        <f t="shared" si="52"/>
        <v>1.2198920061926517</v>
      </c>
      <c r="AB26" s="4">
        <f t="shared" si="52"/>
        <v>1.2329267832194237</v>
      </c>
      <c r="AC26" s="4">
        <f t="shared" si="52"/>
        <v>1.245938904202696</v>
      </c>
      <c r="AD26" s="4">
        <f t="shared" si="52"/>
        <v>1.2588301929539705</v>
      </c>
      <c r="AE26" s="4">
        <f t="shared" si="52"/>
        <v>1.2714798172412491</v>
      </c>
      <c r="AF26" s="4">
        <f t="shared" si="52"/>
        <v>1.2839859532530302</v>
      </c>
      <c r="AG26" s="4">
        <f t="shared" si="52"/>
        <v>1.296280632858815</v>
      </c>
    </row>
    <row r="27" spans="1:33" x14ac:dyDescent="0.3">
      <c r="A27" t="s">
        <v>4</v>
      </c>
      <c r="B27" s="4">
        <f t="shared" si="53"/>
        <v>1</v>
      </c>
      <c r="C27" s="4">
        <f t="shared" si="52"/>
        <v>0.95948963936845788</v>
      </c>
      <c r="D27" s="4">
        <f t="shared" si="52"/>
        <v>0.97808439982133499</v>
      </c>
      <c r="E27" s="4">
        <f t="shared" si="52"/>
        <v>1.0141524090653098</v>
      </c>
      <c r="F27" s="4">
        <f t="shared" si="52"/>
        <v>1.0599159109005107</v>
      </c>
      <c r="G27" s="4">
        <f t="shared" si="52"/>
        <v>1.0983386091313383</v>
      </c>
      <c r="H27" s="4">
        <f t="shared" si="52"/>
        <v>1.1401986677800866</v>
      </c>
      <c r="I27" s="4">
        <f t="shared" si="52"/>
        <v>1.1800584545472201</v>
      </c>
      <c r="J27" s="4">
        <f t="shared" si="52"/>
        <v>1.2218505427922242</v>
      </c>
      <c r="K27" s="4">
        <f t="shared" si="52"/>
        <v>1.2626230749810654</v>
      </c>
      <c r="L27" s="4">
        <f t="shared" si="52"/>
        <v>1.3037742994193384</v>
      </c>
      <c r="M27" s="4">
        <f t="shared" si="52"/>
        <v>1.344575961781213</v>
      </c>
      <c r="N27" s="4">
        <f t="shared" si="52"/>
        <v>1.394296312120094</v>
      </c>
      <c r="O27" s="4">
        <f t="shared" si="52"/>
        <v>1.4444681801409902</v>
      </c>
      <c r="P27" s="4">
        <f t="shared" si="52"/>
        <v>1.4947517138251802</v>
      </c>
      <c r="Q27" s="4">
        <f t="shared" si="52"/>
        <v>1.5450158273940149</v>
      </c>
      <c r="R27" s="4">
        <f t="shared" si="52"/>
        <v>1.5960470355193912</v>
      </c>
      <c r="S27" s="4">
        <f t="shared" si="52"/>
        <v>1.6510011069465753</v>
      </c>
      <c r="T27" s="4">
        <f t="shared" si="52"/>
        <v>1.7071640805546386</v>
      </c>
      <c r="U27" s="4">
        <f t="shared" si="52"/>
        <v>1.7639145126522053</v>
      </c>
      <c r="V27" s="4">
        <f t="shared" si="52"/>
        <v>1.8220146427669781</v>
      </c>
      <c r="W27" s="4">
        <f t="shared" si="52"/>
        <v>1.8815664265045735</v>
      </c>
      <c r="X27" s="4">
        <f t="shared" si="52"/>
        <v>1.9481531470296933</v>
      </c>
      <c r="Y27" s="4">
        <f t="shared" si="52"/>
        <v>2.016910065445789</v>
      </c>
      <c r="Z27" s="4">
        <f t="shared" si="52"/>
        <v>2.0882595692618415</v>
      </c>
      <c r="AA27" s="4">
        <f t="shared" si="52"/>
        <v>2.1623861495737287</v>
      </c>
      <c r="AB27" s="4">
        <f t="shared" si="52"/>
        <v>2.2400617559668308</v>
      </c>
      <c r="AC27" s="4">
        <f t="shared" si="52"/>
        <v>2.3293068960829628</v>
      </c>
      <c r="AD27" s="4">
        <f t="shared" si="52"/>
        <v>2.4231351834229895</v>
      </c>
      <c r="AE27" s="4">
        <f t="shared" si="52"/>
        <v>2.5216728487367219</v>
      </c>
      <c r="AF27" s="4">
        <f t="shared" si="52"/>
        <v>2.6257598120132837</v>
      </c>
      <c r="AG27" s="4">
        <f t="shared" si="52"/>
        <v>2.7360417920882454</v>
      </c>
    </row>
    <row r="28" spans="1:33" x14ac:dyDescent="0.3">
      <c r="A28" t="s">
        <v>5</v>
      </c>
      <c r="B28" s="4">
        <f t="shared" si="53"/>
        <v>1</v>
      </c>
      <c r="C28" s="4">
        <f t="shared" si="52"/>
        <v>0.98437968010543342</v>
      </c>
      <c r="D28" s="4">
        <f t="shared" si="52"/>
        <v>1.0321891411569721</v>
      </c>
      <c r="E28" s="4">
        <f t="shared" si="52"/>
        <v>1.0884003274825775</v>
      </c>
      <c r="F28" s="4">
        <f t="shared" si="52"/>
        <v>1.1495537051458695</v>
      </c>
      <c r="G28" s="4">
        <f t="shared" si="52"/>
        <v>1.199295113720322</v>
      </c>
      <c r="H28" s="4">
        <f t="shared" si="52"/>
        <v>1.2528105593162804</v>
      </c>
      <c r="I28" s="4">
        <f t="shared" si="52"/>
        <v>1.3236186824816789</v>
      </c>
      <c r="J28" s="4">
        <f t="shared" si="52"/>
        <v>1.3963936979572278</v>
      </c>
      <c r="K28" s="4">
        <f t="shared" si="52"/>
        <v>1.465973761456898</v>
      </c>
      <c r="L28" s="4">
        <f t="shared" si="52"/>
        <v>1.5358932886040058</v>
      </c>
      <c r="M28" s="4">
        <f t="shared" si="52"/>
        <v>1.6041853870884004</v>
      </c>
      <c r="N28" s="4">
        <f t="shared" si="52"/>
        <v>1.6940134587351983</v>
      </c>
      <c r="O28" s="4">
        <f t="shared" si="52"/>
        <v>1.783122666187424</v>
      </c>
      <c r="P28" s="4">
        <f t="shared" si="52"/>
        <v>1.8729507378342221</v>
      </c>
      <c r="Q28" s="4">
        <f t="shared" si="52"/>
        <v>1.961261207292478</v>
      </c>
      <c r="R28" s="4">
        <f t="shared" si="52"/>
        <v>2.051059326264502</v>
      </c>
      <c r="S28" s="4">
        <f t="shared" si="52"/>
        <v>2.1646897901315922</v>
      </c>
      <c r="T28" s="4">
        <f t="shared" si="52"/>
        <v>2.2795483136644101</v>
      </c>
      <c r="U28" s="4">
        <f t="shared" si="52"/>
        <v>2.3936080992032589</v>
      </c>
      <c r="V28" s="4">
        <f t="shared" si="52"/>
        <v>2.5085265280856248</v>
      </c>
      <c r="W28" s="4">
        <f t="shared" si="52"/>
        <v>2.6231653986701011</v>
      </c>
      <c r="X28" s="4">
        <f t="shared" si="52"/>
        <v>2.7638630963078334</v>
      </c>
      <c r="Y28" s="4">
        <f t="shared" si="52"/>
        <v>2.9054493899638572</v>
      </c>
      <c r="Z28" s="4">
        <f t="shared" si="52"/>
        <v>3.0486032069330458</v>
      </c>
      <c r="AA28" s="4">
        <f t="shared" si="52"/>
        <v>3.191667165877913</v>
      </c>
      <c r="AB28" s="4">
        <f t="shared" si="52"/>
        <v>3.3359292318137341</v>
      </c>
      <c r="AC28" s="4">
        <f t="shared" si="52"/>
        <v>3.5067293675991933</v>
      </c>
      <c r="AD28" s="4">
        <f t="shared" si="52"/>
        <v>3.6796661275185207</v>
      </c>
      <c r="AE28" s="4">
        <f t="shared" si="52"/>
        <v>3.8527426665867925</v>
      </c>
      <c r="AF28" s="4">
        <f t="shared" si="52"/>
        <v>4.026578006749336</v>
      </c>
      <c r="AG28" s="4">
        <f t="shared" si="52"/>
        <v>4.200203678188462</v>
      </c>
    </row>
    <row r="29" spans="1:33" x14ac:dyDescent="0.3">
      <c r="A29" t="s">
        <v>6</v>
      </c>
      <c r="B29" s="4">
        <f t="shared" si="53"/>
        <v>1</v>
      </c>
      <c r="C29" s="4">
        <f t="shared" si="52"/>
        <v>0.98915092406671312</v>
      </c>
      <c r="D29" s="4">
        <f t="shared" si="52"/>
        <v>1.0403434004015899</v>
      </c>
      <c r="E29" s="4">
        <f t="shared" si="52"/>
        <v>1.069159529566037</v>
      </c>
      <c r="F29" s="4">
        <f t="shared" si="52"/>
        <v>1.0946461500635167</v>
      </c>
      <c r="G29" s="4">
        <f t="shared" si="52"/>
        <v>1.1162828340777773</v>
      </c>
      <c r="H29" s="4">
        <f t="shared" si="52"/>
        <v>1.1362004671556776</v>
      </c>
      <c r="I29" s="4">
        <f t="shared" si="52"/>
        <v>1.1613039380404049</v>
      </c>
      <c r="J29" s="4">
        <f t="shared" si="52"/>
        <v>1.1860836782362825</v>
      </c>
      <c r="K29" s="4">
        <f t="shared" si="52"/>
        <v>1.2098758349383274</v>
      </c>
      <c r="L29" s="4">
        <f t="shared" si="52"/>
        <v>1.2329221816989715</v>
      </c>
      <c r="M29" s="4">
        <f t="shared" si="52"/>
        <v>1.2551325656681558</v>
      </c>
      <c r="N29" s="4">
        <f t="shared" si="52"/>
        <v>1.2762426750809328</v>
      </c>
      <c r="O29" s="4">
        <f t="shared" si="52"/>
        <v>1.296266852436176</v>
      </c>
      <c r="P29" s="4">
        <f t="shared" si="52"/>
        <v>1.3157644551899359</v>
      </c>
      <c r="Q29" s="4">
        <f t="shared" si="52"/>
        <v>1.334516248002295</v>
      </c>
      <c r="R29" s="4">
        <f t="shared" si="52"/>
        <v>1.3529135761996476</v>
      </c>
      <c r="S29" s="4">
        <f t="shared" si="52"/>
        <v>1.3709031676433225</v>
      </c>
      <c r="T29" s="4">
        <f t="shared" si="52"/>
        <v>1.3883231569888947</v>
      </c>
      <c r="U29" s="4">
        <f t="shared" si="52"/>
        <v>1.4051141253124617</v>
      </c>
      <c r="V29" s="4">
        <f t="shared" si="52"/>
        <v>1.4215035036675818</v>
      </c>
      <c r="W29" s="4">
        <f t="shared" si="52"/>
        <v>1.4373642584928084</v>
      </c>
      <c r="X29" s="4">
        <f t="shared" si="52"/>
        <v>1.4532823833135271</v>
      </c>
      <c r="Y29" s="4">
        <f t="shared" si="52"/>
        <v>1.4686985206736876</v>
      </c>
      <c r="Z29" s="4">
        <f t="shared" si="52"/>
        <v>1.4838851780518789</v>
      </c>
      <c r="AA29" s="4">
        <f t="shared" si="52"/>
        <v>1.4985821415399745</v>
      </c>
      <c r="AB29" s="4">
        <f t="shared" si="52"/>
        <v>1.5130414293324592</v>
      </c>
      <c r="AC29" s="4">
        <f t="shared" si="52"/>
        <v>1.5275662828340779</v>
      </c>
      <c r="AD29" s="4">
        <f t="shared" si="52"/>
        <v>1.5418124820718766</v>
      </c>
      <c r="AE29" s="4">
        <f t="shared" si="52"/>
        <v>1.5556980699094376</v>
      </c>
      <c r="AF29" s="4">
        <f t="shared" si="52"/>
        <v>1.5692783674138426</v>
      </c>
      <c r="AG29" s="4">
        <f t="shared" si="52"/>
        <v>1.5825164938737042</v>
      </c>
    </row>
    <row r="30" spans="1:33" x14ac:dyDescent="0.3">
      <c r="A30" t="s">
        <v>7</v>
      </c>
      <c r="B30" s="4">
        <f t="shared" si="53"/>
        <v>1</v>
      </c>
      <c r="C30" s="4">
        <f t="shared" si="52"/>
        <v>0.95316591990552602</v>
      </c>
      <c r="D30" s="4">
        <f t="shared" si="52"/>
        <v>1.0075370775589594</v>
      </c>
      <c r="E30" s="4">
        <f t="shared" si="52"/>
        <v>1.0317460317460316</v>
      </c>
      <c r="F30" s="4">
        <f t="shared" si="52"/>
        <v>1.0550936056406515</v>
      </c>
      <c r="G30" s="4">
        <f t="shared" si="52"/>
        <v>1.0745510749887117</v>
      </c>
      <c r="H30" s="4">
        <f t="shared" si="52"/>
        <v>1.093814039109444</v>
      </c>
      <c r="I30" s="4">
        <f t="shared" si="52"/>
        <v>1.1221979090688061</v>
      </c>
      <c r="J30" s="4">
        <f t="shared" si="52"/>
        <v>1.1509777360980862</v>
      </c>
      <c r="K30" s="4">
        <f t="shared" si="52"/>
        <v>1.1789378625264839</v>
      </c>
      <c r="L30" s="4">
        <f t="shared" si="52"/>
        <v>1.206453405578132</v>
      </c>
      <c r="M30" s="4">
        <f t="shared" si="52"/>
        <v>1.233267340488347</v>
      </c>
      <c r="N30" s="4">
        <f t="shared" si="52"/>
        <v>1.2674307943454552</v>
      </c>
      <c r="O30" s="4">
        <f t="shared" si="52"/>
        <v>1.3012399708242159</v>
      </c>
      <c r="P30" s="4">
        <f t="shared" si="52"/>
        <v>1.3348615886909103</v>
      </c>
      <c r="Q30" s="4">
        <f t="shared" si="52"/>
        <v>1.3677190788788163</v>
      </c>
      <c r="R30" s="4">
        <f t="shared" si="52"/>
        <v>1.4004167969157029</v>
      </c>
      <c r="S30" s="4">
        <f t="shared" si="52"/>
        <v>1.4390747108471398</v>
      </c>
      <c r="T30" s="4">
        <f t="shared" si="52"/>
        <v>1.4777395713938384</v>
      </c>
      <c r="U30" s="4">
        <f t="shared" si="52"/>
        <v>1.515869542565385</v>
      </c>
      <c r="V30" s="4">
        <f t="shared" si="52"/>
        <v>1.5536313431280608</v>
      </c>
      <c r="W30" s="4">
        <f t="shared" si="52"/>
        <v>1.5908235212392763</v>
      </c>
      <c r="X30" s="4">
        <f t="shared" si="52"/>
        <v>1.6334410058698898</v>
      </c>
      <c r="Y30" s="4">
        <f t="shared" si="52"/>
        <v>1.6759126115800076</v>
      </c>
      <c r="Z30" s="4">
        <f t="shared" si="52"/>
        <v>1.7182939112917233</v>
      </c>
      <c r="AA30" s="4">
        <f t="shared" si="52"/>
        <v>1.7601125351672398</v>
      </c>
      <c r="AB30" s="4">
        <f t="shared" si="52"/>
        <v>1.8017019207391198</v>
      </c>
      <c r="AC30" s="4">
        <f t="shared" si="52"/>
        <v>1.8476398874648328</v>
      </c>
      <c r="AD30" s="4">
        <f t="shared" si="52"/>
        <v>1.8936125872668541</v>
      </c>
      <c r="AE30" s="4">
        <f t="shared" si="52"/>
        <v>1.9392310096905283</v>
      </c>
      <c r="AF30" s="4">
        <f t="shared" si="52"/>
        <v>1.9844951547358549</v>
      </c>
      <c r="AG30" s="4">
        <f t="shared" si="52"/>
        <v>2.0293216630196937</v>
      </c>
    </row>
    <row r="31" spans="1:33" x14ac:dyDescent="0.3">
      <c r="A31" t="s">
        <v>8</v>
      </c>
      <c r="B31" s="4">
        <f t="shared" si="53"/>
        <v>1</v>
      </c>
      <c r="C31" s="4">
        <f t="shared" si="52"/>
        <v>0.97016191402839103</v>
      </c>
      <c r="D31" s="4">
        <f t="shared" si="52"/>
        <v>1.0221748205806285</v>
      </c>
      <c r="E31" s="4">
        <f t="shared" si="52"/>
        <v>1.0396053189631516</v>
      </c>
      <c r="F31" s="4">
        <f t="shared" si="52"/>
        <v>1.053721860472852</v>
      </c>
      <c r="G31" s="4">
        <f t="shared" si="52"/>
        <v>1.0643456494440702</v>
      </c>
      <c r="H31" s="4">
        <f t="shared" si="52"/>
        <v>1.0736056017097855</v>
      </c>
      <c r="I31" s="4">
        <f t="shared" si="52"/>
        <v>1.0977014361865796</v>
      </c>
      <c r="J31" s="4">
        <f t="shared" si="52"/>
        <v>1.1221548619946944</v>
      </c>
      <c r="K31" s="4">
        <f t="shared" si="52"/>
        <v>1.1458639988690134</v>
      </c>
      <c r="L31" s="4">
        <f t="shared" si="52"/>
        <v>1.1689577460103617</v>
      </c>
      <c r="M31" s="4">
        <f t="shared" si="52"/>
        <v>1.1912365175593975</v>
      </c>
      <c r="N31" s="4">
        <f t="shared" si="52"/>
        <v>1.2159560578466349</v>
      </c>
      <c r="O31" s="4">
        <f t="shared" si="52"/>
        <v>1.2397608296118885</v>
      </c>
      <c r="P31" s="4">
        <f t="shared" si="52"/>
        <v>1.2632495904331844</v>
      </c>
      <c r="Q31" s="4">
        <f t="shared" si="52"/>
        <v>1.2857653701901886</v>
      </c>
      <c r="R31" s="4">
        <f t="shared" si="52"/>
        <v>1.3081023542815324</v>
      </c>
      <c r="S31" s="4">
        <f t="shared" si="52"/>
        <v>1.3320859217124466</v>
      </c>
      <c r="T31" s="4">
        <f t="shared" si="52"/>
        <v>1.3556162629211053</v>
      </c>
      <c r="U31" s="4">
        <f t="shared" si="52"/>
        <v>1.3783066803050339</v>
      </c>
      <c r="V31" s="4">
        <f t="shared" si="52"/>
        <v>1.4005563455829155</v>
      </c>
      <c r="W31" s="4">
        <f t="shared" si="52"/>
        <v>1.4220575638882653</v>
      </c>
      <c r="X31" s="4">
        <f t="shared" si="52"/>
        <v>1.4450099377125798</v>
      </c>
      <c r="Y31" s="4">
        <f t="shared" ref="C31:AG39" si="54">Y52/$B52</f>
        <v>1.4672762351454065</v>
      </c>
      <c r="Z31" s="4">
        <f t="shared" si="54"/>
        <v>1.4892805761378471</v>
      </c>
      <c r="AA31" s="4">
        <f t="shared" si="54"/>
        <v>1.5105406281964924</v>
      </c>
      <c r="AB31" s="4">
        <f t="shared" si="54"/>
        <v>1.5314971434273881</v>
      </c>
      <c r="AC31" s="4">
        <f t="shared" si="54"/>
        <v>1.5531771573983983</v>
      </c>
      <c r="AD31" s="4">
        <f t="shared" si="54"/>
        <v>1.5745286863092416</v>
      </c>
      <c r="AE31" s="4">
        <f t="shared" si="54"/>
        <v>1.595306405874477</v>
      </c>
      <c r="AF31" s="4">
        <f t="shared" si="54"/>
        <v>1.6156433733336659</v>
      </c>
      <c r="AG31" s="4">
        <f t="shared" si="54"/>
        <v>1.6354148475247194</v>
      </c>
    </row>
    <row r="32" spans="1:33" x14ac:dyDescent="0.3">
      <c r="A32" t="s">
        <v>9</v>
      </c>
      <c r="B32" s="4">
        <f t="shared" si="53"/>
        <v>1</v>
      </c>
      <c r="C32" s="4">
        <f t="shared" si="54"/>
        <v>0.98257263122488192</v>
      </c>
      <c r="D32" s="4">
        <f t="shared" si="54"/>
        <v>1.037482170424562</v>
      </c>
      <c r="E32" s="4">
        <f t="shared" si="54"/>
        <v>1.0594662947643323</v>
      </c>
      <c r="F32" s="4">
        <f t="shared" si="54"/>
        <v>1.0776060532499407</v>
      </c>
      <c r="G32" s="4">
        <f t="shared" si="54"/>
        <v>1.0916634537732062</v>
      </c>
      <c r="H32" s="4">
        <f t="shared" si="54"/>
        <v>1.1046514764237083</v>
      </c>
      <c r="I32" s="4">
        <f t="shared" si="54"/>
        <v>1.1331423050011662</v>
      </c>
      <c r="J32" s="4">
        <f t="shared" si="54"/>
        <v>1.1623074445518053</v>
      </c>
      <c r="K32" s="4">
        <f t="shared" si="54"/>
        <v>1.1907300487249175</v>
      </c>
      <c r="L32" s="4">
        <f t="shared" si="54"/>
        <v>1.2184418498015939</v>
      </c>
      <c r="M32" s="4">
        <f t="shared" si="54"/>
        <v>1.2452429344109615</v>
      </c>
      <c r="N32" s="4">
        <f t="shared" si="54"/>
        <v>1.2682139326926585</v>
      </c>
      <c r="O32" s="4">
        <f t="shared" si="54"/>
        <v>1.2899489586258652</v>
      </c>
      <c r="P32" s="4">
        <f t="shared" si="54"/>
        <v>1.3110556853934723</v>
      </c>
      <c r="Q32" s="4">
        <f t="shared" si="54"/>
        <v>1.3311628453067164</v>
      </c>
      <c r="R32" s="4">
        <f t="shared" si="54"/>
        <v>1.3509003241452513</v>
      </c>
      <c r="S32" s="4">
        <f t="shared" si="54"/>
        <v>1.3668838741307336</v>
      </c>
      <c r="T32" s="4">
        <f t="shared" si="54"/>
        <v>1.3821058493700349</v>
      </c>
      <c r="U32" s="4">
        <f t="shared" si="54"/>
        <v>1.3965123049852999</v>
      </c>
      <c r="V32" s="4">
        <f t="shared" si="54"/>
        <v>1.4104427763842016</v>
      </c>
      <c r="W32" s="4">
        <f t="shared" si="54"/>
        <v>1.4237465352315584</v>
      </c>
      <c r="X32" s="4">
        <f t="shared" si="54"/>
        <v>1.4330694794160623</v>
      </c>
      <c r="Y32" s="4">
        <f t="shared" si="54"/>
        <v>1.4416292622403306</v>
      </c>
      <c r="Z32" s="4">
        <f t="shared" si="54"/>
        <v>1.4498542694990899</v>
      </c>
      <c r="AA32" s="4">
        <f t="shared" si="54"/>
        <v>1.4575588673479587</v>
      </c>
      <c r="AB32" s="4">
        <f t="shared" si="54"/>
        <v>1.4650064337199911</v>
      </c>
      <c r="AC32" s="4">
        <f t="shared" si="54"/>
        <v>1.4703580829259701</v>
      </c>
      <c r="AD32" s="4">
        <f t="shared" si="54"/>
        <v>1.4753400510572401</v>
      </c>
      <c r="AE32" s="4">
        <f t="shared" si="54"/>
        <v>1.4799412318154195</v>
      </c>
      <c r="AF32" s="4">
        <f t="shared" si="54"/>
        <v>1.4842742747983808</v>
      </c>
      <c r="AG32" s="4">
        <f t="shared" si="54"/>
        <v>1.4882995146547606</v>
      </c>
    </row>
    <row r="33" spans="1:33" x14ac:dyDescent="0.3">
      <c r="A33" t="s">
        <v>10</v>
      </c>
      <c r="B33" s="4">
        <f t="shared" si="53"/>
        <v>1</v>
      </c>
      <c r="C33" s="4">
        <f t="shared" si="54"/>
        <v>0.99148881504573327</v>
      </c>
      <c r="D33" s="4">
        <f t="shared" si="54"/>
        <v>1.0352694323592888</v>
      </c>
      <c r="E33" s="4">
        <f t="shared" si="54"/>
        <v>1.0634322222602857</v>
      </c>
      <c r="F33" s="4">
        <f t="shared" si="54"/>
        <v>1.0872049604330103</v>
      </c>
      <c r="G33" s="4">
        <f t="shared" si="54"/>
        <v>1.1057671885170086</v>
      </c>
      <c r="H33" s="4">
        <f t="shared" si="54"/>
        <v>1.1236459867767463</v>
      </c>
      <c r="I33" s="4">
        <f t="shared" si="54"/>
        <v>1.1604484258846905</v>
      </c>
      <c r="J33" s="4">
        <f t="shared" si="54"/>
        <v>1.1981980747490666</v>
      </c>
      <c r="K33" s="4">
        <f t="shared" si="54"/>
        <v>1.2352608680757768</v>
      </c>
      <c r="L33" s="4">
        <f t="shared" si="54"/>
        <v>1.2721438114487342</v>
      </c>
      <c r="M33" s="4">
        <f t="shared" si="54"/>
        <v>1.3083039292932754</v>
      </c>
      <c r="N33" s="4">
        <f t="shared" si="54"/>
        <v>1.3496848343667571</v>
      </c>
      <c r="O33" s="4">
        <f t="shared" si="54"/>
        <v>1.3905210510088728</v>
      </c>
      <c r="P33" s="4">
        <f t="shared" si="54"/>
        <v>1.4312527833921416</v>
      </c>
      <c r="Q33" s="4">
        <f t="shared" si="54"/>
        <v>1.4708848617724641</v>
      </c>
      <c r="R33" s="4">
        <f t="shared" si="54"/>
        <v>1.5105786029940738</v>
      </c>
      <c r="S33" s="4">
        <f t="shared" si="54"/>
        <v>1.5498407043266762</v>
      </c>
      <c r="T33" s="4">
        <f t="shared" si="54"/>
        <v>1.5888116200198692</v>
      </c>
      <c r="U33" s="4">
        <f t="shared" si="54"/>
        <v>1.6268164845329043</v>
      </c>
      <c r="V33" s="4">
        <f t="shared" si="54"/>
        <v>1.6645078962693982</v>
      </c>
      <c r="W33" s="4">
        <f t="shared" si="54"/>
        <v>1.7014319482032132</v>
      </c>
      <c r="X33" s="4">
        <f t="shared" si="54"/>
        <v>1.7376074817580764</v>
      </c>
      <c r="Y33" s="4">
        <f t="shared" si="54"/>
        <v>1.7730464869309035</v>
      </c>
      <c r="Z33" s="4">
        <f t="shared" si="54"/>
        <v>1.8082285635983697</v>
      </c>
      <c r="AA33" s="4">
        <f t="shared" si="54"/>
        <v>1.8427426261518962</v>
      </c>
      <c r="AB33" s="4">
        <f t="shared" si="54"/>
        <v>1.8770682744681582</v>
      </c>
      <c r="AC33" s="4">
        <f t="shared" si="54"/>
        <v>1.9117022369908534</v>
      </c>
      <c r="AD33" s="4">
        <f t="shared" si="54"/>
        <v>1.9462162995443801</v>
      </c>
      <c r="AE33" s="4">
        <f t="shared" si="54"/>
        <v>1.9801993765201604</v>
      </c>
      <c r="AF33" s="4">
        <f t="shared" si="54"/>
        <v>2.0139255249905794</v>
      </c>
      <c r="AG33" s="4">
        <f t="shared" si="54"/>
        <v>2.0472405878524205</v>
      </c>
    </row>
    <row r="34" spans="1:33" x14ac:dyDescent="0.3">
      <c r="A34" t="s">
        <v>11</v>
      </c>
      <c r="B34" s="4">
        <f t="shared" si="53"/>
        <v>1</v>
      </c>
      <c r="C34" s="4">
        <f t="shared" si="54"/>
        <v>0.98411173438290944</v>
      </c>
      <c r="D34" s="4">
        <f t="shared" si="54"/>
        <v>1.0199223148521193</v>
      </c>
      <c r="E34" s="4">
        <f t="shared" si="54"/>
        <v>1.0616419251867233</v>
      </c>
      <c r="F34" s="4">
        <f t="shared" si="54"/>
        <v>1.1029896385367919</v>
      </c>
      <c r="G34" s="4">
        <f t="shared" si="54"/>
        <v>1.1432836437640108</v>
      </c>
      <c r="H34" s="4">
        <f t="shared" si="54"/>
        <v>1.1819609301556802</v>
      </c>
      <c r="I34" s="4">
        <f t="shared" si="54"/>
        <v>1.2303901819196084</v>
      </c>
      <c r="J34" s="4">
        <f t="shared" si="54"/>
        <v>1.2790260431193894</v>
      </c>
      <c r="K34" s="4">
        <f t="shared" si="54"/>
        <v>1.3270575717193005</v>
      </c>
      <c r="L34" s="4">
        <f t="shared" si="54"/>
        <v>1.3745932376731647</v>
      </c>
      <c r="M34" s="4">
        <f t="shared" si="54"/>
        <v>1.4212818049400318</v>
      </c>
      <c r="N34" s="4">
        <f t="shared" si="54"/>
        <v>1.4744734042003698</v>
      </c>
      <c r="O34" s="4">
        <f t="shared" si="54"/>
        <v>1.5272517845890023</v>
      </c>
      <c r="P34" s="4">
        <f t="shared" si="54"/>
        <v>1.5797305812956479</v>
      </c>
      <c r="Q34" s="4">
        <f t="shared" si="54"/>
        <v>1.6313674445511928</v>
      </c>
      <c r="R34" s="4">
        <f t="shared" si="54"/>
        <v>1.682529106104276</v>
      </c>
      <c r="S34" s="4">
        <f t="shared" si="54"/>
        <v>1.7397909112509167</v>
      </c>
      <c r="T34" s="4">
        <f t="shared" si="54"/>
        <v>1.7969855683309057</v>
      </c>
      <c r="U34" s="4">
        <f t="shared" si="54"/>
        <v>1.8532866396008307</v>
      </c>
      <c r="V34" s="4">
        <f t="shared" si="54"/>
        <v>1.9090401958657455</v>
      </c>
      <c r="W34" s="4">
        <f t="shared" si="54"/>
        <v>1.9637607049513952</v>
      </c>
      <c r="X34" s="4">
        <f t="shared" si="54"/>
        <v>2.0237394241795026</v>
      </c>
      <c r="Y34" s="4">
        <f t="shared" si="54"/>
        <v>2.0831861241102883</v>
      </c>
      <c r="Z34" s="4">
        <f t="shared" si="54"/>
        <v>2.1421421266309233</v>
      </c>
      <c r="AA34" s="4">
        <f t="shared" si="54"/>
        <v>2.2000702472081901</v>
      </c>
      <c r="AB34" s="4">
        <f t="shared" si="54"/>
        <v>2.2573268871189347</v>
      </c>
      <c r="AC34" s="4">
        <f t="shared" si="54"/>
        <v>2.3198159109926553</v>
      </c>
      <c r="AD34" s="4">
        <f t="shared" si="54"/>
        <v>2.3821241516100042</v>
      </c>
      <c r="AE34" s="4">
        <f t="shared" si="54"/>
        <v>2.4434613278788446</v>
      </c>
      <c r="AF34" s="4">
        <f t="shared" si="54"/>
        <v>2.5039927273478582</v>
      </c>
      <c r="AG34" s="4">
        <f t="shared" si="54"/>
        <v>2.5634394272786443</v>
      </c>
    </row>
    <row r="35" spans="1:33" x14ac:dyDescent="0.3">
      <c r="A35" t="s">
        <v>12</v>
      </c>
      <c r="B35" s="4">
        <f t="shared" si="53"/>
        <v>1</v>
      </c>
      <c r="C35" s="4">
        <f t="shared" si="54"/>
        <v>1.0075713798681853</v>
      </c>
      <c r="D35" s="4">
        <f t="shared" si="54"/>
        <v>1.0484610433287744</v>
      </c>
      <c r="E35" s="4">
        <f t="shared" si="54"/>
        <v>1.0941762767818477</v>
      </c>
      <c r="F35" s="4">
        <f t="shared" si="54"/>
        <v>1.1407944946906885</v>
      </c>
      <c r="G35" s="4">
        <f t="shared" si="54"/>
        <v>1.1844668245353778</v>
      </c>
      <c r="H35" s="4">
        <f t="shared" si="54"/>
        <v>1.2280588598439126</v>
      </c>
      <c r="I35" s="4">
        <f t="shared" si="54"/>
        <v>1.2863553256996483</v>
      </c>
      <c r="J35" s="4">
        <f t="shared" si="54"/>
        <v>1.3457890781002575</v>
      </c>
      <c r="K35" s="4">
        <f t="shared" si="54"/>
        <v>1.4044830677251505</v>
      </c>
      <c r="L35" s="4">
        <f t="shared" si="54"/>
        <v>1.4627163509950598</v>
      </c>
      <c r="M35" s="4">
        <f t="shared" si="54"/>
        <v>1.5199887324388608</v>
      </c>
      <c r="N35" s="4">
        <f t="shared" si="54"/>
        <v>1.6007439749481047</v>
      </c>
      <c r="O35" s="4">
        <f t="shared" si="54"/>
        <v>1.6824469562447428</v>
      </c>
      <c r="P35" s="4">
        <f t="shared" si="54"/>
        <v>1.7643342200833747</v>
      </c>
      <c r="Q35" s="4">
        <f t="shared" si="54"/>
        <v>1.8448920170119112</v>
      </c>
      <c r="R35" s="4">
        <f t="shared" si="54"/>
        <v>1.9251470640500301</v>
      </c>
      <c r="S35" s="4">
        <f t="shared" si="54"/>
        <v>2.0228036482678098</v>
      </c>
      <c r="T35" s="4">
        <f t="shared" si="54"/>
        <v>2.1211710365761354</v>
      </c>
      <c r="U35" s="4">
        <f t="shared" si="54"/>
        <v>2.2183932405163596</v>
      </c>
      <c r="V35" s="4">
        <f t="shared" si="54"/>
        <v>2.3146940317466167</v>
      </c>
      <c r="W35" s="4">
        <f t="shared" si="54"/>
        <v>2.4094020952925024</v>
      </c>
      <c r="X35" s="4">
        <f t="shared" si="54"/>
        <v>2.526513650729298</v>
      </c>
      <c r="Y35" s="4">
        <f t="shared" si="54"/>
        <v>2.643980608211367</v>
      </c>
      <c r="Z35" s="4">
        <f t="shared" si="54"/>
        <v>2.7609473702223108</v>
      </c>
      <c r="AA35" s="4">
        <f t="shared" si="54"/>
        <v>2.8761502850456035</v>
      </c>
      <c r="AB35" s="4">
        <f t="shared" si="54"/>
        <v>2.9901027111910841</v>
      </c>
      <c r="AC35" s="4">
        <f t="shared" si="54"/>
        <v>3.130117953989914</v>
      </c>
      <c r="AD35" s="4">
        <f t="shared" si="54"/>
        <v>3.2710151203825708</v>
      </c>
      <c r="AE35" s="4">
        <f t="shared" si="54"/>
        <v>3.4105564937877038</v>
      </c>
      <c r="AF35" s="4">
        <f t="shared" si="54"/>
        <v>3.5484393243148964</v>
      </c>
      <c r="AG35" s="4">
        <f t="shared" si="54"/>
        <v>3.6842160686478795</v>
      </c>
    </row>
    <row r="36" spans="1:33" x14ac:dyDescent="0.3">
      <c r="A36" t="s">
        <v>13</v>
      </c>
      <c r="B36" s="4">
        <f t="shared" si="53"/>
        <v>1</v>
      </c>
      <c r="C36" s="4">
        <f t="shared" si="54"/>
        <v>1.0461171438507766</v>
      </c>
      <c r="D36" s="4">
        <f t="shared" si="54"/>
        <v>1.0818368852645504</v>
      </c>
      <c r="E36" s="4">
        <f t="shared" si="54"/>
        <v>1.1573196218062685</v>
      </c>
      <c r="F36" s="4">
        <f t="shared" si="54"/>
        <v>1.2313137649387498</v>
      </c>
      <c r="G36" s="4">
        <f t="shared" si="54"/>
        <v>1.299912569513737</v>
      </c>
      <c r="H36" s="4">
        <f t="shared" si="54"/>
        <v>1.3663012354025215</v>
      </c>
      <c r="I36" s="4">
        <f t="shared" si="54"/>
        <v>1.4534652049416101</v>
      </c>
      <c r="J36" s="4">
        <f t="shared" si="54"/>
        <v>1.5378762517347964</v>
      </c>
      <c r="K36" s="4">
        <f t="shared" si="54"/>
        <v>1.6175907538198022</v>
      </c>
      <c r="L36" s="4">
        <f t="shared" si="54"/>
        <v>1.6944808286719992</v>
      </c>
      <c r="M36" s="4">
        <f t="shared" si="54"/>
        <v>1.7675681649023476</v>
      </c>
      <c r="N36" s="4">
        <f t="shared" si="54"/>
        <v>1.8486575032583297</v>
      </c>
      <c r="O36" s="4">
        <f t="shared" si="54"/>
        <v>1.9257880932028486</v>
      </c>
      <c r="P36" s="4">
        <f t="shared" si="54"/>
        <v>2.0006240391584571</v>
      </c>
      <c r="Q36" s="4">
        <f t="shared" si="54"/>
        <v>2.0715792415974104</v>
      </c>
      <c r="R36" s="4">
        <f t="shared" si="54"/>
        <v>2.1409255930809659</v>
      </c>
      <c r="S36" s="4">
        <f t="shared" si="54"/>
        <v>2.2050651178361442</v>
      </c>
      <c r="T36" s="4">
        <f t="shared" si="54"/>
        <v>2.2671277622670822</v>
      </c>
      <c r="U36" s="4">
        <f t="shared" si="54"/>
        <v>2.3264537349718695</v>
      </c>
      <c r="V36" s="4">
        <f t="shared" si="54"/>
        <v>2.3841026024383027</v>
      </c>
      <c r="W36" s="4">
        <f t="shared" si="54"/>
        <v>2.4396713393765461</v>
      </c>
      <c r="X36" s="4">
        <f t="shared" si="54"/>
        <v>2.4924286498977808</v>
      </c>
      <c r="Y36" s="4">
        <f t="shared" si="54"/>
        <v>2.5434341004898058</v>
      </c>
      <c r="Z36" s="4">
        <f t="shared" si="54"/>
        <v>2.5933994858177352</v>
      </c>
      <c r="AA36" s="4">
        <f t="shared" si="54"/>
        <v>2.6417235181507639</v>
      </c>
      <c r="AB36" s="4">
        <f t="shared" si="54"/>
        <v>2.689163495009312</v>
      </c>
      <c r="AC36" s="4">
        <f t="shared" si="54"/>
        <v>2.7343965833856076</v>
      </c>
      <c r="AD36" s="4">
        <f t="shared" si="54"/>
        <v>2.7787651175111239</v>
      </c>
      <c r="AE36" s="4">
        <f t="shared" si="54"/>
        <v>2.8218920737276263</v>
      </c>
      <c r="AF36" s="4">
        <f t="shared" si="54"/>
        <v>2.8641024724301452</v>
      </c>
      <c r="AG36" s="4">
        <f t="shared" si="54"/>
        <v>2.9052630552567176</v>
      </c>
    </row>
    <row r="37" spans="1:33" x14ac:dyDescent="0.3">
      <c r="A37" t="s">
        <v>14</v>
      </c>
      <c r="B37" s="4">
        <f t="shared" si="53"/>
        <v>1</v>
      </c>
      <c r="C37" s="4">
        <f t="shared" si="54"/>
        <v>0.98311584295387799</v>
      </c>
      <c r="D37" s="4">
        <f t="shared" si="54"/>
        <v>1.0474932649445419</v>
      </c>
      <c r="E37" s="4">
        <f t="shared" si="54"/>
        <v>1.1152564175168074</v>
      </c>
      <c r="F37" s="4">
        <f t="shared" si="54"/>
        <v>1.1834604836295679</v>
      </c>
      <c r="G37" s="4">
        <f t="shared" si="54"/>
        <v>1.2462077390439052</v>
      </c>
      <c r="H37" s="4">
        <f t="shared" si="54"/>
        <v>1.3094848997225077</v>
      </c>
      <c r="I37" s="4">
        <f t="shared" si="54"/>
        <v>1.3876964896810051</v>
      </c>
      <c r="J37" s="4">
        <f t="shared" si="54"/>
        <v>1.4669314844628543</v>
      </c>
      <c r="K37" s="4">
        <f t="shared" si="54"/>
        <v>1.5437798830163341</v>
      </c>
      <c r="L37" s="4">
        <f t="shared" si="54"/>
        <v>1.6197140938619983</v>
      </c>
      <c r="M37" s="4">
        <f t="shared" si="54"/>
        <v>1.6936298106094314</v>
      </c>
      <c r="N37" s="4">
        <f t="shared" si="54"/>
        <v>1.7750612829370505</v>
      </c>
      <c r="O37" s="4">
        <f t="shared" si="54"/>
        <v>1.854955625490466</v>
      </c>
      <c r="P37" s="4">
        <f t="shared" si="54"/>
        <v>1.9341178088619579</v>
      </c>
      <c r="Q37" s="4">
        <f t="shared" si="54"/>
        <v>2.0104079866027007</v>
      </c>
      <c r="R37" s="4">
        <f t="shared" si="54"/>
        <v>2.0866334430897928</v>
      </c>
      <c r="S37" s="4">
        <f t="shared" si="54"/>
        <v>2.1692258529047708</v>
      </c>
      <c r="T37" s="4">
        <f t="shared" si="54"/>
        <v>2.2517697217795107</v>
      </c>
      <c r="U37" s="4">
        <f t="shared" si="54"/>
        <v>2.3315184415122121</v>
      </c>
      <c r="V37" s="4">
        <f t="shared" si="54"/>
        <v>2.4102235310297959</v>
      </c>
      <c r="W37" s="4">
        <f t="shared" si="54"/>
        <v>2.4865056186138328</v>
      </c>
      <c r="X37" s="4">
        <f t="shared" si="54"/>
        <v>2.5710760717435099</v>
      </c>
      <c r="Y37" s="4">
        <f t="shared" si="54"/>
        <v>2.6542024319011062</v>
      </c>
      <c r="Z37" s="4">
        <f t="shared" si="54"/>
        <v>2.7361031333176924</v>
      </c>
      <c r="AA37" s="4">
        <f t="shared" si="54"/>
        <v>2.8156091483492038</v>
      </c>
      <c r="AB37" s="4">
        <f t="shared" si="54"/>
        <v>2.8938530989345264</v>
      </c>
      <c r="AC37" s="4">
        <f t="shared" si="54"/>
        <v>2.9795076330628527</v>
      </c>
      <c r="AD37" s="4">
        <f t="shared" si="54"/>
        <v>3.0647536142775085</v>
      </c>
      <c r="AE37" s="4">
        <f t="shared" si="54"/>
        <v>3.1475240075400261</v>
      </c>
      <c r="AF37" s="4">
        <f t="shared" si="54"/>
        <v>3.2287572710283401</v>
      </c>
      <c r="AG37" s="4">
        <f t="shared" si="54"/>
        <v>3.3077455160306455</v>
      </c>
    </row>
    <row r="38" spans="1:33" x14ac:dyDescent="0.3">
      <c r="A38" t="s">
        <v>15</v>
      </c>
      <c r="B38" s="4">
        <f t="shared" si="53"/>
        <v>1</v>
      </c>
      <c r="C38" s="4">
        <f t="shared" si="54"/>
        <v>0.97541684042138654</v>
      </c>
      <c r="D38" s="4">
        <f t="shared" si="54"/>
        <v>1.0071028650729086</v>
      </c>
      <c r="E38" s="4">
        <f t="shared" si="54"/>
        <v>1.1019831964943705</v>
      </c>
      <c r="F38" s="4">
        <f t="shared" si="54"/>
        <v>1.2009037524183239</v>
      </c>
      <c r="G38" s="4">
        <f t="shared" si="54"/>
        <v>1.2974658016530054</v>
      </c>
      <c r="H38" s="4">
        <f t="shared" si="54"/>
        <v>1.3916419991933222</v>
      </c>
      <c r="I38" s="4">
        <f t="shared" si="54"/>
        <v>1.4584458466355388</v>
      </c>
      <c r="J38" s="4">
        <f t="shared" si="54"/>
        <v>1.521086417052345</v>
      </c>
      <c r="K38" s="4">
        <f t="shared" si="54"/>
        <v>1.5836244437000526</v>
      </c>
      <c r="L38" s="4">
        <f t="shared" si="54"/>
        <v>1.6424845671627506</v>
      </c>
      <c r="M38" s="4">
        <f t="shared" si="54"/>
        <v>1.7026982683775524</v>
      </c>
      <c r="N38" s="4">
        <f t="shared" si="54"/>
        <v>1.76187285939882</v>
      </c>
      <c r="O38" s="4">
        <f t="shared" si="54"/>
        <v>1.8217926018088721</v>
      </c>
      <c r="P38" s="4">
        <f t="shared" si="54"/>
        <v>1.8787385749150596</v>
      </c>
      <c r="Q38" s="4">
        <f t="shared" si="54"/>
        <v>1.9354179342215903</v>
      </c>
      <c r="R38" s="4">
        <f t="shared" si="54"/>
        <v>1.9904976107301799</v>
      </c>
      <c r="S38" s="4">
        <f t="shared" si="54"/>
        <v>2.045522597228584</v>
      </c>
      <c r="T38" s="4">
        <f t="shared" si="54"/>
        <v>2.0989479009290464</v>
      </c>
      <c r="U38" s="4">
        <f t="shared" si="54"/>
        <v>2.1509854456210391</v>
      </c>
      <c r="V38" s="4">
        <f t="shared" si="54"/>
        <v>2.2018745000991253</v>
      </c>
      <c r="W38" s="4">
        <f t="shared" si="54"/>
        <v>2.2512527430458236</v>
      </c>
      <c r="X38" s="4">
        <f t="shared" si="54"/>
        <v>2.3002823371775851</v>
      </c>
      <c r="Y38" s="4">
        <f t="shared" si="54"/>
        <v>2.3478216285317783</v>
      </c>
      <c r="Z38" s="4">
        <f t="shared" si="54"/>
        <v>2.3947730022764717</v>
      </c>
      <c r="AA38" s="4">
        <f t="shared" si="54"/>
        <v>2.4400836757155844</v>
      </c>
      <c r="AB38" s="4">
        <f t="shared" si="54"/>
        <v>2.4847722502888319</v>
      </c>
      <c r="AC38" s="4">
        <f t="shared" si="54"/>
        <v>2.5287430184783872</v>
      </c>
      <c r="AD38" s="4">
        <f t="shared" si="54"/>
        <v>2.5720848515508035</v>
      </c>
      <c r="AE38" s="4">
        <f t="shared" si="54"/>
        <v>2.6140457618660231</v>
      </c>
      <c r="AF38" s="4">
        <f t="shared" si="54"/>
        <v>2.6551042870131734</v>
      </c>
      <c r="AG38" s="4">
        <f t="shared" si="54"/>
        <v>2.6948912694234988</v>
      </c>
    </row>
    <row r="39" spans="1:33" x14ac:dyDescent="0.3">
      <c r="A39" t="s">
        <v>16</v>
      </c>
      <c r="B39" s="4">
        <f t="shared" si="53"/>
        <v>1</v>
      </c>
      <c r="C39" s="4">
        <f t="shared" si="54"/>
        <v>1.0139614003731403</v>
      </c>
      <c r="D39" s="4">
        <f t="shared" si="54"/>
        <v>1.042743886824598</v>
      </c>
      <c r="E39" s="4">
        <f t="shared" si="54"/>
        <v>1.0729347945377294</v>
      </c>
      <c r="F39" s="4">
        <f t="shared" si="54"/>
        <v>1.1026841007792045</v>
      </c>
      <c r="G39" s="4">
        <f t="shared" si="54"/>
        <v>1.130504993493564</v>
      </c>
      <c r="H39" s="4">
        <f t="shared" si="54"/>
        <v>1.1575524303759099</v>
      </c>
      <c r="I39" s="4">
        <f t="shared" si="54"/>
        <v>1.1959586932777282</v>
      </c>
      <c r="J39" s="4">
        <f t="shared" si="54"/>
        <v>1.2369936607978094</v>
      </c>
      <c r="K39" s="4">
        <f t="shared" si="54"/>
        <v>1.2738739162472761</v>
      </c>
      <c r="L39" s="4">
        <f t="shared" si="54"/>
        <v>1.314448991110484</v>
      </c>
      <c r="M39" s="4">
        <f t="shared" si="54"/>
        <v>1.3486613465447952</v>
      </c>
      <c r="N39" s="4">
        <f t="shared" si="54"/>
        <v>1.3914862371896379</v>
      </c>
      <c r="O39" s="4">
        <f t="shared" si="54"/>
        <v>1.4273029908700856</v>
      </c>
      <c r="P39" s="4">
        <f t="shared" si="54"/>
        <v>1.4680348473208642</v>
      </c>
      <c r="Q39" s="4">
        <f t="shared" si="54"/>
        <v>1.5025111184275852</v>
      </c>
      <c r="R39" s="4">
        <f t="shared" si="54"/>
        <v>1.5410114502819456</v>
      </c>
      <c r="S39" s="4">
        <f t="shared" si="54"/>
        <v>1.5786181270871549</v>
      </c>
      <c r="T39" s="4">
        <f t="shared" si="54"/>
        <v>1.6189109950927365</v>
      </c>
      <c r="U39" s="4">
        <f t="shared" si="54"/>
        <v>1.6553679402557633</v>
      </c>
      <c r="V39" s="4">
        <f t="shared" si="54"/>
        <v>1.6935886782789562</v>
      </c>
      <c r="W39" s="4">
        <f t="shared" si="54"/>
        <v>1.728903730879179</v>
      </c>
      <c r="X39" s="4">
        <f t="shared" si="54"/>
        <v>1.7687680625454014</v>
      </c>
      <c r="Y39" s="4">
        <f t="shared" si="54"/>
        <v>1.8067928235841317</v>
      </c>
      <c r="Z39" s="4">
        <f t="shared" si="54"/>
        <v>1.8453610941264393</v>
      </c>
      <c r="AA39" s="4">
        <f t="shared" si="54"/>
        <v>1.8824347135339092</v>
      </c>
      <c r="AB39" s="4">
        <f t="shared" si="54"/>
        <v>1.919584110708705</v>
      </c>
      <c r="AC39" s="4">
        <f t="shared" si="54"/>
        <v>1.9579198218961165</v>
      </c>
      <c r="AD39" s="4">
        <f t="shared" si="54"/>
        <v>1.996101364522417</v>
      </c>
      <c r="AE39" s="4">
        <f t="shared" si="54"/>
        <v>2.0334153823641619</v>
      </c>
      <c r="AF39" s="4">
        <f t="shared" ref="AF39:AG39" si="55">AF60/$B60</f>
        <v>2.0703217680782235</v>
      </c>
      <c r="AG39" s="4">
        <f t="shared" si="55"/>
        <v>2.1065069584894616</v>
      </c>
    </row>
    <row r="42" spans="1:33" x14ac:dyDescent="0.3"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  <c r="M42" t="s">
        <v>79</v>
      </c>
      <c r="N42" t="s">
        <v>79</v>
      </c>
      <c r="O42" t="s">
        <v>79</v>
      </c>
      <c r="P42" t="s">
        <v>79</v>
      </c>
      <c r="Q42" t="s">
        <v>79</v>
      </c>
      <c r="R42" t="s">
        <v>79</v>
      </c>
      <c r="S42" t="s">
        <v>79</v>
      </c>
      <c r="T42" t="s">
        <v>79</v>
      </c>
      <c r="U42" t="s">
        <v>79</v>
      </c>
      <c r="V42" t="s">
        <v>79</v>
      </c>
      <c r="W42" t="s">
        <v>79</v>
      </c>
      <c r="X42" t="s">
        <v>79</v>
      </c>
      <c r="Y42" t="s">
        <v>79</v>
      </c>
      <c r="Z42" t="s">
        <v>79</v>
      </c>
      <c r="AA42" t="s">
        <v>79</v>
      </c>
      <c r="AB42" t="s">
        <v>79</v>
      </c>
      <c r="AC42" t="s">
        <v>79</v>
      </c>
      <c r="AD42" t="s">
        <v>79</v>
      </c>
      <c r="AE42" t="s">
        <v>79</v>
      </c>
      <c r="AF42" t="s">
        <v>79</v>
      </c>
      <c r="AG42" t="s">
        <v>79</v>
      </c>
    </row>
    <row r="43" spans="1:33" x14ac:dyDescent="0.3">
      <c r="B43">
        <v>2019</v>
      </c>
      <c r="C43">
        <v>2020</v>
      </c>
      <c r="D43">
        <v>2021</v>
      </c>
      <c r="E43">
        <v>2022</v>
      </c>
      <c r="F43">
        <v>2023</v>
      </c>
      <c r="G43">
        <v>2024</v>
      </c>
      <c r="H43">
        <v>2025</v>
      </c>
      <c r="I43">
        <v>2026</v>
      </c>
      <c r="J43">
        <v>2027</v>
      </c>
      <c r="K43">
        <v>2028</v>
      </c>
      <c r="L43">
        <v>2029</v>
      </c>
      <c r="M43">
        <v>2030</v>
      </c>
      <c r="N43">
        <v>2031</v>
      </c>
      <c r="O43">
        <v>2032</v>
      </c>
      <c r="P43">
        <v>2033</v>
      </c>
      <c r="Q43">
        <v>2034</v>
      </c>
      <c r="R43">
        <v>2035</v>
      </c>
      <c r="S43">
        <v>2036</v>
      </c>
      <c r="T43">
        <v>2037</v>
      </c>
      <c r="U43">
        <v>2038</v>
      </c>
      <c r="V43">
        <v>2039</v>
      </c>
      <c r="W43">
        <v>2040</v>
      </c>
      <c r="X43">
        <v>2041</v>
      </c>
      <c r="Y43">
        <v>2042</v>
      </c>
      <c r="Z43">
        <v>2043</v>
      </c>
      <c r="AA43">
        <v>2044</v>
      </c>
      <c r="AB43">
        <v>2045</v>
      </c>
      <c r="AC43">
        <v>2046</v>
      </c>
      <c r="AD43">
        <v>2047</v>
      </c>
      <c r="AE43">
        <v>2048</v>
      </c>
      <c r="AF43">
        <v>2049</v>
      </c>
      <c r="AG43">
        <v>2050</v>
      </c>
    </row>
    <row r="44" spans="1:33" x14ac:dyDescent="0.3">
      <c r="A44" t="s">
        <v>0</v>
      </c>
      <c r="B44">
        <v>5.5019400000000003</v>
      </c>
      <c r="C44">
        <v>5.5880599999999996</v>
      </c>
      <c r="D44">
        <v>5.8342499999999999</v>
      </c>
      <c r="E44">
        <v>6.0154500000000004</v>
      </c>
      <c r="F44">
        <v>6.1236600000000001</v>
      </c>
      <c r="G44">
        <v>6.3799799999999998</v>
      </c>
      <c r="H44">
        <v>6.7082800000000002</v>
      </c>
      <c r="I44">
        <v>6.8391200000000003</v>
      </c>
      <c r="J44">
        <v>6.9447099999999997</v>
      </c>
      <c r="K44">
        <v>7.09361</v>
      </c>
      <c r="L44">
        <v>7.2363099999999996</v>
      </c>
      <c r="M44">
        <v>7.4146200000000002</v>
      </c>
      <c r="N44">
        <v>7.5270900000000003</v>
      </c>
      <c r="O44">
        <v>7.7308199999999996</v>
      </c>
      <c r="P44">
        <v>7.8541299999999996</v>
      </c>
      <c r="Q44">
        <v>8.0856499999999993</v>
      </c>
      <c r="R44">
        <v>8.1927400000000006</v>
      </c>
      <c r="S44">
        <v>8.3410899999999994</v>
      </c>
      <c r="T44">
        <v>8.4114799999999992</v>
      </c>
      <c r="U44">
        <v>8.5524000000000004</v>
      </c>
      <c r="V44">
        <v>8.6273400000000002</v>
      </c>
      <c r="W44">
        <v>8.7740899999999993</v>
      </c>
      <c r="X44">
        <v>8.8389500000000005</v>
      </c>
      <c r="Y44">
        <v>8.9752100000000006</v>
      </c>
      <c r="Z44">
        <v>9.0378600000000002</v>
      </c>
      <c r="AA44">
        <v>9.1622299999999992</v>
      </c>
      <c r="AB44">
        <v>9.2228499999999993</v>
      </c>
      <c r="AC44">
        <v>9.32667</v>
      </c>
      <c r="AD44">
        <v>9.3823600000000003</v>
      </c>
      <c r="AE44">
        <v>9.4752899999999993</v>
      </c>
      <c r="AF44">
        <v>9.5321200000000008</v>
      </c>
      <c r="AG44">
        <v>9.6142199999999995</v>
      </c>
    </row>
    <row r="45" spans="1:33" x14ac:dyDescent="0.3">
      <c r="A45" t="s">
        <v>1</v>
      </c>
      <c r="B45">
        <v>94.546199999999999</v>
      </c>
      <c r="C45">
        <v>98.506500000000003</v>
      </c>
      <c r="D45">
        <v>106.687</v>
      </c>
      <c r="E45">
        <v>113.705</v>
      </c>
      <c r="F45">
        <v>120.074</v>
      </c>
      <c r="G45">
        <v>125.71299999999999</v>
      </c>
      <c r="H45">
        <v>131.13300000000001</v>
      </c>
      <c r="I45">
        <v>136.05600000000001</v>
      </c>
      <c r="J45">
        <v>140.745</v>
      </c>
      <c r="K45">
        <v>145.154</v>
      </c>
      <c r="L45">
        <v>149.417</v>
      </c>
      <c r="M45">
        <v>153.49700000000001</v>
      </c>
      <c r="N45">
        <v>157.148</v>
      </c>
      <c r="O45">
        <v>160.571</v>
      </c>
      <c r="P45">
        <v>163.90600000000001</v>
      </c>
      <c r="Q45">
        <v>167.05</v>
      </c>
      <c r="R45">
        <v>170.16800000000001</v>
      </c>
      <c r="S45">
        <v>172.42099999999999</v>
      </c>
      <c r="T45">
        <v>174.53800000000001</v>
      </c>
      <c r="U45">
        <v>176.499</v>
      </c>
      <c r="V45">
        <v>178.40600000000001</v>
      </c>
      <c r="W45">
        <v>180.21199999999999</v>
      </c>
      <c r="X45">
        <v>181.88900000000001</v>
      </c>
      <c r="Y45">
        <v>183.46600000000001</v>
      </c>
      <c r="Z45">
        <v>184.99600000000001</v>
      </c>
      <c r="AA45">
        <v>186.43299999999999</v>
      </c>
      <c r="AB45">
        <v>187.833</v>
      </c>
      <c r="AC45">
        <v>189.006</v>
      </c>
      <c r="AD45">
        <v>190.13200000000001</v>
      </c>
      <c r="AE45">
        <v>191.173</v>
      </c>
      <c r="AF45">
        <v>192.16800000000001</v>
      </c>
      <c r="AG45">
        <v>193.1</v>
      </c>
    </row>
    <row r="46" spans="1:33" x14ac:dyDescent="0.3">
      <c r="A46" t="s">
        <v>2</v>
      </c>
      <c r="B46">
        <v>9.4729100000000006</v>
      </c>
      <c r="C46">
        <v>9.3001199999999997</v>
      </c>
      <c r="D46">
        <v>9.4907800000000009</v>
      </c>
      <c r="E46">
        <v>9.73142</v>
      </c>
      <c r="F46">
        <v>10.0015</v>
      </c>
      <c r="G46">
        <v>10.2087</v>
      </c>
      <c r="H46">
        <v>10.425000000000001</v>
      </c>
      <c r="I46">
        <v>10.6097</v>
      </c>
      <c r="J46">
        <v>10.7948</v>
      </c>
      <c r="K46">
        <v>10.9597</v>
      </c>
      <c r="L46">
        <v>11.1205</v>
      </c>
      <c r="M46">
        <v>11.269</v>
      </c>
      <c r="N46">
        <v>11.4421</v>
      </c>
      <c r="O46">
        <v>11.6012</v>
      </c>
      <c r="P46">
        <v>11.7614</v>
      </c>
      <c r="Q46">
        <v>11.9061</v>
      </c>
      <c r="R46">
        <v>12.0563</v>
      </c>
      <c r="S46">
        <v>12.2018</v>
      </c>
      <c r="T46">
        <v>12.3467</v>
      </c>
      <c r="U46">
        <v>12.4801</v>
      </c>
      <c r="V46">
        <v>12.6122</v>
      </c>
      <c r="W46">
        <v>12.7348</v>
      </c>
      <c r="X46">
        <v>12.87</v>
      </c>
      <c r="Y46">
        <v>12.997</v>
      </c>
      <c r="Z46">
        <v>13.124499999999999</v>
      </c>
      <c r="AA46">
        <v>13.2433</v>
      </c>
      <c r="AB46">
        <v>13.362</v>
      </c>
      <c r="AC46">
        <v>13.4864</v>
      </c>
      <c r="AD46">
        <v>13.6105</v>
      </c>
      <c r="AE46">
        <v>13.728199999999999</v>
      </c>
      <c r="AF46">
        <v>13.8438</v>
      </c>
      <c r="AG46">
        <v>13.954000000000001</v>
      </c>
    </row>
    <row r="47" spans="1:33" x14ac:dyDescent="0.3">
      <c r="A47" t="s">
        <v>3</v>
      </c>
      <c r="B47">
        <v>13.2415</v>
      </c>
      <c r="C47">
        <v>12.992699999999999</v>
      </c>
      <c r="D47">
        <v>13.620200000000001</v>
      </c>
      <c r="E47">
        <v>13.4977</v>
      </c>
      <c r="F47">
        <v>13.337899999999999</v>
      </c>
      <c r="G47">
        <v>13.1159</v>
      </c>
      <c r="H47">
        <v>12.8964</v>
      </c>
      <c r="I47">
        <v>13.002599999999999</v>
      </c>
      <c r="J47">
        <v>13.1356</v>
      </c>
      <c r="K47">
        <v>13.2661</v>
      </c>
      <c r="L47">
        <v>13.395899999999999</v>
      </c>
      <c r="M47">
        <v>13.519500000000001</v>
      </c>
      <c r="N47">
        <v>13.718500000000001</v>
      </c>
      <c r="O47">
        <v>13.915699999999999</v>
      </c>
      <c r="P47">
        <v>14.1122</v>
      </c>
      <c r="Q47">
        <v>14.301399999999999</v>
      </c>
      <c r="R47">
        <v>14.4903</v>
      </c>
      <c r="S47">
        <v>14.6859</v>
      </c>
      <c r="T47">
        <v>14.8803</v>
      </c>
      <c r="U47">
        <v>15.0688</v>
      </c>
      <c r="V47">
        <v>15.2552</v>
      </c>
      <c r="W47">
        <v>15.4367</v>
      </c>
      <c r="X47">
        <v>15.621</v>
      </c>
      <c r="Y47">
        <v>15.800800000000001</v>
      </c>
      <c r="Z47">
        <v>15.979100000000001</v>
      </c>
      <c r="AA47">
        <v>16.153199999999998</v>
      </c>
      <c r="AB47">
        <v>16.325800000000001</v>
      </c>
      <c r="AC47">
        <v>16.498100000000001</v>
      </c>
      <c r="AD47">
        <v>16.668800000000001</v>
      </c>
      <c r="AE47">
        <v>16.836300000000001</v>
      </c>
      <c r="AF47">
        <v>17.001899999999999</v>
      </c>
      <c r="AG47">
        <v>17.1647</v>
      </c>
    </row>
    <row r="48" spans="1:33" x14ac:dyDescent="0.3">
      <c r="A48" t="s">
        <v>4</v>
      </c>
      <c r="B48">
        <v>0.20597199999999999</v>
      </c>
      <c r="C48">
        <v>0.197628</v>
      </c>
      <c r="D48">
        <v>0.201458</v>
      </c>
      <c r="E48">
        <v>0.20888699999999999</v>
      </c>
      <c r="F48">
        <v>0.21831300000000001</v>
      </c>
      <c r="G48">
        <v>0.22622700000000001</v>
      </c>
      <c r="H48">
        <v>0.234849</v>
      </c>
      <c r="I48">
        <v>0.243059</v>
      </c>
      <c r="J48">
        <v>0.25166699999999997</v>
      </c>
      <c r="K48">
        <v>0.26006499999999999</v>
      </c>
      <c r="L48">
        <v>0.26854099999999997</v>
      </c>
      <c r="M48">
        <v>0.276945</v>
      </c>
      <c r="N48">
        <v>0.287186</v>
      </c>
      <c r="O48">
        <v>0.29752000000000001</v>
      </c>
      <c r="P48">
        <v>0.30787700000000001</v>
      </c>
      <c r="Q48">
        <v>0.31823000000000001</v>
      </c>
      <c r="R48">
        <v>0.32874100000000001</v>
      </c>
      <c r="S48">
        <v>0.34005999999999997</v>
      </c>
      <c r="T48">
        <v>0.351628</v>
      </c>
      <c r="U48">
        <v>0.363317</v>
      </c>
      <c r="V48">
        <v>0.37528400000000001</v>
      </c>
      <c r="W48">
        <v>0.38755000000000001</v>
      </c>
      <c r="X48">
        <v>0.40126499999999998</v>
      </c>
      <c r="Y48">
        <v>0.41542699999999999</v>
      </c>
      <c r="Z48">
        <v>0.43012299999999998</v>
      </c>
      <c r="AA48">
        <v>0.44539099999999998</v>
      </c>
      <c r="AB48">
        <v>0.46139000000000002</v>
      </c>
      <c r="AC48">
        <v>0.47977199999999998</v>
      </c>
      <c r="AD48">
        <v>0.49909799999999999</v>
      </c>
      <c r="AE48">
        <v>0.51939400000000002</v>
      </c>
      <c r="AF48">
        <v>0.54083300000000001</v>
      </c>
      <c r="AG48">
        <v>0.56354800000000005</v>
      </c>
    </row>
    <row r="49" spans="1:33" x14ac:dyDescent="0.3">
      <c r="A49" t="s">
        <v>5</v>
      </c>
      <c r="B49">
        <v>0.100158</v>
      </c>
      <c r="C49">
        <v>9.8593500000000001E-2</v>
      </c>
      <c r="D49">
        <v>0.103382</v>
      </c>
      <c r="E49">
        <v>0.109012</v>
      </c>
      <c r="F49">
        <v>0.115137</v>
      </c>
      <c r="G49">
        <v>0.120119</v>
      </c>
      <c r="H49">
        <v>0.12547900000000001</v>
      </c>
      <c r="I49">
        <v>0.13257099999999999</v>
      </c>
      <c r="J49">
        <v>0.13986000000000001</v>
      </c>
      <c r="K49">
        <v>0.14682899999999999</v>
      </c>
      <c r="L49">
        <v>0.153832</v>
      </c>
      <c r="M49">
        <v>0.16067200000000001</v>
      </c>
      <c r="N49">
        <v>0.16966899999999999</v>
      </c>
      <c r="O49">
        <v>0.178594</v>
      </c>
      <c r="P49">
        <v>0.18759100000000001</v>
      </c>
      <c r="Q49">
        <v>0.196436</v>
      </c>
      <c r="R49">
        <v>0.20543</v>
      </c>
      <c r="S49">
        <v>0.216811</v>
      </c>
      <c r="T49">
        <v>0.22831499999999999</v>
      </c>
      <c r="U49">
        <v>0.23973900000000001</v>
      </c>
      <c r="V49">
        <v>0.251249</v>
      </c>
      <c r="W49">
        <v>0.26273099999999999</v>
      </c>
      <c r="X49">
        <v>0.27682299999999999</v>
      </c>
      <c r="Y49">
        <v>0.29100399999999998</v>
      </c>
      <c r="Z49">
        <v>0.305342</v>
      </c>
      <c r="AA49">
        <v>0.31967099999999998</v>
      </c>
      <c r="AB49">
        <v>0.33411999999999997</v>
      </c>
      <c r="AC49">
        <v>0.35122700000000001</v>
      </c>
      <c r="AD49">
        <v>0.36854799999999999</v>
      </c>
      <c r="AE49">
        <v>0.38588299999999998</v>
      </c>
      <c r="AF49">
        <v>0.40329399999999999</v>
      </c>
      <c r="AG49">
        <v>0.420684</v>
      </c>
    </row>
    <row r="50" spans="1:33" x14ac:dyDescent="0.3">
      <c r="A50" t="s">
        <v>6</v>
      </c>
      <c r="B50">
        <v>48.805999999999997</v>
      </c>
      <c r="C50">
        <v>48.276499999999999</v>
      </c>
      <c r="D50">
        <v>50.774999999999999</v>
      </c>
      <c r="E50">
        <v>52.181399999999996</v>
      </c>
      <c r="F50">
        <v>53.4253</v>
      </c>
      <c r="G50">
        <v>54.481299999999997</v>
      </c>
      <c r="H50">
        <v>55.453400000000002</v>
      </c>
      <c r="I50">
        <v>56.678600000000003</v>
      </c>
      <c r="J50">
        <v>57.887999999999998</v>
      </c>
      <c r="K50">
        <v>59.049199999999999</v>
      </c>
      <c r="L50">
        <v>60.173999999999999</v>
      </c>
      <c r="M50">
        <v>61.258000000000003</v>
      </c>
      <c r="N50">
        <v>62.2883</v>
      </c>
      <c r="O50">
        <v>63.265599999999999</v>
      </c>
      <c r="P50">
        <v>64.217200000000005</v>
      </c>
      <c r="Q50">
        <v>65.132400000000004</v>
      </c>
      <c r="R50">
        <v>66.030299999999997</v>
      </c>
      <c r="S50">
        <v>66.908299999999997</v>
      </c>
      <c r="T50">
        <v>67.758499999999998</v>
      </c>
      <c r="U50">
        <v>68.578000000000003</v>
      </c>
      <c r="V50">
        <v>69.377899999999997</v>
      </c>
      <c r="W50">
        <v>70.152000000000001</v>
      </c>
      <c r="X50">
        <v>70.928899999999999</v>
      </c>
      <c r="Y50">
        <v>71.681299999999993</v>
      </c>
      <c r="Z50">
        <v>72.422499999999999</v>
      </c>
      <c r="AA50">
        <v>73.139799999999994</v>
      </c>
      <c r="AB50">
        <v>73.845500000000001</v>
      </c>
      <c r="AC50">
        <v>74.554400000000001</v>
      </c>
      <c r="AD50">
        <v>75.249700000000004</v>
      </c>
      <c r="AE50">
        <v>75.927400000000006</v>
      </c>
      <c r="AF50">
        <v>76.590199999999996</v>
      </c>
      <c r="AG50">
        <v>77.2363</v>
      </c>
    </row>
    <row r="51" spans="1:33" x14ac:dyDescent="0.3">
      <c r="A51" t="s">
        <v>7</v>
      </c>
      <c r="B51">
        <v>14.3955</v>
      </c>
      <c r="C51">
        <v>13.721299999999999</v>
      </c>
      <c r="D51">
        <v>14.504</v>
      </c>
      <c r="E51">
        <v>14.852499999999999</v>
      </c>
      <c r="F51">
        <v>15.188599999999999</v>
      </c>
      <c r="G51">
        <v>15.4687</v>
      </c>
      <c r="H51">
        <v>15.746</v>
      </c>
      <c r="I51">
        <v>16.154599999999999</v>
      </c>
      <c r="J51">
        <v>16.568899999999999</v>
      </c>
      <c r="K51">
        <v>16.971399999999999</v>
      </c>
      <c r="L51">
        <v>17.3675</v>
      </c>
      <c r="M51">
        <v>17.753499999999999</v>
      </c>
      <c r="N51">
        <v>18.2453</v>
      </c>
      <c r="O51">
        <v>18.731999999999999</v>
      </c>
      <c r="P51">
        <v>19.216000000000001</v>
      </c>
      <c r="Q51">
        <v>19.689</v>
      </c>
      <c r="R51">
        <v>20.159700000000001</v>
      </c>
      <c r="S51">
        <v>20.716200000000001</v>
      </c>
      <c r="T51">
        <v>21.2728</v>
      </c>
      <c r="U51">
        <v>21.8217</v>
      </c>
      <c r="V51">
        <v>22.365300000000001</v>
      </c>
      <c r="W51">
        <v>22.900700000000001</v>
      </c>
      <c r="X51">
        <v>23.514199999999999</v>
      </c>
      <c r="Y51">
        <v>24.125599999999999</v>
      </c>
      <c r="Z51">
        <v>24.735700000000001</v>
      </c>
      <c r="AA51">
        <v>25.337700000000002</v>
      </c>
      <c r="AB51">
        <v>25.936399999999999</v>
      </c>
      <c r="AC51">
        <v>26.5977</v>
      </c>
      <c r="AD51">
        <v>27.259499999999999</v>
      </c>
      <c r="AE51">
        <v>27.9162</v>
      </c>
      <c r="AF51">
        <v>28.567799999999998</v>
      </c>
      <c r="AG51">
        <v>29.213100000000001</v>
      </c>
    </row>
    <row r="52" spans="1:33" x14ac:dyDescent="0.3">
      <c r="A52" t="s">
        <v>8</v>
      </c>
      <c r="B52">
        <v>24.049800000000001</v>
      </c>
      <c r="C52">
        <v>23.3322</v>
      </c>
      <c r="D52">
        <v>24.583100000000002</v>
      </c>
      <c r="E52">
        <v>25.002300000000002</v>
      </c>
      <c r="F52">
        <v>25.341799999999999</v>
      </c>
      <c r="G52">
        <v>25.597300000000001</v>
      </c>
      <c r="H52">
        <v>25.82</v>
      </c>
      <c r="I52">
        <v>26.3995</v>
      </c>
      <c r="J52">
        <v>26.9876</v>
      </c>
      <c r="K52">
        <v>27.5578</v>
      </c>
      <c r="L52">
        <v>28.113199999999999</v>
      </c>
      <c r="M52">
        <v>28.649000000000001</v>
      </c>
      <c r="N52">
        <v>29.243500000000001</v>
      </c>
      <c r="O52">
        <v>29.815999999999999</v>
      </c>
      <c r="P52">
        <v>30.3809</v>
      </c>
      <c r="Q52">
        <v>30.9224</v>
      </c>
      <c r="R52">
        <v>31.459599999999998</v>
      </c>
      <c r="S52">
        <v>32.0364</v>
      </c>
      <c r="T52">
        <v>32.6023</v>
      </c>
      <c r="U52">
        <v>33.148000000000003</v>
      </c>
      <c r="V52">
        <v>33.683100000000003</v>
      </c>
      <c r="W52">
        <v>34.200200000000002</v>
      </c>
      <c r="X52">
        <v>34.752200000000002</v>
      </c>
      <c r="Y52">
        <v>35.287700000000001</v>
      </c>
      <c r="Z52">
        <v>35.816899999999997</v>
      </c>
      <c r="AA52">
        <v>36.328200000000002</v>
      </c>
      <c r="AB52">
        <v>36.8322</v>
      </c>
      <c r="AC52">
        <v>37.3536</v>
      </c>
      <c r="AD52">
        <v>37.867100000000001</v>
      </c>
      <c r="AE52">
        <v>38.366799999999998</v>
      </c>
      <c r="AF52">
        <v>38.855899999999998</v>
      </c>
      <c r="AG52">
        <v>39.331400000000002</v>
      </c>
    </row>
    <row r="53" spans="1:33" x14ac:dyDescent="0.3">
      <c r="A53" t="s">
        <v>9</v>
      </c>
      <c r="B53">
        <v>6.3027300000000004</v>
      </c>
      <c r="C53">
        <v>6.1928900000000002</v>
      </c>
      <c r="D53">
        <v>6.5389699999999999</v>
      </c>
      <c r="E53">
        <v>6.67753</v>
      </c>
      <c r="F53">
        <v>6.7918599999999998</v>
      </c>
      <c r="G53">
        <v>6.8804600000000002</v>
      </c>
      <c r="H53">
        <v>6.9623200000000001</v>
      </c>
      <c r="I53">
        <v>7.1418900000000001</v>
      </c>
      <c r="J53">
        <v>7.3257099999999999</v>
      </c>
      <c r="K53">
        <v>7.5048500000000002</v>
      </c>
      <c r="L53">
        <v>7.6795099999999996</v>
      </c>
      <c r="M53">
        <v>7.8484299999999996</v>
      </c>
      <c r="N53">
        <v>7.9932100000000004</v>
      </c>
      <c r="O53">
        <v>8.1302000000000003</v>
      </c>
      <c r="P53">
        <v>8.2632300000000001</v>
      </c>
      <c r="Q53">
        <v>8.3899600000000003</v>
      </c>
      <c r="R53">
        <v>8.5143599999999999</v>
      </c>
      <c r="S53">
        <v>8.6151</v>
      </c>
      <c r="T53">
        <v>8.7110400000000006</v>
      </c>
      <c r="U53">
        <v>8.8018400000000003</v>
      </c>
      <c r="V53">
        <v>8.88964</v>
      </c>
      <c r="W53">
        <v>8.97349</v>
      </c>
      <c r="X53">
        <v>9.0322499999999994</v>
      </c>
      <c r="Y53">
        <v>9.0861999999999998</v>
      </c>
      <c r="Z53">
        <v>9.1380400000000002</v>
      </c>
      <c r="AA53">
        <v>9.1866000000000003</v>
      </c>
      <c r="AB53">
        <v>9.2335399999999996</v>
      </c>
      <c r="AC53">
        <v>9.2672699999999999</v>
      </c>
      <c r="AD53">
        <v>9.2986699999999995</v>
      </c>
      <c r="AE53">
        <v>9.3276699999999995</v>
      </c>
      <c r="AF53">
        <v>9.3549799999999994</v>
      </c>
      <c r="AG53">
        <v>9.38035</v>
      </c>
    </row>
    <row r="54" spans="1:33" x14ac:dyDescent="0.3">
      <c r="A54" t="s">
        <v>10</v>
      </c>
      <c r="B54">
        <v>5.8381999999999996</v>
      </c>
      <c r="C54">
        <v>5.7885099999999996</v>
      </c>
      <c r="D54">
        <v>6.0441099999999999</v>
      </c>
      <c r="E54">
        <v>6.2085299999999997</v>
      </c>
      <c r="F54">
        <v>6.3473199999999999</v>
      </c>
      <c r="G54">
        <v>6.4556899999999997</v>
      </c>
      <c r="H54">
        <v>6.5600699999999996</v>
      </c>
      <c r="I54">
        <v>6.7749300000000003</v>
      </c>
      <c r="J54">
        <v>6.9953200000000004</v>
      </c>
      <c r="K54">
        <v>7.2117000000000004</v>
      </c>
      <c r="L54">
        <v>7.4270300000000002</v>
      </c>
      <c r="M54">
        <v>7.6381399999999999</v>
      </c>
      <c r="N54">
        <v>7.8797300000000003</v>
      </c>
      <c r="O54">
        <v>8.1181400000000004</v>
      </c>
      <c r="P54">
        <v>8.3559400000000004</v>
      </c>
      <c r="Q54">
        <v>8.5873200000000001</v>
      </c>
      <c r="R54">
        <v>8.8190600000000003</v>
      </c>
      <c r="S54">
        <v>9.0482800000000001</v>
      </c>
      <c r="T54">
        <v>9.2758000000000003</v>
      </c>
      <c r="U54">
        <v>9.4976800000000008</v>
      </c>
      <c r="V54">
        <v>9.7177299999999995</v>
      </c>
      <c r="W54">
        <v>9.9332999999999991</v>
      </c>
      <c r="X54">
        <v>10.144500000000001</v>
      </c>
      <c r="Y54">
        <v>10.3514</v>
      </c>
      <c r="Z54">
        <v>10.556800000000001</v>
      </c>
      <c r="AA54">
        <v>10.7583</v>
      </c>
      <c r="AB54">
        <v>10.9587</v>
      </c>
      <c r="AC54">
        <v>11.1609</v>
      </c>
      <c r="AD54">
        <v>11.362399999999999</v>
      </c>
      <c r="AE54">
        <v>11.5608</v>
      </c>
      <c r="AF54">
        <v>11.7577</v>
      </c>
      <c r="AG54">
        <v>11.952199999999999</v>
      </c>
    </row>
    <row r="55" spans="1:33" x14ac:dyDescent="0.3">
      <c r="A55" t="s">
        <v>11</v>
      </c>
      <c r="B55">
        <v>19.360199999999999</v>
      </c>
      <c r="C55">
        <v>19.052600000000002</v>
      </c>
      <c r="D55">
        <v>19.745899999999999</v>
      </c>
      <c r="E55">
        <v>20.553599999999999</v>
      </c>
      <c r="F55">
        <v>21.354099999999999</v>
      </c>
      <c r="G55">
        <v>22.1342</v>
      </c>
      <c r="H55">
        <v>22.882999999999999</v>
      </c>
      <c r="I55">
        <v>23.820599999999999</v>
      </c>
      <c r="J55">
        <v>24.7622</v>
      </c>
      <c r="K55">
        <v>25.6921</v>
      </c>
      <c r="L55">
        <v>26.612400000000001</v>
      </c>
      <c r="M55">
        <v>27.516300000000001</v>
      </c>
      <c r="N55">
        <v>28.546099999999999</v>
      </c>
      <c r="O55">
        <v>29.567900000000002</v>
      </c>
      <c r="P55">
        <v>30.5839</v>
      </c>
      <c r="Q55">
        <v>31.583600000000001</v>
      </c>
      <c r="R55">
        <v>32.574100000000001</v>
      </c>
      <c r="S55">
        <v>33.682699999999997</v>
      </c>
      <c r="T55">
        <v>34.79</v>
      </c>
      <c r="U55">
        <v>35.880000000000003</v>
      </c>
      <c r="V55">
        <v>36.959400000000002</v>
      </c>
      <c r="W55">
        <v>38.018799999999999</v>
      </c>
      <c r="X55">
        <v>39.18</v>
      </c>
      <c r="Y55">
        <v>40.3309</v>
      </c>
      <c r="Z55">
        <v>41.472299999999997</v>
      </c>
      <c r="AA55">
        <v>42.593800000000002</v>
      </c>
      <c r="AB55">
        <v>43.702300000000001</v>
      </c>
      <c r="AC55">
        <v>44.912100000000002</v>
      </c>
      <c r="AD55">
        <v>46.118400000000001</v>
      </c>
      <c r="AE55">
        <v>47.305900000000001</v>
      </c>
      <c r="AF55">
        <v>48.477800000000002</v>
      </c>
      <c r="AG55">
        <v>49.628700000000002</v>
      </c>
    </row>
    <row r="56" spans="1:33" x14ac:dyDescent="0.3">
      <c r="A56" t="s">
        <v>12</v>
      </c>
      <c r="B56">
        <v>7.5970300000000002</v>
      </c>
      <c r="C56">
        <v>7.6545500000000004</v>
      </c>
      <c r="D56">
        <v>7.9651899999999998</v>
      </c>
      <c r="E56">
        <v>8.3124900000000004</v>
      </c>
      <c r="F56">
        <v>8.6666500000000006</v>
      </c>
      <c r="G56">
        <v>8.9984300000000008</v>
      </c>
      <c r="H56">
        <v>9.3295999999999992</v>
      </c>
      <c r="I56">
        <v>9.7724799999999998</v>
      </c>
      <c r="J56">
        <v>10.224</v>
      </c>
      <c r="K56">
        <v>10.6699</v>
      </c>
      <c r="L56">
        <v>11.112299999999999</v>
      </c>
      <c r="M56">
        <v>11.5474</v>
      </c>
      <c r="N56">
        <v>12.1609</v>
      </c>
      <c r="O56">
        <v>12.781599999999999</v>
      </c>
      <c r="P56">
        <v>13.403700000000001</v>
      </c>
      <c r="Q56">
        <v>14.015700000000001</v>
      </c>
      <c r="R56">
        <v>14.625400000000001</v>
      </c>
      <c r="S56">
        <v>15.3673</v>
      </c>
      <c r="T56">
        <v>16.114599999999999</v>
      </c>
      <c r="U56">
        <v>16.853200000000001</v>
      </c>
      <c r="V56">
        <v>17.584800000000001</v>
      </c>
      <c r="W56">
        <v>18.304300000000001</v>
      </c>
      <c r="X56">
        <v>19.193999999999999</v>
      </c>
      <c r="Y56">
        <v>20.086400000000001</v>
      </c>
      <c r="Z56">
        <v>20.975000000000001</v>
      </c>
      <c r="AA56">
        <v>21.850200000000001</v>
      </c>
      <c r="AB56">
        <v>22.715900000000001</v>
      </c>
      <c r="AC56">
        <v>23.779599999999999</v>
      </c>
      <c r="AD56">
        <v>24.85</v>
      </c>
      <c r="AE56">
        <v>25.9101</v>
      </c>
      <c r="AF56">
        <v>26.957599999999999</v>
      </c>
      <c r="AG56">
        <v>27.989100000000001</v>
      </c>
    </row>
    <row r="57" spans="1:33" x14ac:dyDescent="0.3">
      <c r="A57" t="s">
        <v>13</v>
      </c>
      <c r="B57">
        <v>3.07673</v>
      </c>
      <c r="C57">
        <v>3.21862</v>
      </c>
      <c r="D57">
        <v>3.3285200000000001</v>
      </c>
      <c r="E57">
        <v>3.5607600000000001</v>
      </c>
      <c r="F57">
        <v>3.7884199999999999</v>
      </c>
      <c r="G57">
        <v>3.9994800000000001</v>
      </c>
      <c r="H57">
        <v>4.2037399999999998</v>
      </c>
      <c r="I57">
        <v>4.4719199999999999</v>
      </c>
      <c r="J57">
        <v>4.73163</v>
      </c>
      <c r="K57">
        <v>4.97689</v>
      </c>
      <c r="L57">
        <v>5.2134600000000004</v>
      </c>
      <c r="M57">
        <v>5.4383299999999997</v>
      </c>
      <c r="N57">
        <v>5.6878200000000003</v>
      </c>
      <c r="O57">
        <v>5.9251300000000002</v>
      </c>
      <c r="P57">
        <v>6.1553800000000001</v>
      </c>
      <c r="Q57">
        <v>6.3736899999999999</v>
      </c>
      <c r="R57">
        <v>6.5870499999999996</v>
      </c>
      <c r="S57">
        <v>6.7843900000000001</v>
      </c>
      <c r="T57">
        <v>6.9753400000000001</v>
      </c>
      <c r="U57">
        <v>7.15787</v>
      </c>
      <c r="V57">
        <v>7.3352399999999998</v>
      </c>
      <c r="W57">
        <v>7.5062100000000003</v>
      </c>
      <c r="X57">
        <v>7.6685299999999996</v>
      </c>
      <c r="Y57">
        <v>7.8254599999999996</v>
      </c>
      <c r="Z57">
        <v>7.97919</v>
      </c>
      <c r="AA57">
        <v>8.1278699999999997</v>
      </c>
      <c r="AB57">
        <v>8.2738300000000002</v>
      </c>
      <c r="AC57">
        <v>8.4130000000000003</v>
      </c>
      <c r="AD57">
        <v>8.5495099999999997</v>
      </c>
      <c r="AE57">
        <v>8.6821999999999999</v>
      </c>
      <c r="AF57">
        <v>8.8120700000000003</v>
      </c>
      <c r="AG57">
        <v>8.9387100000000004</v>
      </c>
    </row>
    <row r="58" spans="1:33" x14ac:dyDescent="0.3">
      <c r="A58" t="s">
        <v>14</v>
      </c>
      <c r="B58">
        <v>24.721399999999999</v>
      </c>
      <c r="C58">
        <v>24.303999999999998</v>
      </c>
      <c r="D58">
        <v>25.895499999999998</v>
      </c>
      <c r="E58">
        <v>27.570699999999999</v>
      </c>
      <c r="F58">
        <v>29.256799999999998</v>
      </c>
      <c r="G58">
        <v>30.808</v>
      </c>
      <c r="H58">
        <v>32.372300000000003</v>
      </c>
      <c r="I58">
        <v>34.305799999999998</v>
      </c>
      <c r="J58">
        <v>36.264600000000002</v>
      </c>
      <c r="K58">
        <v>38.164400000000001</v>
      </c>
      <c r="L58">
        <v>40.041600000000003</v>
      </c>
      <c r="M58">
        <v>41.868899999999996</v>
      </c>
      <c r="N58">
        <v>43.881999999999998</v>
      </c>
      <c r="O58">
        <v>45.857100000000003</v>
      </c>
      <c r="P58">
        <v>47.814100000000003</v>
      </c>
      <c r="Q58">
        <v>49.700099999999999</v>
      </c>
      <c r="R58">
        <v>51.584499999999998</v>
      </c>
      <c r="S58">
        <v>53.626300000000001</v>
      </c>
      <c r="T58">
        <v>55.666899999999998</v>
      </c>
      <c r="U58">
        <v>57.638399999999997</v>
      </c>
      <c r="V58">
        <v>59.584099999999999</v>
      </c>
      <c r="W58">
        <v>61.469900000000003</v>
      </c>
      <c r="X58">
        <v>63.560600000000001</v>
      </c>
      <c r="Y58">
        <v>65.615600000000001</v>
      </c>
      <c r="Z58">
        <v>67.640299999999996</v>
      </c>
      <c r="AA58">
        <v>69.605800000000002</v>
      </c>
      <c r="AB58">
        <v>71.540099999999995</v>
      </c>
      <c r="AC58">
        <v>73.657600000000002</v>
      </c>
      <c r="AD58">
        <v>75.765000000000001</v>
      </c>
      <c r="AE58">
        <v>77.811199999999999</v>
      </c>
      <c r="AF58">
        <v>79.819400000000002</v>
      </c>
      <c r="AG58">
        <v>81.772099999999995</v>
      </c>
    </row>
    <row r="59" spans="1:33" x14ac:dyDescent="0.3">
      <c r="A59" t="s">
        <v>15</v>
      </c>
      <c r="B59">
        <v>14.6279</v>
      </c>
      <c r="C59">
        <v>14.2683</v>
      </c>
      <c r="D59">
        <v>14.7318</v>
      </c>
      <c r="E59">
        <v>16.119700000000002</v>
      </c>
      <c r="F59">
        <v>17.566700000000001</v>
      </c>
      <c r="G59">
        <v>18.979199999999999</v>
      </c>
      <c r="H59">
        <v>20.3568</v>
      </c>
      <c r="I59">
        <v>21.334</v>
      </c>
      <c r="J59">
        <v>22.250299999999999</v>
      </c>
      <c r="K59">
        <v>23.165099999999999</v>
      </c>
      <c r="L59">
        <v>24.0261</v>
      </c>
      <c r="M59">
        <v>24.9069</v>
      </c>
      <c r="N59">
        <v>25.772500000000001</v>
      </c>
      <c r="O59">
        <v>26.649000000000001</v>
      </c>
      <c r="P59">
        <v>27.481999999999999</v>
      </c>
      <c r="Q59">
        <v>28.3111</v>
      </c>
      <c r="R59">
        <v>29.116800000000001</v>
      </c>
      <c r="S59">
        <v>29.921700000000001</v>
      </c>
      <c r="T59">
        <v>30.703199999999999</v>
      </c>
      <c r="U59">
        <v>31.464400000000001</v>
      </c>
      <c r="V59">
        <v>32.208799999999997</v>
      </c>
      <c r="W59">
        <v>32.931100000000001</v>
      </c>
      <c r="X59">
        <v>33.648299999999999</v>
      </c>
      <c r="Y59">
        <v>34.343699999999998</v>
      </c>
      <c r="Z59">
        <v>35.030500000000004</v>
      </c>
      <c r="AA59">
        <v>35.693300000000001</v>
      </c>
      <c r="AB59">
        <v>36.347000000000001</v>
      </c>
      <c r="AC59">
        <v>36.990200000000002</v>
      </c>
      <c r="AD59">
        <v>37.624200000000002</v>
      </c>
      <c r="AE59">
        <v>38.238</v>
      </c>
      <c r="AF59">
        <v>38.8386</v>
      </c>
      <c r="AG59">
        <v>39.4206</v>
      </c>
    </row>
    <row r="60" spans="1:33" x14ac:dyDescent="0.3">
      <c r="A60" t="s">
        <v>16</v>
      </c>
      <c r="B60">
        <v>3.8269799999999998</v>
      </c>
      <c r="C60">
        <v>3.8804099999999999</v>
      </c>
      <c r="D60">
        <v>3.9905599999999999</v>
      </c>
      <c r="E60">
        <v>4.1060999999999996</v>
      </c>
      <c r="F60">
        <v>4.2199499999999999</v>
      </c>
      <c r="G60">
        <v>4.3264199999999997</v>
      </c>
      <c r="H60">
        <v>4.4299299999999997</v>
      </c>
      <c r="I60">
        <v>4.5769099999999998</v>
      </c>
      <c r="J60">
        <v>4.7339500000000001</v>
      </c>
      <c r="K60">
        <v>4.8750900000000001</v>
      </c>
      <c r="L60">
        <v>5.0303699999999996</v>
      </c>
      <c r="M60">
        <v>5.1612999999999998</v>
      </c>
      <c r="N60">
        <v>5.3251900000000001</v>
      </c>
      <c r="O60">
        <v>5.4622599999999997</v>
      </c>
      <c r="P60">
        <v>5.6181400000000004</v>
      </c>
      <c r="Q60">
        <v>5.7500799999999996</v>
      </c>
      <c r="R60">
        <v>5.8974200000000003</v>
      </c>
      <c r="S60">
        <v>6.0413399999999999</v>
      </c>
      <c r="T60">
        <v>6.1955400000000003</v>
      </c>
      <c r="U60">
        <v>6.3350600000000004</v>
      </c>
      <c r="V60">
        <v>6.4813299999999998</v>
      </c>
      <c r="W60">
        <v>6.6164800000000001</v>
      </c>
      <c r="X60">
        <v>6.7690400000000004</v>
      </c>
      <c r="Y60">
        <v>6.9145599999999998</v>
      </c>
      <c r="Z60">
        <v>7.0621600000000004</v>
      </c>
      <c r="AA60">
        <v>7.20404</v>
      </c>
      <c r="AB60">
        <v>7.3462100000000001</v>
      </c>
      <c r="AC60">
        <v>7.4929199999999998</v>
      </c>
      <c r="AD60">
        <v>7.6390399999999996</v>
      </c>
      <c r="AE60">
        <v>7.7818399999999999</v>
      </c>
      <c r="AF60">
        <v>7.9230799999999997</v>
      </c>
      <c r="AG60">
        <v>8.0615600000000001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ED59-2F96-40DF-A3B7-6B5457E90666}">
  <dimension ref="A1:AG18"/>
  <sheetViews>
    <sheetView zoomScale="70" zoomScaleNormal="70" workbookViewId="0">
      <selection activeCell="AI41" sqref="AI41"/>
    </sheetView>
  </sheetViews>
  <sheetFormatPr defaultRowHeight="14.4" x14ac:dyDescent="0.3"/>
  <cols>
    <col min="2" max="33" width="6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B2-B2*0.005</f>
        <v>0.995</v>
      </c>
      <c r="D2" s="30">
        <f t="shared" ref="D2:AG10" si="0">C2-C2*0.005</f>
        <v>0.99002500000000004</v>
      </c>
      <c r="E2" s="30">
        <f t="shared" si="0"/>
        <v>0.98507487500000002</v>
      </c>
      <c r="F2" s="30">
        <f t="shared" si="0"/>
        <v>0.98014950062500006</v>
      </c>
      <c r="G2" s="30">
        <f t="shared" si="0"/>
        <v>0.97524875312187509</v>
      </c>
      <c r="H2" s="30">
        <f t="shared" si="0"/>
        <v>0.97037250935626573</v>
      </c>
      <c r="I2" s="30">
        <f t="shared" si="0"/>
        <v>0.96552064680948435</v>
      </c>
      <c r="J2" s="30">
        <f t="shared" si="0"/>
        <v>0.96069304357543694</v>
      </c>
      <c r="K2" s="30">
        <f t="shared" si="0"/>
        <v>0.95588957835755972</v>
      </c>
      <c r="L2" s="30">
        <f t="shared" si="0"/>
        <v>0.95111013046577197</v>
      </c>
      <c r="M2" s="30">
        <f t="shared" si="0"/>
        <v>0.94635457981344306</v>
      </c>
      <c r="N2" s="30">
        <f t="shared" si="0"/>
        <v>0.94162280691437583</v>
      </c>
      <c r="O2" s="30">
        <f t="shared" si="0"/>
        <v>0.936914692879804</v>
      </c>
      <c r="P2" s="30">
        <f t="shared" si="0"/>
        <v>0.93223011941540501</v>
      </c>
      <c r="Q2" s="30">
        <f t="shared" si="0"/>
        <v>0.92756896881832795</v>
      </c>
      <c r="R2" s="30">
        <f t="shared" si="0"/>
        <v>0.92293112397423627</v>
      </c>
      <c r="S2" s="30">
        <f t="shared" si="0"/>
        <v>0.91831646835436509</v>
      </c>
      <c r="T2" s="30">
        <f t="shared" si="0"/>
        <v>0.91372488601259327</v>
      </c>
      <c r="U2" s="30">
        <f t="shared" si="0"/>
        <v>0.90915626158253027</v>
      </c>
      <c r="V2" s="30">
        <f t="shared" si="0"/>
        <v>0.90461048027461766</v>
      </c>
      <c r="W2" s="30">
        <f t="shared" si="0"/>
        <v>0.90008742787324458</v>
      </c>
      <c r="X2" s="30">
        <f t="shared" si="0"/>
        <v>0.89558699073387837</v>
      </c>
      <c r="Y2" s="30">
        <f t="shared" si="0"/>
        <v>0.89110905578020894</v>
      </c>
      <c r="Z2" s="30">
        <f t="shared" si="0"/>
        <v>0.88665351050130792</v>
      </c>
      <c r="AA2" s="30">
        <f t="shared" si="0"/>
        <v>0.88222024294880141</v>
      </c>
      <c r="AB2" s="30">
        <f t="shared" si="0"/>
        <v>0.87780914173405744</v>
      </c>
      <c r="AC2" s="30">
        <f t="shared" si="0"/>
        <v>0.87342009602538717</v>
      </c>
      <c r="AD2" s="30">
        <f t="shared" si="0"/>
        <v>0.86905299554526028</v>
      </c>
      <c r="AE2" s="30">
        <f t="shared" si="0"/>
        <v>0.86470773056753403</v>
      </c>
      <c r="AF2" s="30">
        <f t="shared" si="0"/>
        <v>0.86038419191469639</v>
      </c>
      <c r="AG2" s="30">
        <f t="shared" si="0"/>
        <v>0.8560822709551229</v>
      </c>
    </row>
    <row r="3" spans="1:33" x14ac:dyDescent="0.3">
      <c r="A3" s="1" t="s">
        <v>1</v>
      </c>
      <c r="B3" s="30">
        <f>PERMIT_NZ!B3</f>
        <v>1</v>
      </c>
      <c r="C3" s="30">
        <f t="shared" ref="C3:R18" si="1">B3-B3*0.005</f>
        <v>0.995</v>
      </c>
      <c r="D3" s="30">
        <f t="shared" si="1"/>
        <v>0.99002500000000004</v>
      </c>
      <c r="E3" s="30">
        <f t="shared" si="1"/>
        <v>0.98507487500000002</v>
      </c>
      <c r="F3" s="30">
        <f t="shared" si="1"/>
        <v>0.98014950062500006</v>
      </c>
      <c r="G3" s="30">
        <f t="shared" si="1"/>
        <v>0.97524875312187509</v>
      </c>
      <c r="H3" s="30">
        <f t="shared" si="1"/>
        <v>0.97037250935626573</v>
      </c>
      <c r="I3" s="30">
        <f t="shared" si="1"/>
        <v>0.96552064680948435</v>
      </c>
      <c r="J3" s="30">
        <f t="shared" si="1"/>
        <v>0.96069304357543694</v>
      </c>
      <c r="K3" s="30">
        <f t="shared" si="1"/>
        <v>0.95588957835755972</v>
      </c>
      <c r="L3" s="30">
        <f t="shared" si="1"/>
        <v>0.95111013046577197</v>
      </c>
      <c r="M3" s="30">
        <f t="shared" si="1"/>
        <v>0.94635457981344306</v>
      </c>
      <c r="N3" s="30">
        <f t="shared" si="1"/>
        <v>0.94162280691437583</v>
      </c>
      <c r="O3" s="30">
        <f t="shared" si="1"/>
        <v>0.936914692879804</v>
      </c>
      <c r="P3" s="30">
        <f t="shared" si="1"/>
        <v>0.93223011941540501</v>
      </c>
      <c r="Q3" s="30">
        <f t="shared" si="1"/>
        <v>0.92756896881832795</v>
      </c>
      <c r="R3" s="30">
        <f t="shared" si="1"/>
        <v>0.92293112397423627</v>
      </c>
      <c r="S3" s="30">
        <f t="shared" si="0"/>
        <v>0.91831646835436509</v>
      </c>
      <c r="T3" s="30">
        <f t="shared" si="0"/>
        <v>0.91372488601259327</v>
      </c>
      <c r="U3" s="30">
        <f t="shared" si="0"/>
        <v>0.90915626158253027</v>
      </c>
      <c r="V3" s="30">
        <f t="shared" si="0"/>
        <v>0.90461048027461766</v>
      </c>
      <c r="W3" s="30">
        <f t="shared" si="0"/>
        <v>0.90008742787324458</v>
      </c>
      <c r="X3" s="30">
        <f t="shared" si="0"/>
        <v>0.89558699073387837</v>
      </c>
      <c r="Y3" s="30">
        <f t="shared" si="0"/>
        <v>0.89110905578020894</v>
      </c>
      <c r="Z3" s="30">
        <f t="shared" si="0"/>
        <v>0.88665351050130792</v>
      </c>
      <c r="AA3" s="30">
        <f t="shared" si="0"/>
        <v>0.88222024294880141</v>
      </c>
      <c r="AB3" s="30">
        <f t="shared" si="0"/>
        <v>0.87780914173405744</v>
      </c>
      <c r="AC3" s="30">
        <f t="shared" si="0"/>
        <v>0.87342009602538717</v>
      </c>
      <c r="AD3" s="30">
        <f t="shared" si="0"/>
        <v>0.86905299554526028</v>
      </c>
      <c r="AE3" s="30">
        <f t="shared" si="0"/>
        <v>0.86470773056753403</v>
      </c>
      <c r="AF3" s="30">
        <f t="shared" si="0"/>
        <v>0.86038419191469639</v>
      </c>
      <c r="AG3" s="30">
        <f t="shared" si="0"/>
        <v>0.8560822709551229</v>
      </c>
    </row>
    <row r="4" spans="1:33" x14ac:dyDescent="0.3">
      <c r="A4" s="1" t="s">
        <v>2</v>
      </c>
      <c r="B4" s="30">
        <f>PERMIT_NZ!B4</f>
        <v>1</v>
      </c>
      <c r="C4" s="30">
        <f t="shared" si="1"/>
        <v>0.995</v>
      </c>
      <c r="D4" s="30">
        <f t="shared" si="0"/>
        <v>0.99002500000000004</v>
      </c>
      <c r="E4" s="30">
        <f t="shared" si="0"/>
        <v>0.98507487500000002</v>
      </c>
      <c r="F4" s="30">
        <f t="shared" si="0"/>
        <v>0.98014950062500006</v>
      </c>
      <c r="G4" s="30">
        <f t="shared" si="0"/>
        <v>0.97524875312187509</v>
      </c>
      <c r="H4" s="30">
        <f t="shared" si="0"/>
        <v>0.97037250935626573</v>
      </c>
      <c r="I4" s="30">
        <f t="shared" si="0"/>
        <v>0.96552064680948435</v>
      </c>
      <c r="J4" s="30">
        <f t="shared" si="0"/>
        <v>0.96069304357543694</v>
      </c>
      <c r="K4" s="30">
        <f t="shared" si="0"/>
        <v>0.95588957835755972</v>
      </c>
      <c r="L4" s="30">
        <f t="shared" si="0"/>
        <v>0.95111013046577197</v>
      </c>
      <c r="M4" s="30">
        <f t="shared" si="0"/>
        <v>0.94635457981344306</v>
      </c>
      <c r="N4" s="30">
        <f t="shared" si="0"/>
        <v>0.94162280691437583</v>
      </c>
      <c r="O4" s="30">
        <f t="shared" si="0"/>
        <v>0.936914692879804</v>
      </c>
      <c r="P4" s="30">
        <f t="shared" si="0"/>
        <v>0.93223011941540501</v>
      </c>
      <c r="Q4" s="30">
        <f t="shared" si="0"/>
        <v>0.92756896881832795</v>
      </c>
      <c r="R4" s="30">
        <f t="shared" si="0"/>
        <v>0.92293112397423627</v>
      </c>
      <c r="S4" s="30">
        <f t="shared" si="0"/>
        <v>0.91831646835436509</v>
      </c>
      <c r="T4" s="30">
        <f t="shared" si="0"/>
        <v>0.91372488601259327</v>
      </c>
      <c r="U4" s="30">
        <f t="shared" si="0"/>
        <v>0.90915626158253027</v>
      </c>
      <c r="V4" s="30">
        <f t="shared" si="0"/>
        <v>0.90461048027461766</v>
      </c>
      <c r="W4" s="30">
        <f t="shared" si="0"/>
        <v>0.90008742787324458</v>
      </c>
      <c r="X4" s="30">
        <f t="shared" si="0"/>
        <v>0.89558699073387837</v>
      </c>
      <c r="Y4" s="30">
        <f t="shared" si="0"/>
        <v>0.89110905578020894</v>
      </c>
      <c r="Z4" s="30">
        <f t="shared" si="0"/>
        <v>0.88665351050130792</v>
      </c>
      <c r="AA4" s="30">
        <f t="shared" si="0"/>
        <v>0.88222024294880141</v>
      </c>
      <c r="AB4" s="30">
        <f t="shared" si="0"/>
        <v>0.87780914173405744</v>
      </c>
      <c r="AC4" s="30">
        <f t="shared" si="0"/>
        <v>0.87342009602538717</v>
      </c>
      <c r="AD4" s="30">
        <f t="shared" si="0"/>
        <v>0.86905299554526028</v>
      </c>
      <c r="AE4" s="30">
        <f t="shared" si="0"/>
        <v>0.86470773056753403</v>
      </c>
      <c r="AF4" s="30">
        <f t="shared" si="0"/>
        <v>0.86038419191469639</v>
      </c>
      <c r="AG4" s="30">
        <f t="shared" si="0"/>
        <v>0.8560822709551229</v>
      </c>
    </row>
    <row r="5" spans="1:33" x14ac:dyDescent="0.3">
      <c r="A5" s="1" t="s">
        <v>3</v>
      </c>
      <c r="B5" s="30">
        <f>PERMIT_NZ!B5</f>
        <v>1</v>
      </c>
      <c r="C5" s="30">
        <f t="shared" si="1"/>
        <v>0.995</v>
      </c>
      <c r="D5" s="30">
        <f t="shared" si="0"/>
        <v>0.99002500000000004</v>
      </c>
      <c r="E5" s="30">
        <f t="shared" si="0"/>
        <v>0.98507487500000002</v>
      </c>
      <c r="F5" s="30">
        <f t="shared" si="0"/>
        <v>0.98014950062500006</v>
      </c>
      <c r="G5" s="30">
        <f t="shared" si="0"/>
        <v>0.97524875312187509</v>
      </c>
      <c r="H5" s="30">
        <f t="shared" si="0"/>
        <v>0.97037250935626573</v>
      </c>
      <c r="I5" s="30">
        <f t="shared" si="0"/>
        <v>0.96552064680948435</v>
      </c>
      <c r="J5" s="30">
        <f t="shared" si="0"/>
        <v>0.96069304357543694</v>
      </c>
      <c r="K5" s="30">
        <f t="shared" si="0"/>
        <v>0.95588957835755972</v>
      </c>
      <c r="L5" s="30">
        <f t="shared" si="0"/>
        <v>0.95111013046577197</v>
      </c>
      <c r="M5" s="30">
        <f t="shared" si="0"/>
        <v>0.94635457981344306</v>
      </c>
      <c r="N5" s="30">
        <f t="shared" si="0"/>
        <v>0.94162280691437583</v>
      </c>
      <c r="O5" s="30">
        <f t="shared" si="0"/>
        <v>0.936914692879804</v>
      </c>
      <c r="P5" s="30">
        <f t="shared" si="0"/>
        <v>0.93223011941540501</v>
      </c>
      <c r="Q5" s="30">
        <f t="shared" si="0"/>
        <v>0.92756896881832795</v>
      </c>
      <c r="R5" s="30">
        <f t="shared" si="0"/>
        <v>0.92293112397423627</v>
      </c>
      <c r="S5" s="30">
        <f t="shared" si="0"/>
        <v>0.91831646835436509</v>
      </c>
      <c r="T5" s="30">
        <f t="shared" si="0"/>
        <v>0.91372488601259327</v>
      </c>
      <c r="U5" s="30">
        <f t="shared" si="0"/>
        <v>0.90915626158253027</v>
      </c>
      <c r="V5" s="30">
        <f t="shared" si="0"/>
        <v>0.90461048027461766</v>
      </c>
      <c r="W5" s="30">
        <f t="shared" si="0"/>
        <v>0.90008742787324458</v>
      </c>
      <c r="X5" s="30">
        <f t="shared" si="0"/>
        <v>0.89558699073387837</v>
      </c>
      <c r="Y5" s="30">
        <f t="shared" si="0"/>
        <v>0.89110905578020894</v>
      </c>
      <c r="Z5" s="30">
        <f t="shared" si="0"/>
        <v>0.88665351050130792</v>
      </c>
      <c r="AA5" s="30">
        <f t="shared" si="0"/>
        <v>0.88222024294880141</v>
      </c>
      <c r="AB5" s="30">
        <f t="shared" si="0"/>
        <v>0.87780914173405744</v>
      </c>
      <c r="AC5" s="30">
        <f t="shared" si="0"/>
        <v>0.87342009602538717</v>
      </c>
      <c r="AD5" s="30">
        <f t="shared" si="0"/>
        <v>0.86905299554526028</v>
      </c>
      <c r="AE5" s="30">
        <f t="shared" si="0"/>
        <v>0.86470773056753403</v>
      </c>
      <c r="AF5" s="30">
        <f t="shared" si="0"/>
        <v>0.86038419191469639</v>
      </c>
      <c r="AG5" s="30">
        <f t="shared" si="0"/>
        <v>0.8560822709551229</v>
      </c>
    </row>
    <row r="6" spans="1:33" x14ac:dyDescent="0.3">
      <c r="A6" s="1" t="s">
        <v>4</v>
      </c>
      <c r="B6" s="30">
        <f>PERMIT_NZ!B6</f>
        <v>1</v>
      </c>
      <c r="C6" s="30">
        <f t="shared" si="1"/>
        <v>0.995</v>
      </c>
      <c r="D6" s="30">
        <f t="shared" si="0"/>
        <v>0.99002500000000004</v>
      </c>
      <c r="E6" s="30">
        <f t="shared" si="0"/>
        <v>0.98507487500000002</v>
      </c>
      <c r="F6" s="30">
        <f t="shared" si="0"/>
        <v>0.98014950062500006</v>
      </c>
      <c r="G6" s="30">
        <f t="shared" si="0"/>
        <v>0.97524875312187509</v>
      </c>
      <c r="H6" s="30">
        <f t="shared" si="0"/>
        <v>0.97037250935626573</v>
      </c>
      <c r="I6" s="30">
        <f t="shared" si="0"/>
        <v>0.96552064680948435</v>
      </c>
      <c r="J6" s="30">
        <f t="shared" si="0"/>
        <v>0.96069304357543694</v>
      </c>
      <c r="K6" s="30">
        <f t="shared" si="0"/>
        <v>0.95588957835755972</v>
      </c>
      <c r="L6" s="30">
        <f t="shared" si="0"/>
        <v>0.95111013046577197</v>
      </c>
      <c r="M6" s="30">
        <f t="shared" si="0"/>
        <v>0.94635457981344306</v>
      </c>
      <c r="N6" s="30">
        <f t="shared" si="0"/>
        <v>0.94162280691437583</v>
      </c>
      <c r="O6" s="30">
        <f t="shared" si="0"/>
        <v>0.936914692879804</v>
      </c>
      <c r="P6" s="30">
        <f t="shared" si="0"/>
        <v>0.93223011941540501</v>
      </c>
      <c r="Q6" s="30">
        <f t="shared" si="0"/>
        <v>0.92756896881832795</v>
      </c>
      <c r="R6" s="30">
        <f t="shared" si="0"/>
        <v>0.92293112397423627</v>
      </c>
      <c r="S6" s="30">
        <f t="shared" si="0"/>
        <v>0.91831646835436509</v>
      </c>
      <c r="T6" s="30">
        <f t="shared" si="0"/>
        <v>0.91372488601259327</v>
      </c>
      <c r="U6" s="30">
        <f t="shared" si="0"/>
        <v>0.90915626158253027</v>
      </c>
      <c r="V6" s="30">
        <f t="shared" si="0"/>
        <v>0.90461048027461766</v>
      </c>
      <c r="W6" s="30">
        <f t="shared" si="0"/>
        <v>0.90008742787324458</v>
      </c>
      <c r="X6" s="30">
        <f t="shared" si="0"/>
        <v>0.89558699073387837</v>
      </c>
      <c r="Y6" s="30">
        <f t="shared" si="0"/>
        <v>0.89110905578020894</v>
      </c>
      <c r="Z6" s="30">
        <f t="shared" si="0"/>
        <v>0.88665351050130792</v>
      </c>
      <c r="AA6" s="30">
        <f t="shared" si="0"/>
        <v>0.88222024294880141</v>
      </c>
      <c r="AB6" s="30">
        <f t="shared" si="0"/>
        <v>0.87780914173405744</v>
      </c>
      <c r="AC6" s="30">
        <f t="shared" si="0"/>
        <v>0.87342009602538717</v>
      </c>
      <c r="AD6" s="30">
        <f t="shared" si="0"/>
        <v>0.86905299554526028</v>
      </c>
      <c r="AE6" s="30">
        <f t="shared" si="0"/>
        <v>0.86470773056753403</v>
      </c>
      <c r="AF6" s="30">
        <f t="shared" si="0"/>
        <v>0.86038419191469639</v>
      </c>
      <c r="AG6" s="30">
        <f t="shared" si="0"/>
        <v>0.8560822709551229</v>
      </c>
    </row>
    <row r="7" spans="1:33" x14ac:dyDescent="0.3">
      <c r="A7" s="1" t="s">
        <v>5</v>
      </c>
      <c r="B7" s="30">
        <f>PERMIT_NZ!B7</f>
        <v>1</v>
      </c>
      <c r="C7" s="30">
        <f t="shared" si="1"/>
        <v>0.995</v>
      </c>
      <c r="D7" s="30">
        <f t="shared" si="0"/>
        <v>0.99002500000000004</v>
      </c>
      <c r="E7" s="30">
        <f t="shared" si="0"/>
        <v>0.98507487500000002</v>
      </c>
      <c r="F7" s="30">
        <f t="shared" si="0"/>
        <v>0.98014950062500006</v>
      </c>
      <c r="G7" s="30">
        <f t="shared" si="0"/>
        <v>0.97524875312187509</v>
      </c>
      <c r="H7" s="30">
        <f t="shared" si="0"/>
        <v>0.97037250935626573</v>
      </c>
      <c r="I7" s="30">
        <f t="shared" si="0"/>
        <v>0.96552064680948435</v>
      </c>
      <c r="J7" s="30">
        <f t="shared" si="0"/>
        <v>0.96069304357543694</v>
      </c>
      <c r="K7" s="30">
        <f t="shared" si="0"/>
        <v>0.95588957835755972</v>
      </c>
      <c r="L7" s="30">
        <f t="shared" si="0"/>
        <v>0.95111013046577197</v>
      </c>
      <c r="M7" s="30">
        <f t="shared" si="0"/>
        <v>0.94635457981344306</v>
      </c>
      <c r="N7" s="30">
        <f t="shared" si="0"/>
        <v>0.94162280691437583</v>
      </c>
      <c r="O7" s="30">
        <f t="shared" si="0"/>
        <v>0.936914692879804</v>
      </c>
      <c r="P7" s="30">
        <f t="shared" si="0"/>
        <v>0.93223011941540501</v>
      </c>
      <c r="Q7" s="30">
        <f t="shared" si="0"/>
        <v>0.92756896881832795</v>
      </c>
      <c r="R7" s="30">
        <f t="shared" si="0"/>
        <v>0.92293112397423627</v>
      </c>
      <c r="S7" s="30">
        <f t="shared" si="0"/>
        <v>0.91831646835436509</v>
      </c>
      <c r="T7" s="30">
        <f t="shared" si="0"/>
        <v>0.91372488601259327</v>
      </c>
      <c r="U7" s="30">
        <f t="shared" si="0"/>
        <v>0.90915626158253027</v>
      </c>
      <c r="V7" s="30">
        <f t="shared" si="0"/>
        <v>0.90461048027461766</v>
      </c>
      <c r="W7" s="30">
        <f t="shared" si="0"/>
        <v>0.90008742787324458</v>
      </c>
      <c r="X7" s="30">
        <f t="shared" si="0"/>
        <v>0.89558699073387837</v>
      </c>
      <c r="Y7" s="30">
        <f t="shared" si="0"/>
        <v>0.89110905578020894</v>
      </c>
      <c r="Z7" s="30">
        <f t="shared" si="0"/>
        <v>0.88665351050130792</v>
      </c>
      <c r="AA7" s="30">
        <f t="shared" si="0"/>
        <v>0.88222024294880141</v>
      </c>
      <c r="AB7" s="30">
        <f t="shared" si="0"/>
        <v>0.87780914173405744</v>
      </c>
      <c r="AC7" s="30">
        <f t="shared" si="0"/>
        <v>0.87342009602538717</v>
      </c>
      <c r="AD7" s="30">
        <f t="shared" si="0"/>
        <v>0.86905299554526028</v>
      </c>
      <c r="AE7" s="30">
        <f t="shared" si="0"/>
        <v>0.86470773056753403</v>
      </c>
      <c r="AF7" s="30">
        <f t="shared" si="0"/>
        <v>0.86038419191469639</v>
      </c>
      <c r="AG7" s="30">
        <f t="shared" si="0"/>
        <v>0.8560822709551229</v>
      </c>
    </row>
    <row r="8" spans="1:33" x14ac:dyDescent="0.3">
      <c r="A8" s="1" t="s">
        <v>6</v>
      </c>
      <c r="B8" s="30">
        <f>PERMIT_NZ!B8</f>
        <v>1</v>
      </c>
      <c r="C8" s="30">
        <f t="shared" si="1"/>
        <v>0.995</v>
      </c>
      <c r="D8" s="30">
        <f t="shared" si="0"/>
        <v>0.99002500000000004</v>
      </c>
      <c r="E8" s="30">
        <f t="shared" si="0"/>
        <v>0.98507487500000002</v>
      </c>
      <c r="F8" s="30">
        <f t="shared" si="0"/>
        <v>0.98014950062500006</v>
      </c>
      <c r="G8" s="30">
        <f t="shared" si="0"/>
        <v>0.97524875312187509</v>
      </c>
      <c r="H8" s="30">
        <f t="shared" si="0"/>
        <v>0.97037250935626573</v>
      </c>
      <c r="I8" s="30">
        <f t="shared" si="0"/>
        <v>0.96552064680948435</v>
      </c>
      <c r="J8" s="30">
        <f t="shared" si="0"/>
        <v>0.96069304357543694</v>
      </c>
      <c r="K8" s="30">
        <f t="shared" si="0"/>
        <v>0.95588957835755972</v>
      </c>
      <c r="L8" s="30">
        <f t="shared" si="0"/>
        <v>0.95111013046577197</v>
      </c>
      <c r="M8" s="30">
        <f t="shared" si="0"/>
        <v>0.94635457981344306</v>
      </c>
      <c r="N8" s="30">
        <f t="shared" si="0"/>
        <v>0.94162280691437583</v>
      </c>
      <c r="O8" s="30">
        <f t="shared" si="0"/>
        <v>0.936914692879804</v>
      </c>
      <c r="P8" s="30">
        <f t="shared" si="0"/>
        <v>0.93223011941540501</v>
      </c>
      <c r="Q8" s="30">
        <f t="shared" si="0"/>
        <v>0.92756896881832795</v>
      </c>
      <c r="R8" s="30">
        <f t="shared" si="0"/>
        <v>0.92293112397423627</v>
      </c>
      <c r="S8" s="30">
        <f t="shared" si="0"/>
        <v>0.91831646835436509</v>
      </c>
      <c r="T8" s="30">
        <f t="shared" si="0"/>
        <v>0.91372488601259327</v>
      </c>
      <c r="U8" s="30">
        <f t="shared" si="0"/>
        <v>0.90915626158253027</v>
      </c>
      <c r="V8" s="30">
        <f t="shared" si="0"/>
        <v>0.90461048027461766</v>
      </c>
      <c r="W8" s="30">
        <f t="shared" si="0"/>
        <v>0.90008742787324458</v>
      </c>
      <c r="X8" s="30">
        <f t="shared" si="0"/>
        <v>0.89558699073387837</v>
      </c>
      <c r="Y8" s="30">
        <f t="shared" si="0"/>
        <v>0.89110905578020894</v>
      </c>
      <c r="Z8" s="30">
        <f t="shared" si="0"/>
        <v>0.88665351050130792</v>
      </c>
      <c r="AA8" s="30">
        <f t="shared" si="0"/>
        <v>0.88222024294880141</v>
      </c>
      <c r="AB8" s="30">
        <f t="shared" si="0"/>
        <v>0.87780914173405744</v>
      </c>
      <c r="AC8" s="30">
        <f t="shared" si="0"/>
        <v>0.87342009602538717</v>
      </c>
      <c r="AD8" s="30">
        <f t="shared" si="0"/>
        <v>0.86905299554526028</v>
      </c>
      <c r="AE8" s="30">
        <f t="shared" si="0"/>
        <v>0.86470773056753403</v>
      </c>
      <c r="AF8" s="30">
        <f t="shared" si="0"/>
        <v>0.86038419191469639</v>
      </c>
      <c r="AG8" s="30">
        <f t="shared" si="0"/>
        <v>0.8560822709551229</v>
      </c>
    </row>
    <row r="9" spans="1:33" x14ac:dyDescent="0.3">
      <c r="A9" s="1" t="s">
        <v>7</v>
      </c>
      <c r="B9" s="30">
        <f>PERMIT_NZ!B9</f>
        <v>1</v>
      </c>
      <c r="C9" s="30">
        <f t="shared" si="1"/>
        <v>0.995</v>
      </c>
      <c r="D9" s="30">
        <f t="shared" si="0"/>
        <v>0.99002500000000004</v>
      </c>
      <c r="E9" s="30">
        <f t="shared" si="0"/>
        <v>0.98507487500000002</v>
      </c>
      <c r="F9" s="30">
        <f t="shared" si="0"/>
        <v>0.98014950062500006</v>
      </c>
      <c r="G9" s="30">
        <f t="shared" si="0"/>
        <v>0.97524875312187509</v>
      </c>
      <c r="H9" s="30">
        <f t="shared" si="0"/>
        <v>0.97037250935626573</v>
      </c>
      <c r="I9" s="30">
        <f t="shared" si="0"/>
        <v>0.96552064680948435</v>
      </c>
      <c r="J9" s="30">
        <f t="shared" si="0"/>
        <v>0.96069304357543694</v>
      </c>
      <c r="K9" s="30">
        <f t="shared" si="0"/>
        <v>0.95588957835755972</v>
      </c>
      <c r="L9" s="30">
        <f t="shared" si="0"/>
        <v>0.95111013046577197</v>
      </c>
      <c r="M9" s="30">
        <f t="shared" si="0"/>
        <v>0.94635457981344306</v>
      </c>
      <c r="N9" s="30">
        <f t="shared" si="0"/>
        <v>0.94162280691437583</v>
      </c>
      <c r="O9" s="30">
        <f t="shared" si="0"/>
        <v>0.936914692879804</v>
      </c>
      <c r="P9" s="30">
        <f t="shared" si="0"/>
        <v>0.93223011941540501</v>
      </c>
      <c r="Q9" s="30">
        <f t="shared" si="0"/>
        <v>0.92756896881832795</v>
      </c>
      <c r="R9" s="30">
        <f t="shared" si="0"/>
        <v>0.92293112397423627</v>
      </c>
      <c r="S9" s="30">
        <f t="shared" si="0"/>
        <v>0.91831646835436509</v>
      </c>
      <c r="T9" s="30">
        <f t="shared" si="0"/>
        <v>0.91372488601259327</v>
      </c>
      <c r="U9" s="30">
        <f t="shared" si="0"/>
        <v>0.90915626158253027</v>
      </c>
      <c r="V9" s="30">
        <f t="shared" si="0"/>
        <v>0.90461048027461766</v>
      </c>
      <c r="W9" s="30">
        <f t="shared" si="0"/>
        <v>0.90008742787324458</v>
      </c>
      <c r="X9" s="30">
        <f t="shared" si="0"/>
        <v>0.89558699073387837</v>
      </c>
      <c r="Y9" s="30">
        <f t="shared" si="0"/>
        <v>0.89110905578020894</v>
      </c>
      <c r="Z9" s="30">
        <f t="shared" si="0"/>
        <v>0.88665351050130792</v>
      </c>
      <c r="AA9" s="30">
        <f t="shared" si="0"/>
        <v>0.88222024294880141</v>
      </c>
      <c r="AB9" s="30">
        <f t="shared" si="0"/>
        <v>0.87780914173405744</v>
      </c>
      <c r="AC9" s="30">
        <f t="shared" si="0"/>
        <v>0.87342009602538717</v>
      </c>
      <c r="AD9" s="30">
        <f t="shared" si="0"/>
        <v>0.86905299554526028</v>
      </c>
      <c r="AE9" s="30">
        <f t="shared" si="0"/>
        <v>0.86470773056753403</v>
      </c>
      <c r="AF9" s="30">
        <f t="shared" si="0"/>
        <v>0.86038419191469639</v>
      </c>
      <c r="AG9" s="30">
        <f t="shared" si="0"/>
        <v>0.8560822709551229</v>
      </c>
    </row>
    <row r="10" spans="1:33" x14ac:dyDescent="0.3">
      <c r="A10" s="1" t="s">
        <v>8</v>
      </c>
      <c r="B10" s="30">
        <f>PERMIT_NZ!B10</f>
        <v>1</v>
      </c>
      <c r="C10" s="30">
        <f t="shared" si="1"/>
        <v>0.995</v>
      </c>
      <c r="D10" s="30">
        <f t="shared" si="0"/>
        <v>0.99002500000000004</v>
      </c>
      <c r="E10" s="30">
        <f t="shared" si="0"/>
        <v>0.98507487500000002</v>
      </c>
      <c r="F10" s="30">
        <f t="shared" si="0"/>
        <v>0.98014950062500006</v>
      </c>
      <c r="G10" s="30">
        <f t="shared" si="0"/>
        <v>0.97524875312187509</v>
      </c>
      <c r="H10" s="30">
        <f t="shared" si="0"/>
        <v>0.97037250935626573</v>
      </c>
      <c r="I10" s="30">
        <f t="shared" si="0"/>
        <v>0.96552064680948435</v>
      </c>
      <c r="J10" s="30">
        <f t="shared" si="0"/>
        <v>0.96069304357543694</v>
      </c>
      <c r="K10" s="30">
        <f t="shared" si="0"/>
        <v>0.95588957835755972</v>
      </c>
      <c r="L10" s="30">
        <f t="shared" si="0"/>
        <v>0.95111013046577197</v>
      </c>
      <c r="M10" s="30">
        <f t="shared" si="0"/>
        <v>0.94635457981344306</v>
      </c>
      <c r="N10" s="30">
        <f t="shared" si="0"/>
        <v>0.94162280691437583</v>
      </c>
      <c r="O10" s="30">
        <f t="shared" si="0"/>
        <v>0.936914692879804</v>
      </c>
      <c r="P10" s="30">
        <f t="shared" si="0"/>
        <v>0.93223011941540501</v>
      </c>
      <c r="Q10" s="30">
        <f t="shared" si="0"/>
        <v>0.92756896881832795</v>
      </c>
      <c r="R10" s="30">
        <f t="shared" si="0"/>
        <v>0.92293112397423627</v>
      </c>
      <c r="S10" s="30">
        <f t="shared" si="0"/>
        <v>0.91831646835436509</v>
      </c>
      <c r="T10" s="30">
        <f t="shared" si="0"/>
        <v>0.91372488601259327</v>
      </c>
      <c r="U10" s="30">
        <f t="shared" si="0"/>
        <v>0.90915626158253027</v>
      </c>
      <c r="V10" s="30">
        <f t="shared" si="0"/>
        <v>0.90461048027461766</v>
      </c>
      <c r="W10" s="30">
        <f t="shared" si="0"/>
        <v>0.90008742787324458</v>
      </c>
      <c r="X10" s="30">
        <f t="shared" si="0"/>
        <v>0.89558699073387837</v>
      </c>
      <c r="Y10" s="30">
        <f t="shared" si="0"/>
        <v>0.89110905578020894</v>
      </c>
      <c r="Z10" s="30">
        <f t="shared" si="0"/>
        <v>0.88665351050130792</v>
      </c>
      <c r="AA10" s="30">
        <f t="shared" si="0"/>
        <v>0.88222024294880141</v>
      </c>
      <c r="AB10" s="30">
        <f t="shared" si="0"/>
        <v>0.87780914173405744</v>
      </c>
      <c r="AC10" s="30">
        <f t="shared" si="0"/>
        <v>0.87342009602538717</v>
      </c>
      <c r="AD10" s="30">
        <f t="shared" si="0"/>
        <v>0.86905299554526028</v>
      </c>
      <c r="AE10" s="30">
        <f t="shared" si="0"/>
        <v>0.86470773056753403</v>
      </c>
      <c r="AF10" s="30">
        <f t="shared" si="0"/>
        <v>0.86038419191469639</v>
      </c>
      <c r="AG10" s="30">
        <f t="shared" si="0"/>
        <v>0.8560822709551229</v>
      </c>
    </row>
    <row r="11" spans="1:33" x14ac:dyDescent="0.3">
      <c r="A11" s="1" t="s">
        <v>9</v>
      </c>
      <c r="B11" s="30">
        <f>PERMIT_NZ!B11</f>
        <v>1</v>
      </c>
      <c r="C11" s="30">
        <f t="shared" si="1"/>
        <v>0.995</v>
      </c>
      <c r="D11" s="30">
        <f t="shared" ref="D11:AG18" si="2">C11-C11*0.005</f>
        <v>0.99002500000000004</v>
      </c>
      <c r="E11" s="30">
        <f t="shared" si="2"/>
        <v>0.98507487500000002</v>
      </c>
      <c r="F11" s="30">
        <f t="shared" si="2"/>
        <v>0.98014950062500006</v>
      </c>
      <c r="G11" s="30">
        <f t="shared" si="2"/>
        <v>0.97524875312187509</v>
      </c>
      <c r="H11" s="30">
        <f t="shared" si="2"/>
        <v>0.97037250935626573</v>
      </c>
      <c r="I11" s="30">
        <f t="shared" si="2"/>
        <v>0.96552064680948435</v>
      </c>
      <c r="J11" s="30">
        <f t="shared" si="2"/>
        <v>0.96069304357543694</v>
      </c>
      <c r="K11" s="30">
        <f t="shared" si="2"/>
        <v>0.95588957835755972</v>
      </c>
      <c r="L11" s="30">
        <f t="shared" si="2"/>
        <v>0.95111013046577197</v>
      </c>
      <c r="M11" s="30">
        <f t="shared" si="2"/>
        <v>0.94635457981344306</v>
      </c>
      <c r="N11" s="30">
        <f t="shared" si="2"/>
        <v>0.94162280691437583</v>
      </c>
      <c r="O11" s="30">
        <f t="shared" si="2"/>
        <v>0.936914692879804</v>
      </c>
      <c r="P11" s="30">
        <f t="shared" si="2"/>
        <v>0.93223011941540501</v>
      </c>
      <c r="Q11" s="30">
        <f t="shared" si="2"/>
        <v>0.92756896881832795</v>
      </c>
      <c r="R11" s="30">
        <f t="shared" si="2"/>
        <v>0.92293112397423627</v>
      </c>
      <c r="S11" s="30">
        <f t="shared" si="2"/>
        <v>0.91831646835436509</v>
      </c>
      <c r="T11" s="30">
        <f t="shared" si="2"/>
        <v>0.91372488601259327</v>
      </c>
      <c r="U11" s="30">
        <f t="shared" si="2"/>
        <v>0.90915626158253027</v>
      </c>
      <c r="V11" s="30">
        <f t="shared" si="2"/>
        <v>0.90461048027461766</v>
      </c>
      <c r="W11" s="30">
        <f t="shared" si="2"/>
        <v>0.90008742787324458</v>
      </c>
      <c r="X11" s="30">
        <f t="shared" si="2"/>
        <v>0.89558699073387837</v>
      </c>
      <c r="Y11" s="30">
        <f t="shared" si="2"/>
        <v>0.89110905578020894</v>
      </c>
      <c r="Z11" s="30">
        <f t="shared" si="2"/>
        <v>0.88665351050130792</v>
      </c>
      <c r="AA11" s="30">
        <f t="shared" si="2"/>
        <v>0.88222024294880141</v>
      </c>
      <c r="AB11" s="30">
        <f t="shared" si="2"/>
        <v>0.87780914173405744</v>
      </c>
      <c r="AC11" s="30">
        <f t="shared" si="2"/>
        <v>0.87342009602538717</v>
      </c>
      <c r="AD11" s="30">
        <f t="shared" si="2"/>
        <v>0.86905299554526028</v>
      </c>
      <c r="AE11" s="30">
        <f t="shared" si="2"/>
        <v>0.86470773056753403</v>
      </c>
      <c r="AF11" s="30">
        <f t="shared" si="2"/>
        <v>0.86038419191469639</v>
      </c>
      <c r="AG11" s="30">
        <f t="shared" si="2"/>
        <v>0.8560822709551229</v>
      </c>
    </row>
    <row r="12" spans="1:33" x14ac:dyDescent="0.3">
      <c r="A12" s="1" t="s">
        <v>82</v>
      </c>
      <c r="B12" s="30">
        <f>PERMIT_NZ!B12</f>
        <v>1</v>
      </c>
      <c r="C12" s="30">
        <f t="shared" si="1"/>
        <v>0.995</v>
      </c>
      <c r="D12" s="30">
        <f t="shared" si="2"/>
        <v>0.99002500000000004</v>
      </c>
      <c r="E12" s="30">
        <f t="shared" si="2"/>
        <v>0.98507487500000002</v>
      </c>
      <c r="F12" s="30">
        <f t="shared" si="2"/>
        <v>0.98014950062500006</v>
      </c>
      <c r="G12" s="30">
        <f t="shared" si="2"/>
        <v>0.97524875312187509</v>
      </c>
      <c r="H12" s="30">
        <f t="shared" si="2"/>
        <v>0.97037250935626573</v>
      </c>
      <c r="I12" s="30">
        <f t="shared" si="2"/>
        <v>0.96552064680948435</v>
      </c>
      <c r="J12" s="30">
        <f t="shared" si="2"/>
        <v>0.96069304357543694</v>
      </c>
      <c r="K12" s="30">
        <f t="shared" si="2"/>
        <v>0.95588957835755972</v>
      </c>
      <c r="L12" s="30">
        <f t="shared" si="2"/>
        <v>0.95111013046577197</v>
      </c>
      <c r="M12" s="30">
        <f t="shared" si="2"/>
        <v>0.94635457981344306</v>
      </c>
      <c r="N12" s="30">
        <f t="shared" si="2"/>
        <v>0.94162280691437583</v>
      </c>
      <c r="O12" s="30">
        <f t="shared" si="2"/>
        <v>0.936914692879804</v>
      </c>
      <c r="P12" s="30">
        <f t="shared" si="2"/>
        <v>0.93223011941540501</v>
      </c>
      <c r="Q12" s="30">
        <f t="shared" si="2"/>
        <v>0.92756896881832795</v>
      </c>
      <c r="R12" s="30">
        <f t="shared" si="2"/>
        <v>0.92293112397423627</v>
      </c>
      <c r="S12" s="30">
        <f t="shared" si="2"/>
        <v>0.91831646835436509</v>
      </c>
      <c r="T12" s="30">
        <f t="shared" si="2"/>
        <v>0.91372488601259327</v>
      </c>
      <c r="U12" s="30">
        <f t="shared" si="2"/>
        <v>0.90915626158253027</v>
      </c>
      <c r="V12" s="30">
        <f t="shared" si="2"/>
        <v>0.90461048027461766</v>
      </c>
      <c r="W12" s="30">
        <f t="shared" si="2"/>
        <v>0.90008742787324458</v>
      </c>
      <c r="X12" s="30">
        <f t="shared" si="2"/>
        <v>0.89558699073387837</v>
      </c>
      <c r="Y12" s="30">
        <f t="shared" si="2"/>
        <v>0.89110905578020894</v>
      </c>
      <c r="Z12" s="30">
        <f t="shared" si="2"/>
        <v>0.88665351050130792</v>
      </c>
      <c r="AA12" s="30">
        <f t="shared" si="2"/>
        <v>0.88222024294880141</v>
      </c>
      <c r="AB12" s="30">
        <f t="shared" si="2"/>
        <v>0.87780914173405744</v>
      </c>
      <c r="AC12" s="30">
        <f t="shared" si="2"/>
        <v>0.87342009602538717</v>
      </c>
      <c r="AD12" s="30">
        <f t="shared" si="2"/>
        <v>0.86905299554526028</v>
      </c>
      <c r="AE12" s="30">
        <f t="shared" si="2"/>
        <v>0.86470773056753403</v>
      </c>
      <c r="AF12" s="30">
        <f t="shared" si="2"/>
        <v>0.86038419191469639</v>
      </c>
      <c r="AG12" s="30">
        <f t="shared" si="2"/>
        <v>0.8560822709551229</v>
      </c>
    </row>
    <row r="13" spans="1:33" x14ac:dyDescent="0.3">
      <c r="A13" s="1" t="s">
        <v>11</v>
      </c>
      <c r="B13" s="30">
        <f>PERMIT_NZ!B13</f>
        <v>1</v>
      </c>
      <c r="C13" s="30">
        <f t="shared" si="1"/>
        <v>0.995</v>
      </c>
      <c r="D13" s="30">
        <f t="shared" si="2"/>
        <v>0.99002500000000004</v>
      </c>
      <c r="E13" s="30">
        <f t="shared" si="2"/>
        <v>0.98507487500000002</v>
      </c>
      <c r="F13" s="30">
        <f t="shared" si="2"/>
        <v>0.98014950062500006</v>
      </c>
      <c r="G13" s="30">
        <f t="shared" si="2"/>
        <v>0.97524875312187509</v>
      </c>
      <c r="H13" s="30">
        <f t="shared" si="2"/>
        <v>0.97037250935626573</v>
      </c>
      <c r="I13" s="30">
        <f t="shared" si="2"/>
        <v>0.96552064680948435</v>
      </c>
      <c r="J13" s="30">
        <f t="shared" si="2"/>
        <v>0.96069304357543694</v>
      </c>
      <c r="K13" s="30">
        <f t="shared" si="2"/>
        <v>0.95588957835755972</v>
      </c>
      <c r="L13" s="30">
        <f t="shared" si="2"/>
        <v>0.95111013046577197</v>
      </c>
      <c r="M13" s="30">
        <f t="shared" si="2"/>
        <v>0.94635457981344306</v>
      </c>
      <c r="N13" s="30">
        <f t="shared" si="2"/>
        <v>0.94162280691437583</v>
      </c>
      <c r="O13" s="30">
        <f t="shared" si="2"/>
        <v>0.936914692879804</v>
      </c>
      <c r="P13" s="30">
        <f t="shared" si="2"/>
        <v>0.93223011941540501</v>
      </c>
      <c r="Q13" s="30">
        <f t="shared" si="2"/>
        <v>0.92756896881832795</v>
      </c>
      <c r="R13" s="30">
        <f t="shared" si="2"/>
        <v>0.92293112397423627</v>
      </c>
      <c r="S13" s="30">
        <f t="shared" si="2"/>
        <v>0.91831646835436509</v>
      </c>
      <c r="T13" s="30">
        <f t="shared" si="2"/>
        <v>0.91372488601259327</v>
      </c>
      <c r="U13" s="30">
        <f t="shared" si="2"/>
        <v>0.90915626158253027</v>
      </c>
      <c r="V13" s="30">
        <f t="shared" si="2"/>
        <v>0.90461048027461766</v>
      </c>
      <c r="W13" s="30">
        <f t="shared" si="2"/>
        <v>0.90008742787324458</v>
      </c>
      <c r="X13" s="30">
        <f t="shared" si="2"/>
        <v>0.89558699073387837</v>
      </c>
      <c r="Y13" s="30">
        <f t="shared" si="2"/>
        <v>0.89110905578020894</v>
      </c>
      <c r="Z13" s="30">
        <f t="shared" si="2"/>
        <v>0.88665351050130792</v>
      </c>
      <c r="AA13" s="30">
        <f t="shared" si="2"/>
        <v>0.88222024294880141</v>
      </c>
      <c r="AB13" s="30">
        <f t="shared" si="2"/>
        <v>0.87780914173405744</v>
      </c>
      <c r="AC13" s="30">
        <f t="shared" si="2"/>
        <v>0.87342009602538717</v>
      </c>
      <c r="AD13" s="30">
        <f t="shared" si="2"/>
        <v>0.86905299554526028</v>
      </c>
      <c r="AE13" s="30">
        <f t="shared" si="2"/>
        <v>0.86470773056753403</v>
      </c>
      <c r="AF13" s="30">
        <f t="shared" si="2"/>
        <v>0.86038419191469639</v>
      </c>
      <c r="AG13" s="30">
        <f t="shared" si="2"/>
        <v>0.8560822709551229</v>
      </c>
    </row>
    <row r="14" spans="1:33" x14ac:dyDescent="0.3">
      <c r="A14" s="1" t="s">
        <v>12</v>
      </c>
      <c r="B14" s="30">
        <f>PERMIT_NZ!B14</f>
        <v>1</v>
      </c>
      <c r="C14" s="30">
        <f t="shared" si="1"/>
        <v>0.995</v>
      </c>
      <c r="D14" s="30">
        <f t="shared" si="2"/>
        <v>0.99002500000000004</v>
      </c>
      <c r="E14" s="30">
        <f t="shared" si="2"/>
        <v>0.98507487500000002</v>
      </c>
      <c r="F14" s="30">
        <f t="shared" si="2"/>
        <v>0.98014950062500006</v>
      </c>
      <c r="G14" s="30">
        <f t="shared" si="2"/>
        <v>0.97524875312187509</v>
      </c>
      <c r="H14" s="30">
        <f t="shared" si="2"/>
        <v>0.97037250935626573</v>
      </c>
      <c r="I14" s="30">
        <f t="shared" si="2"/>
        <v>0.96552064680948435</v>
      </c>
      <c r="J14" s="30">
        <f t="shared" si="2"/>
        <v>0.96069304357543694</v>
      </c>
      <c r="K14" s="30">
        <f t="shared" si="2"/>
        <v>0.95588957835755972</v>
      </c>
      <c r="L14" s="30">
        <f t="shared" si="2"/>
        <v>0.95111013046577197</v>
      </c>
      <c r="M14" s="30">
        <f t="shared" si="2"/>
        <v>0.94635457981344306</v>
      </c>
      <c r="N14" s="30">
        <f t="shared" si="2"/>
        <v>0.94162280691437583</v>
      </c>
      <c r="O14" s="30">
        <f t="shared" si="2"/>
        <v>0.936914692879804</v>
      </c>
      <c r="P14" s="30">
        <f t="shared" si="2"/>
        <v>0.93223011941540501</v>
      </c>
      <c r="Q14" s="30">
        <f t="shared" si="2"/>
        <v>0.92756896881832795</v>
      </c>
      <c r="R14" s="30">
        <f t="shared" si="2"/>
        <v>0.92293112397423627</v>
      </c>
      <c r="S14" s="30">
        <f t="shared" si="2"/>
        <v>0.91831646835436509</v>
      </c>
      <c r="T14" s="30">
        <f t="shared" si="2"/>
        <v>0.91372488601259327</v>
      </c>
      <c r="U14" s="30">
        <f t="shared" si="2"/>
        <v>0.90915626158253027</v>
      </c>
      <c r="V14" s="30">
        <f t="shared" si="2"/>
        <v>0.90461048027461766</v>
      </c>
      <c r="W14" s="30">
        <f t="shared" si="2"/>
        <v>0.90008742787324458</v>
      </c>
      <c r="X14" s="30">
        <f t="shared" si="2"/>
        <v>0.89558699073387837</v>
      </c>
      <c r="Y14" s="30">
        <f t="shared" si="2"/>
        <v>0.89110905578020894</v>
      </c>
      <c r="Z14" s="30">
        <f t="shared" si="2"/>
        <v>0.88665351050130792</v>
      </c>
      <c r="AA14" s="30">
        <f t="shared" si="2"/>
        <v>0.88222024294880141</v>
      </c>
      <c r="AB14" s="30">
        <f t="shared" si="2"/>
        <v>0.87780914173405744</v>
      </c>
      <c r="AC14" s="30">
        <f t="shared" si="2"/>
        <v>0.87342009602538717</v>
      </c>
      <c r="AD14" s="30">
        <f t="shared" si="2"/>
        <v>0.86905299554526028</v>
      </c>
      <c r="AE14" s="30">
        <f t="shared" si="2"/>
        <v>0.86470773056753403</v>
      </c>
      <c r="AF14" s="30">
        <f t="shared" si="2"/>
        <v>0.86038419191469639</v>
      </c>
      <c r="AG14" s="30">
        <f t="shared" si="2"/>
        <v>0.8560822709551229</v>
      </c>
    </row>
    <row r="15" spans="1:33" x14ac:dyDescent="0.3">
      <c r="A15" s="1" t="s">
        <v>83</v>
      </c>
      <c r="B15" s="30">
        <f>PERMIT_NZ!B15</f>
        <v>1</v>
      </c>
      <c r="C15" s="30">
        <f t="shared" si="1"/>
        <v>0.995</v>
      </c>
      <c r="D15" s="30">
        <f t="shared" si="2"/>
        <v>0.99002500000000004</v>
      </c>
      <c r="E15" s="30">
        <f t="shared" si="2"/>
        <v>0.98507487500000002</v>
      </c>
      <c r="F15" s="30">
        <f t="shared" si="2"/>
        <v>0.98014950062500006</v>
      </c>
      <c r="G15" s="30">
        <f t="shared" si="2"/>
        <v>0.97524875312187509</v>
      </c>
      <c r="H15" s="30">
        <f t="shared" si="2"/>
        <v>0.97037250935626573</v>
      </c>
      <c r="I15" s="30">
        <f t="shared" si="2"/>
        <v>0.96552064680948435</v>
      </c>
      <c r="J15" s="30">
        <f t="shared" si="2"/>
        <v>0.96069304357543694</v>
      </c>
      <c r="K15" s="30">
        <f t="shared" si="2"/>
        <v>0.95588957835755972</v>
      </c>
      <c r="L15" s="30">
        <f t="shared" si="2"/>
        <v>0.95111013046577197</v>
      </c>
      <c r="M15" s="30">
        <f t="shared" si="2"/>
        <v>0.94635457981344306</v>
      </c>
      <c r="N15" s="30">
        <f t="shared" si="2"/>
        <v>0.94162280691437583</v>
      </c>
      <c r="O15" s="30">
        <f t="shared" si="2"/>
        <v>0.936914692879804</v>
      </c>
      <c r="P15" s="30">
        <f t="shared" si="2"/>
        <v>0.93223011941540501</v>
      </c>
      <c r="Q15" s="30">
        <f t="shared" si="2"/>
        <v>0.92756896881832795</v>
      </c>
      <c r="R15" s="30">
        <f t="shared" si="2"/>
        <v>0.92293112397423627</v>
      </c>
      <c r="S15" s="30">
        <f t="shared" si="2"/>
        <v>0.91831646835436509</v>
      </c>
      <c r="T15" s="30">
        <f t="shared" si="2"/>
        <v>0.91372488601259327</v>
      </c>
      <c r="U15" s="30">
        <f t="shared" si="2"/>
        <v>0.90915626158253027</v>
      </c>
      <c r="V15" s="30">
        <f t="shared" si="2"/>
        <v>0.90461048027461766</v>
      </c>
      <c r="W15" s="30">
        <f t="shared" si="2"/>
        <v>0.90008742787324458</v>
      </c>
      <c r="X15" s="30">
        <f t="shared" si="2"/>
        <v>0.89558699073387837</v>
      </c>
      <c r="Y15" s="30">
        <f t="shared" si="2"/>
        <v>0.89110905578020894</v>
      </c>
      <c r="Z15" s="30">
        <f t="shared" si="2"/>
        <v>0.88665351050130792</v>
      </c>
      <c r="AA15" s="30">
        <f t="shared" si="2"/>
        <v>0.88222024294880141</v>
      </c>
      <c r="AB15" s="30">
        <f t="shared" si="2"/>
        <v>0.87780914173405744</v>
      </c>
      <c r="AC15" s="30">
        <f t="shared" si="2"/>
        <v>0.87342009602538717</v>
      </c>
      <c r="AD15" s="30">
        <f t="shared" si="2"/>
        <v>0.86905299554526028</v>
      </c>
      <c r="AE15" s="30">
        <f t="shared" si="2"/>
        <v>0.86470773056753403</v>
      </c>
      <c r="AF15" s="30">
        <f t="shared" si="2"/>
        <v>0.86038419191469639</v>
      </c>
      <c r="AG15" s="30">
        <f t="shared" si="2"/>
        <v>0.8560822709551229</v>
      </c>
    </row>
    <row r="16" spans="1:33" x14ac:dyDescent="0.3">
      <c r="A16" s="1" t="s">
        <v>14</v>
      </c>
      <c r="B16" s="30">
        <f>PERMIT_NZ!B16</f>
        <v>1</v>
      </c>
      <c r="C16" s="30">
        <f t="shared" si="1"/>
        <v>0.995</v>
      </c>
      <c r="D16" s="30">
        <f t="shared" si="2"/>
        <v>0.99002500000000004</v>
      </c>
      <c r="E16" s="30">
        <f t="shared" si="2"/>
        <v>0.98507487500000002</v>
      </c>
      <c r="F16" s="30">
        <f t="shared" si="2"/>
        <v>0.98014950062500006</v>
      </c>
      <c r="G16" s="30">
        <f t="shared" si="2"/>
        <v>0.97524875312187509</v>
      </c>
      <c r="H16" s="30">
        <f t="shared" si="2"/>
        <v>0.97037250935626573</v>
      </c>
      <c r="I16" s="30">
        <f t="shared" si="2"/>
        <v>0.96552064680948435</v>
      </c>
      <c r="J16" s="30">
        <f t="shared" si="2"/>
        <v>0.96069304357543694</v>
      </c>
      <c r="K16" s="30">
        <f t="shared" si="2"/>
        <v>0.95588957835755972</v>
      </c>
      <c r="L16" s="30">
        <f t="shared" si="2"/>
        <v>0.95111013046577197</v>
      </c>
      <c r="M16" s="30">
        <f t="shared" si="2"/>
        <v>0.94635457981344306</v>
      </c>
      <c r="N16" s="30">
        <f t="shared" si="2"/>
        <v>0.94162280691437583</v>
      </c>
      <c r="O16" s="30">
        <f t="shared" si="2"/>
        <v>0.936914692879804</v>
      </c>
      <c r="P16" s="30">
        <f t="shared" si="2"/>
        <v>0.93223011941540501</v>
      </c>
      <c r="Q16" s="30">
        <f t="shared" si="2"/>
        <v>0.92756896881832795</v>
      </c>
      <c r="R16" s="30">
        <f t="shared" si="2"/>
        <v>0.92293112397423627</v>
      </c>
      <c r="S16" s="30">
        <f t="shared" si="2"/>
        <v>0.91831646835436509</v>
      </c>
      <c r="T16" s="30">
        <f t="shared" si="2"/>
        <v>0.91372488601259327</v>
      </c>
      <c r="U16" s="30">
        <f t="shared" si="2"/>
        <v>0.90915626158253027</v>
      </c>
      <c r="V16" s="30">
        <f t="shared" si="2"/>
        <v>0.90461048027461766</v>
      </c>
      <c r="W16" s="30">
        <f t="shared" si="2"/>
        <v>0.90008742787324458</v>
      </c>
      <c r="X16" s="30">
        <f t="shared" si="2"/>
        <v>0.89558699073387837</v>
      </c>
      <c r="Y16" s="30">
        <f t="shared" si="2"/>
        <v>0.89110905578020894</v>
      </c>
      <c r="Z16" s="30">
        <f t="shared" si="2"/>
        <v>0.88665351050130792</v>
      </c>
      <c r="AA16" s="30">
        <f t="shared" si="2"/>
        <v>0.88222024294880141</v>
      </c>
      <c r="AB16" s="30">
        <f t="shared" si="2"/>
        <v>0.87780914173405744</v>
      </c>
      <c r="AC16" s="30">
        <f t="shared" si="2"/>
        <v>0.87342009602538717</v>
      </c>
      <c r="AD16" s="30">
        <f t="shared" si="2"/>
        <v>0.86905299554526028</v>
      </c>
      <c r="AE16" s="30">
        <f t="shared" si="2"/>
        <v>0.86470773056753403</v>
      </c>
      <c r="AF16" s="30">
        <f t="shared" si="2"/>
        <v>0.86038419191469639</v>
      </c>
      <c r="AG16" s="30">
        <f t="shared" si="2"/>
        <v>0.8560822709551229</v>
      </c>
    </row>
    <row r="17" spans="1:33" x14ac:dyDescent="0.3">
      <c r="A17" s="1" t="s">
        <v>81</v>
      </c>
      <c r="B17" s="30">
        <f>PERMIT_NZ!B17</f>
        <v>1</v>
      </c>
      <c r="C17" s="30">
        <f t="shared" si="1"/>
        <v>0.995</v>
      </c>
      <c r="D17" s="30">
        <f t="shared" si="2"/>
        <v>0.99002500000000004</v>
      </c>
      <c r="E17" s="30">
        <f t="shared" si="2"/>
        <v>0.98507487500000002</v>
      </c>
      <c r="F17" s="30">
        <f t="shared" si="2"/>
        <v>0.98014950062500006</v>
      </c>
      <c r="G17" s="30">
        <f t="shared" si="2"/>
        <v>0.97524875312187509</v>
      </c>
      <c r="H17" s="30">
        <f t="shared" si="2"/>
        <v>0.97037250935626573</v>
      </c>
      <c r="I17" s="30">
        <f t="shared" si="2"/>
        <v>0.96552064680948435</v>
      </c>
      <c r="J17" s="30">
        <f t="shared" si="2"/>
        <v>0.96069304357543694</v>
      </c>
      <c r="K17" s="30">
        <f t="shared" si="2"/>
        <v>0.95588957835755972</v>
      </c>
      <c r="L17" s="30">
        <f t="shared" si="2"/>
        <v>0.95111013046577197</v>
      </c>
      <c r="M17" s="30">
        <f t="shared" si="2"/>
        <v>0.94635457981344306</v>
      </c>
      <c r="N17" s="30">
        <f t="shared" si="2"/>
        <v>0.94162280691437583</v>
      </c>
      <c r="O17" s="30">
        <f t="shared" si="2"/>
        <v>0.936914692879804</v>
      </c>
      <c r="P17" s="30">
        <f t="shared" si="2"/>
        <v>0.93223011941540501</v>
      </c>
      <c r="Q17" s="30">
        <f t="shared" si="2"/>
        <v>0.92756896881832795</v>
      </c>
      <c r="R17" s="30">
        <f t="shared" si="2"/>
        <v>0.92293112397423627</v>
      </c>
      <c r="S17" s="30">
        <f t="shared" si="2"/>
        <v>0.91831646835436509</v>
      </c>
      <c r="T17" s="30">
        <f t="shared" si="2"/>
        <v>0.91372488601259327</v>
      </c>
      <c r="U17" s="30">
        <f t="shared" si="2"/>
        <v>0.90915626158253027</v>
      </c>
      <c r="V17" s="30">
        <f t="shared" si="2"/>
        <v>0.90461048027461766</v>
      </c>
      <c r="W17" s="30">
        <f t="shared" si="2"/>
        <v>0.90008742787324458</v>
      </c>
      <c r="X17" s="30">
        <f t="shared" si="2"/>
        <v>0.89558699073387837</v>
      </c>
      <c r="Y17" s="30">
        <f t="shared" si="2"/>
        <v>0.89110905578020894</v>
      </c>
      <c r="Z17" s="30">
        <f t="shared" si="2"/>
        <v>0.88665351050130792</v>
      </c>
      <c r="AA17" s="30">
        <f t="shared" si="2"/>
        <v>0.88222024294880141</v>
      </c>
      <c r="AB17" s="30">
        <f t="shared" si="2"/>
        <v>0.87780914173405744</v>
      </c>
      <c r="AC17" s="30">
        <f t="shared" si="2"/>
        <v>0.87342009602538717</v>
      </c>
      <c r="AD17" s="30">
        <f t="shared" si="2"/>
        <v>0.86905299554526028</v>
      </c>
      <c r="AE17" s="30">
        <f t="shared" si="2"/>
        <v>0.86470773056753403</v>
      </c>
      <c r="AF17" s="30">
        <f t="shared" si="2"/>
        <v>0.86038419191469639</v>
      </c>
      <c r="AG17" s="30">
        <f t="shared" si="2"/>
        <v>0.8560822709551229</v>
      </c>
    </row>
    <row r="18" spans="1:33" x14ac:dyDescent="0.3">
      <c r="A18" s="1" t="s">
        <v>80</v>
      </c>
      <c r="B18" s="30">
        <f>PERMIT_NZ!B18</f>
        <v>1</v>
      </c>
      <c r="C18" s="30">
        <f t="shared" si="1"/>
        <v>0.995</v>
      </c>
      <c r="D18" s="30">
        <f t="shared" si="2"/>
        <v>0.99002500000000004</v>
      </c>
      <c r="E18" s="30">
        <f t="shared" si="2"/>
        <v>0.98507487500000002</v>
      </c>
      <c r="F18" s="30">
        <f t="shared" si="2"/>
        <v>0.98014950062500006</v>
      </c>
      <c r="G18" s="30">
        <f t="shared" si="2"/>
        <v>0.97524875312187509</v>
      </c>
      <c r="H18" s="30">
        <f t="shared" si="2"/>
        <v>0.97037250935626573</v>
      </c>
      <c r="I18" s="30">
        <f t="shared" si="2"/>
        <v>0.96552064680948435</v>
      </c>
      <c r="J18" s="30">
        <f t="shared" si="2"/>
        <v>0.96069304357543694</v>
      </c>
      <c r="K18" s="30">
        <f t="shared" si="2"/>
        <v>0.95588957835755972</v>
      </c>
      <c r="L18" s="30">
        <f t="shared" si="2"/>
        <v>0.95111013046577197</v>
      </c>
      <c r="M18" s="30">
        <f t="shared" si="2"/>
        <v>0.94635457981344306</v>
      </c>
      <c r="N18" s="30">
        <f t="shared" si="2"/>
        <v>0.94162280691437583</v>
      </c>
      <c r="O18" s="30">
        <f t="shared" si="2"/>
        <v>0.936914692879804</v>
      </c>
      <c r="P18" s="30">
        <f t="shared" si="2"/>
        <v>0.93223011941540501</v>
      </c>
      <c r="Q18" s="30">
        <f t="shared" si="2"/>
        <v>0.92756896881832795</v>
      </c>
      <c r="R18" s="30">
        <f t="shared" si="2"/>
        <v>0.92293112397423627</v>
      </c>
      <c r="S18" s="30">
        <f t="shared" si="2"/>
        <v>0.91831646835436509</v>
      </c>
      <c r="T18" s="30">
        <f t="shared" si="2"/>
        <v>0.91372488601259327</v>
      </c>
      <c r="U18" s="30">
        <f t="shared" si="2"/>
        <v>0.90915626158253027</v>
      </c>
      <c r="V18" s="30">
        <f t="shared" si="2"/>
        <v>0.90461048027461766</v>
      </c>
      <c r="W18" s="30">
        <f t="shared" si="2"/>
        <v>0.90008742787324458</v>
      </c>
      <c r="X18" s="30">
        <f t="shared" si="2"/>
        <v>0.89558699073387837</v>
      </c>
      <c r="Y18" s="30">
        <f t="shared" si="2"/>
        <v>0.89110905578020894</v>
      </c>
      <c r="Z18" s="30">
        <f t="shared" si="2"/>
        <v>0.88665351050130792</v>
      </c>
      <c r="AA18" s="30">
        <f t="shared" si="2"/>
        <v>0.88222024294880141</v>
      </c>
      <c r="AB18" s="30">
        <f t="shared" si="2"/>
        <v>0.87780914173405744</v>
      </c>
      <c r="AC18" s="30">
        <f t="shared" si="2"/>
        <v>0.87342009602538717</v>
      </c>
      <c r="AD18" s="30">
        <f t="shared" si="2"/>
        <v>0.86905299554526028</v>
      </c>
      <c r="AE18" s="30">
        <f t="shared" si="2"/>
        <v>0.86470773056753403</v>
      </c>
      <c r="AF18" s="30">
        <f t="shared" si="2"/>
        <v>0.86038419191469639</v>
      </c>
      <c r="AG18" s="30">
        <f t="shared" si="2"/>
        <v>0.8560822709551229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E28F-19CD-45D7-98B2-D4ECA2A848C5}">
  <dimension ref="A1:AG18"/>
  <sheetViews>
    <sheetView workbookViewId="0">
      <selection activeCell="B2" sqref="B2:AG18"/>
    </sheetView>
  </sheetViews>
  <sheetFormatPr defaultRowHeight="14.4" x14ac:dyDescent="0.3"/>
  <cols>
    <col min="2" max="33" width="5.5546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B2-B2*0.01</f>
        <v>0.99</v>
      </c>
      <c r="D2" s="30">
        <f t="shared" ref="D2:AG10" si="0">C2-C2*0.01</f>
        <v>0.98009999999999997</v>
      </c>
      <c r="E2" s="30">
        <f t="shared" si="0"/>
        <v>0.97029900000000002</v>
      </c>
      <c r="F2" s="30">
        <f t="shared" si="0"/>
        <v>0.96059601000000006</v>
      </c>
      <c r="G2" s="30">
        <f t="shared" si="0"/>
        <v>0.95099004990000002</v>
      </c>
      <c r="H2" s="30">
        <f t="shared" si="0"/>
        <v>0.941480149401</v>
      </c>
      <c r="I2" s="30">
        <f t="shared" si="0"/>
        <v>0.93206534790699003</v>
      </c>
      <c r="J2" s="30">
        <f t="shared" si="0"/>
        <v>0.92274469442792018</v>
      </c>
      <c r="K2" s="30">
        <f t="shared" si="0"/>
        <v>0.91351724748364094</v>
      </c>
      <c r="L2" s="30">
        <f t="shared" si="0"/>
        <v>0.90438207500880452</v>
      </c>
      <c r="M2" s="30">
        <f t="shared" si="0"/>
        <v>0.89533825425871649</v>
      </c>
      <c r="N2" s="30">
        <f t="shared" si="0"/>
        <v>0.88638487171612934</v>
      </c>
      <c r="O2" s="30">
        <f t="shared" si="0"/>
        <v>0.87752102299896806</v>
      </c>
      <c r="P2" s="30">
        <f t="shared" si="0"/>
        <v>0.86874581276897833</v>
      </c>
      <c r="Q2" s="30">
        <f t="shared" si="0"/>
        <v>0.86005835464128855</v>
      </c>
      <c r="R2" s="30">
        <f t="shared" si="0"/>
        <v>0.85145777109487564</v>
      </c>
      <c r="S2" s="30">
        <f t="shared" si="0"/>
        <v>0.84294319338392687</v>
      </c>
      <c r="T2" s="30">
        <f t="shared" si="0"/>
        <v>0.8345137614500876</v>
      </c>
      <c r="U2" s="30">
        <f t="shared" si="0"/>
        <v>0.82616862383558676</v>
      </c>
      <c r="V2" s="30">
        <f t="shared" si="0"/>
        <v>0.81790693759723088</v>
      </c>
      <c r="W2" s="30">
        <f t="shared" si="0"/>
        <v>0.80972786822125853</v>
      </c>
      <c r="X2" s="30">
        <f t="shared" si="0"/>
        <v>0.80163058953904598</v>
      </c>
      <c r="Y2" s="30">
        <f t="shared" si="0"/>
        <v>0.79361428364365549</v>
      </c>
      <c r="Z2" s="30">
        <f t="shared" si="0"/>
        <v>0.78567814080721898</v>
      </c>
      <c r="AA2" s="30">
        <f t="shared" si="0"/>
        <v>0.77782135939914676</v>
      </c>
      <c r="AB2" s="30">
        <f t="shared" si="0"/>
        <v>0.77004314580515532</v>
      </c>
      <c r="AC2" s="30">
        <f t="shared" si="0"/>
        <v>0.76234271434710377</v>
      </c>
      <c r="AD2" s="30">
        <f t="shared" si="0"/>
        <v>0.75471928720363268</v>
      </c>
      <c r="AE2" s="30">
        <f t="shared" si="0"/>
        <v>0.74717209433159637</v>
      </c>
      <c r="AF2" s="30">
        <f t="shared" si="0"/>
        <v>0.73970037338828043</v>
      </c>
      <c r="AG2" s="30">
        <f t="shared" si="0"/>
        <v>0.73230336965439757</v>
      </c>
    </row>
    <row r="3" spans="1:33" x14ac:dyDescent="0.3">
      <c r="A3" s="1" t="s">
        <v>1</v>
      </c>
      <c r="B3" s="30">
        <f>PERMIT_NZ!B3</f>
        <v>1</v>
      </c>
      <c r="C3" s="30">
        <f t="shared" ref="C3:R18" si="1">B3-B3*0.01</f>
        <v>0.99</v>
      </c>
      <c r="D3" s="30">
        <f t="shared" si="1"/>
        <v>0.98009999999999997</v>
      </c>
      <c r="E3" s="30">
        <f t="shared" si="1"/>
        <v>0.97029900000000002</v>
      </c>
      <c r="F3" s="30">
        <f t="shared" si="1"/>
        <v>0.96059601000000006</v>
      </c>
      <c r="G3" s="30">
        <f t="shared" si="1"/>
        <v>0.95099004990000002</v>
      </c>
      <c r="H3" s="30">
        <f t="shared" si="1"/>
        <v>0.941480149401</v>
      </c>
      <c r="I3" s="30">
        <f t="shared" si="1"/>
        <v>0.93206534790699003</v>
      </c>
      <c r="J3" s="30">
        <f t="shared" si="1"/>
        <v>0.92274469442792018</v>
      </c>
      <c r="K3" s="30">
        <f t="shared" si="1"/>
        <v>0.91351724748364094</v>
      </c>
      <c r="L3" s="30">
        <f t="shared" si="1"/>
        <v>0.90438207500880452</v>
      </c>
      <c r="M3" s="30">
        <f t="shared" si="1"/>
        <v>0.89533825425871649</v>
      </c>
      <c r="N3" s="30">
        <f t="shared" si="1"/>
        <v>0.88638487171612934</v>
      </c>
      <c r="O3" s="30">
        <f t="shared" si="1"/>
        <v>0.87752102299896806</v>
      </c>
      <c r="P3" s="30">
        <f t="shared" si="1"/>
        <v>0.86874581276897833</v>
      </c>
      <c r="Q3" s="30">
        <f t="shared" si="1"/>
        <v>0.86005835464128855</v>
      </c>
      <c r="R3" s="30">
        <f t="shared" si="1"/>
        <v>0.85145777109487564</v>
      </c>
      <c r="S3" s="30">
        <f t="shared" si="0"/>
        <v>0.84294319338392687</v>
      </c>
      <c r="T3" s="30">
        <f t="shared" si="0"/>
        <v>0.8345137614500876</v>
      </c>
      <c r="U3" s="30">
        <f t="shared" si="0"/>
        <v>0.82616862383558676</v>
      </c>
      <c r="V3" s="30">
        <f t="shared" si="0"/>
        <v>0.81790693759723088</v>
      </c>
      <c r="W3" s="30">
        <f t="shared" si="0"/>
        <v>0.80972786822125853</v>
      </c>
      <c r="X3" s="30">
        <f t="shared" si="0"/>
        <v>0.80163058953904598</v>
      </c>
      <c r="Y3" s="30">
        <f t="shared" si="0"/>
        <v>0.79361428364365549</v>
      </c>
      <c r="Z3" s="30">
        <f t="shared" si="0"/>
        <v>0.78567814080721898</v>
      </c>
      <c r="AA3" s="30">
        <f t="shared" si="0"/>
        <v>0.77782135939914676</v>
      </c>
      <c r="AB3" s="30">
        <f t="shared" si="0"/>
        <v>0.77004314580515532</v>
      </c>
      <c r="AC3" s="30">
        <f t="shared" si="0"/>
        <v>0.76234271434710377</v>
      </c>
      <c r="AD3" s="30">
        <f t="shared" si="0"/>
        <v>0.75471928720363268</v>
      </c>
      <c r="AE3" s="30">
        <f t="shared" si="0"/>
        <v>0.74717209433159637</v>
      </c>
      <c r="AF3" s="30">
        <f t="shared" si="0"/>
        <v>0.73970037338828043</v>
      </c>
      <c r="AG3" s="30">
        <f t="shared" si="0"/>
        <v>0.73230336965439757</v>
      </c>
    </row>
    <row r="4" spans="1:33" x14ac:dyDescent="0.3">
      <c r="A4" s="1" t="s">
        <v>2</v>
      </c>
      <c r="B4" s="30">
        <f>PERMIT_NZ!B4</f>
        <v>1</v>
      </c>
      <c r="C4" s="30">
        <f t="shared" si="1"/>
        <v>0.99</v>
      </c>
      <c r="D4" s="30">
        <f t="shared" si="0"/>
        <v>0.98009999999999997</v>
      </c>
      <c r="E4" s="30">
        <f t="shared" si="0"/>
        <v>0.97029900000000002</v>
      </c>
      <c r="F4" s="30">
        <f t="shared" si="0"/>
        <v>0.96059601000000006</v>
      </c>
      <c r="G4" s="30">
        <f t="shared" si="0"/>
        <v>0.95099004990000002</v>
      </c>
      <c r="H4" s="30">
        <f t="shared" si="0"/>
        <v>0.941480149401</v>
      </c>
      <c r="I4" s="30">
        <f t="shared" si="0"/>
        <v>0.93206534790699003</v>
      </c>
      <c r="J4" s="30">
        <f t="shared" si="0"/>
        <v>0.92274469442792018</v>
      </c>
      <c r="K4" s="30">
        <f t="shared" si="0"/>
        <v>0.91351724748364094</v>
      </c>
      <c r="L4" s="30">
        <f t="shared" si="0"/>
        <v>0.90438207500880452</v>
      </c>
      <c r="M4" s="30">
        <f t="shared" si="0"/>
        <v>0.89533825425871649</v>
      </c>
      <c r="N4" s="30">
        <f t="shared" si="0"/>
        <v>0.88638487171612934</v>
      </c>
      <c r="O4" s="30">
        <f t="shared" si="0"/>
        <v>0.87752102299896806</v>
      </c>
      <c r="P4" s="30">
        <f t="shared" si="0"/>
        <v>0.86874581276897833</v>
      </c>
      <c r="Q4" s="30">
        <f t="shared" si="0"/>
        <v>0.86005835464128855</v>
      </c>
      <c r="R4" s="30">
        <f t="shared" si="0"/>
        <v>0.85145777109487564</v>
      </c>
      <c r="S4" s="30">
        <f t="shared" si="0"/>
        <v>0.84294319338392687</v>
      </c>
      <c r="T4" s="30">
        <f t="shared" si="0"/>
        <v>0.8345137614500876</v>
      </c>
      <c r="U4" s="30">
        <f t="shared" si="0"/>
        <v>0.82616862383558676</v>
      </c>
      <c r="V4" s="30">
        <f t="shared" si="0"/>
        <v>0.81790693759723088</v>
      </c>
      <c r="W4" s="30">
        <f t="shared" si="0"/>
        <v>0.80972786822125853</v>
      </c>
      <c r="X4" s="30">
        <f t="shared" si="0"/>
        <v>0.80163058953904598</v>
      </c>
      <c r="Y4" s="30">
        <f t="shared" si="0"/>
        <v>0.79361428364365549</v>
      </c>
      <c r="Z4" s="30">
        <f t="shared" si="0"/>
        <v>0.78567814080721898</v>
      </c>
      <c r="AA4" s="30">
        <f t="shared" si="0"/>
        <v>0.77782135939914676</v>
      </c>
      <c r="AB4" s="30">
        <f t="shared" si="0"/>
        <v>0.77004314580515532</v>
      </c>
      <c r="AC4" s="30">
        <f t="shared" si="0"/>
        <v>0.76234271434710377</v>
      </c>
      <c r="AD4" s="30">
        <f t="shared" si="0"/>
        <v>0.75471928720363268</v>
      </c>
      <c r="AE4" s="30">
        <f t="shared" si="0"/>
        <v>0.74717209433159637</v>
      </c>
      <c r="AF4" s="30">
        <f t="shared" si="0"/>
        <v>0.73970037338828043</v>
      </c>
      <c r="AG4" s="30">
        <f t="shared" si="0"/>
        <v>0.73230336965439757</v>
      </c>
    </row>
    <row r="5" spans="1:33" x14ac:dyDescent="0.3">
      <c r="A5" s="1" t="s">
        <v>3</v>
      </c>
      <c r="B5" s="30">
        <f>PERMIT_NZ!B5</f>
        <v>1</v>
      </c>
      <c r="C5" s="30">
        <f t="shared" si="1"/>
        <v>0.99</v>
      </c>
      <c r="D5" s="30">
        <f t="shared" si="0"/>
        <v>0.98009999999999997</v>
      </c>
      <c r="E5" s="30">
        <f t="shared" si="0"/>
        <v>0.97029900000000002</v>
      </c>
      <c r="F5" s="30">
        <f t="shared" si="0"/>
        <v>0.96059601000000006</v>
      </c>
      <c r="G5" s="30">
        <f t="shared" si="0"/>
        <v>0.95099004990000002</v>
      </c>
      <c r="H5" s="30">
        <f t="shared" si="0"/>
        <v>0.941480149401</v>
      </c>
      <c r="I5" s="30">
        <f t="shared" si="0"/>
        <v>0.93206534790699003</v>
      </c>
      <c r="J5" s="30">
        <f t="shared" si="0"/>
        <v>0.92274469442792018</v>
      </c>
      <c r="K5" s="30">
        <f t="shared" si="0"/>
        <v>0.91351724748364094</v>
      </c>
      <c r="L5" s="30">
        <f t="shared" si="0"/>
        <v>0.90438207500880452</v>
      </c>
      <c r="M5" s="30">
        <f t="shared" si="0"/>
        <v>0.89533825425871649</v>
      </c>
      <c r="N5" s="30">
        <f t="shared" si="0"/>
        <v>0.88638487171612934</v>
      </c>
      <c r="O5" s="30">
        <f t="shared" si="0"/>
        <v>0.87752102299896806</v>
      </c>
      <c r="P5" s="30">
        <f t="shared" si="0"/>
        <v>0.86874581276897833</v>
      </c>
      <c r="Q5" s="30">
        <f t="shared" si="0"/>
        <v>0.86005835464128855</v>
      </c>
      <c r="R5" s="30">
        <f t="shared" si="0"/>
        <v>0.85145777109487564</v>
      </c>
      <c r="S5" s="30">
        <f t="shared" si="0"/>
        <v>0.84294319338392687</v>
      </c>
      <c r="T5" s="30">
        <f t="shared" si="0"/>
        <v>0.8345137614500876</v>
      </c>
      <c r="U5" s="30">
        <f t="shared" si="0"/>
        <v>0.82616862383558676</v>
      </c>
      <c r="V5" s="30">
        <f t="shared" si="0"/>
        <v>0.81790693759723088</v>
      </c>
      <c r="W5" s="30">
        <f t="shared" si="0"/>
        <v>0.80972786822125853</v>
      </c>
      <c r="X5" s="30">
        <f t="shared" si="0"/>
        <v>0.80163058953904598</v>
      </c>
      <c r="Y5" s="30">
        <f t="shared" si="0"/>
        <v>0.79361428364365549</v>
      </c>
      <c r="Z5" s="30">
        <f t="shared" si="0"/>
        <v>0.78567814080721898</v>
      </c>
      <c r="AA5" s="30">
        <f t="shared" si="0"/>
        <v>0.77782135939914676</v>
      </c>
      <c r="AB5" s="30">
        <f t="shared" si="0"/>
        <v>0.77004314580515532</v>
      </c>
      <c r="AC5" s="30">
        <f t="shared" si="0"/>
        <v>0.76234271434710377</v>
      </c>
      <c r="AD5" s="30">
        <f t="shared" si="0"/>
        <v>0.75471928720363268</v>
      </c>
      <c r="AE5" s="30">
        <f t="shared" si="0"/>
        <v>0.74717209433159637</v>
      </c>
      <c r="AF5" s="30">
        <f t="shared" si="0"/>
        <v>0.73970037338828043</v>
      </c>
      <c r="AG5" s="30">
        <f t="shared" si="0"/>
        <v>0.73230336965439757</v>
      </c>
    </row>
    <row r="6" spans="1:33" x14ac:dyDescent="0.3">
      <c r="A6" s="1" t="s">
        <v>4</v>
      </c>
      <c r="B6" s="30">
        <f>PERMIT_NZ!B6</f>
        <v>1</v>
      </c>
      <c r="C6" s="30">
        <f t="shared" si="1"/>
        <v>0.99</v>
      </c>
      <c r="D6" s="30">
        <f t="shared" si="0"/>
        <v>0.98009999999999997</v>
      </c>
      <c r="E6" s="30">
        <f t="shared" si="0"/>
        <v>0.97029900000000002</v>
      </c>
      <c r="F6" s="30">
        <f t="shared" si="0"/>
        <v>0.96059601000000006</v>
      </c>
      <c r="G6" s="30">
        <f t="shared" si="0"/>
        <v>0.95099004990000002</v>
      </c>
      <c r="H6" s="30">
        <f t="shared" si="0"/>
        <v>0.941480149401</v>
      </c>
      <c r="I6" s="30">
        <f t="shared" si="0"/>
        <v>0.93206534790699003</v>
      </c>
      <c r="J6" s="30">
        <f t="shared" si="0"/>
        <v>0.92274469442792018</v>
      </c>
      <c r="K6" s="30">
        <f t="shared" si="0"/>
        <v>0.91351724748364094</v>
      </c>
      <c r="L6" s="30">
        <f t="shared" si="0"/>
        <v>0.90438207500880452</v>
      </c>
      <c r="M6" s="30">
        <f t="shared" si="0"/>
        <v>0.89533825425871649</v>
      </c>
      <c r="N6" s="30">
        <f t="shared" si="0"/>
        <v>0.88638487171612934</v>
      </c>
      <c r="O6" s="30">
        <f t="shared" si="0"/>
        <v>0.87752102299896806</v>
      </c>
      <c r="P6" s="30">
        <f t="shared" si="0"/>
        <v>0.86874581276897833</v>
      </c>
      <c r="Q6" s="30">
        <f t="shared" si="0"/>
        <v>0.86005835464128855</v>
      </c>
      <c r="R6" s="30">
        <f t="shared" si="0"/>
        <v>0.85145777109487564</v>
      </c>
      <c r="S6" s="30">
        <f t="shared" si="0"/>
        <v>0.84294319338392687</v>
      </c>
      <c r="T6" s="30">
        <f t="shared" si="0"/>
        <v>0.8345137614500876</v>
      </c>
      <c r="U6" s="30">
        <f t="shared" si="0"/>
        <v>0.82616862383558676</v>
      </c>
      <c r="V6" s="30">
        <f t="shared" si="0"/>
        <v>0.81790693759723088</v>
      </c>
      <c r="W6" s="30">
        <f t="shared" si="0"/>
        <v>0.80972786822125853</v>
      </c>
      <c r="X6" s="30">
        <f t="shared" si="0"/>
        <v>0.80163058953904598</v>
      </c>
      <c r="Y6" s="30">
        <f t="shared" si="0"/>
        <v>0.79361428364365549</v>
      </c>
      <c r="Z6" s="30">
        <f t="shared" si="0"/>
        <v>0.78567814080721898</v>
      </c>
      <c r="AA6" s="30">
        <f t="shared" si="0"/>
        <v>0.77782135939914676</v>
      </c>
      <c r="AB6" s="30">
        <f t="shared" si="0"/>
        <v>0.77004314580515532</v>
      </c>
      <c r="AC6" s="30">
        <f t="shared" si="0"/>
        <v>0.76234271434710377</v>
      </c>
      <c r="AD6" s="30">
        <f t="shared" si="0"/>
        <v>0.75471928720363268</v>
      </c>
      <c r="AE6" s="30">
        <f t="shared" si="0"/>
        <v>0.74717209433159637</v>
      </c>
      <c r="AF6" s="30">
        <f t="shared" si="0"/>
        <v>0.73970037338828043</v>
      </c>
      <c r="AG6" s="30">
        <f t="shared" si="0"/>
        <v>0.73230336965439757</v>
      </c>
    </row>
    <row r="7" spans="1:33" x14ac:dyDescent="0.3">
      <c r="A7" s="1" t="s">
        <v>5</v>
      </c>
      <c r="B7" s="30">
        <f>PERMIT_NZ!B7</f>
        <v>1</v>
      </c>
      <c r="C7" s="30">
        <f t="shared" si="1"/>
        <v>0.99</v>
      </c>
      <c r="D7" s="30">
        <f t="shared" si="0"/>
        <v>0.98009999999999997</v>
      </c>
      <c r="E7" s="30">
        <f t="shared" si="0"/>
        <v>0.97029900000000002</v>
      </c>
      <c r="F7" s="30">
        <f t="shared" si="0"/>
        <v>0.96059601000000006</v>
      </c>
      <c r="G7" s="30">
        <f t="shared" si="0"/>
        <v>0.95099004990000002</v>
      </c>
      <c r="H7" s="30">
        <f t="shared" si="0"/>
        <v>0.941480149401</v>
      </c>
      <c r="I7" s="30">
        <f t="shared" si="0"/>
        <v>0.93206534790699003</v>
      </c>
      <c r="J7" s="30">
        <f t="shared" si="0"/>
        <v>0.92274469442792018</v>
      </c>
      <c r="K7" s="30">
        <f t="shared" si="0"/>
        <v>0.91351724748364094</v>
      </c>
      <c r="L7" s="30">
        <f t="shared" si="0"/>
        <v>0.90438207500880452</v>
      </c>
      <c r="M7" s="30">
        <f t="shared" si="0"/>
        <v>0.89533825425871649</v>
      </c>
      <c r="N7" s="30">
        <f t="shared" si="0"/>
        <v>0.88638487171612934</v>
      </c>
      <c r="O7" s="30">
        <f t="shared" si="0"/>
        <v>0.87752102299896806</v>
      </c>
      <c r="P7" s="30">
        <f t="shared" si="0"/>
        <v>0.86874581276897833</v>
      </c>
      <c r="Q7" s="30">
        <f t="shared" si="0"/>
        <v>0.86005835464128855</v>
      </c>
      <c r="R7" s="30">
        <f t="shared" si="0"/>
        <v>0.85145777109487564</v>
      </c>
      <c r="S7" s="30">
        <f t="shared" si="0"/>
        <v>0.84294319338392687</v>
      </c>
      <c r="T7" s="30">
        <f t="shared" si="0"/>
        <v>0.8345137614500876</v>
      </c>
      <c r="U7" s="30">
        <f t="shared" si="0"/>
        <v>0.82616862383558676</v>
      </c>
      <c r="V7" s="30">
        <f t="shared" si="0"/>
        <v>0.81790693759723088</v>
      </c>
      <c r="W7" s="30">
        <f t="shared" si="0"/>
        <v>0.80972786822125853</v>
      </c>
      <c r="X7" s="30">
        <f t="shared" si="0"/>
        <v>0.80163058953904598</v>
      </c>
      <c r="Y7" s="30">
        <f t="shared" si="0"/>
        <v>0.79361428364365549</v>
      </c>
      <c r="Z7" s="30">
        <f t="shared" si="0"/>
        <v>0.78567814080721898</v>
      </c>
      <c r="AA7" s="30">
        <f t="shared" si="0"/>
        <v>0.77782135939914676</v>
      </c>
      <c r="AB7" s="30">
        <f t="shared" si="0"/>
        <v>0.77004314580515532</v>
      </c>
      <c r="AC7" s="30">
        <f t="shared" si="0"/>
        <v>0.76234271434710377</v>
      </c>
      <c r="AD7" s="30">
        <f t="shared" si="0"/>
        <v>0.75471928720363268</v>
      </c>
      <c r="AE7" s="30">
        <f t="shared" si="0"/>
        <v>0.74717209433159637</v>
      </c>
      <c r="AF7" s="30">
        <f t="shared" si="0"/>
        <v>0.73970037338828043</v>
      </c>
      <c r="AG7" s="30">
        <f t="shared" si="0"/>
        <v>0.73230336965439757</v>
      </c>
    </row>
    <row r="8" spans="1:33" x14ac:dyDescent="0.3">
      <c r="A8" s="1" t="s">
        <v>6</v>
      </c>
      <c r="B8" s="30">
        <f>PERMIT_NZ!B8</f>
        <v>1</v>
      </c>
      <c r="C8" s="30">
        <f t="shared" si="1"/>
        <v>0.99</v>
      </c>
      <c r="D8" s="30">
        <f t="shared" si="0"/>
        <v>0.98009999999999997</v>
      </c>
      <c r="E8" s="30">
        <f t="shared" si="0"/>
        <v>0.97029900000000002</v>
      </c>
      <c r="F8" s="30">
        <f t="shared" si="0"/>
        <v>0.96059601000000006</v>
      </c>
      <c r="G8" s="30">
        <f t="shared" si="0"/>
        <v>0.95099004990000002</v>
      </c>
      <c r="H8" s="30">
        <f t="shared" si="0"/>
        <v>0.941480149401</v>
      </c>
      <c r="I8" s="30">
        <f t="shared" si="0"/>
        <v>0.93206534790699003</v>
      </c>
      <c r="J8" s="30">
        <f t="shared" si="0"/>
        <v>0.92274469442792018</v>
      </c>
      <c r="K8" s="30">
        <f t="shared" si="0"/>
        <v>0.91351724748364094</v>
      </c>
      <c r="L8" s="30">
        <f t="shared" si="0"/>
        <v>0.90438207500880452</v>
      </c>
      <c r="M8" s="30">
        <f t="shared" si="0"/>
        <v>0.89533825425871649</v>
      </c>
      <c r="N8" s="30">
        <f t="shared" si="0"/>
        <v>0.88638487171612934</v>
      </c>
      <c r="O8" s="30">
        <f t="shared" si="0"/>
        <v>0.87752102299896806</v>
      </c>
      <c r="P8" s="30">
        <f t="shared" si="0"/>
        <v>0.86874581276897833</v>
      </c>
      <c r="Q8" s="30">
        <f t="shared" si="0"/>
        <v>0.86005835464128855</v>
      </c>
      <c r="R8" s="30">
        <f t="shared" si="0"/>
        <v>0.85145777109487564</v>
      </c>
      <c r="S8" s="30">
        <f t="shared" si="0"/>
        <v>0.84294319338392687</v>
      </c>
      <c r="T8" s="30">
        <f t="shared" si="0"/>
        <v>0.8345137614500876</v>
      </c>
      <c r="U8" s="30">
        <f t="shared" si="0"/>
        <v>0.82616862383558676</v>
      </c>
      <c r="V8" s="30">
        <f t="shared" si="0"/>
        <v>0.81790693759723088</v>
      </c>
      <c r="W8" s="30">
        <f t="shared" si="0"/>
        <v>0.80972786822125853</v>
      </c>
      <c r="X8" s="30">
        <f t="shared" si="0"/>
        <v>0.80163058953904598</v>
      </c>
      <c r="Y8" s="30">
        <f t="shared" si="0"/>
        <v>0.79361428364365549</v>
      </c>
      <c r="Z8" s="30">
        <f t="shared" si="0"/>
        <v>0.78567814080721898</v>
      </c>
      <c r="AA8" s="30">
        <f t="shared" si="0"/>
        <v>0.77782135939914676</v>
      </c>
      <c r="AB8" s="30">
        <f t="shared" si="0"/>
        <v>0.77004314580515532</v>
      </c>
      <c r="AC8" s="30">
        <f t="shared" si="0"/>
        <v>0.76234271434710377</v>
      </c>
      <c r="AD8" s="30">
        <f t="shared" si="0"/>
        <v>0.75471928720363268</v>
      </c>
      <c r="AE8" s="30">
        <f t="shared" si="0"/>
        <v>0.74717209433159637</v>
      </c>
      <c r="AF8" s="30">
        <f t="shared" si="0"/>
        <v>0.73970037338828043</v>
      </c>
      <c r="AG8" s="30">
        <f t="shared" si="0"/>
        <v>0.73230336965439757</v>
      </c>
    </row>
    <row r="9" spans="1:33" x14ac:dyDescent="0.3">
      <c r="A9" s="1" t="s">
        <v>7</v>
      </c>
      <c r="B9" s="30">
        <f>PERMIT_NZ!B9</f>
        <v>1</v>
      </c>
      <c r="C9" s="30">
        <f t="shared" si="1"/>
        <v>0.99</v>
      </c>
      <c r="D9" s="30">
        <f t="shared" si="0"/>
        <v>0.98009999999999997</v>
      </c>
      <c r="E9" s="30">
        <f t="shared" si="0"/>
        <v>0.97029900000000002</v>
      </c>
      <c r="F9" s="30">
        <f t="shared" si="0"/>
        <v>0.96059601000000006</v>
      </c>
      <c r="G9" s="30">
        <f t="shared" si="0"/>
        <v>0.95099004990000002</v>
      </c>
      <c r="H9" s="30">
        <f t="shared" si="0"/>
        <v>0.941480149401</v>
      </c>
      <c r="I9" s="30">
        <f t="shared" si="0"/>
        <v>0.93206534790699003</v>
      </c>
      <c r="J9" s="30">
        <f t="shared" si="0"/>
        <v>0.92274469442792018</v>
      </c>
      <c r="K9" s="30">
        <f t="shared" si="0"/>
        <v>0.91351724748364094</v>
      </c>
      <c r="L9" s="30">
        <f t="shared" si="0"/>
        <v>0.90438207500880452</v>
      </c>
      <c r="M9" s="30">
        <f t="shared" si="0"/>
        <v>0.89533825425871649</v>
      </c>
      <c r="N9" s="30">
        <f t="shared" si="0"/>
        <v>0.88638487171612934</v>
      </c>
      <c r="O9" s="30">
        <f t="shared" si="0"/>
        <v>0.87752102299896806</v>
      </c>
      <c r="P9" s="30">
        <f t="shared" si="0"/>
        <v>0.86874581276897833</v>
      </c>
      <c r="Q9" s="30">
        <f t="shared" si="0"/>
        <v>0.86005835464128855</v>
      </c>
      <c r="R9" s="30">
        <f t="shared" si="0"/>
        <v>0.85145777109487564</v>
      </c>
      <c r="S9" s="30">
        <f t="shared" si="0"/>
        <v>0.84294319338392687</v>
      </c>
      <c r="T9" s="30">
        <f t="shared" si="0"/>
        <v>0.8345137614500876</v>
      </c>
      <c r="U9" s="30">
        <f t="shared" si="0"/>
        <v>0.82616862383558676</v>
      </c>
      <c r="V9" s="30">
        <f t="shared" si="0"/>
        <v>0.81790693759723088</v>
      </c>
      <c r="W9" s="30">
        <f t="shared" si="0"/>
        <v>0.80972786822125853</v>
      </c>
      <c r="X9" s="30">
        <f t="shared" si="0"/>
        <v>0.80163058953904598</v>
      </c>
      <c r="Y9" s="30">
        <f t="shared" si="0"/>
        <v>0.79361428364365549</v>
      </c>
      <c r="Z9" s="30">
        <f t="shared" si="0"/>
        <v>0.78567814080721898</v>
      </c>
      <c r="AA9" s="30">
        <f t="shared" si="0"/>
        <v>0.77782135939914676</v>
      </c>
      <c r="AB9" s="30">
        <f t="shared" si="0"/>
        <v>0.77004314580515532</v>
      </c>
      <c r="AC9" s="30">
        <f t="shared" si="0"/>
        <v>0.76234271434710377</v>
      </c>
      <c r="AD9" s="30">
        <f t="shared" si="0"/>
        <v>0.75471928720363268</v>
      </c>
      <c r="AE9" s="30">
        <f t="shared" si="0"/>
        <v>0.74717209433159637</v>
      </c>
      <c r="AF9" s="30">
        <f t="shared" si="0"/>
        <v>0.73970037338828043</v>
      </c>
      <c r="AG9" s="30">
        <f t="shared" si="0"/>
        <v>0.73230336965439757</v>
      </c>
    </row>
    <row r="10" spans="1:33" x14ac:dyDescent="0.3">
      <c r="A10" s="1" t="s">
        <v>8</v>
      </c>
      <c r="B10" s="30">
        <f>PERMIT_NZ!B10</f>
        <v>1</v>
      </c>
      <c r="C10" s="30">
        <f t="shared" si="1"/>
        <v>0.99</v>
      </c>
      <c r="D10" s="30">
        <f t="shared" si="0"/>
        <v>0.98009999999999997</v>
      </c>
      <c r="E10" s="30">
        <f t="shared" si="0"/>
        <v>0.97029900000000002</v>
      </c>
      <c r="F10" s="30">
        <f t="shared" si="0"/>
        <v>0.96059601000000006</v>
      </c>
      <c r="G10" s="30">
        <f t="shared" si="0"/>
        <v>0.95099004990000002</v>
      </c>
      <c r="H10" s="30">
        <f t="shared" si="0"/>
        <v>0.941480149401</v>
      </c>
      <c r="I10" s="30">
        <f t="shared" si="0"/>
        <v>0.93206534790699003</v>
      </c>
      <c r="J10" s="30">
        <f t="shared" si="0"/>
        <v>0.92274469442792018</v>
      </c>
      <c r="K10" s="30">
        <f t="shared" si="0"/>
        <v>0.91351724748364094</v>
      </c>
      <c r="L10" s="30">
        <f t="shared" si="0"/>
        <v>0.90438207500880452</v>
      </c>
      <c r="M10" s="30">
        <f t="shared" si="0"/>
        <v>0.89533825425871649</v>
      </c>
      <c r="N10" s="30">
        <f t="shared" si="0"/>
        <v>0.88638487171612934</v>
      </c>
      <c r="O10" s="30">
        <f t="shared" si="0"/>
        <v>0.87752102299896806</v>
      </c>
      <c r="P10" s="30">
        <f t="shared" si="0"/>
        <v>0.86874581276897833</v>
      </c>
      <c r="Q10" s="30">
        <f t="shared" si="0"/>
        <v>0.86005835464128855</v>
      </c>
      <c r="R10" s="30">
        <f t="shared" si="0"/>
        <v>0.85145777109487564</v>
      </c>
      <c r="S10" s="30">
        <f t="shared" si="0"/>
        <v>0.84294319338392687</v>
      </c>
      <c r="T10" s="30">
        <f t="shared" si="0"/>
        <v>0.8345137614500876</v>
      </c>
      <c r="U10" s="30">
        <f t="shared" si="0"/>
        <v>0.82616862383558676</v>
      </c>
      <c r="V10" s="30">
        <f t="shared" si="0"/>
        <v>0.81790693759723088</v>
      </c>
      <c r="W10" s="30">
        <f t="shared" si="0"/>
        <v>0.80972786822125853</v>
      </c>
      <c r="X10" s="30">
        <f t="shared" si="0"/>
        <v>0.80163058953904598</v>
      </c>
      <c r="Y10" s="30">
        <f t="shared" si="0"/>
        <v>0.79361428364365549</v>
      </c>
      <c r="Z10" s="30">
        <f t="shared" si="0"/>
        <v>0.78567814080721898</v>
      </c>
      <c r="AA10" s="30">
        <f t="shared" si="0"/>
        <v>0.77782135939914676</v>
      </c>
      <c r="AB10" s="30">
        <f t="shared" si="0"/>
        <v>0.77004314580515532</v>
      </c>
      <c r="AC10" s="30">
        <f t="shared" si="0"/>
        <v>0.76234271434710377</v>
      </c>
      <c r="AD10" s="30">
        <f t="shared" si="0"/>
        <v>0.75471928720363268</v>
      </c>
      <c r="AE10" s="30">
        <f t="shared" si="0"/>
        <v>0.74717209433159637</v>
      </c>
      <c r="AF10" s="30">
        <f t="shared" si="0"/>
        <v>0.73970037338828043</v>
      </c>
      <c r="AG10" s="30">
        <f t="shared" si="0"/>
        <v>0.73230336965439757</v>
      </c>
    </row>
    <row r="11" spans="1:33" x14ac:dyDescent="0.3">
      <c r="A11" s="1" t="s">
        <v>9</v>
      </c>
      <c r="B11" s="30">
        <f>PERMIT_NZ!B11</f>
        <v>1</v>
      </c>
      <c r="C11" s="30">
        <f t="shared" si="1"/>
        <v>0.99</v>
      </c>
      <c r="D11" s="30">
        <f t="shared" ref="D11:AG18" si="2">C11-C11*0.01</f>
        <v>0.98009999999999997</v>
      </c>
      <c r="E11" s="30">
        <f t="shared" si="2"/>
        <v>0.97029900000000002</v>
      </c>
      <c r="F11" s="30">
        <f t="shared" si="2"/>
        <v>0.96059601000000006</v>
      </c>
      <c r="G11" s="30">
        <f t="shared" si="2"/>
        <v>0.95099004990000002</v>
      </c>
      <c r="H11" s="30">
        <f t="shared" si="2"/>
        <v>0.941480149401</v>
      </c>
      <c r="I11" s="30">
        <f t="shared" si="2"/>
        <v>0.93206534790699003</v>
      </c>
      <c r="J11" s="30">
        <f t="shared" si="2"/>
        <v>0.92274469442792018</v>
      </c>
      <c r="K11" s="30">
        <f t="shared" si="2"/>
        <v>0.91351724748364094</v>
      </c>
      <c r="L11" s="30">
        <f t="shared" si="2"/>
        <v>0.90438207500880452</v>
      </c>
      <c r="M11" s="30">
        <f t="shared" si="2"/>
        <v>0.89533825425871649</v>
      </c>
      <c r="N11" s="30">
        <f t="shared" si="2"/>
        <v>0.88638487171612934</v>
      </c>
      <c r="O11" s="30">
        <f t="shared" si="2"/>
        <v>0.87752102299896806</v>
      </c>
      <c r="P11" s="30">
        <f t="shared" si="2"/>
        <v>0.86874581276897833</v>
      </c>
      <c r="Q11" s="30">
        <f t="shared" si="2"/>
        <v>0.86005835464128855</v>
      </c>
      <c r="R11" s="30">
        <f t="shared" si="2"/>
        <v>0.85145777109487564</v>
      </c>
      <c r="S11" s="30">
        <f t="shared" si="2"/>
        <v>0.84294319338392687</v>
      </c>
      <c r="T11" s="30">
        <f t="shared" si="2"/>
        <v>0.8345137614500876</v>
      </c>
      <c r="U11" s="30">
        <f t="shared" si="2"/>
        <v>0.82616862383558676</v>
      </c>
      <c r="V11" s="30">
        <f t="shared" si="2"/>
        <v>0.81790693759723088</v>
      </c>
      <c r="W11" s="30">
        <f t="shared" si="2"/>
        <v>0.80972786822125853</v>
      </c>
      <c r="X11" s="30">
        <f t="shared" si="2"/>
        <v>0.80163058953904598</v>
      </c>
      <c r="Y11" s="30">
        <f t="shared" si="2"/>
        <v>0.79361428364365549</v>
      </c>
      <c r="Z11" s="30">
        <f t="shared" si="2"/>
        <v>0.78567814080721898</v>
      </c>
      <c r="AA11" s="30">
        <f t="shared" si="2"/>
        <v>0.77782135939914676</v>
      </c>
      <c r="AB11" s="30">
        <f t="shared" si="2"/>
        <v>0.77004314580515532</v>
      </c>
      <c r="AC11" s="30">
        <f t="shared" si="2"/>
        <v>0.76234271434710377</v>
      </c>
      <c r="AD11" s="30">
        <f t="shared" si="2"/>
        <v>0.75471928720363268</v>
      </c>
      <c r="AE11" s="30">
        <f t="shared" si="2"/>
        <v>0.74717209433159637</v>
      </c>
      <c r="AF11" s="30">
        <f t="shared" si="2"/>
        <v>0.73970037338828043</v>
      </c>
      <c r="AG11" s="30">
        <f t="shared" si="2"/>
        <v>0.73230336965439757</v>
      </c>
    </row>
    <row r="12" spans="1:33" x14ac:dyDescent="0.3">
      <c r="A12" s="1" t="s">
        <v>82</v>
      </c>
      <c r="B12" s="30">
        <f>PERMIT_NZ!B12</f>
        <v>1</v>
      </c>
      <c r="C12" s="30">
        <f t="shared" si="1"/>
        <v>0.99</v>
      </c>
      <c r="D12" s="30">
        <f t="shared" si="2"/>
        <v>0.98009999999999997</v>
      </c>
      <c r="E12" s="30">
        <f t="shared" si="2"/>
        <v>0.97029900000000002</v>
      </c>
      <c r="F12" s="30">
        <f t="shared" si="2"/>
        <v>0.96059601000000006</v>
      </c>
      <c r="G12" s="30">
        <f t="shared" si="2"/>
        <v>0.95099004990000002</v>
      </c>
      <c r="H12" s="30">
        <f t="shared" si="2"/>
        <v>0.941480149401</v>
      </c>
      <c r="I12" s="30">
        <f t="shared" si="2"/>
        <v>0.93206534790699003</v>
      </c>
      <c r="J12" s="30">
        <f t="shared" si="2"/>
        <v>0.92274469442792018</v>
      </c>
      <c r="K12" s="30">
        <f t="shared" si="2"/>
        <v>0.91351724748364094</v>
      </c>
      <c r="L12" s="30">
        <f t="shared" si="2"/>
        <v>0.90438207500880452</v>
      </c>
      <c r="M12" s="30">
        <f t="shared" si="2"/>
        <v>0.89533825425871649</v>
      </c>
      <c r="N12" s="30">
        <f t="shared" si="2"/>
        <v>0.88638487171612934</v>
      </c>
      <c r="O12" s="30">
        <f t="shared" si="2"/>
        <v>0.87752102299896806</v>
      </c>
      <c r="P12" s="30">
        <f t="shared" si="2"/>
        <v>0.86874581276897833</v>
      </c>
      <c r="Q12" s="30">
        <f t="shared" si="2"/>
        <v>0.86005835464128855</v>
      </c>
      <c r="R12" s="30">
        <f t="shared" si="2"/>
        <v>0.85145777109487564</v>
      </c>
      <c r="S12" s="30">
        <f t="shared" si="2"/>
        <v>0.84294319338392687</v>
      </c>
      <c r="T12" s="30">
        <f t="shared" si="2"/>
        <v>0.8345137614500876</v>
      </c>
      <c r="U12" s="30">
        <f t="shared" si="2"/>
        <v>0.82616862383558676</v>
      </c>
      <c r="V12" s="30">
        <f t="shared" si="2"/>
        <v>0.81790693759723088</v>
      </c>
      <c r="W12" s="30">
        <f t="shared" si="2"/>
        <v>0.80972786822125853</v>
      </c>
      <c r="X12" s="30">
        <f t="shared" si="2"/>
        <v>0.80163058953904598</v>
      </c>
      <c r="Y12" s="30">
        <f t="shared" si="2"/>
        <v>0.79361428364365549</v>
      </c>
      <c r="Z12" s="30">
        <f t="shared" si="2"/>
        <v>0.78567814080721898</v>
      </c>
      <c r="AA12" s="30">
        <f t="shared" si="2"/>
        <v>0.77782135939914676</v>
      </c>
      <c r="AB12" s="30">
        <f t="shared" si="2"/>
        <v>0.77004314580515532</v>
      </c>
      <c r="AC12" s="30">
        <f t="shared" si="2"/>
        <v>0.76234271434710377</v>
      </c>
      <c r="AD12" s="30">
        <f t="shared" si="2"/>
        <v>0.75471928720363268</v>
      </c>
      <c r="AE12" s="30">
        <f t="shared" si="2"/>
        <v>0.74717209433159637</v>
      </c>
      <c r="AF12" s="30">
        <f t="shared" si="2"/>
        <v>0.73970037338828043</v>
      </c>
      <c r="AG12" s="30">
        <f t="shared" si="2"/>
        <v>0.73230336965439757</v>
      </c>
    </row>
    <row r="13" spans="1:33" x14ac:dyDescent="0.3">
      <c r="A13" s="1" t="s">
        <v>11</v>
      </c>
      <c r="B13" s="30">
        <f>PERMIT_NZ!B13</f>
        <v>1</v>
      </c>
      <c r="C13" s="30">
        <f t="shared" si="1"/>
        <v>0.99</v>
      </c>
      <c r="D13" s="30">
        <f t="shared" si="2"/>
        <v>0.98009999999999997</v>
      </c>
      <c r="E13" s="30">
        <f t="shared" si="2"/>
        <v>0.97029900000000002</v>
      </c>
      <c r="F13" s="30">
        <f t="shared" si="2"/>
        <v>0.96059601000000006</v>
      </c>
      <c r="G13" s="30">
        <f t="shared" si="2"/>
        <v>0.95099004990000002</v>
      </c>
      <c r="H13" s="30">
        <f t="shared" si="2"/>
        <v>0.941480149401</v>
      </c>
      <c r="I13" s="30">
        <f t="shared" si="2"/>
        <v>0.93206534790699003</v>
      </c>
      <c r="J13" s="30">
        <f t="shared" si="2"/>
        <v>0.92274469442792018</v>
      </c>
      <c r="K13" s="30">
        <f t="shared" si="2"/>
        <v>0.91351724748364094</v>
      </c>
      <c r="L13" s="30">
        <f t="shared" si="2"/>
        <v>0.90438207500880452</v>
      </c>
      <c r="M13" s="30">
        <f t="shared" si="2"/>
        <v>0.89533825425871649</v>
      </c>
      <c r="N13" s="30">
        <f t="shared" si="2"/>
        <v>0.88638487171612934</v>
      </c>
      <c r="O13" s="30">
        <f t="shared" si="2"/>
        <v>0.87752102299896806</v>
      </c>
      <c r="P13" s="30">
        <f t="shared" si="2"/>
        <v>0.86874581276897833</v>
      </c>
      <c r="Q13" s="30">
        <f t="shared" si="2"/>
        <v>0.86005835464128855</v>
      </c>
      <c r="R13" s="30">
        <f t="shared" si="2"/>
        <v>0.85145777109487564</v>
      </c>
      <c r="S13" s="30">
        <f t="shared" si="2"/>
        <v>0.84294319338392687</v>
      </c>
      <c r="T13" s="30">
        <f t="shared" si="2"/>
        <v>0.8345137614500876</v>
      </c>
      <c r="U13" s="30">
        <f t="shared" si="2"/>
        <v>0.82616862383558676</v>
      </c>
      <c r="V13" s="30">
        <f t="shared" si="2"/>
        <v>0.81790693759723088</v>
      </c>
      <c r="W13" s="30">
        <f t="shared" si="2"/>
        <v>0.80972786822125853</v>
      </c>
      <c r="X13" s="30">
        <f t="shared" si="2"/>
        <v>0.80163058953904598</v>
      </c>
      <c r="Y13" s="30">
        <f t="shared" si="2"/>
        <v>0.79361428364365549</v>
      </c>
      <c r="Z13" s="30">
        <f t="shared" si="2"/>
        <v>0.78567814080721898</v>
      </c>
      <c r="AA13" s="30">
        <f t="shared" si="2"/>
        <v>0.77782135939914676</v>
      </c>
      <c r="AB13" s="30">
        <f t="shared" si="2"/>
        <v>0.77004314580515532</v>
      </c>
      <c r="AC13" s="30">
        <f t="shared" si="2"/>
        <v>0.76234271434710377</v>
      </c>
      <c r="AD13" s="30">
        <f t="shared" si="2"/>
        <v>0.75471928720363268</v>
      </c>
      <c r="AE13" s="30">
        <f t="shared" si="2"/>
        <v>0.74717209433159637</v>
      </c>
      <c r="AF13" s="30">
        <f t="shared" si="2"/>
        <v>0.73970037338828043</v>
      </c>
      <c r="AG13" s="30">
        <f t="shared" si="2"/>
        <v>0.73230336965439757</v>
      </c>
    </row>
    <row r="14" spans="1:33" x14ac:dyDescent="0.3">
      <c r="A14" s="1" t="s">
        <v>12</v>
      </c>
      <c r="B14" s="30">
        <f>PERMIT_NZ!B14</f>
        <v>1</v>
      </c>
      <c r="C14" s="30">
        <f t="shared" si="1"/>
        <v>0.99</v>
      </c>
      <c r="D14" s="30">
        <f t="shared" si="2"/>
        <v>0.98009999999999997</v>
      </c>
      <c r="E14" s="30">
        <f t="shared" si="2"/>
        <v>0.97029900000000002</v>
      </c>
      <c r="F14" s="30">
        <f t="shared" si="2"/>
        <v>0.96059601000000006</v>
      </c>
      <c r="G14" s="30">
        <f t="shared" si="2"/>
        <v>0.95099004990000002</v>
      </c>
      <c r="H14" s="30">
        <f t="shared" si="2"/>
        <v>0.941480149401</v>
      </c>
      <c r="I14" s="30">
        <f t="shared" si="2"/>
        <v>0.93206534790699003</v>
      </c>
      <c r="J14" s="30">
        <f t="shared" si="2"/>
        <v>0.92274469442792018</v>
      </c>
      <c r="K14" s="30">
        <f t="shared" si="2"/>
        <v>0.91351724748364094</v>
      </c>
      <c r="L14" s="30">
        <f t="shared" si="2"/>
        <v>0.90438207500880452</v>
      </c>
      <c r="M14" s="30">
        <f t="shared" si="2"/>
        <v>0.89533825425871649</v>
      </c>
      <c r="N14" s="30">
        <f t="shared" si="2"/>
        <v>0.88638487171612934</v>
      </c>
      <c r="O14" s="30">
        <f t="shared" si="2"/>
        <v>0.87752102299896806</v>
      </c>
      <c r="P14" s="30">
        <f t="shared" si="2"/>
        <v>0.86874581276897833</v>
      </c>
      <c r="Q14" s="30">
        <f t="shared" si="2"/>
        <v>0.86005835464128855</v>
      </c>
      <c r="R14" s="30">
        <f t="shared" si="2"/>
        <v>0.85145777109487564</v>
      </c>
      <c r="S14" s="30">
        <f t="shared" si="2"/>
        <v>0.84294319338392687</v>
      </c>
      <c r="T14" s="30">
        <f t="shared" si="2"/>
        <v>0.8345137614500876</v>
      </c>
      <c r="U14" s="30">
        <f t="shared" si="2"/>
        <v>0.82616862383558676</v>
      </c>
      <c r="V14" s="30">
        <f t="shared" si="2"/>
        <v>0.81790693759723088</v>
      </c>
      <c r="W14" s="30">
        <f t="shared" si="2"/>
        <v>0.80972786822125853</v>
      </c>
      <c r="X14" s="30">
        <f t="shared" si="2"/>
        <v>0.80163058953904598</v>
      </c>
      <c r="Y14" s="30">
        <f t="shared" si="2"/>
        <v>0.79361428364365549</v>
      </c>
      <c r="Z14" s="30">
        <f t="shared" si="2"/>
        <v>0.78567814080721898</v>
      </c>
      <c r="AA14" s="30">
        <f t="shared" si="2"/>
        <v>0.77782135939914676</v>
      </c>
      <c r="AB14" s="30">
        <f t="shared" si="2"/>
        <v>0.77004314580515532</v>
      </c>
      <c r="AC14" s="30">
        <f t="shared" si="2"/>
        <v>0.76234271434710377</v>
      </c>
      <c r="AD14" s="30">
        <f t="shared" si="2"/>
        <v>0.75471928720363268</v>
      </c>
      <c r="AE14" s="30">
        <f t="shared" si="2"/>
        <v>0.74717209433159637</v>
      </c>
      <c r="AF14" s="30">
        <f t="shared" si="2"/>
        <v>0.73970037338828043</v>
      </c>
      <c r="AG14" s="30">
        <f t="shared" si="2"/>
        <v>0.73230336965439757</v>
      </c>
    </row>
    <row r="15" spans="1:33" x14ac:dyDescent="0.3">
      <c r="A15" s="1" t="s">
        <v>83</v>
      </c>
      <c r="B15" s="30">
        <f>PERMIT_NZ!B15</f>
        <v>1</v>
      </c>
      <c r="C15" s="30">
        <f t="shared" si="1"/>
        <v>0.99</v>
      </c>
      <c r="D15" s="30">
        <f t="shared" si="2"/>
        <v>0.98009999999999997</v>
      </c>
      <c r="E15" s="30">
        <f t="shared" si="2"/>
        <v>0.97029900000000002</v>
      </c>
      <c r="F15" s="30">
        <f t="shared" si="2"/>
        <v>0.96059601000000006</v>
      </c>
      <c r="G15" s="30">
        <f t="shared" si="2"/>
        <v>0.95099004990000002</v>
      </c>
      <c r="H15" s="30">
        <f t="shared" si="2"/>
        <v>0.941480149401</v>
      </c>
      <c r="I15" s="30">
        <f t="shared" si="2"/>
        <v>0.93206534790699003</v>
      </c>
      <c r="J15" s="30">
        <f t="shared" si="2"/>
        <v>0.92274469442792018</v>
      </c>
      <c r="K15" s="30">
        <f t="shared" si="2"/>
        <v>0.91351724748364094</v>
      </c>
      <c r="L15" s="30">
        <f t="shared" si="2"/>
        <v>0.90438207500880452</v>
      </c>
      <c r="M15" s="30">
        <f t="shared" si="2"/>
        <v>0.89533825425871649</v>
      </c>
      <c r="N15" s="30">
        <f t="shared" si="2"/>
        <v>0.88638487171612934</v>
      </c>
      <c r="O15" s="30">
        <f t="shared" si="2"/>
        <v>0.87752102299896806</v>
      </c>
      <c r="P15" s="30">
        <f t="shared" si="2"/>
        <v>0.86874581276897833</v>
      </c>
      <c r="Q15" s="30">
        <f t="shared" si="2"/>
        <v>0.86005835464128855</v>
      </c>
      <c r="R15" s="30">
        <f t="shared" si="2"/>
        <v>0.85145777109487564</v>
      </c>
      <c r="S15" s="30">
        <f t="shared" si="2"/>
        <v>0.84294319338392687</v>
      </c>
      <c r="T15" s="30">
        <f t="shared" si="2"/>
        <v>0.8345137614500876</v>
      </c>
      <c r="U15" s="30">
        <f t="shared" si="2"/>
        <v>0.82616862383558676</v>
      </c>
      <c r="V15" s="30">
        <f t="shared" si="2"/>
        <v>0.81790693759723088</v>
      </c>
      <c r="W15" s="30">
        <f t="shared" si="2"/>
        <v>0.80972786822125853</v>
      </c>
      <c r="X15" s="30">
        <f t="shared" si="2"/>
        <v>0.80163058953904598</v>
      </c>
      <c r="Y15" s="30">
        <f t="shared" si="2"/>
        <v>0.79361428364365549</v>
      </c>
      <c r="Z15" s="30">
        <f t="shared" si="2"/>
        <v>0.78567814080721898</v>
      </c>
      <c r="AA15" s="30">
        <f t="shared" si="2"/>
        <v>0.77782135939914676</v>
      </c>
      <c r="AB15" s="30">
        <f t="shared" si="2"/>
        <v>0.77004314580515532</v>
      </c>
      <c r="AC15" s="30">
        <f t="shared" si="2"/>
        <v>0.76234271434710377</v>
      </c>
      <c r="AD15" s="30">
        <f t="shared" si="2"/>
        <v>0.75471928720363268</v>
      </c>
      <c r="AE15" s="30">
        <f t="shared" si="2"/>
        <v>0.74717209433159637</v>
      </c>
      <c r="AF15" s="30">
        <f t="shared" si="2"/>
        <v>0.73970037338828043</v>
      </c>
      <c r="AG15" s="30">
        <f t="shared" si="2"/>
        <v>0.73230336965439757</v>
      </c>
    </row>
    <row r="16" spans="1:33" x14ac:dyDescent="0.3">
      <c r="A16" s="1" t="s">
        <v>14</v>
      </c>
      <c r="B16" s="30">
        <f>PERMIT_NZ!B16</f>
        <v>1</v>
      </c>
      <c r="C16" s="30">
        <f t="shared" si="1"/>
        <v>0.99</v>
      </c>
      <c r="D16" s="30">
        <f t="shared" si="2"/>
        <v>0.98009999999999997</v>
      </c>
      <c r="E16" s="30">
        <f t="shared" si="2"/>
        <v>0.97029900000000002</v>
      </c>
      <c r="F16" s="30">
        <f t="shared" si="2"/>
        <v>0.96059601000000006</v>
      </c>
      <c r="G16" s="30">
        <f t="shared" si="2"/>
        <v>0.95099004990000002</v>
      </c>
      <c r="H16" s="30">
        <f t="shared" si="2"/>
        <v>0.941480149401</v>
      </c>
      <c r="I16" s="30">
        <f t="shared" si="2"/>
        <v>0.93206534790699003</v>
      </c>
      <c r="J16" s="30">
        <f t="shared" si="2"/>
        <v>0.92274469442792018</v>
      </c>
      <c r="K16" s="30">
        <f t="shared" si="2"/>
        <v>0.91351724748364094</v>
      </c>
      <c r="L16" s="30">
        <f t="shared" si="2"/>
        <v>0.90438207500880452</v>
      </c>
      <c r="M16" s="30">
        <f t="shared" si="2"/>
        <v>0.89533825425871649</v>
      </c>
      <c r="N16" s="30">
        <f t="shared" si="2"/>
        <v>0.88638487171612934</v>
      </c>
      <c r="O16" s="30">
        <f t="shared" si="2"/>
        <v>0.87752102299896806</v>
      </c>
      <c r="P16" s="30">
        <f t="shared" si="2"/>
        <v>0.86874581276897833</v>
      </c>
      <c r="Q16" s="30">
        <f t="shared" si="2"/>
        <v>0.86005835464128855</v>
      </c>
      <c r="R16" s="30">
        <f t="shared" si="2"/>
        <v>0.85145777109487564</v>
      </c>
      <c r="S16" s="30">
        <f t="shared" si="2"/>
        <v>0.84294319338392687</v>
      </c>
      <c r="T16" s="30">
        <f t="shared" si="2"/>
        <v>0.8345137614500876</v>
      </c>
      <c r="U16" s="30">
        <f t="shared" si="2"/>
        <v>0.82616862383558676</v>
      </c>
      <c r="V16" s="30">
        <f t="shared" si="2"/>
        <v>0.81790693759723088</v>
      </c>
      <c r="W16" s="30">
        <f t="shared" si="2"/>
        <v>0.80972786822125853</v>
      </c>
      <c r="X16" s="30">
        <f t="shared" si="2"/>
        <v>0.80163058953904598</v>
      </c>
      <c r="Y16" s="30">
        <f t="shared" si="2"/>
        <v>0.79361428364365549</v>
      </c>
      <c r="Z16" s="30">
        <f t="shared" si="2"/>
        <v>0.78567814080721898</v>
      </c>
      <c r="AA16" s="30">
        <f t="shared" si="2"/>
        <v>0.77782135939914676</v>
      </c>
      <c r="AB16" s="30">
        <f t="shared" si="2"/>
        <v>0.77004314580515532</v>
      </c>
      <c r="AC16" s="30">
        <f t="shared" si="2"/>
        <v>0.76234271434710377</v>
      </c>
      <c r="AD16" s="30">
        <f t="shared" si="2"/>
        <v>0.75471928720363268</v>
      </c>
      <c r="AE16" s="30">
        <f t="shared" si="2"/>
        <v>0.74717209433159637</v>
      </c>
      <c r="AF16" s="30">
        <f t="shared" si="2"/>
        <v>0.73970037338828043</v>
      </c>
      <c r="AG16" s="30">
        <f t="shared" si="2"/>
        <v>0.73230336965439757</v>
      </c>
    </row>
    <row r="17" spans="1:33" x14ac:dyDescent="0.3">
      <c r="A17" s="1" t="s">
        <v>81</v>
      </c>
      <c r="B17" s="30">
        <f>PERMIT_NZ!B17</f>
        <v>1</v>
      </c>
      <c r="C17" s="30">
        <f t="shared" si="1"/>
        <v>0.99</v>
      </c>
      <c r="D17" s="30">
        <f t="shared" si="2"/>
        <v>0.98009999999999997</v>
      </c>
      <c r="E17" s="30">
        <f t="shared" si="2"/>
        <v>0.97029900000000002</v>
      </c>
      <c r="F17" s="30">
        <f t="shared" si="2"/>
        <v>0.96059601000000006</v>
      </c>
      <c r="G17" s="30">
        <f t="shared" si="2"/>
        <v>0.95099004990000002</v>
      </c>
      <c r="H17" s="30">
        <f t="shared" si="2"/>
        <v>0.941480149401</v>
      </c>
      <c r="I17" s="30">
        <f t="shared" si="2"/>
        <v>0.93206534790699003</v>
      </c>
      <c r="J17" s="30">
        <f t="shared" si="2"/>
        <v>0.92274469442792018</v>
      </c>
      <c r="K17" s="30">
        <f t="shared" si="2"/>
        <v>0.91351724748364094</v>
      </c>
      <c r="L17" s="30">
        <f t="shared" si="2"/>
        <v>0.90438207500880452</v>
      </c>
      <c r="M17" s="30">
        <f t="shared" si="2"/>
        <v>0.89533825425871649</v>
      </c>
      <c r="N17" s="30">
        <f t="shared" si="2"/>
        <v>0.88638487171612934</v>
      </c>
      <c r="O17" s="30">
        <f t="shared" si="2"/>
        <v>0.87752102299896806</v>
      </c>
      <c r="P17" s="30">
        <f t="shared" si="2"/>
        <v>0.86874581276897833</v>
      </c>
      <c r="Q17" s="30">
        <f t="shared" si="2"/>
        <v>0.86005835464128855</v>
      </c>
      <c r="R17" s="30">
        <f t="shared" si="2"/>
        <v>0.85145777109487564</v>
      </c>
      <c r="S17" s="30">
        <f t="shared" si="2"/>
        <v>0.84294319338392687</v>
      </c>
      <c r="T17" s="30">
        <f t="shared" si="2"/>
        <v>0.8345137614500876</v>
      </c>
      <c r="U17" s="30">
        <f t="shared" si="2"/>
        <v>0.82616862383558676</v>
      </c>
      <c r="V17" s="30">
        <f t="shared" si="2"/>
        <v>0.81790693759723088</v>
      </c>
      <c r="W17" s="30">
        <f t="shared" si="2"/>
        <v>0.80972786822125853</v>
      </c>
      <c r="X17" s="30">
        <f t="shared" si="2"/>
        <v>0.80163058953904598</v>
      </c>
      <c r="Y17" s="30">
        <f t="shared" si="2"/>
        <v>0.79361428364365549</v>
      </c>
      <c r="Z17" s="30">
        <f t="shared" si="2"/>
        <v>0.78567814080721898</v>
      </c>
      <c r="AA17" s="30">
        <f t="shared" si="2"/>
        <v>0.77782135939914676</v>
      </c>
      <c r="AB17" s="30">
        <f t="shared" si="2"/>
        <v>0.77004314580515532</v>
      </c>
      <c r="AC17" s="30">
        <f t="shared" si="2"/>
        <v>0.76234271434710377</v>
      </c>
      <c r="AD17" s="30">
        <f t="shared" si="2"/>
        <v>0.75471928720363268</v>
      </c>
      <c r="AE17" s="30">
        <f t="shared" si="2"/>
        <v>0.74717209433159637</v>
      </c>
      <c r="AF17" s="30">
        <f t="shared" si="2"/>
        <v>0.73970037338828043</v>
      </c>
      <c r="AG17" s="30">
        <f t="shared" si="2"/>
        <v>0.73230336965439757</v>
      </c>
    </row>
    <row r="18" spans="1:33" x14ac:dyDescent="0.3">
      <c r="A18" s="1" t="s">
        <v>80</v>
      </c>
      <c r="B18" s="30">
        <f>PERMIT_NZ!B18</f>
        <v>1</v>
      </c>
      <c r="C18" s="30">
        <f t="shared" si="1"/>
        <v>0.99</v>
      </c>
      <c r="D18" s="30">
        <f t="shared" si="2"/>
        <v>0.98009999999999997</v>
      </c>
      <c r="E18" s="30">
        <f t="shared" si="2"/>
        <v>0.97029900000000002</v>
      </c>
      <c r="F18" s="30">
        <f t="shared" si="2"/>
        <v>0.96059601000000006</v>
      </c>
      <c r="G18" s="30">
        <f t="shared" si="2"/>
        <v>0.95099004990000002</v>
      </c>
      <c r="H18" s="30">
        <f t="shared" si="2"/>
        <v>0.941480149401</v>
      </c>
      <c r="I18" s="30">
        <f t="shared" si="2"/>
        <v>0.93206534790699003</v>
      </c>
      <c r="J18" s="30">
        <f t="shared" si="2"/>
        <v>0.92274469442792018</v>
      </c>
      <c r="K18" s="30">
        <f t="shared" si="2"/>
        <v>0.91351724748364094</v>
      </c>
      <c r="L18" s="30">
        <f t="shared" si="2"/>
        <v>0.90438207500880452</v>
      </c>
      <c r="M18" s="30">
        <f t="shared" si="2"/>
        <v>0.89533825425871649</v>
      </c>
      <c r="N18" s="30">
        <f t="shared" si="2"/>
        <v>0.88638487171612934</v>
      </c>
      <c r="O18" s="30">
        <f t="shared" si="2"/>
        <v>0.87752102299896806</v>
      </c>
      <c r="P18" s="30">
        <f t="shared" si="2"/>
        <v>0.86874581276897833</v>
      </c>
      <c r="Q18" s="30">
        <f t="shared" si="2"/>
        <v>0.86005835464128855</v>
      </c>
      <c r="R18" s="30">
        <f t="shared" si="2"/>
        <v>0.85145777109487564</v>
      </c>
      <c r="S18" s="30">
        <f t="shared" si="2"/>
        <v>0.84294319338392687</v>
      </c>
      <c r="T18" s="30">
        <f t="shared" si="2"/>
        <v>0.8345137614500876</v>
      </c>
      <c r="U18" s="30">
        <f t="shared" si="2"/>
        <v>0.82616862383558676</v>
      </c>
      <c r="V18" s="30">
        <f t="shared" si="2"/>
        <v>0.81790693759723088</v>
      </c>
      <c r="W18" s="30">
        <f t="shared" si="2"/>
        <v>0.80972786822125853</v>
      </c>
      <c r="X18" s="30">
        <f t="shared" si="2"/>
        <v>0.80163058953904598</v>
      </c>
      <c r="Y18" s="30">
        <f t="shared" si="2"/>
        <v>0.79361428364365549</v>
      </c>
      <c r="Z18" s="30">
        <f t="shared" si="2"/>
        <v>0.78567814080721898</v>
      </c>
      <c r="AA18" s="30">
        <f t="shared" si="2"/>
        <v>0.77782135939914676</v>
      </c>
      <c r="AB18" s="30">
        <f t="shared" si="2"/>
        <v>0.77004314580515532</v>
      </c>
      <c r="AC18" s="30">
        <f t="shared" si="2"/>
        <v>0.76234271434710377</v>
      </c>
      <c r="AD18" s="30">
        <f t="shared" si="2"/>
        <v>0.75471928720363268</v>
      </c>
      <c r="AE18" s="30">
        <f t="shared" si="2"/>
        <v>0.74717209433159637</v>
      </c>
      <c r="AF18" s="30">
        <f t="shared" si="2"/>
        <v>0.73970037338828043</v>
      </c>
      <c r="AG18" s="30">
        <f t="shared" si="2"/>
        <v>0.73230336965439757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03BD-066C-4E39-ADFE-C141E29EFBF9}">
  <dimension ref="A1:AG18"/>
  <sheetViews>
    <sheetView zoomScale="70" zoomScaleNormal="70" workbookViewId="0">
      <selection activeCell="A25" sqref="A25"/>
    </sheetView>
  </sheetViews>
  <sheetFormatPr defaultRowHeight="14.4" x14ac:dyDescent="0.3"/>
  <cols>
    <col min="2" max="33" width="6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B2-B2*0.02</f>
        <v>0.98</v>
      </c>
      <c r="D2" s="30">
        <f t="shared" ref="D2:AG10" si="0">C2-C2*0.02</f>
        <v>0.96040000000000003</v>
      </c>
      <c r="E2" s="30">
        <f t="shared" si="0"/>
        <v>0.94119200000000003</v>
      </c>
      <c r="F2" s="30">
        <f t="shared" si="0"/>
        <v>0.92236815999999999</v>
      </c>
      <c r="G2" s="30">
        <f t="shared" si="0"/>
        <v>0.90392079680000004</v>
      </c>
      <c r="H2" s="30">
        <f t="shared" si="0"/>
        <v>0.88584238086400002</v>
      </c>
      <c r="I2" s="30">
        <f t="shared" si="0"/>
        <v>0.86812553324672004</v>
      </c>
      <c r="J2" s="30">
        <f t="shared" si="0"/>
        <v>0.8507630225817856</v>
      </c>
      <c r="K2" s="30">
        <f t="shared" si="0"/>
        <v>0.83374776213014989</v>
      </c>
      <c r="L2" s="30">
        <f t="shared" si="0"/>
        <v>0.81707280688754691</v>
      </c>
      <c r="M2" s="30">
        <f t="shared" si="0"/>
        <v>0.80073135074979596</v>
      </c>
      <c r="N2" s="30">
        <f t="shared" si="0"/>
        <v>0.78471672373480006</v>
      </c>
      <c r="O2" s="30">
        <f t="shared" si="0"/>
        <v>0.76902238926010402</v>
      </c>
      <c r="P2" s="30">
        <f t="shared" si="0"/>
        <v>0.75364194147490193</v>
      </c>
      <c r="Q2" s="30">
        <f t="shared" si="0"/>
        <v>0.73856910264540387</v>
      </c>
      <c r="R2" s="30">
        <f t="shared" si="0"/>
        <v>0.72379772059249581</v>
      </c>
      <c r="S2" s="30">
        <f t="shared" si="0"/>
        <v>0.70932176618064591</v>
      </c>
      <c r="T2" s="30">
        <f t="shared" si="0"/>
        <v>0.69513533085703294</v>
      </c>
      <c r="U2" s="30">
        <f t="shared" si="0"/>
        <v>0.68123262423989228</v>
      </c>
      <c r="V2" s="30">
        <f t="shared" si="0"/>
        <v>0.66760797175509445</v>
      </c>
      <c r="W2" s="30">
        <f t="shared" si="0"/>
        <v>0.65425581231999252</v>
      </c>
      <c r="X2" s="30">
        <f t="shared" si="0"/>
        <v>0.64117069607359267</v>
      </c>
      <c r="Y2" s="30">
        <f t="shared" si="0"/>
        <v>0.62834728215212077</v>
      </c>
      <c r="Z2" s="30">
        <f t="shared" si="0"/>
        <v>0.61578033650907837</v>
      </c>
      <c r="AA2" s="30">
        <f t="shared" si="0"/>
        <v>0.60346472977889676</v>
      </c>
      <c r="AB2" s="30">
        <f t="shared" si="0"/>
        <v>0.59139543518331883</v>
      </c>
      <c r="AC2" s="30">
        <f t="shared" si="0"/>
        <v>0.57956752647965248</v>
      </c>
      <c r="AD2" s="30">
        <f t="shared" si="0"/>
        <v>0.56797617595005945</v>
      </c>
      <c r="AE2" s="30">
        <f t="shared" si="0"/>
        <v>0.55661665243105829</v>
      </c>
      <c r="AF2" s="30">
        <f t="shared" si="0"/>
        <v>0.54548431938243713</v>
      </c>
      <c r="AG2" s="30">
        <f t="shared" si="0"/>
        <v>0.53457463299478836</v>
      </c>
    </row>
    <row r="3" spans="1:33" x14ac:dyDescent="0.3">
      <c r="A3" s="1" t="s">
        <v>1</v>
      </c>
      <c r="B3" s="30">
        <f>PERMIT_NZ!B3</f>
        <v>1</v>
      </c>
      <c r="C3" s="30">
        <f t="shared" ref="C3:R18" si="1">B3-B3*0.02</f>
        <v>0.98</v>
      </c>
      <c r="D3" s="30">
        <f t="shared" si="1"/>
        <v>0.96040000000000003</v>
      </c>
      <c r="E3" s="30">
        <f t="shared" si="1"/>
        <v>0.94119200000000003</v>
      </c>
      <c r="F3" s="30">
        <f t="shared" si="1"/>
        <v>0.92236815999999999</v>
      </c>
      <c r="G3" s="30">
        <f t="shared" si="1"/>
        <v>0.90392079680000004</v>
      </c>
      <c r="H3" s="30">
        <f t="shared" si="1"/>
        <v>0.88584238086400002</v>
      </c>
      <c r="I3" s="30">
        <f t="shared" si="1"/>
        <v>0.86812553324672004</v>
      </c>
      <c r="J3" s="30">
        <f t="shared" si="1"/>
        <v>0.8507630225817856</v>
      </c>
      <c r="K3" s="30">
        <f t="shared" si="1"/>
        <v>0.83374776213014989</v>
      </c>
      <c r="L3" s="30">
        <f t="shared" si="1"/>
        <v>0.81707280688754691</v>
      </c>
      <c r="M3" s="30">
        <f t="shared" si="1"/>
        <v>0.80073135074979596</v>
      </c>
      <c r="N3" s="30">
        <f t="shared" si="1"/>
        <v>0.78471672373480006</v>
      </c>
      <c r="O3" s="30">
        <f t="shared" si="1"/>
        <v>0.76902238926010402</v>
      </c>
      <c r="P3" s="30">
        <f t="shared" si="1"/>
        <v>0.75364194147490193</v>
      </c>
      <c r="Q3" s="30">
        <f t="shared" si="1"/>
        <v>0.73856910264540387</v>
      </c>
      <c r="R3" s="30">
        <f t="shared" si="1"/>
        <v>0.72379772059249581</v>
      </c>
      <c r="S3" s="30">
        <f t="shared" si="0"/>
        <v>0.70932176618064591</v>
      </c>
      <c r="T3" s="30">
        <f t="shared" si="0"/>
        <v>0.69513533085703294</v>
      </c>
      <c r="U3" s="30">
        <f t="shared" si="0"/>
        <v>0.68123262423989228</v>
      </c>
      <c r="V3" s="30">
        <f t="shared" si="0"/>
        <v>0.66760797175509445</v>
      </c>
      <c r="W3" s="30">
        <f t="shared" si="0"/>
        <v>0.65425581231999252</v>
      </c>
      <c r="X3" s="30">
        <f t="shared" si="0"/>
        <v>0.64117069607359267</v>
      </c>
      <c r="Y3" s="30">
        <f t="shared" si="0"/>
        <v>0.62834728215212077</v>
      </c>
      <c r="Z3" s="30">
        <f t="shared" si="0"/>
        <v>0.61578033650907837</v>
      </c>
      <c r="AA3" s="30">
        <f t="shared" si="0"/>
        <v>0.60346472977889676</v>
      </c>
      <c r="AB3" s="30">
        <f t="shared" si="0"/>
        <v>0.59139543518331883</v>
      </c>
      <c r="AC3" s="30">
        <f t="shared" si="0"/>
        <v>0.57956752647965248</v>
      </c>
      <c r="AD3" s="30">
        <f t="shared" si="0"/>
        <v>0.56797617595005945</v>
      </c>
      <c r="AE3" s="30">
        <f t="shared" si="0"/>
        <v>0.55661665243105829</v>
      </c>
      <c r="AF3" s="30">
        <f t="shared" si="0"/>
        <v>0.54548431938243713</v>
      </c>
      <c r="AG3" s="30">
        <f t="shared" si="0"/>
        <v>0.53457463299478836</v>
      </c>
    </row>
    <row r="4" spans="1:33" x14ac:dyDescent="0.3">
      <c r="A4" s="1" t="s">
        <v>2</v>
      </c>
      <c r="B4" s="30">
        <f>PERMIT_NZ!B4</f>
        <v>1</v>
      </c>
      <c r="C4" s="30">
        <f t="shared" si="1"/>
        <v>0.98</v>
      </c>
      <c r="D4" s="30">
        <f t="shared" si="0"/>
        <v>0.96040000000000003</v>
      </c>
      <c r="E4" s="30">
        <f t="shared" si="0"/>
        <v>0.94119200000000003</v>
      </c>
      <c r="F4" s="30">
        <f t="shared" si="0"/>
        <v>0.92236815999999999</v>
      </c>
      <c r="G4" s="30">
        <f t="shared" si="0"/>
        <v>0.90392079680000004</v>
      </c>
      <c r="H4" s="30">
        <f t="shared" si="0"/>
        <v>0.88584238086400002</v>
      </c>
      <c r="I4" s="30">
        <f t="shared" si="0"/>
        <v>0.86812553324672004</v>
      </c>
      <c r="J4" s="30">
        <f t="shared" si="0"/>
        <v>0.8507630225817856</v>
      </c>
      <c r="K4" s="30">
        <f t="shared" si="0"/>
        <v>0.83374776213014989</v>
      </c>
      <c r="L4" s="30">
        <f t="shared" si="0"/>
        <v>0.81707280688754691</v>
      </c>
      <c r="M4" s="30">
        <f t="shared" si="0"/>
        <v>0.80073135074979596</v>
      </c>
      <c r="N4" s="30">
        <f t="shared" si="0"/>
        <v>0.78471672373480006</v>
      </c>
      <c r="O4" s="30">
        <f t="shared" si="0"/>
        <v>0.76902238926010402</v>
      </c>
      <c r="P4" s="30">
        <f t="shared" si="0"/>
        <v>0.75364194147490193</v>
      </c>
      <c r="Q4" s="30">
        <f t="shared" si="0"/>
        <v>0.73856910264540387</v>
      </c>
      <c r="R4" s="30">
        <f t="shared" si="0"/>
        <v>0.72379772059249581</v>
      </c>
      <c r="S4" s="30">
        <f t="shared" si="0"/>
        <v>0.70932176618064591</v>
      </c>
      <c r="T4" s="30">
        <f t="shared" si="0"/>
        <v>0.69513533085703294</v>
      </c>
      <c r="U4" s="30">
        <f t="shared" si="0"/>
        <v>0.68123262423989228</v>
      </c>
      <c r="V4" s="30">
        <f t="shared" si="0"/>
        <v>0.66760797175509445</v>
      </c>
      <c r="W4" s="30">
        <f t="shared" si="0"/>
        <v>0.65425581231999252</v>
      </c>
      <c r="X4" s="30">
        <f t="shared" si="0"/>
        <v>0.64117069607359267</v>
      </c>
      <c r="Y4" s="30">
        <f t="shared" si="0"/>
        <v>0.62834728215212077</v>
      </c>
      <c r="Z4" s="30">
        <f t="shared" si="0"/>
        <v>0.61578033650907837</v>
      </c>
      <c r="AA4" s="30">
        <f t="shared" si="0"/>
        <v>0.60346472977889676</v>
      </c>
      <c r="AB4" s="30">
        <f t="shared" si="0"/>
        <v>0.59139543518331883</v>
      </c>
      <c r="AC4" s="30">
        <f t="shared" si="0"/>
        <v>0.57956752647965248</v>
      </c>
      <c r="AD4" s="30">
        <f t="shared" si="0"/>
        <v>0.56797617595005945</v>
      </c>
      <c r="AE4" s="30">
        <f t="shared" si="0"/>
        <v>0.55661665243105829</v>
      </c>
      <c r="AF4" s="30">
        <f t="shared" si="0"/>
        <v>0.54548431938243713</v>
      </c>
      <c r="AG4" s="30">
        <f t="shared" si="0"/>
        <v>0.53457463299478836</v>
      </c>
    </row>
    <row r="5" spans="1:33" x14ac:dyDescent="0.3">
      <c r="A5" s="1" t="s">
        <v>3</v>
      </c>
      <c r="B5" s="30">
        <f>PERMIT_NZ!B5</f>
        <v>1</v>
      </c>
      <c r="C5" s="30">
        <f t="shared" si="1"/>
        <v>0.98</v>
      </c>
      <c r="D5" s="30">
        <f t="shared" si="0"/>
        <v>0.96040000000000003</v>
      </c>
      <c r="E5" s="30">
        <f t="shared" si="0"/>
        <v>0.94119200000000003</v>
      </c>
      <c r="F5" s="30">
        <f t="shared" si="0"/>
        <v>0.92236815999999999</v>
      </c>
      <c r="G5" s="30">
        <f t="shared" si="0"/>
        <v>0.90392079680000004</v>
      </c>
      <c r="H5" s="30">
        <f t="shared" si="0"/>
        <v>0.88584238086400002</v>
      </c>
      <c r="I5" s="30">
        <f t="shared" si="0"/>
        <v>0.86812553324672004</v>
      </c>
      <c r="J5" s="30">
        <f t="shared" si="0"/>
        <v>0.8507630225817856</v>
      </c>
      <c r="K5" s="30">
        <f t="shared" si="0"/>
        <v>0.83374776213014989</v>
      </c>
      <c r="L5" s="30">
        <f t="shared" si="0"/>
        <v>0.81707280688754691</v>
      </c>
      <c r="M5" s="30">
        <f t="shared" si="0"/>
        <v>0.80073135074979596</v>
      </c>
      <c r="N5" s="30">
        <f t="shared" si="0"/>
        <v>0.78471672373480006</v>
      </c>
      <c r="O5" s="30">
        <f t="shared" si="0"/>
        <v>0.76902238926010402</v>
      </c>
      <c r="P5" s="30">
        <f t="shared" si="0"/>
        <v>0.75364194147490193</v>
      </c>
      <c r="Q5" s="30">
        <f t="shared" si="0"/>
        <v>0.73856910264540387</v>
      </c>
      <c r="R5" s="30">
        <f t="shared" si="0"/>
        <v>0.72379772059249581</v>
      </c>
      <c r="S5" s="30">
        <f t="shared" si="0"/>
        <v>0.70932176618064591</v>
      </c>
      <c r="T5" s="30">
        <f t="shared" si="0"/>
        <v>0.69513533085703294</v>
      </c>
      <c r="U5" s="30">
        <f t="shared" si="0"/>
        <v>0.68123262423989228</v>
      </c>
      <c r="V5" s="30">
        <f t="shared" si="0"/>
        <v>0.66760797175509445</v>
      </c>
      <c r="W5" s="30">
        <f t="shared" si="0"/>
        <v>0.65425581231999252</v>
      </c>
      <c r="X5" s="30">
        <f t="shared" si="0"/>
        <v>0.64117069607359267</v>
      </c>
      <c r="Y5" s="30">
        <f t="shared" si="0"/>
        <v>0.62834728215212077</v>
      </c>
      <c r="Z5" s="30">
        <f t="shared" si="0"/>
        <v>0.61578033650907837</v>
      </c>
      <c r="AA5" s="30">
        <f t="shared" si="0"/>
        <v>0.60346472977889676</v>
      </c>
      <c r="AB5" s="30">
        <f t="shared" si="0"/>
        <v>0.59139543518331883</v>
      </c>
      <c r="AC5" s="30">
        <f t="shared" si="0"/>
        <v>0.57956752647965248</v>
      </c>
      <c r="AD5" s="30">
        <f t="shared" si="0"/>
        <v>0.56797617595005945</v>
      </c>
      <c r="AE5" s="30">
        <f t="shared" si="0"/>
        <v>0.55661665243105829</v>
      </c>
      <c r="AF5" s="30">
        <f t="shared" si="0"/>
        <v>0.54548431938243713</v>
      </c>
      <c r="AG5" s="30">
        <f t="shared" si="0"/>
        <v>0.53457463299478836</v>
      </c>
    </row>
    <row r="6" spans="1:33" x14ac:dyDescent="0.3">
      <c r="A6" s="1" t="s">
        <v>4</v>
      </c>
      <c r="B6" s="30">
        <f>PERMIT_NZ!B6</f>
        <v>1</v>
      </c>
      <c r="C6" s="30">
        <f t="shared" si="1"/>
        <v>0.98</v>
      </c>
      <c r="D6" s="30">
        <f t="shared" si="0"/>
        <v>0.96040000000000003</v>
      </c>
      <c r="E6" s="30">
        <f t="shared" si="0"/>
        <v>0.94119200000000003</v>
      </c>
      <c r="F6" s="30">
        <f t="shared" si="0"/>
        <v>0.92236815999999999</v>
      </c>
      <c r="G6" s="30">
        <f t="shared" si="0"/>
        <v>0.90392079680000004</v>
      </c>
      <c r="H6" s="30">
        <f t="shared" si="0"/>
        <v>0.88584238086400002</v>
      </c>
      <c r="I6" s="30">
        <f t="shared" si="0"/>
        <v>0.86812553324672004</v>
      </c>
      <c r="J6" s="30">
        <f t="shared" si="0"/>
        <v>0.8507630225817856</v>
      </c>
      <c r="K6" s="30">
        <f t="shared" si="0"/>
        <v>0.83374776213014989</v>
      </c>
      <c r="L6" s="30">
        <f t="shared" si="0"/>
        <v>0.81707280688754691</v>
      </c>
      <c r="M6" s="30">
        <f t="shared" si="0"/>
        <v>0.80073135074979596</v>
      </c>
      <c r="N6" s="30">
        <f t="shared" si="0"/>
        <v>0.78471672373480006</v>
      </c>
      <c r="O6" s="30">
        <f t="shared" si="0"/>
        <v>0.76902238926010402</v>
      </c>
      <c r="P6" s="30">
        <f t="shared" si="0"/>
        <v>0.75364194147490193</v>
      </c>
      <c r="Q6" s="30">
        <f t="shared" si="0"/>
        <v>0.73856910264540387</v>
      </c>
      <c r="R6" s="30">
        <f t="shared" si="0"/>
        <v>0.72379772059249581</v>
      </c>
      <c r="S6" s="30">
        <f t="shared" si="0"/>
        <v>0.70932176618064591</v>
      </c>
      <c r="T6" s="30">
        <f t="shared" si="0"/>
        <v>0.69513533085703294</v>
      </c>
      <c r="U6" s="30">
        <f t="shared" si="0"/>
        <v>0.68123262423989228</v>
      </c>
      <c r="V6" s="30">
        <f t="shared" si="0"/>
        <v>0.66760797175509445</v>
      </c>
      <c r="W6" s="30">
        <f t="shared" si="0"/>
        <v>0.65425581231999252</v>
      </c>
      <c r="X6" s="30">
        <f t="shared" si="0"/>
        <v>0.64117069607359267</v>
      </c>
      <c r="Y6" s="30">
        <f t="shared" si="0"/>
        <v>0.62834728215212077</v>
      </c>
      <c r="Z6" s="30">
        <f t="shared" si="0"/>
        <v>0.61578033650907837</v>
      </c>
      <c r="AA6" s="30">
        <f t="shared" si="0"/>
        <v>0.60346472977889676</v>
      </c>
      <c r="AB6" s="30">
        <f t="shared" si="0"/>
        <v>0.59139543518331883</v>
      </c>
      <c r="AC6" s="30">
        <f t="shared" si="0"/>
        <v>0.57956752647965248</v>
      </c>
      <c r="AD6" s="30">
        <f t="shared" si="0"/>
        <v>0.56797617595005945</v>
      </c>
      <c r="AE6" s="30">
        <f t="shared" si="0"/>
        <v>0.55661665243105829</v>
      </c>
      <c r="AF6" s="30">
        <f t="shared" si="0"/>
        <v>0.54548431938243713</v>
      </c>
      <c r="AG6" s="30">
        <f t="shared" si="0"/>
        <v>0.53457463299478836</v>
      </c>
    </row>
    <row r="7" spans="1:33" x14ac:dyDescent="0.3">
      <c r="A7" s="1" t="s">
        <v>5</v>
      </c>
      <c r="B7" s="30">
        <f>PERMIT_NZ!B7</f>
        <v>1</v>
      </c>
      <c r="C7" s="30">
        <f t="shared" si="1"/>
        <v>0.98</v>
      </c>
      <c r="D7" s="30">
        <f t="shared" si="0"/>
        <v>0.96040000000000003</v>
      </c>
      <c r="E7" s="30">
        <f t="shared" si="0"/>
        <v>0.94119200000000003</v>
      </c>
      <c r="F7" s="30">
        <f t="shared" si="0"/>
        <v>0.92236815999999999</v>
      </c>
      <c r="G7" s="30">
        <f t="shared" si="0"/>
        <v>0.90392079680000004</v>
      </c>
      <c r="H7" s="30">
        <f t="shared" si="0"/>
        <v>0.88584238086400002</v>
      </c>
      <c r="I7" s="30">
        <f t="shared" si="0"/>
        <v>0.86812553324672004</v>
      </c>
      <c r="J7" s="30">
        <f t="shared" si="0"/>
        <v>0.8507630225817856</v>
      </c>
      <c r="K7" s="30">
        <f t="shared" si="0"/>
        <v>0.83374776213014989</v>
      </c>
      <c r="L7" s="30">
        <f t="shared" si="0"/>
        <v>0.81707280688754691</v>
      </c>
      <c r="M7" s="30">
        <f t="shared" si="0"/>
        <v>0.80073135074979596</v>
      </c>
      <c r="N7" s="30">
        <f t="shared" si="0"/>
        <v>0.78471672373480006</v>
      </c>
      <c r="O7" s="30">
        <f t="shared" si="0"/>
        <v>0.76902238926010402</v>
      </c>
      <c r="P7" s="30">
        <f t="shared" si="0"/>
        <v>0.75364194147490193</v>
      </c>
      <c r="Q7" s="30">
        <f t="shared" si="0"/>
        <v>0.73856910264540387</v>
      </c>
      <c r="R7" s="30">
        <f t="shared" si="0"/>
        <v>0.72379772059249581</v>
      </c>
      <c r="S7" s="30">
        <f t="shared" si="0"/>
        <v>0.70932176618064591</v>
      </c>
      <c r="T7" s="30">
        <f t="shared" si="0"/>
        <v>0.69513533085703294</v>
      </c>
      <c r="U7" s="30">
        <f t="shared" si="0"/>
        <v>0.68123262423989228</v>
      </c>
      <c r="V7" s="30">
        <f t="shared" si="0"/>
        <v>0.66760797175509445</v>
      </c>
      <c r="W7" s="30">
        <f t="shared" si="0"/>
        <v>0.65425581231999252</v>
      </c>
      <c r="X7" s="30">
        <f t="shared" si="0"/>
        <v>0.64117069607359267</v>
      </c>
      <c r="Y7" s="30">
        <f t="shared" si="0"/>
        <v>0.62834728215212077</v>
      </c>
      <c r="Z7" s="30">
        <f t="shared" si="0"/>
        <v>0.61578033650907837</v>
      </c>
      <c r="AA7" s="30">
        <f t="shared" si="0"/>
        <v>0.60346472977889676</v>
      </c>
      <c r="AB7" s="30">
        <f t="shared" si="0"/>
        <v>0.59139543518331883</v>
      </c>
      <c r="AC7" s="30">
        <f t="shared" si="0"/>
        <v>0.57956752647965248</v>
      </c>
      <c r="AD7" s="30">
        <f t="shared" si="0"/>
        <v>0.56797617595005945</v>
      </c>
      <c r="AE7" s="30">
        <f t="shared" si="0"/>
        <v>0.55661665243105829</v>
      </c>
      <c r="AF7" s="30">
        <f t="shared" si="0"/>
        <v>0.54548431938243713</v>
      </c>
      <c r="AG7" s="30">
        <f t="shared" si="0"/>
        <v>0.53457463299478836</v>
      </c>
    </row>
    <row r="8" spans="1:33" x14ac:dyDescent="0.3">
      <c r="A8" s="1" t="s">
        <v>6</v>
      </c>
      <c r="B8" s="30">
        <f>PERMIT_NZ!B8</f>
        <v>1</v>
      </c>
      <c r="C8" s="30">
        <f t="shared" si="1"/>
        <v>0.98</v>
      </c>
      <c r="D8" s="30">
        <f t="shared" si="0"/>
        <v>0.96040000000000003</v>
      </c>
      <c r="E8" s="30">
        <f t="shared" si="0"/>
        <v>0.94119200000000003</v>
      </c>
      <c r="F8" s="30">
        <f t="shared" si="0"/>
        <v>0.92236815999999999</v>
      </c>
      <c r="G8" s="30">
        <f t="shared" si="0"/>
        <v>0.90392079680000004</v>
      </c>
      <c r="H8" s="30">
        <f t="shared" si="0"/>
        <v>0.88584238086400002</v>
      </c>
      <c r="I8" s="30">
        <f t="shared" si="0"/>
        <v>0.86812553324672004</v>
      </c>
      <c r="J8" s="30">
        <f t="shared" si="0"/>
        <v>0.8507630225817856</v>
      </c>
      <c r="K8" s="30">
        <f t="shared" si="0"/>
        <v>0.83374776213014989</v>
      </c>
      <c r="L8" s="30">
        <f t="shared" si="0"/>
        <v>0.81707280688754691</v>
      </c>
      <c r="M8" s="30">
        <f t="shared" si="0"/>
        <v>0.80073135074979596</v>
      </c>
      <c r="N8" s="30">
        <f t="shared" si="0"/>
        <v>0.78471672373480006</v>
      </c>
      <c r="O8" s="30">
        <f t="shared" si="0"/>
        <v>0.76902238926010402</v>
      </c>
      <c r="P8" s="30">
        <f t="shared" si="0"/>
        <v>0.75364194147490193</v>
      </c>
      <c r="Q8" s="30">
        <f t="shared" si="0"/>
        <v>0.73856910264540387</v>
      </c>
      <c r="R8" s="30">
        <f t="shared" si="0"/>
        <v>0.72379772059249581</v>
      </c>
      <c r="S8" s="30">
        <f t="shared" si="0"/>
        <v>0.70932176618064591</v>
      </c>
      <c r="T8" s="30">
        <f t="shared" si="0"/>
        <v>0.69513533085703294</v>
      </c>
      <c r="U8" s="30">
        <f t="shared" si="0"/>
        <v>0.68123262423989228</v>
      </c>
      <c r="V8" s="30">
        <f t="shared" si="0"/>
        <v>0.66760797175509445</v>
      </c>
      <c r="W8" s="30">
        <f t="shared" si="0"/>
        <v>0.65425581231999252</v>
      </c>
      <c r="X8" s="30">
        <f t="shared" si="0"/>
        <v>0.64117069607359267</v>
      </c>
      <c r="Y8" s="30">
        <f t="shared" si="0"/>
        <v>0.62834728215212077</v>
      </c>
      <c r="Z8" s="30">
        <f t="shared" si="0"/>
        <v>0.61578033650907837</v>
      </c>
      <c r="AA8" s="30">
        <f t="shared" si="0"/>
        <v>0.60346472977889676</v>
      </c>
      <c r="AB8" s="30">
        <f t="shared" si="0"/>
        <v>0.59139543518331883</v>
      </c>
      <c r="AC8" s="30">
        <f t="shared" si="0"/>
        <v>0.57956752647965248</v>
      </c>
      <c r="AD8" s="30">
        <f t="shared" si="0"/>
        <v>0.56797617595005945</v>
      </c>
      <c r="AE8" s="30">
        <f t="shared" si="0"/>
        <v>0.55661665243105829</v>
      </c>
      <c r="AF8" s="30">
        <f t="shared" si="0"/>
        <v>0.54548431938243713</v>
      </c>
      <c r="AG8" s="30">
        <f t="shared" si="0"/>
        <v>0.53457463299478836</v>
      </c>
    </row>
    <row r="9" spans="1:33" x14ac:dyDescent="0.3">
      <c r="A9" s="1" t="s">
        <v>7</v>
      </c>
      <c r="B9" s="30">
        <f>PERMIT_NZ!B9</f>
        <v>1</v>
      </c>
      <c r="C9" s="30">
        <f t="shared" si="1"/>
        <v>0.98</v>
      </c>
      <c r="D9" s="30">
        <f t="shared" si="0"/>
        <v>0.96040000000000003</v>
      </c>
      <c r="E9" s="30">
        <f t="shared" si="0"/>
        <v>0.94119200000000003</v>
      </c>
      <c r="F9" s="30">
        <f t="shared" si="0"/>
        <v>0.92236815999999999</v>
      </c>
      <c r="G9" s="30">
        <f t="shared" si="0"/>
        <v>0.90392079680000004</v>
      </c>
      <c r="H9" s="30">
        <f t="shared" si="0"/>
        <v>0.88584238086400002</v>
      </c>
      <c r="I9" s="30">
        <f t="shared" si="0"/>
        <v>0.86812553324672004</v>
      </c>
      <c r="J9" s="30">
        <f t="shared" si="0"/>
        <v>0.8507630225817856</v>
      </c>
      <c r="K9" s="30">
        <f t="shared" si="0"/>
        <v>0.83374776213014989</v>
      </c>
      <c r="L9" s="30">
        <f t="shared" si="0"/>
        <v>0.81707280688754691</v>
      </c>
      <c r="M9" s="30">
        <f t="shared" si="0"/>
        <v>0.80073135074979596</v>
      </c>
      <c r="N9" s="30">
        <f t="shared" si="0"/>
        <v>0.78471672373480006</v>
      </c>
      <c r="O9" s="30">
        <f t="shared" si="0"/>
        <v>0.76902238926010402</v>
      </c>
      <c r="P9" s="30">
        <f t="shared" si="0"/>
        <v>0.75364194147490193</v>
      </c>
      <c r="Q9" s="30">
        <f t="shared" si="0"/>
        <v>0.73856910264540387</v>
      </c>
      <c r="R9" s="30">
        <f t="shared" si="0"/>
        <v>0.72379772059249581</v>
      </c>
      <c r="S9" s="30">
        <f t="shared" si="0"/>
        <v>0.70932176618064591</v>
      </c>
      <c r="T9" s="30">
        <f t="shared" si="0"/>
        <v>0.69513533085703294</v>
      </c>
      <c r="U9" s="30">
        <f t="shared" si="0"/>
        <v>0.68123262423989228</v>
      </c>
      <c r="V9" s="30">
        <f t="shared" si="0"/>
        <v>0.66760797175509445</v>
      </c>
      <c r="W9" s="30">
        <f t="shared" si="0"/>
        <v>0.65425581231999252</v>
      </c>
      <c r="X9" s="30">
        <f t="shared" si="0"/>
        <v>0.64117069607359267</v>
      </c>
      <c r="Y9" s="30">
        <f t="shared" si="0"/>
        <v>0.62834728215212077</v>
      </c>
      <c r="Z9" s="30">
        <f t="shared" si="0"/>
        <v>0.61578033650907837</v>
      </c>
      <c r="AA9" s="30">
        <f t="shared" si="0"/>
        <v>0.60346472977889676</v>
      </c>
      <c r="AB9" s="30">
        <f t="shared" si="0"/>
        <v>0.59139543518331883</v>
      </c>
      <c r="AC9" s="30">
        <f t="shared" si="0"/>
        <v>0.57956752647965248</v>
      </c>
      <c r="AD9" s="30">
        <f t="shared" si="0"/>
        <v>0.56797617595005945</v>
      </c>
      <c r="AE9" s="30">
        <f t="shared" si="0"/>
        <v>0.55661665243105829</v>
      </c>
      <c r="AF9" s="30">
        <f t="shared" si="0"/>
        <v>0.54548431938243713</v>
      </c>
      <c r="AG9" s="30">
        <f t="shared" si="0"/>
        <v>0.53457463299478836</v>
      </c>
    </row>
    <row r="10" spans="1:33" x14ac:dyDescent="0.3">
      <c r="A10" s="1" t="s">
        <v>8</v>
      </c>
      <c r="B10" s="30">
        <f>PERMIT_NZ!B10</f>
        <v>1</v>
      </c>
      <c r="C10" s="30">
        <f t="shared" si="1"/>
        <v>0.98</v>
      </c>
      <c r="D10" s="30">
        <f t="shared" si="0"/>
        <v>0.96040000000000003</v>
      </c>
      <c r="E10" s="30">
        <f t="shared" si="0"/>
        <v>0.94119200000000003</v>
      </c>
      <c r="F10" s="30">
        <f t="shared" si="0"/>
        <v>0.92236815999999999</v>
      </c>
      <c r="G10" s="30">
        <f t="shared" si="0"/>
        <v>0.90392079680000004</v>
      </c>
      <c r="H10" s="30">
        <f t="shared" si="0"/>
        <v>0.88584238086400002</v>
      </c>
      <c r="I10" s="30">
        <f t="shared" si="0"/>
        <v>0.86812553324672004</v>
      </c>
      <c r="J10" s="30">
        <f t="shared" si="0"/>
        <v>0.8507630225817856</v>
      </c>
      <c r="K10" s="30">
        <f t="shared" si="0"/>
        <v>0.83374776213014989</v>
      </c>
      <c r="L10" s="30">
        <f t="shared" si="0"/>
        <v>0.81707280688754691</v>
      </c>
      <c r="M10" s="30">
        <f t="shared" si="0"/>
        <v>0.80073135074979596</v>
      </c>
      <c r="N10" s="30">
        <f t="shared" si="0"/>
        <v>0.78471672373480006</v>
      </c>
      <c r="O10" s="30">
        <f t="shared" si="0"/>
        <v>0.76902238926010402</v>
      </c>
      <c r="P10" s="30">
        <f t="shared" si="0"/>
        <v>0.75364194147490193</v>
      </c>
      <c r="Q10" s="30">
        <f t="shared" si="0"/>
        <v>0.73856910264540387</v>
      </c>
      <c r="R10" s="30">
        <f t="shared" si="0"/>
        <v>0.72379772059249581</v>
      </c>
      <c r="S10" s="30">
        <f t="shared" si="0"/>
        <v>0.70932176618064591</v>
      </c>
      <c r="T10" s="30">
        <f t="shared" si="0"/>
        <v>0.69513533085703294</v>
      </c>
      <c r="U10" s="30">
        <f t="shared" si="0"/>
        <v>0.68123262423989228</v>
      </c>
      <c r="V10" s="30">
        <f t="shared" si="0"/>
        <v>0.66760797175509445</v>
      </c>
      <c r="W10" s="30">
        <f t="shared" si="0"/>
        <v>0.65425581231999252</v>
      </c>
      <c r="X10" s="30">
        <f t="shared" si="0"/>
        <v>0.64117069607359267</v>
      </c>
      <c r="Y10" s="30">
        <f t="shared" si="0"/>
        <v>0.62834728215212077</v>
      </c>
      <c r="Z10" s="30">
        <f t="shared" si="0"/>
        <v>0.61578033650907837</v>
      </c>
      <c r="AA10" s="30">
        <f t="shared" si="0"/>
        <v>0.60346472977889676</v>
      </c>
      <c r="AB10" s="30">
        <f t="shared" si="0"/>
        <v>0.59139543518331883</v>
      </c>
      <c r="AC10" s="30">
        <f t="shared" si="0"/>
        <v>0.57956752647965248</v>
      </c>
      <c r="AD10" s="30">
        <f t="shared" si="0"/>
        <v>0.56797617595005945</v>
      </c>
      <c r="AE10" s="30">
        <f t="shared" si="0"/>
        <v>0.55661665243105829</v>
      </c>
      <c r="AF10" s="30">
        <f t="shared" si="0"/>
        <v>0.54548431938243713</v>
      </c>
      <c r="AG10" s="30">
        <f t="shared" si="0"/>
        <v>0.53457463299478836</v>
      </c>
    </row>
    <row r="11" spans="1:33" x14ac:dyDescent="0.3">
      <c r="A11" s="1" t="s">
        <v>9</v>
      </c>
      <c r="B11" s="30">
        <f>PERMIT_NZ!B11</f>
        <v>1</v>
      </c>
      <c r="C11" s="30">
        <f t="shared" si="1"/>
        <v>0.98</v>
      </c>
      <c r="D11" s="30">
        <f t="shared" ref="D11:AG18" si="2">C11-C11*0.02</f>
        <v>0.96040000000000003</v>
      </c>
      <c r="E11" s="30">
        <f t="shared" si="2"/>
        <v>0.94119200000000003</v>
      </c>
      <c r="F11" s="30">
        <f t="shared" si="2"/>
        <v>0.92236815999999999</v>
      </c>
      <c r="G11" s="30">
        <f t="shared" si="2"/>
        <v>0.90392079680000004</v>
      </c>
      <c r="H11" s="30">
        <f t="shared" si="2"/>
        <v>0.88584238086400002</v>
      </c>
      <c r="I11" s="30">
        <f t="shared" si="2"/>
        <v>0.86812553324672004</v>
      </c>
      <c r="J11" s="30">
        <f t="shared" si="2"/>
        <v>0.8507630225817856</v>
      </c>
      <c r="K11" s="30">
        <f t="shared" si="2"/>
        <v>0.83374776213014989</v>
      </c>
      <c r="L11" s="30">
        <f t="shared" si="2"/>
        <v>0.81707280688754691</v>
      </c>
      <c r="M11" s="30">
        <f t="shared" si="2"/>
        <v>0.80073135074979596</v>
      </c>
      <c r="N11" s="30">
        <f t="shared" si="2"/>
        <v>0.78471672373480006</v>
      </c>
      <c r="O11" s="30">
        <f t="shared" si="2"/>
        <v>0.76902238926010402</v>
      </c>
      <c r="P11" s="30">
        <f t="shared" si="2"/>
        <v>0.75364194147490193</v>
      </c>
      <c r="Q11" s="30">
        <f t="shared" si="2"/>
        <v>0.73856910264540387</v>
      </c>
      <c r="R11" s="30">
        <f t="shared" si="2"/>
        <v>0.72379772059249581</v>
      </c>
      <c r="S11" s="30">
        <f t="shared" si="2"/>
        <v>0.70932176618064591</v>
      </c>
      <c r="T11" s="30">
        <f t="shared" si="2"/>
        <v>0.69513533085703294</v>
      </c>
      <c r="U11" s="30">
        <f t="shared" si="2"/>
        <v>0.68123262423989228</v>
      </c>
      <c r="V11" s="30">
        <f t="shared" si="2"/>
        <v>0.66760797175509445</v>
      </c>
      <c r="W11" s="30">
        <f t="shared" si="2"/>
        <v>0.65425581231999252</v>
      </c>
      <c r="X11" s="30">
        <f t="shared" si="2"/>
        <v>0.64117069607359267</v>
      </c>
      <c r="Y11" s="30">
        <f t="shared" si="2"/>
        <v>0.62834728215212077</v>
      </c>
      <c r="Z11" s="30">
        <f t="shared" si="2"/>
        <v>0.61578033650907837</v>
      </c>
      <c r="AA11" s="30">
        <f t="shared" si="2"/>
        <v>0.60346472977889676</v>
      </c>
      <c r="AB11" s="30">
        <f t="shared" si="2"/>
        <v>0.59139543518331883</v>
      </c>
      <c r="AC11" s="30">
        <f t="shared" si="2"/>
        <v>0.57956752647965248</v>
      </c>
      <c r="AD11" s="30">
        <f t="shared" si="2"/>
        <v>0.56797617595005945</v>
      </c>
      <c r="AE11" s="30">
        <f t="shared" si="2"/>
        <v>0.55661665243105829</v>
      </c>
      <c r="AF11" s="30">
        <f t="shared" si="2"/>
        <v>0.54548431938243713</v>
      </c>
      <c r="AG11" s="30">
        <f t="shared" si="2"/>
        <v>0.53457463299478836</v>
      </c>
    </row>
    <row r="12" spans="1:33" x14ac:dyDescent="0.3">
      <c r="A12" s="1" t="s">
        <v>82</v>
      </c>
      <c r="B12" s="30">
        <f>PERMIT_NZ!B12</f>
        <v>1</v>
      </c>
      <c r="C12" s="30">
        <f t="shared" si="1"/>
        <v>0.98</v>
      </c>
      <c r="D12" s="30">
        <f t="shared" si="2"/>
        <v>0.96040000000000003</v>
      </c>
      <c r="E12" s="30">
        <f t="shared" si="2"/>
        <v>0.94119200000000003</v>
      </c>
      <c r="F12" s="30">
        <f t="shared" si="2"/>
        <v>0.92236815999999999</v>
      </c>
      <c r="G12" s="30">
        <f t="shared" si="2"/>
        <v>0.90392079680000004</v>
      </c>
      <c r="H12" s="30">
        <f t="shared" si="2"/>
        <v>0.88584238086400002</v>
      </c>
      <c r="I12" s="30">
        <f t="shared" si="2"/>
        <v>0.86812553324672004</v>
      </c>
      <c r="J12" s="30">
        <f t="shared" si="2"/>
        <v>0.8507630225817856</v>
      </c>
      <c r="K12" s="30">
        <f t="shared" si="2"/>
        <v>0.83374776213014989</v>
      </c>
      <c r="L12" s="30">
        <f t="shared" si="2"/>
        <v>0.81707280688754691</v>
      </c>
      <c r="M12" s="30">
        <f t="shared" si="2"/>
        <v>0.80073135074979596</v>
      </c>
      <c r="N12" s="30">
        <f t="shared" si="2"/>
        <v>0.78471672373480006</v>
      </c>
      <c r="O12" s="30">
        <f t="shared" si="2"/>
        <v>0.76902238926010402</v>
      </c>
      <c r="P12" s="30">
        <f t="shared" si="2"/>
        <v>0.75364194147490193</v>
      </c>
      <c r="Q12" s="30">
        <f t="shared" si="2"/>
        <v>0.73856910264540387</v>
      </c>
      <c r="R12" s="30">
        <f t="shared" si="2"/>
        <v>0.72379772059249581</v>
      </c>
      <c r="S12" s="30">
        <f t="shared" si="2"/>
        <v>0.70932176618064591</v>
      </c>
      <c r="T12" s="30">
        <f t="shared" si="2"/>
        <v>0.69513533085703294</v>
      </c>
      <c r="U12" s="30">
        <f t="shared" si="2"/>
        <v>0.68123262423989228</v>
      </c>
      <c r="V12" s="30">
        <f t="shared" si="2"/>
        <v>0.66760797175509445</v>
      </c>
      <c r="W12" s="30">
        <f t="shared" si="2"/>
        <v>0.65425581231999252</v>
      </c>
      <c r="X12" s="30">
        <f t="shared" si="2"/>
        <v>0.64117069607359267</v>
      </c>
      <c r="Y12" s="30">
        <f t="shared" si="2"/>
        <v>0.62834728215212077</v>
      </c>
      <c r="Z12" s="30">
        <f t="shared" si="2"/>
        <v>0.61578033650907837</v>
      </c>
      <c r="AA12" s="30">
        <f t="shared" si="2"/>
        <v>0.60346472977889676</v>
      </c>
      <c r="AB12" s="30">
        <f t="shared" si="2"/>
        <v>0.59139543518331883</v>
      </c>
      <c r="AC12" s="30">
        <f t="shared" si="2"/>
        <v>0.57956752647965248</v>
      </c>
      <c r="AD12" s="30">
        <f t="shared" si="2"/>
        <v>0.56797617595005945</v>
      </c>
      <c r="AE12" s="30">
        <f t="shared" si="2"/>
        <v>0.55661665243105829</v>
      </c>
      <c r="AF12" s="30">
        <f t="shared" si="2"/>
        <v>0.54548431938243713</v>
      </c>
      <c r="AG12" s="30">
        <f t="shared" si="2"/>
        <v>0.53457463299478836</v>
      </c>
    </row>
    <row r="13" spans="1:33" x14ac:dyDescent="0.3">
      <c r="A13" s="1" t="s">
        <v>11</v>
      </c>
      <c r="B13" s="30">
        <f>PERMIT_NZ!B13</f>
        <v>1</v>
      </c>
      <c r="C13" s="30">
        <f t="shared" si="1"/>
        <v>0.98</v>
      </c>
      <c r="D13" s="30">
        <f t="shared" si="2"/>
        <v>0.96040000000000003</v>
      </c>
      <c r="E13" s="30">
        <f t="shared" si="2"/>
        <v>0.94119200000000003</v>
      </c>
      <c r="F13" s="30">
        <f t="shared" si="2"/>
        <v>0.92236815999999999</v>
      </c>
      <c r="G13" s="30">
        <f t="shared" si="2"/>
        <v>0.90392079680000004</v>
      </c>
      <c r="H13" s="30">
        <f t="shared" si="2"/>
        <v>0.88584238086400002</v>
      </c>
      <c r="I13" s="30">
        <f t="shared" si="2"/>
        <v>0.86812553324672004</v>
      </c>
      <c r="J13" s="30">
        <f t="shared" si="2"/>
        <v>0.8507630225817856</v>
      </c>
      <c r="K13" s="30">
        <f t="shared" si="2"/>
        <v>0.83374776213014989</v>
      </c>
      <c r="L13" s="30">
        <f t="shared" si="2"/>
        <v>0.81707280688754691</v>
      </c>
      <c r="M13" s="30">
        <f t="shared" si="2"/>
        <v>0.80073135074979596</v>
      </c>
      <c r="N13" s="30">
        <f t="shared" si="2"/>
        <v>0.78471672373480006</v>
      </c>
      <c r="O13" s="30">
        <f t="shared" si="2"/>
        <v>0.76902238926010402</v>
      </c>
      <c r="P13" s="30">
        <f t="shared" si="2"/>
        <v>0.75364194147490193</v>
      </c>
      <c r="Q13" s="30">
        <f t="shared" si="2"/>
        <v>0.73856910264540387</v>
      </c>
      <c r="R13" s="30">
        <f t="shared" si="2"/>
        <v>0.72379772059249581</v>
      </c>
      <c r="S13" s="30">
        <f t="shared" si="2"/>
        <v>0.70932176618064591</v>
      </c>
      <c r="T13" s="30">
        <f t="shared" si="2"/>
        <v>0.69513533085703294</v>
      </c>
      <c r="U13" s="30">
        <f t="shared" si="2"/>
        <v>0.68123262423989228</v>
      </c>
      <c r="V13" s="30">
        <f t="shared" si="2"/>
        <v>0.66760797175509445</v>
      </c>
      <c r="W13" s="30">
        <f t="shared" si="2"/>
        <v>0.65425581231999252</v>
      </c>
      <c r="X13" s="30">
        <f t="shared" si="2"/>
        <v>0.64117069607359267</v>
      </c>
      <c r="Y13" s="30">
        <f t="shared" si="2"/>
        <v>0.62834728215212077</v>
      </c>
      <c r="Z13" s="30">
        <f t="shared" si="2"/>
        <v>0.61578033650907837</v>
      </c>
      <c r="AA13" s="30">
        <f t="shared" si="2"/>
        <v>0.60346472977889676</v>
      </c>
      <c r="AB13" s="30">
        <f t="shared" si="2"/>
        <v>0.59139543518331883</v>
      </c>
      <c r="AC13" s="30">
        <f t="shared" si="2"/>
        <v>0.57956752647965248</v>
      </c>
      <c r="AD13" s="30">
        <f t="shared" si="2"/>
        <v>0.56797617595005945</v>
      </c>
      <c r="AE13" s="30">
        <f t="shared" si="2"/>
        <v>0.55661665243105829</v>
      </c>
      <c r="AF13" s="30">
        <f t="shared" si="2"/>
        <v>0.54548431938243713</v>
      </c>
      <c r="AG13" s="30">
        <f t="shared" si="2"/>
        <v>0.53457463299478836</v>
      </c>
    </row>
    <row r="14" spans="1:33" x14ac:dyDescent="0.3">
      <c r="A14" s="1" t="s">
        <v>12</v>
      </c>
      <c r="B14" s="30">
        <f>PERMIT_NZ!B14</f>
        <v>1</v>
      </c>
      <c r="C14" s="30">
        <f t="shared" si="1"/>
        <v>0.98</v>
      </c>
      <c r="D14" s="30">
        <f t="shared" si="2"/>
        <v>0.96040000000000003</v>
      </c>
      <c r="E14" s="30">
        <f t="shared" si="2"/>
        <v>0.94119200000000003</v>
      </c>
      <c r="F14" s="30">
        <f t="shared" si="2"/>
        <v>0.92236815999999999</v>
      </c>
      <c r="G14" s="30">
        <f t="shared" si="2"/>
        <v>0.90392079680000004</v>
      </c>
      <c r="H14" s="30">
        <f t="shared" si="2"/>
        <v>0.88584238086400002</v>
      </c>
      <c r="I14" s="30">
        <f t="shared" si="2"/>
        <v>0.86812553324672004</v>
      </c>
      <c r="J14" s="30">
        <f t="shared" si="2"/>
        <v>0.8507630225817856</v>
      </c>
      <c r="K14" s="30">
        <f t="shared" si="2"/>
        <v>0.83374776213014989</v>
      </c>
      <c r="L14" s="30">
        <f t="shared" si="2"/>
        <v>0.81707280688754691</v>
      </c>
      <c r="M14" s="30">
        <f t="shared" si="2"/>
        <v>0.80073135074979596</v>
      </c>
      <c r="N14" s="30">
        <f t="shared" si="2"/>
        <v>0.78471672373480006</v>
      </c>
      <c r="O14" s="30">
        <f t="shared" si="2"/>
        <v>0.76902238926010402</v>
      </c>
      <c r="P14" s="30">
        <f t="shared" si="2"/>
        <v>0.75364194147490193</v>
      </c>
      <c r="Q14" s="30">
        <f t="shared" si="2"/>
        <v>0.73856910264540387</v>
      </c>
      <c r="R14" s="30">
        <f t="shared" si="2"/>
        <v>0.72379772059249581</v>
      </c>
      <c r="S14" s="30">
        <f t="shared" si="2"/>
        <v>0.70932176618064591</v>
      </c>
      <c r="T14" s="30">
        <f t="shared" si="2"/>
        <v>0.69513533085703294</v>
      </c>
      <c r="U14" s="30">
        <f t="shared" si="2"/>
        <v>0.68123262423989228</v>
      </c>
      <c r="V14" s="30">
        <f t="shared" si="2"/>
        <v>0.66760797175509445</v>
      </c>
      <c r="W14" s="30">
        <f t="shared" si="2"/>
        <v>0.65425581231999252</v>
      </c>
      <c r="X14" s="30">
        <f t="shared" si="2"/>
        <v>0.64117069607359267</v>
      </c>
      <c r="Y14" s="30">
        <f t="shared" si="2"/>
        <v>0.62834728215212077</v>
      </c>
      <c r="Z14" s="30">
        <f t="shared" si="2"/>
        <v>0.61578033650907837</v>
      </c>
      <c r="AA14" s="30">
        <f t="shared" si="2"/>
        <v>0.60346472977889676</v>
      </c>
      <c r="AB14" s="30">
        <f t="shared" si="2"/>
        <v>0.59139543518331883</v>
      </c>
      <c r="AC14" s="30">
        <f t="shared" si="2"/>
        <v>0.57956752647965248</v>
      </c>
      <c r="AD14" s="30">
        <f t="shared" si="2"/>
        <v>0.56797617595005945</v>
      </c>
      <c r="AE14" s="30">
        <f t="shared" si="2"/>
        <v>0.55661665243105829</v>
      </c>
      <c r="AF14" s="30">
        <f t="shared" si="2"/>
        <v>0.54548431938243713</v>
      </c>
      <c r="AG14" s="30">
        <f t="shared" si="2"/>
        <v>0.53457463299478836</v>
      </c>
    </row>
    <row r="15" spans="1:33" x14ac:dyDescent="0.3">
      <c r="A15" s="1" t="s">
        <v>83</v>
      </c>
      <c r="B15" s="30">
        <f>PERMIT_NZ!B15</f>
        <v>1</v>
      </c>
      <c r="C15" s="30">
        <f t="shared" si="1"/>
        <v>0.98</v>
      </c>
      <c r="D15" s="30">
        <f t="shared" si="2"/>
        <v>0.96040000000000003</v>
      </c>
      <c r="E15" s="30">
        <f t="shared" si="2"/>
        <v>0.94119200000000003</v>
      </c>
      <c r="F15" s="30">
        <f t="shared" si="2"/>
        <v>0.92236815999999999</v>
      </c>
      <c r="G15" s="30">
        <f t="shared" si="2"/>
        <v>0.90392079680000004</v>
      </c>
      <c r="H15" s="30">
        <f t="shared" si="2"/>
        <v>0.88584238086400002</v>
      </c>
      <c r="I15" s="30">
        <f t="shared" si="2"/>
        <v>0.86812553324672004</v>
      </c>
      <c r="J15" s="30">
        <f t="shared" si="2"/>
        <v>0.8507630225817856</v>
      </c>
      <c r="K15" s="30">
        <f t="shared" si="2"/>
        <v>0.83374776213014989</v>
      </c>
      <c r="L15" s="30">
        <f t="shared" si="2"/>
        <v>0.81707280688754691</v>
      </c>
      <c r="M15" s="30">
        <f t="shared" si="2"/>
        <v>0.80073135074979596</v>
      </c>
      <c r="N15" s="30">
        <f t="shared" si="2"/>
        <v>0.78471672373480006</v>
      </c>
      <c r="O15" s="30">
        <f t="shared" si="2"/>
        <v>0.76902238926010402</v>
      </c>
      <c r="P15" s="30">
        <f t="shared" si="2"/>
        <v>0.75364194147490193</v>
      </c>
      <c r="Q15" s="30">
        <f t="shared" si="2"/>
        <v>0.73856910264540387</v>
      </c>
      <c r="R15" s="30">
        <f t="shared" si="2"/>
        <v>0.72379772059249581</v>
      </c>
      <c r="S15" s="30">
        <f t="shared" si="2"/>
        <v>0.70932176618064591</v>
      </c>
      <c r="T15" s="30">
        <f t="shared" si="2"/>
        <v>0.69513533085703294</v>
      </c>
      <c r="U15" s="30">
        <f t="shared" si="2"/>
        <v>0.68123262423989228</v>
      </c>
      <c r="V15" s="30">
        <f t="shared" si="2"/>
        <v>0.66760797175509445</v>
      </c>
      <c r="W15" s="30">
        <f t="shared" si="2"/>
        <v>0.65425581231999252</v>
      </c>
      <c r="X15" s="30">
        <f t="shared" si="2"/>
        <v>0.64117069607359267</v>
      </c>
      <c r="Y15" s="30">
        <f t="shared" si="2"/>
        <v>0.62834728215212077</v>
      </c>
      <c r="Z15" s="30">
        <f t="shared" si="2"/>
        <v>0.61578033650907837</v>
      </c>
      <c r="AA15" s="30">
        <f t="shared" si="2"/>
        <v>0.60346472977889676</v>
      </c>
      <c r="AB15" s="30">
        <f t="shared" si="2"/>
        <v>0.59139543518331883</v>
      </c>
      <c r="AC15" s="30">
        <f t="shared" si="2"/>
        <v>0.57956752647965248</v>
      </c>
      <c r="AD15" s="30">
        <f t="shared" si="2"/>
        <v>0.56797617595005945</v>
      </c>
      <c r="AE15" s="30">
        <f t="shared" si="2"/>
        <v>0.55661665243105829</v>
      </c>
      <c r="AF15" s="30">
        <f t="shared" si="2"/>
        <v>0.54548431938243713</v>
      </c>
      <c r="AG15" s="30">
        <f t="shared" si="2"/>
        <v>0.53457463299478836</v>
      </c>
    </row>
    <row r="16" spans="1:33" x14ac:dyDescent="0.3">
      <c r="A16" s="1" t="s">
        <v>14</v>
      </c>
      <c r="B16" s="30">
        <f>PERMIT_NZ!B16</f>
        <v>1</v>
      </c>
      <c r="C16" s="30">
        <f t="shared" si="1"/>
        <v>0.98</v>
      </c>
      <c r="D16" s="30">
        <f t="shared" si="2"/>
        <v>0.96040000000000003</v>
      </c>
      <c r="E16" s="30">
        <f t="shared" si="2"/>
        <v>0.94119200000000003</v>
      </c>
      <c r="F16" s="30">
        <f t="shared" si="2"/>
        <v>0.92236815999999999</v>
      </c>
      <c r="G16" s="30">
        <f t="shared" si="2"/>
        <v>0.90392079680000004</v>
      </c>
      <c r="H16" s="30">
        <f t="shared" si="2"/>
        <v>0.88584238086400002</v>
      </c>
      <c r="I16" s="30">
        <f t="shared" si="2"/>
        <v>0.86812553324672004</v>
      </c>
      <c r="J16" s="30">
        <f t="shared" si="2"/>
        <v>0.8507630225817856</v>
      </c>
      <c r="K16" s="30">
        <f t="shared" si="2"/>
        <v>0.83374776213014989</v>
      </c>
      <c r="L16" s="30">
        <f t="shared" si="2"/>
        <v>0.81707280688754691</v>
      </c>
      <c r="M16" s="30">
        <f t="shared" si="2"/>
        <v>0.80073135074979596</v>
      </c>
      <c r="N16" s="30">
        <f t="shared" si="2"/>
        <v>0.78471672373480006</v>
      </c>
      <c r="O16" s="30">
        <f t="shared" si="2"/>
        <v>0.76902238926010402</v>
      </c>
      <c r="P16" s="30">
        <f t="shared" si="2"/>
        <v>0.75364194147490193</v>
      </c>
      <c r="Q16" s="30">
        <f t="shared" si="2"/>
        <v>0.73856910264540387</v>
      </c>
      <c r="R16" s="30">
        <f t="shared" si="2"/>
        <v>0.72379772059249581</v>
      </c>
      <c r="S16" s="30">
        <f t="shared" si="2"/>
        <v>0.70932176618064591</v>
      </c>
      <c r="T16" s="30">
        <f t="shared" si="2"/>
        <v>0.69513533085703294</v>
      </c>
      <c r="U16" s="30">
        <f t="shared" si="2"/>
        <v>0.68123262423989228</v>
      </c>
      <c r="V16" s="30">
        <f t="shared" si="2"/>
        <v>0.66760797175509445</v>
      </c>
      <c r="W16" s="30">
        <f t="shared" si="2"/>
        <v>0.65425581231999252</v>
      </c>
      <c r="X16" s="30">
        <f t="shared" si="2"/>
        <v>0.64117069607359267</v>
      </c>
      <c r="Y16" s="30">
        <f t="shared" si="2"/>
        <v>0.62834728215212077</v>
      </c>
      <c r="Z16" s="30">
        <f t="shared" si="2"/>
        <v>0.61578033650907837</v>
      </c>
      <c r="AA16" s="30">
        <f t="shared" si="2"/>
        <v>0.60346472977889676</v>
      </c>
      <c r="AB16" s="30">
        <f t="shared" si="2"/>
        <v>0.59139543518331883</v>
      </c>
      <c r="AC16" s="30">
        <f t="shared" si="2"/>
        <v>0.57956752647965248</v>
      </c>
      <c r="AD16" s="30">
        <f t="shared" si="2"/>
        <v>0.56797617595005945</v>
      </c>
      <c r="AE16" s="30">
        <f t="shared" si="2"/>
        <v>0.55661665243105829</v>
      </c>
      <c r="AF16" s="30">
        <f t="shared" si="2"/>
        <v>0.54548431938243713</v>
      </c>
      <c r="AG16" s="30">
        <f t="shared" si="2"/>
        <v>0.53457463299478836</v>
      </c>
    </row>
    <row r="17" spans="1:33" x14ac:dyDescent="0.3">
      <c r="A17" s="1" t="s">
        <v>81</v>
      </c>
      <c r="B17" s="30">
        <f>PERMIT_NZ!B17</f>
        <v>1</v>
      </c>
      <c r="C17" s="30">
        <f t="shared" si="1"/>
        <v>0.98</v>
      </c>
      <c r="D17" s="30">
        <f t="shared" si="2"/>
        <v>0.96040000000000003</v>
      </c>
      <c r="E17" s="30">
        <f t="shared" si="2"/>
        <v>0.94119200000000003</v>
      </c>
      <c r="F17" s="30">
        <f t="shared" si="2"/>
        <v>0.92236815999999999</v>
      </c>
      <c r="G17" s="30">
        <f t="shared" si="2"/>
        <v>0.90392079680000004</v>
      </c>
      <c r="H17" s="30">
        <f t="shared" si="2"/>
        <v>0.88584238086400002</v>
      </c>
      <c r="I17" s="30">
        <f t="shared" si="2"/>
        <v>0.86812553324672004</v>
      </c>
      <c r="J17" s="30">
        <f t="shared" si="2"/>
        <v>0.8507630225817856</v>
      </c>
      <c r="K17" s="30">
        <f t="shared" si="2"/>
        <v>0.83374776213014989</v>
      </c>
      <c r="L17" s="30">
        <f t="shared" si="2"/>
        <v>0.81707280688754691</v>
      </c>
      <c r="M17" s="30">
        <f t="shared" si="2"/>
        <v>0.80073135074979596</v>
      </c>
      <c r="N17" s="30">
        <f t="shared" si="2"/>
        <v>0.78471672373480006</v>
      </c>
      <c r="O17" s="30">
        <f t="shared" si="2"/>
        <v>0.76902238926010402</v>
      </c>
      <c r="P17" s="30">
        <f t="shared" si="2"/>
        <v>0.75364194147490193</v>
      </c>
      <c r="Q17" s="30">
        <f t="shared" si="2"/>
        <v>0.73856910264540387</v>
      </c>
      <c r="R17" s="30">
        <f t="shared" si="2"/>
        <v>0.72379772059249581</v>
      </c>
      <c r="S17" s="30">
        <f t="shared" si="2"/>
        <v>0.70932176618064591</v>
      </c>
      <c r="T17" s="30">
        <f t="shared" si="2"/>
        <v>0.69513533085703294</v>
      </c>
      <c r="U17" s="30">
        <f t="shared" si="2"/>
        <v>0.68123262423989228</v>
      </c>
      <c r="V17" s="30">
        <f t="shared" si="2"/>
        <v>0.66760797175509445</v>
      </c>
      <c r="W17" s="30">
        <f t="shared" si="2"/>
        <v>0.65425581231999252</v>
      </c>
      <c r="X17" s="30">
        <f t="shared" si="2"/>
        <v>0.64117069607359267</v>
      </c>
      <c r="Y17" s="30">
        <f t="shared" si="2"/>
        <v>0.62834728215212077</v>
      </c>
      <c r="Z17" s="30">
        <f t="shared" si="2"/>
        <v>0.61578033650907837</v>
      </c>
      <c r="AA17" s="30">
        <f t="shared" si="2"/>
        <v>0.60346472977889676</v>
      </c>
      <c r="AB17" s="30">
        <f t="shared" si="2"/>
        <v>0.59139543518331883</v>
      </c>
      <c r="AC17" s="30">
        <f t="shared" si="2"/>
        <v>0.57956752647965248</v>
      </c>
      <c r="AD17" s="30">
        <f t="shared" si="2"/>
        <v>0.56797617595005945</v>
      </c>
      <c r="AE17" s="30">
        <f t="shared" si="2"/>
        <v>0.55661665243105829</v>
      </c>
      <c r="AF17" s="30">
        <f t="shared" si="2"/>
        <v>0.54548431938243713</v>
      </c>
      <c r="AG17" s="30">
        <f t="shared" si="2"/>
        <v>0.53457463299478836</v>
      </c>
    </row>
    <row r="18" spans="1:33" x14ac:dyDescent="0.3">
      <c r="A18" s="1" t="s">
        <v>80</v>
      </c>
      <c r="B18" s="30">
        <f>PERMIT_NZ!B18</f>
        <v>1</v>
      </c>
      <c r="C18" s="30">
        <f t="shared" si="1"/>
        <v>0.98</v>
      </c>
      <c r="D18" s="30">
        <f t="shared" si="2"/>
        <v>0.96040000000000003</v>
      </c>
      <c r="E18" s="30">
        <f t="shared" si="2"/>
        <v>0.94119200000000003</v>
      </c>
      <c r="F18" s="30">
        <f t="shared" si="2"/>
        <v>0.92236815999999999</v>
      </c>
      <c r="G18" s="30">
        <f t="shared" si="2"/>
        <v>0.90392079680000004</v>
      </c>
      <c r="H18" s="30">
        <f t="shared" si="2"/>
        <v>0.88584238086400002</v>
      </c>
      <c r="I18" s="30">
        <f t="shared" si="2"/>
        <v>0.86812553324672004</v>
      </c>
      <c r="J18" s="30">
        <f t="shared" si="2"/>
        <v>0.8507630225817856</v>
      </c>
      <c r="K18" s="30">
        <f t="shared" si="2"/>
        <v>0.83374776213014989</v>
      </c>
      <c r="L18" s="30">
        <f t="shared" si="2"/>
        <v>0.81707280688754691</v>
      </c>
      <c r="M18" s="30">
        <f t="shared" si="2"/>
        <v>0.80073135074979596</v>
      </c>
      <c r="N18" s="30">
        <f t="shared" si="2"/>
        <v>0.78471672373480006</v>
      </c>
      <c r="O18" s="30">
        <f t="shared" si="2"/>
        <v>0.76902238926010402</v>
      </c>
      <c r="P18" s="30">
        <f t="shared" si="2"/>
        <v>0.75364194147490193</v>
      </c>
      <c r="Q18" s="30">
        <f t="shared" si="2"/>
        <v>0.73856910264540387</v>
      </c>
      <c r="R18" s="30">
        <f t="shared" si="2"/>
        <v>0.72379772059249581</v>
      </c>
      <c r="S18" s="30">
        <f t="shared" si="2"/>
        <v>0.70932176618064591</v>
      </c>
      <c r="T18" s="30">
        <f t="shared" si="2"/>
        <v>0.69513533085703294</v>
      </c>
      <c r="U18" s="30">
        <f t="shared" si="2"/>
        <v>0.68123262423989228</v>
      </c>
      <c r="V18" s="30">
        <f t="shared" si="2"/>
        <v>0.66760797175509445</v>
      </c>
      <c r="W18" s="30">
        <f t="shared" si="2"/>
        <v>0.65425581231999252</v>
      </c>
      <c r="X18" s="30">
        <f t="shared" si="2"/>
        <v>0.64117069607359267</v>
      </c>
      <c r="Y18" s="30">
        <f t="shared" si="2"/>
        <v>0.62834728215212077</v>
      </c>
      <c r="Z18" s="30">
        <f t="shared" si="2"/>
        <v>0.61578033650907837</v>
      </c>
      <c r="AA18" s="30">
        <f t="shared" si="2"/>
        <v>0.60346472977889676</v>
      </c>
      <c r="AB18" s="30">
        <f t="shared" si="2"/>
        <v>0.59139543518331883</v>
      </c>
      <c r="AC18" s="30">
        <f t="shared" si="2"/>
        <v>0.57956752647965248</v>
      </c>
      <c r="AD18" s="30">
        <f t="shared" si="2"/>
        <v>0.56797617595005945</v>
      </c>
      <c r="AE18" s="30">
        <f t="shared" si="2"/>
        <v>0.55661665243105829</v>
      </c>
      <c r="AF18" s="30">
        <f t="shared" si="2"/>
        <v>0.54548431938243713</v>
      </c>
      <c r="AG18" s="30">
        <f t="shared" si="2"/>
        <v>0.53457463299478836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Baseyear</vt:lpstr>
      <vt:lpstr>GDP</vt:lpstr>
      <vt:lpstr>TOT_POP</vt:lpstr>
      <vt:lpstr>GDP_Projection</vt:lpstr>
      <vt:lpstr>TOT_POP_Projection</vt:lpstr>
      <vt:lpstr>Saving rate</vt:lpstr>
      <vt:lpstr>g_GDP</vt:lpstr>
      <vt:lpstr>g_POP</vt:lpstr>
      <vt:lpstr>g_SDR</vt:lpstr>
      <vt:lpstr>CTAX_BAU</vt:lpstr>
      <vt:lpstr>PERMIT_NDC</vt:lpstr>
      <vt:lpstr>PERMIT_NZ</vt:lpstr>
      <vt:lpstr>AEEI_BAU</vt:lpstr>
      <vt:lpstr>AEEI_NDC</vt:lpstr>
      <vt:lpstr>AEEI_NZ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2026-05-06T09:33:16Z</dcterms:modified>
</cp:coreProperties>
</file>