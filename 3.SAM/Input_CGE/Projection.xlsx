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2.RD_CGE\Input_CGE\"/>
    </mc:Choice>
  </mc:AlternateContent>
  <xr:revisionPtr revIDLastSave="0" documentId="13_ncr:1_{FD974B4A-D5FD-4DDF-912C-A9E082D60467}" xr6:coauthVersionLast="36" xr6:coauthVersionMax="36" xr10:uidLastSave="{00000000-0000-0000-0000-000000000000}"/>
  <bookViews>
    <workbookView xWindow="0" yWindow="0" windowWidth="23040" windowHeight="9684" tabRatio="907" activeTab="9" xr2:uid="{F15F39B2-9333-4C81-A44C-4FDD4B656403}"/>
  </bookViews>
  <sheets>
    <sheet name="Baseyear" sheetId="12" r:id="rId1"/>
    <sheet name="GDP" sheetId="2" r:id="rId2"/>
    <sheet name="TOT_POP" sheetId="4" r:id="rId3"/>
    <sheet name="GDP_Projection" sheetId="3" r:id="rId4"/>
    <sheet name="TOT_POP_Projection" sheetId="5" r:id="rId5"/>
    <sheet name="Saving rate" sheetId="19" r:id="rId6"/>
    <sheet name="g_SDR" sheetId="20" r:id="rId7"/>
    <sheet name="AEEI_low" sheetId="22" r:id="rId8"/>
    <sheet name="AEEI_medium" sheetId="32" r:id="rId9"/>
    <sheet name="AEEI_high" sheetId="11" r:id="rId10"/>
    <sheet name="PERMIT_NDC_old" sheetId="30" r:id="rId11"/>
    <sheet name="PERMIT_NZ" sheetId="29" r:id="rId12"/>
    <sheet name="PERMIT_NEA_NZ" sheetId="31" r:id="rId13"/>
  </sheets>
  <definedNames>
    <definedName name="_xlnm._FilterDatabase" localSheetId="3" hidden="1">GDP_Projection!$A$1:$CF$18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1" l="1"/>
  <c r="E2" i="11"/>
  <c r="F2" i="1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AG2" i="11" s="1"/>
  <c r="D3" i="11"/>
  <c r="E3" i="11"/>
  <c r="F3" i="11" s="1"/>
  <c r="G3" i="11" s="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AG3" i="11" s="1"/>
  <c r="D4" i="11"/>
  <c r="E4" i="1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D5" i="11"/>
  <c r="E5" i="11"/>
  <c r="F5" i="11" s="1"/>
  <c r="G5" i="11" s="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D6" i="11"/>
  <c r="E6" i="11"/>
  <c r="F6" i="11"/>
  <c r="G6" i="11" s="1"/>
  <c r="H6" i="11" s="1"/>
  <c r="I6" i="11" s="1"/>
  <c r="J6" i="11" s="1"/>
  <c r="K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AG6" i="11" s="1"/>
  <c r="D7" i="11"/>
  <c r="E7" i="11"/>
  <c r="F7" i="11" s="1"/>
  <c r="G7" i="11" s="1"/>
  <c r="H7" i="11" s="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AG7" i="11" s="1"/>
  <c r="D8" i="11"/>
  <c r="E8" i="11"/>
  <c r="F8" i="1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AG8" i="11" s="1"/>
  <c r="D9" i="11"/>
  <c r="E9" i="11"/>
  <c r="F9" i="11" s="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D10" i="11"/>
  <c r="E10" i="11"/>
  <c r="F10" i="1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D11" i="11"/>
  <c r="E11" i="11"/>
  <c r="F11" i="11" s="1"/>
  <c r="G11" i="11" s="1"/>
  <c r="H11" i="11" s="1"/>
  <c r="I11" i="11" s="1"/>
  <c r="J11" i="11" s="1"/>
  <c r="K11" i="11" s="1"/>
  <c r="L11" i="11" s="1"/>
  <c r="M11" i="11" s="1"/>
  <c r="N11" i="11" s="1"/>
  <c r="O11" i="11" s="1"/>
  <c r="P11" i="11" s="1"/>
  <c r="Q11" i="11" s="1"/>
  <c r="R11" i="11" s="1"/>
  <c r="S11" i="11" s="1"/>
  <c r="T11" i="11" s="1"/>
  <c r="U11" i="11" s="1"/>
  <c r="V11" i="11" s="1"/>
  <c r="W11" i="11" s="1"/>
  <c r="X11" i="11" s="1"/>
  <c r="Y11" i="11" s="1"/>
  <c r="Z11" i="11" s="1"/>
  <c r="AA11" i="11" s="1"/>
  <c r="AB11" i="11" s="1"/>
  <c r="AC11" i="11" s="1"/>
  <c r="AD11" i="11" s="1"/>
  <c r="AE11" i="11" s="1"/>
  <c r="AF11" i="11" s="1"/>
  <c r="AG11" i="11" s="1"/>
  <c r="D12" i="11"/>
  <c r="E12" i="11"/>
  <c r="F12" i="11"/>
  <c r="G12" i="11" s="1"/>
  <c r="H12" i="11" s="1"/>
  <c r="I12" i="11" s="1"/>
  <c r="J12" i="11" s="1"/>
  <c r="K12" i="11" s="1"/>
  <c r="L12" i="11" s="1"/>
  <c r="M12" i="11" s="1"/>
  <c r="N12" i="11" s="1"/>
  <c r="O12" i="11" s="1"/>
  <c r="P12" i="11" s="1"/>
  <c r="Q12" i="11" s="1"/>
  <c r="R12" i="11" s="1"/>
  <c r="S12" i="11" s="1"/>
  <c r="T12" i="11" s="1"/>
  <c r="U12" i="11" s="1"/>
  <c r="V12" i="11" s="1"/>
  <c r="W12" i="11" s="1"/>
  <c r="X12" i="11" s="1"/>
  <c r="Y12" i="11" s="1"/>
  <c r="Z12" i="11" s="1"/>
  <c r="AA12" i="11" s="1"/>
  <c r="AB12" i="11" s="1"/>
  <c r="AC12" i="11" s="1"/>
  <c r="AD12" i="11" s="1"/>
  <c r="AE12" i="11" s="1"/>
  <c r="AF12" i="11" s="1"/>
  <c r="AG12" i="11" s="1"/>
  <c r="D13" i="11"/>
  <c r="E13" i="11"/>
  <c r="F13" i="11" s="1"/>
  <c r="G13" i="11" s="1"/>
  <c r="H13" i="11" s="1"/>
  <c r="I13" i="11" s="1"/>
  <c r="J13" i="11" s="1"/>
  <c r="K13" i="11" s="1"/>
  <c r="L13" i="11" s="1"/>
  <c r="M13" i="11" s="1"/>
  <c r="N13" i="11" s="1"/>
  <c r="O13" i="11" s="1"/>
  <c r="P13" i="11" s="1"/>
  <c r="Q13" i="11" s="1"/>
  <c r="R13" i="11" s="1"/>
  <c r="S13" i="11" s="1"/>
  <c r="T13" i="11" s="1"/>
  <c r="U13" i="11" s="1"/>
  <c r="V13" i="11" s="1"/>
  <c r="W13" i="11" s="1"/>
  <c r="X13" i="11" s="1"/>
  <c r="Y13" i="11" s="1"/>
  <c r="Z13" i="11" s="1"/>
  <c r="AA13" i="11" s="1"/>
  <c r="AB13" i="11" s="1"/>
  <c r="AC13" i="11" s="1"/>
  <c r="AD13" i="11" s="1"/>
  <c r="AE13" i="11" s="1"/>
  <c r="AF13" i="11" s="1"/>
  <c r="AG13" i="11" s="1"/>
  <c r="D14" i="11"/>
  <c r="E14" i="11"/>
  <c r="F14" i="11"/>
  <c r="G14" i="11" s="1"/>
  <c r="H14" i="11" s="1"/>
  <c r="I14" i="11" s="1"/>
  <c r="J14" i="11" s="1"/>
  <c r="K14" i="11" s="1"/>
  <c r="L14" i="11" s="1"/>
  <c r="M14" i="11" s="1"/>
  <c r="N14" i="11" s="1"/>
  <c r="O14" i="11" s="1"/>
  <c r="P14" i="11" s="1"/>
  <c r="Q14" i="11" s="1"/>
  <c r="R14" i="11" s="1"/>
  <c r="S14" i="11" s="1"/>
  <c r="T14" i="11" s="1"/>
  <c r="U14" i="11" s="1"/>
  <c r="V14" i="11" s="1"/>
  <c r="W14" i="11" s="1"/>
  <c r="X14" i="11" s="1"/>
  <c r="Y14" i="11" s="1"/>
  <c r="Z14" i="11" s="1"/>
  <c r="AA14" i="11" s="1"/>
  <c r="AB14" i="11" s="1"/>
  <c r="AC14" i="11" s="1"/>
  <c r="AD14" i="11" s="1"/>
  <c r="AE14" i="11" s="1"/>
  <c r="AF14" i="11" s="1"/>
  <c r="AG14" i="11" s="1"/>
  <c r="D15" i="11"/>
  <c r="E15" i="11"/>
  <c r="F15" i="11" s="1"/>
  <c r="G15" i="11" s="1"/>
  <c r="H15" i="11" s="1"/>
  <c r="I15" i="11" s="1"/>
  <c r="J15" i="11" s="1"/>
  <c r="K15" i="11" s="1"/>
  <c r="L15" i="11" s="1"/>
  <c r="M15" i="11" s="1"/>
  <c r="N15" i="11" s="1"/>
  <c r="O15" i="11" s="1"/>
  <c r="P15" i="11" s="1"/>
  <c r="Q15" i="11" s="1"/>
  <c r="R15" i="11" s="1"/>
  <c r="S15" i="11" s="1"/>
  <c r="T15" i="11" s="1"/>
  <c r="U15" i="11" s="1"/>
  <c r="V15" i="11" s="1"/>
  <c r="W15" i="11" s="1"/>
  <c r="X15" i="11" s="1"/>
  <c r="Y15" i="11" s="1"/>
  <c r="Z15" i="11" s="1"/>
  <c r="AA15" i="11" s="1"/>
  <c r="AB15" i="11" s="1"/>
  <c r="AC15" i="11" s="1"/>
  <c r="AD15" i="11" s="1"/>
  <c r="AE15" i="11" s="1"/>
  <c r="AF15" i="11" s="1"/>
  <c r="AG15" i="11" s="1"/>
  <c r="D16" i="11"/>
  <c r="E16" i="11"/>
  <c r="F16" i="11"/>
  <c r="G16" i="11" s="1"/>
  <c r="H16" i="11" s="1"/>
  <c r="I16" i="11" s="1"/>
  <c r="J16" i="11" s="1"/>
  <c r="K16" i="11" s="1"/>
  <c r="L16" i="11" s="1"/>
  <c r="M16" i="11" s="1"/>
  <c r="N16" i="11" s="1"/>
  <c r="O16" i="11" s="1"/>
  <c r="P16" i="11" s="1"/>
  <c r="Q16" i="11" s="1"/>
  <c r="R16" i="11" s="1"/>
  <c r="S16" i="11" s="1"/>
  <c r="T16" i="11" s="1"/>
  <c r="U16" i="11" s="1"/>
  <c r="V16" i="11" s="1"/>
  <c r="W16" i="11" s="1"/>
  <c r="X16" i="11" s="1"/>
  <c r="Y16" i="11" s="1"/>
  <c r="Z16" i="11" s="1"/>
  <c r="AA16" i="11" s="1"/>
  <c r="AB16" i="11" s="1"/>
  <c r="AC16" i="11" s="1"/>
  <c r="AD16" i="11" s="1"/>
  <c r="AE16" i="11" s="1"/>
  <c r="AF16" i="11" s="1"/>
  <c r="AG16" i="11" s="1"/>
  <c r="D17" i="11"/>
  <c r="E17" i="11"/>
  <c r="F17" i="11" s="1"/>
  <c r="G17" i="11" s="1"/>
  <c r="H17" i="11" s="1"/>
  <c r="I17" i="11" s="1"/>
  <c r="J17" i="11" s="1"/>
  <c r="K17" i="11" s="1"/>
  <c r="L17" i="11" s="1"/>
  <c r="M17" i="11" s="1"/>
  <c r="N17" i="11" s="1"/>
  <c r="O17" i="11" s="1"/>
  <c r="P17" i="11" s="1"/>
  <c r="Q17" i="11" s="1"/>
  <c r="R17" i="11" s="1"/>
  <c r="S17" i="11" s="1"/>
  <c r="T17" i="11" s="1"/>
  <c r="U17" i="11" s="1"/>
  <c r="V17" i="11" s="1"/>
  <c r="W17" i="11" s="1"/>
  <c r="X17" i="11" s="1"/>
  <c r="Y17" i="11" s="1"/>
  <c r="Z17" i="11" s="1"/>
  <c r="AA17" i="11" s="1"/>
  <c r="AB17" i="11" s="1"/>
  <c r="AC17" i="11" s="1"/>
  <c r="AD17" i="11" s="1"/>
  <c r="AE17" i="11" s="1"/>
  <c r="AF17" i="11" s="1"/>
  <c r="AG17" i="11" s="1"/>
  <c r="D18" i="11"/>
  <c r="E18" i="11"/>
  <c r="F18" i="11"/>
  <c r="G18" i="11" s="1"/>
  <c r="H18" i="11" s="1"/>
  <c r="I18" i="11" s="1"/>
  <c r="J18" i="11" s="1"/>
  <c r="K18" i="11" s="1"/>
  <c r="L18" i="11" s="1"/>
  <c r="M18" i="11" s="1"/>
  <c r="N18" i="11" s="1"/>
  <c r="O18" i="11" s="1"/>
  <c r="P18" i="11" s="1"/>
  <c r="Q18" i="11" s="1"/>
  <c r="R18" i="11" s="1"/>
  <c r="S18" i="11" s="1"/>
  <c r="T18" i="11" s="1"/>
  <c r="U18" i="11" s="1"/>
  <c r="V18" i="11" s="1"/>
  <c r="W18" i="11" s="1"/>
  <c r="X18" i="11" s="1"/>
  <c r="Y18" i="11" s="1"/>
  <c r="Z18" i="11" s="1"/>
  <c r="AA18" i="11" s="1"/>
  <c r="AB18" i="11" s="1"/>
  <c r="AC18" i="11" s="1"/>
  <c r="AD18" i="11" s="1"/>
  <c r="AE18" i="11" s="1"/>
  <c r="AF18" i="11" s="1"/>
  <c r="AG18" i="11" s="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2" i="11"/>
  <c r="O7" i="30" l="1"/>
  <c r="P7" i="30" s="1"/>
  <c r="Q7" i="30" s="1"/>
  <c r="R7" i="30" s="1"/>
  <c r="S7" i="30" s="1"/>
  <c r="T7" i="30" s="1"/>
  <c r="U7" i="30" s="1"/>
  <c r="V7" i="30" s="1"/>
  <c r="W7" i="30" s="1"/>
  <c r="X7" i="30" s="1"/>
  <c r="Y7" i="30" s="1"/>
  <c r="Z7" i="30" s="1"/>
  <c r="AA7" i="30" s="1"/>
  <c r="AB7" i="30" s="1"/>
  <c r="AC7" i="30" s="1"/>
  <c r="AD7" i="30" s="1"/>
  <c r="AE7" i="30" s="1"/>
  <c r="AF7" i="30" s="1"/>
  <c r="AG7" i="30" s="1"/>
  <c r="N5" i="30"/>
  <c r="O5" i="30" s="1"/>
  <c r="P5" i="30" s="1"/>
  <c r="Q5" i="30" s="1"/>
  <c r="R5" i="30" s="1"/>
  <c r="S5" i="30" s="1"/>
  <c r="T5" i="30" s="1"/>
  <c r="U5" i="30" s="1"/>
  <c r="V5" i="30" s="1"/>
  <c r="W5" i="30" s="1"/>
  <c r="X5" i="30" s="1"/>
  <c r="Y5" i="30" s="1"/>
  <c r="Z5" i="30" s="1"/>
  <c r="AA5" i="30" s="1"/>
  <c r="AB5" i="30" s="1"/>
  <c r="AC5" i="30" s="1"/>
  <c r="AD5" i="30" s="1"/>
  <c r="AE5" i="30" s="1"/>
  <c r="AF5" i="30" s="1"/>
  <c r="AG5" i="30" s="1"/>
  <c r="N6" i="30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AD6" i="30" s="1"/>
  <c r="AE6" i="30" s="1"/>
  <c r="AF6" i="30" s="1"/>
  <c r="AG6" i="30" s="1"/>
  <c r="N7" i="30"/>
  <c r="N12" i="30"/>
  <c r="O12" i="30" s="1"/>
  <c r="P12" i="30" s="1"/>
  <c r="Q12" i="30" s="1"/>
  <c r="R12" i="30" s="1"/>
  <c r="S12" i="30" s="1"/>
  <c r="T12" i="30" s="1"/>
  <c r="U12" i="30" s="1"/>
  <c r="V12" i="30" s="1"/>
  <c r="W12" i="30" s="1"/>
  <c r="X12" i="30" s="1"/>
  <c r="Y12" i="30" s="1"/>
  <c r="Z12" i="30" s="1"/>
  <c r="AA12" i="30" s="1"/>
  <c r="AB12" i="30" s="1"/>
  <c r="AC12" i="30" s="1"/>
  <c r="AD12" i="30" s="1"/>
  <c r="AE12" i="30" s="1"/>
  <c r="AF12" i="30" s="1"/>
  <c r="AG12" i="30" s="1"/>
  <c r="N18" i="30"/>
  <c r="O18" i="30" s="1"/>
  <c r="P18" i="30" s="1"/>
  <c r="Q18" i="30" s="1"/>
  <c r="R18" i="30" s="1"/>
  <c r="S18" i="30" s="1"/>
  <c r="T18" i="30" s="1"/>
  <c r="U18" i="30" s="1"/>
  <c r="V18" i="30" s="1"/>
  <c r="W18" i="30" s="1"/>
  <c r="X18" i="30" s="1"/>
  <c r="Y18" i="30" s="1"/>
  <c r="Z18" i="30" s="1"/>
  <c r="AA18" i="30" s="1"/>
  <c r="AB18" i="30" s="1"/>
  <c r="AC18" i="30" s="1"/>
  <c r="AD18" i="30" s="1"/>
  <c r="AE18" i="30" s="1"/>
  <c r="AF18" i="30" s="1"/>
  <c r="AG18" i="30" s="1"/>
  <c r="C2" i="30"/>
  <c r="D2" i="30"/>
  <c r="E2" i="30"/>
  <c r="F2" i="30"/>
  <c r="G2" i="30"/>
  <c r="H2" i="30"/>
  <c r="I2" i="30"/>
  <c r="J2" i="30"/>
  <c r="K2" i="30"/>
  <c r="L2" i="30"/>
  <c r="M2" i="30"/>
  <c r="N2" i="30" s="1"/>
  <c r="O2" i="30" s="1"/>
  <c r="P2" i="30" s="1"/>
  <c r="Q2" i="30" s="1"/>
  <c r="R2" i="30" s="1"/>
  <c r="S2" i="30" s="1"/>
  <c r="T2" i="30" s="1"/>
  <c r="U2" i="30" s="1"/>
  <c r="V2" i="30" s="1"/>
  <c r="W2" i="30" s="1"/>
  <c r="X2" i="30" s="1"/>
  <c r="Y2" i="30" s="1"/>
  <c r="Z2" i="30" s="1"/>
  <c r="AA2" i="30" s="1"/>
  <c r="AB2" i="30" s="1"/>
  <c r="AC2" i="30" s="1"/>
  <c r="AD2" i="30" s="1"/>
  <c r="AE2" i="30" s="1"/>
  <c r="AF2" i="30" s="1"/>
  <c r="AG2" i="30" s="1"/>
  <c r="C3" i="30"/>
  <c r="D3" i="30"/>
  <c r="E3" i="30"/>
  <c r="F3" i="30"/>
  <c r="G3" i="30"/>
  <c r="H3" i="30"/>
  <c r="I3" i="30"/>
  <c r="J3" i="30"/>
  <c r="K3" i="30"/>
  <c r="L3" i="30"/>
  <c r="M3" i="30"/>
  <c r="N3" i="30" s="1"/>
  <c r="O3" i="30" s="1"/>
  <c r="P3" i="30" s="1"/>
  <c r="Q3" i="30" s="1"/>
  <c r="R3" i="30" s="1"/>
  <c r="S3" i="30" s="1"/>
  <c r="T3" i="30" s="1"/>
  <c r="U3" i="30" s="1"/>
  <c r="V3" i="30" s="1"/>
  <c r="W3" i="30" s="1"/>
  <c r="X3" i="30" s="1"/>
  <c r="Y3" i="30" s="1"/>
  <c r="Z3" i="30" s="1"/>
  <c r="AA3" i="30" s="1"/>
  <c r="AB3" i="30" s="1"/>
  <c r="AC3" i="30" s="1"/>
  <c r="AD3" i="30" s="1"/>
  <c r="AE3" i="30" s="1"/>
  <c r="AF3" i="30" s="1"/>
  <c r="AG3" i="30" s="1"/>
  <c r="C4" i="30"/>
  <c r="D4" i="30"/>
  <c r="E4" i="30"/>
  <c r="F4" i="30"/>
  <c r="G4" i="30"/>
  <c r="H4" i="30"/>
  <c r="I4" i="30"/>
  <c r="J4" i="30"/>
  <c r="K4" i="30"/>
  <c r="L4" i="30"/>
  <c r="M4" i="30"/>
  <c r="N4" i="30" s="1"/>
  <c r="O4" i="30" s="1"/>
  <c r="P4" i="30" s="1"/>
  <c r="Q4" i="30" s="1"/>
  <c r="R4" i="30" s="1"/>
  <c r="S4" i="30" s="1"/>
  <c r="T4" i="30" s="1"/>
  <c r="U4" i="30" s="1"/>
  <c r="V4" i="30" s="1"/>
  <c r="W4" i="30" s="1"/>
  <c r="X4" i="30" s="1"/>
  <c r="Y4" i="30" s="1"/>
  <c r="Z4" i="30" s="1"/>
  <c r="AA4" i="30" s="1"/>
  <c r="AB4" i="30" s="1"/>
  <c r="AC4" i="30" s="1"/>
  <c r="AD4" i="30" s="1"/>
  <c r="AE4" i="30" s="1"/>
  <c r="AF4" i="30" s="1"/>
  <c r="AG4" i="30" s="1"/>
  <c r="C5" i="30"/>
  <c r="D5" i="30"/>
  <c r="E5" i="30"/>
  <c r="F5" i="30"/>
  <c r="G5" i="30"/>
  <c r="H5" i="30"/>
  <c r="I5" i="30"/>
  <c r="J5" i="30"/>
  <c r="K5" i="30"/>
  <c r="L5" i="30"/>
  <c r="M5" i="30"/>
  <c r="C6" i="30"/>
  <c r="D6" i="30"/>
  <c r="E6" i="30"/>
  <c r="F6" i="30"/>
  <c r="G6" i="30"/>
  <c r="H6" i="30"/>
  <c r="I6" i="30"/>
  <c r="J6" i="30"/>
  <c r="K6" i="30"/>
  <c r="L6" i="30"/>
  <c r="M6" i="30"/>
  <c r="C7" i="30"/>
  <c r="D7" i="30"/>
  <c r="E7" i="30"/>
  <c r="F7" i="30"/>
  <c r="G7" i="30"/>
  <c r="H7" i="30"/>
  <c r="I7" i="30"/>
  <c r="J7" i="30"/>
  <c r="K7" i="30"/>
  <c r="L7" i="30"/>
  <c r="M7" i="30"/>
  <c r="C8" i="30"/>
  <c r="D8" i="30"/>
  <c r="E8" i="30"/>
  <c r="F8" i="30"/>
  <c r="G8" i="30"/>
  <c r="H8" i="30"/>
  <c r="I8" i="30"/>
  <c r="J8" i="30"/>
  <c r="K8" i="30"/>
  <c r="L8" i="30"/>
  <c r="M8" i="30"/>
  <c r="N8" i="30" s="1"/>
  <c r="O8" i="30" s="1"/>
  <c r="P8" i="30" s="1"/>
  <c r="Q8" i="30" s="1"/>
  <c r="R8" i="30" s="1"/>
  <c r="S8" i="30" s="1"/>
  <c r="T8" i="30" s="1"/>
  <c r="U8" i="30" s="1"/>
  <c r="V8" i="30" s="1"/>
  <c r="W8" i="30" s="1"/>
  <c r="X8" i="30" s="1"/>
  <c r="Y8" i="30" s="1"/>
  <c r="Z8" i="30" s="1"/>
  <c r="AA8" i="30" s="1"/>
  <c r="AB8" i="30" s="1"/>
  <c r="AC8" i="30" s="1"/>
  <c r="AD8" i="30" s="1"/>
  <c r="AE8" i="30" s="1"/>
  <c r="AF8" i="30" s="1"/>
  <c r="AG8" i="30" s="1"/>
  <c r="C9" i="30"/>
  <c r="D9" i="30"/>
  <c r="E9" i="30"/>
  <c r="F9" i="30"/>
  <c r="G9" i="30"/>
  <c r="H9" i="30"/>
  <c r="I9" i="30"/>
  <c r="J9" i="30"/>
  <c r="K9" i="30"/>
  <c r="L9" i="30"/>
  <c r="M9" i="30"/>
  <c r="N9" i="30" s="1"/>
  <c r="O9" i="30" s="1"/>
  <c r="P9" i="30" s="1"/>
  <c r="Q9" i="30" s="1"/>
  <c r="R9" i="30" s="1"/>
  <c r="S9" i="30" s="1"/>
  <c r="T9" i="30" s="1"/>
  <c r="U9" i="30" s="1"/>
  <c r="V9" i="30" s="1"/>
  <c r="W9" i="30" s="1"/>
  <c r="X9" i="30" s="1"/>
  <c r="Y9" i="30" s="1"/>
  <c r="Z9" i="30" s="1"/>
  <c r="AA9" i="30" s="1"/>
  <c r="AB9" i="30" s="1"/>
  <c r="AC9" i="30" s="1"/>
  <c r="AD9" i="30" s="1"/>
  <c r="AE9" i="30" s="1"/>
  <c r="AF9" i="30" s="1"/>
  <c r="AG9" i="30" s="1"/>
  <c r="C10" i="30"/>
  <c r="D10" i="30"/>
  <c r="E10" i="30"/>
  <c r="F10" i="30"/>
  <c r="G10" i="30"/>
  <c r="H10" i="30"/>
  <c r="I10" i="30"/>
  <c r="J10" i="30"/>
  <c r="K10" i="30"/>
  <c r="L10" i="30"/>
  <c r="M10" i="30"/>
  <c r="N10" i="30" s="1"/>
  <c r="O10" i="30" s="1"/>
  <c r="P10" i="30" s="1"/>
  <c r="Q10" i="30" s="1"/>
  <c r="R10" i="30" s="1"/>
  <c r="S10" i="30" s="1"/>
  <c r="T10" i="30" s="1"/>
  <c r="U10" i="30" s="1"/>
  <c r="V10" i="30" s="1"/>
  <c r="W10" i="30" s="1"/>
  <c r="X10" i="30" s="1"/>
  <c r="Y10" i="30" s="1"/>
  <c r="Z10" i="30" s="1"/>
  <c r="AA10" i="30" s="1"/>
  <c r="AB10" i="30" s="1"/>
  <c r="AC10" i="30" s="1"/>
  <c r="AD10" i="30" s="1"/>
  <c r="AE10" i="30" s="1"/>
  <c r="AF10" i="30" s="1"/>
  <c r="AG10" i="30" s="1"/>
  <c r="C11" i="30"/>
  <c r="D11" i="30"/>
  <c r="E11" i="30"/>
  <c r="F11" i="30"/>
  <c r="G11" i="30"/>
  <c r="H11" i="30"/>
  <c r="I11" i="30"/>
  <c r="J11" i="30"/>
  <c r="K11" i="30"/>
  <c r="L11" i="30"/>
  <c r="C12" i="30"/>
  <c r="D12" i="30"/>
  <c r="E12" i="30"/>
  <c r="F12" i="30"/>
  <c r="G12" i="30"/>
  <c r="H12" i="30"/>
  <c r="I12" i="30"/>
  <c r="J12" i="30"/>
  <c r="K12" i="30"/>
  <c r="L12" i="30"/>
  <c r="M12" i="30"/>
  <c r="C13" i="30"/>
  <c r="D13" i="30"/>
  <c r="E13" i="30"/>
  <c r="F13" i="30"/>
  <c r="G13" i="30"/>
  <c r="H13" i="30"/>
  <c r="I13" i="30"/>
  <c r="J13" i="30"/>
  <c r="K13" i="30"/>
  <c r="L13" i="30"/>
  <c r="M13" i="30"/>
  <c r="N13" i="30" s="1"/>
  <c r="O13" i="30" s="1"/>
  <c r="P13" i="30" s="1"/>
  <c r="Q13" i="30" s="1"/>
  <c r="R13" i="30" s="1"/>
  <c r="S13" i="30" s="1"/>
  <c r="T13" i="30" s="1"/>
  <c r="U13" i="30" s="1"/>
  <c r="V13" i="30" s="1"/>
  <c r="W13" i="30" s="1"/>
  <c r="X13" i="30" s="1"/>
  <c r="Y13" i="30" s="1"/>
  <c r="Z13" i="30" s="1"/>
  <c r="AA13" i="30" s="1"/>
  <c r="AB13" i="30" s="1"/>
  <c r="AC13" i="30" s="1"/>
  <c r="AD13" i="30" s="1"/>
  <c r="AE13" i="30" s="1"/>
  <c r="AF13" i="30" s="1"/>
  <c r="AG13" i="30" s="1"/>
  <c r="C14" i="30"/>
  <c r="D14" i="30"/>
  <c r="E14" i="30"/>
  <c r="F14" i="30"/>
  <c r="G14" i="30"/>
  <c r="H14" i="30"/>
  <c r="I14" i="30"/>
  <c r="J14" i="30"/>
  <c r="K14" i="30"/>
  <c r="L14" i="30"/>
  <c r="M14" i="30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AG14" i="30" s="1"/>
  <c r="C15" i="30"/>
  <c r="D15" i="30"/>
  <c r="E15" i="30"/>
  <c r="F15" i="30"/>
  <c r="G15" i="30"/>
  <c r="H15" i="30"/>
  <c r="I15" i="30"/>
  <c r="J15" i="30"/>
  <c r="K15" i="30"/>
  <c r="L15" i="30"/>
  <c r="M15" i="30"/>
  <c r="N15" i="30" s="1"/>
  <c r="O15" i="30" s="1"/>
  <c r="P15" i="30" s="1"/>
  <c r="Q15" i="30" s="1"/>
  <c r="R15" i="30" s="1"/>
  <c r="S15" i="30" s="1"/>
  <c r="T15" i="30" s="1"/>
  <c r="U15" i="30" s="1"/>
  <c r="V15" i="30" s="1"/>
  <c r="W15" i="30" s="1"/>
  <c r="X15" i="30" s="1"/>
  <c r="Y15" i="30" s="1"/>
  <c r="Z15" i="30" s="1"/>
  <c r="AA15" i="30" s="1"/>
  <c r="AB15" i="30" s="1"/>
  <c r="AC15" i="30" s="1"/>
  <c r="AD15" i="30" s="1"/>
  <c r="AE15" i="30" s="1"/>
  <c r="AF15" i="30" s="1"/>
  <c r="AG15" i="30" s="1"/>
  <c r="C16" i="30"/>
  <c r="D16" i="30"/>
  <c r="E16" i="30"/>
  <c r="F16" i="30"/>
  <c r="G16" i="30"/>
  <c r="H16" i="30"/>
  <c r="I16" i="30"/>
  <c r="J16" i="30"/>
  <c r="K16" i="30"/>
  <c r="L16" i="30"/>
  <c r="M16" i="30"/>
  <c r="N16" i="30" s="1"/>
  <c r="O16" i="30" s="1"/>
  <c r="P16" i="30" s="1"/>
  <c r="Q16" i="30" s="1"/>
  <c r="R16" i="30" s="1"/>
  <c r="S16" i="30" s="1"/>
  <c r="T16" i="30" s="1"/>
  <c r="U16" i="30" s="1"/>
  <c r="V16" i="30" s="1"/>
  <c r="W16" i="30" s="1"/>
  <c r="X16" i="30" s="1"/>
  <c r="Y16" i="30" s="1"/>
  <c r="Z16" i="30" s="1"/>
  <c r="AA16" i="30" s="1"/>
  <c r="AB16" i="30" s="1"/>
  <c r="AC16" i="30" s="1"/>
  <c r="AD16" i="30" s="1"/>
  <c r="AE16" i="30" s="1"/>
  <c r="AF16" i="30" s="1"/>
  <c r="AG16" i="30" s="1"/>
  <c r="C17" i="30"/>
  <c r="D17" i="30"/>
  <c r="E17" i="30"/>
  <c r="F17" i="30"/>
  <c r="G17" i="30"/>
  <c r="H17" i="30"/>
  <c r="I17" i="30"/>
  <c r="J17" i="30"/>
  <c r="K17" i="30"/>
  <c r="L17" i="30"/>
  <c r="M17" i="30"/>
  <c r="N17" i="30" s="1"/>
  <c r="O17" i="30" s="1"/>
  <c r="P17" i="30" s="1"/>
  <c r="Q17" i="30" s="1"/>
  <c r="R17" i="30" s="1"/>
  <c r="S17" i="30" s="1"/>
  <c r="T17" i="30" s="1"/>
  <c r="U17" i="30" s="1"/>
  <c r="V17" i="30" s="1"/>
  <c r="W17" i="30" s="1"/>
  <c r="X17" i="30" s="1"/>
  <c r="Y17" i="30" s="1"/>
  <c r="Z17" i="30" s="1"/>
  <c r="AA17" i="30" s="1"/>
  <c r="AB17" i="30" s="1"/>
  <c r="AC17" i="30" s="1"/>
  <c r="AD17" i="30" s="1"/>
  <c r="AE17" i="30" s="1"/>
  <c r="AF17" i="30" s="1"/>
  <c r="AG17" i="30" s="1"/>
  <c r="C18" i="30"/>
  <c r="D18" i="30"/>
  <c r="E18" i="30"/>
  <c r="F18" i="30"/>
  <c r="G18" i="30"/>
  <c r="H18" i="30"/>
  <c r="I18" i="30"/>
  <c r="J18" i="30"/>
  <c r="K18" i="30"/>
  <c r="L18" i="30"/>
  <c r="M18" i="30"/>
  <c r="B3" i="30"/>
  <c r="B4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2" i="30"/>
  <c r="M11" i="30" l="1"/>
  <c r="N11" i="30" s="1"/>
  <c r="O11" i="30" s="1"/>
  <c r="P11" i="30" s="1"/>
  <c r="Q11" i="30" s="1"/>
  <c r="R11" i="30" s="1"/>
  <c r="S11" i="30" s="1"/>
  <c r="T11" i="30" s="1"/>
  <c r="U11" i="30" s="1"/>
  <c r="V11" i="30" s="1"/>
  <c r="W11" i="30" s="1"/>
  <c r="X11" i="30" s="1"/>
  <c r="Y11" i="30" s="1"/>
  <c r="Z11" i="30" s="1"/>
  <c r="AA11" i="30" s="1"/>
  <c r="AB11" i="30" s="1"/>
  <c r="AC11" i="30" s="1"/>
  <c r="AD11" i="30" s="1"/>
  <c r="AE11" i="30" s="1"/>
  <c r="AF11" i="30" s="1"/>
  <c r="AG11" i="30" s="1"/>
  <c r="D2" i="32"/>
  <c r="E2" i="32" s="1"/>
  <c r="F2" i="32" s="1"/>
  <c r="G2" i="32" s="1"/>
  <c r="H2" i="32" s="1"/>
  <c r="I2" i="32" s="1"/>
  <c r="J2" i="32" s="1"/>
  <c r="K2" i="32" s="1"/>
  <c r="L2" i="32" s="1"/>
  <c r="M2" i="32" s="1"/>
  <c r="N2" i="32" s="1"/>
  <c r="O2" i="32" s="1"/>
  <c r="P2" i="32" s="1"/>
  <c r="Q2" i="32" s="1"/>
  <c r="R2" i="32" s="1"/>
  <c r="S2" i="32" s="1"/>
  <c r="T2" i="32" s="1"/>
  <c r="U2" i="32" s="1"/>
  <c r="V2" i="32" s="1"/>
  <c r="W2" i="32" s="1"/>
  <c r="X2" i="32" s="1"/>
  <c r="Y2" i="32" s="1"/>
  <c r="Z2" i="32" s="1"/>
  <c r="AA2" i="32" s="1"/>
  <c r="AB2" i="32" s="1"/>
  <c r="AC2" i="32" s="1"/>
  <c r="AD2" i="32" s="1"/>
  <c r="AE2" i="32" s="1"/>
  <c r="AF2" i="32" s="1"/>
  <c r="AG2" i="32" s="1"/>
  <c r="D3" i="32"/>
  <c r="E3" i="32"/>
  <c r="F3" i="32"/>
  <c r="G3" i="32"/>
  <c r="H3" i="32" s="1"/>
  <c r="I3" i="32" s="1"/>
  <c r="J3" i="32" s="1"/>
  <c r="K3" i="32" s="1"/>
  <c r="L3" i="32" s="1"/>
  <c r="M3" i="32" s="1"/>
  <c r="N3" i="32" s="1"/>
  <c r="O3" i="32" s="1"/>
  <c r="P3" i="32" s="1"/>
  <c r="Q3" i="32" s="1"/>
  <c r="R3" i="32" s="1"/>
  <c r="S3" i="32" s="1"/>
  <c r="T3" i="32" s="1"/>
  <c r="U3" i="32" s="1"/>
  <c r="V3" i="32" s="1"/>
  <c r="W3" i="32" s="1"/>
  <c r="X3" i="32" s="1"/>
  <c r="Y3" i="32" s="1"/>
  <c r="Z3" i="32" s="1"/>
  <c r="AA3" i="32" s="1"/>
  <c r="AB3" i="32" s="1"/>
  <c r="AC3" i="32" s="1"/>
  <c r="AD3" i="32" s="1"/>
  <c r="AE3" i="32" s="1"/>
  <c r="AF3" i="32" s="1"/>
  <c r="AG3" i="32" s="1"/>
  <c r="D4" i="32"/>
  <c r="E4" i="32" s="1"/>
  <c r="F4" i="32" s="1"/>
  <c r="G4" i="32" s="1"/>
  <c r="H4" i="32" s="1"/>
  <c r="I4" i="32" s="1"/>
  <c r="J4" i="32" s="1"/>
  <c r="K4" i="32" s="1"/>
  <c r="L4" i="32" s="1"/>
  <c r="M4" i="32" s="1"/>
  <c r="N4" i="32" s="1"/>
  <c r="O4" i="32" s="1"/>
  <c r="P4" i="32" s="1"/>
  <c r="Q4" i="32" s="1"/>
  <c r="R4" i="32" s="1"/>
  <c r="S4" i="32" s="1"/>
  <c r="T4" i="32" s="1"/>
  <c r="U4" i="32" s="1"/>
  <c r="V4" i="32" s="1"/>
  <c r="W4" i="32" s="1"/>
  <c r="X4" i="32" s="1"/>
  <c r="Y4" i="32" s="1"/>
  <c r="Z4" i="32" s="1"/>
  <c r="AA4" i="32" s="1"/>
  <c r="AB4" i="32" s="1"/>
  <c r="AC4" i="32" s="1"/>
  <c r="AD4" i="32" s="1"/>
  <c r="AE4" i="32" s="1"/>
  <c r="AF4" i="32" s="1"/>
  <c r="AG4" i="32" s="1"/>
  <c r="D5" i="32"/>
  <c r="E5" i="32"/>
  <c r="F5" i="32"/>
  <c r="G5" i="32"/>
  <c r="H5" i="32" s="1"/>
  <c r="I5" i="32" s="1"/>
  <c r="J5" i="32" s="1"/>
  <c r="K5" i="32" s="1"/>
  <c r="L5" i="32" s="1"/>
  <c r="M5" i="32" s="1"/>
  <c r="N5" i="32" s="1"/>
  <c r="O5" i="32" s="1"/>
  <c r="P5" i="32" s="1"/>
  <c r="Q5" i="32" s="1"/>
  <c r="R5" i="32" s="1"/>
  <c r="S5" i="32" s="1"/>
  <c r="T5" i="32" s="1"/>
  <c r="U5" i="32" s="1"/>
  <c r="V5" i="32" s="1"/>
  <c r="W5" i="32" s="1"/>
  <c r="X5" i="32" s="1"/>
  <c r="Y5" i="32" s="1"/>
  <c r="Z5" i="32" s="1"/>
  <c r="AA5" i="32" s="1"/>
  <c r="AB5" i="32" s="1"/>
  <c r="AC5" i="32" s="1"/>
  <c r="AD5" i="32" s="1"/>
  <c r="AE5" i="32" s="1"/>
  <c r="AF5" i="32" s="1"/>
  <c r="AG5" i="32" s="1"/>
  <c r="D6" i="32"/>
  <c r="E6" i="32" s="1"/>
  <c r="F6" i="32" s="1"/>
  <c r="G6" i="32" s="1"/>
  <c r="H6" i="32" s="1"/>
  <c r="I6" i="32" s="1"/>
  <c r="J6" i="32" s="1"/>
  <c r="K6" i="32" s="1"/>
  <c r="L6" i="32" s="1"/>
  <c r="M6" i="32" s="1"/>
  <c r="N6" i="32" s="1"/>
  <c r="O6" i="32" s="1"/>
  <c r="P6" i="32" s="1"/>
  <c r="Q6" i="32" s="1"/>
  <c r="R6" i="32" s="1"/>
  <c r="S6" i="32" s="1"/>
  <c r="T6" i="32" s="1"/>
  <c r="U6" i="32" s="1"/>
  <c r="V6" i="32" s="1"/>
  <c r="W6" i="32" s="1"/>
  <c r="X6" i="32" s="1"/>
  <c r="Y6" i="32" s="1"/>
  <c r="Z6" i="32" s="1"/>
  <c r="AA6" i="32" s="1"/>
  <c r="AB6" i="32" s="1"/>
  <c r="AC6" i="32" s="1"/>
  <c r="AD6" i="32" s="1"/>
  <c r="AE6" i="32" s="1"/>
  <c r="AF6" i="32" s="1"/>
  <c r="AG6" i="32" s="1"/>
  <c r="D7" i="32"/>
  <c r="E7" i="32"/>
  <c r="F7" i="32"/>
  <c r="G7" i="32"/>
  <c r="H7" i="32" s="1"/>
  <c r="I7" i="32" s="1"/>
  <c r="J7" i="32" s="1"/>
  <c r="K7" i="32" s="1"/>
  <c r="L7" i="32" s="1"/>
  <c r="M7" i="32" s="1"/>
  <c r="N7" i="32" s="1"/>
  <c r="O7" i="32" s="1"/>
  <c r="P7" i="32" s="1"/>
  <c r="Q7" i="32" s="1"/>
  <c r="R7" i="32" s="1"/>
  <c r="S7" i="32" s="1"/>
  <c r="T7" i="32" s="1"/>
  <c r="U7" i="32" s="1"/>
  <c r="V7" i="32" s="1"/>
  <c r="W7" i="32" s="1"/>
  <c r="X7" i="32" s="1"/>
  <c r="Y7" i="32" s="1"/>
  <c r="Z7" i="32" s="1"/>
  <c r="AA7" i="32" s="1"/>
  <c r="AB7" i="32" s="1"/>
  <c r="AC7" i="32" s="1"/>
  <c r="AD7" i="32" s="1"/>
  <c r="AE7" i="32" s="1"/>
  <c r="AF7" i="32" s="1"/>
  <c r="AG7" i="32" s="1"/>
  <c r="D8" i="32"/>
  <c r="E8" i="32" s="1"/>
  <c r="F8" i="32" s="1"/>
  <c r="G8" i="32" s="1"/>
  <c r="H8" i="32" s="1"/>
  <c r="I8" i="32" s="1"/>
  <c r="J8" i="32" s="1"/>
  <c r="K8" i="32" s="1"/>
  <c r="L8" i="32" s="1"/>
  <c r="M8" i="32" s="1"/>
  <c r="N8" i="32" s="1"/>
  <c r="O8" i="32" s="1"/>
  <c r="P8" i="32" s="1"/>
  <c r="Q8" i="32" s="1"/>
  <c r="R8" i="32" s="1"/>
  <c r="S8" i="32" s="1"/>
  <c r="T8" i="32" s="1"/>
  <c r="U8" i="32" s="1"/>
  <c r="V8" i="32" s="1"/>
  <c r="W8" i="32" s="1"/>
  <c r="X8" i="32" s="1"/>
  <c r="Y8" i="32" s="1"/>
  <c r="Z8" i="32" s="1"/>
  <c r="AA8" i="32" s="1"/>
  <c r="AB8" i="32" s="1"/>
  <c r="AC8" i="32" s="1"/>
  <c r="AD8" i="32" s="1"/>
  <c r="AE8" i="32" s="1"/>
  <c r="AF8" i="32" s="1"/>
  <c r="AG8" i="32" s="1"/>
  <c r="D9" i="32"/>
  <c r="E9" i="32"/>
  <c r="F9" i="32"/>
  <c r="G9" i="32"/>
  <c r="H9" i="32" s="1"/>
  <c r="I9" i="32" s="1"/>
  <c r="J9" i="32" s="1"/>
  <c r="K9" i="32" s="1"/>
  <c r="L9" i="32" s="1"/>
  <c r="M9" i="32" s="1"/>
  <c r="N9" i="32" s="1"/>
  <c r="O9" i="32" s="1"/>
  <c r="P9" i="32" s="1"/>
  <c r="Q9" i="32" s="1"/>
  <c r="R9" i="32" s="1"/>
  <c r="S9" i="32" s="1"/>
  <c r="T9" i="32" s="1"/>
  <c r="U9" i="32" s="1"/>
  <c r="V9" i="32" s="1"/>
  <c r="W9" i="32" s="1"/>
  <c r="X9" i="32" s="1"/>
  <c r="Y9" i="32" s="1"/>
  <c r="Z9" i="32" s="1"/>
  <c r="AA9" i="32" s="1"/>
  <c r="AB9" i="32" s="1"/>
  <c r="AC9" i="32" s="1"/>
  <c r="AD9" i="32" s="1"/>
  <c r="AE9" i="32" s="1"/>
  <c r="AF9" i="32" s="1"/>
  <c r="AG9" i="32" s="1"/>
  <c r="D10" i="32"/>
  <c r="E10" i="32" s="1"/>
  <c r="F10" i="32" s="1"/>
  <c r="G10" i="32" s="1"/>
  <c r="H10" i="32" s="1"/>
  <c r="I10" i="32" s="1"/>
  <c r="J10" i="32" s="1"/>
  <c r="K10" i="32" s="1"/>
  <c r="L10" i="32" s="1"/>
  <c r="M10" i="32" s="1"/>
  <c r="N10" i="32" s="1"/>
  <c r="O10" i="32" s="1"/>
  <c r="P10" i="32" s="1"/>
  <c r="Q10" i="32" s="1"/>
  <c r="R10" i="32" s="1"/>
  <c r="S10" i="32" s="1"/>
  <c r="T10" i="32" s="1"/>
  <c r="U10" i="32" s="1"/>
  <c r="V10" i="32" s="1"/>
  <c r="W10" i="32" s="1"/>
  <c r="X10" i="32" s="1"/>
  <c r="Y10" i="32" s="1"/>
  <c r="Z10" i="32" s="1"/>
  <c r="AA10" i="32" s="1"/>
  <c r="AB10" i="32" s="1"/>
  <c r="AC10" i="32" s="1"/>
  <c r="AD10" i="32" s="1"/>
  <c r="AE10" i="32" s="1"/>
  <c r="AF10" i="32" s="1"/>
  <c r="AG10" i="32" s="1"/>
  <c r="D11" i="32"/>
  <c r="E11" i="32"/>
  <c r="F11" i="32"/>
  <c r="G11" i="32"/>
  <c r="H11" i="32" s="1"/>
  <c r="I11" i="32" s="1"/>
  <c r="J11" i="32" s="1"/>
  <c r="K11" i="32" s="1"/>
  <c r="L11" i="32" s="1"/>
  <c r="M11" i="32" s="1"/>
  <c r="N11" i="32" s="1"/>
  <c r="O11" i="32" s="1"/>
  <c r="P11" i="32" s="1"/>
  <c r="Q11" i="32" s="1"/>
  <c r="R11" i="32" s="1"/>
  <c r="S11" i="32" s="1"/>
  <c r="T11" i="32" s="1"/>
  <c r="U11" i="32" s="1"/>
  <c r="V11" i="32" s="1"/>
  <c r="W11" i="32" s="1"/>
  <c r="X11" i="32" s="1"/>
  <c r="Y11" i="32" s="1"/>
  <c r="Z11" i="32" s="1"/>
  <c r="AA11" i="32" s="1"/>
  <c r="AB11" i="32" s="1"/>
  <c r="AC11" i="32" s="1"/>
  <c r="AD11" i="32" s="1"/>
  <c r="AE11" i="32" s="1"/>
  <c r="AF11" i="32" s="1"/>
  <c r="AG11" i="32" s="1"/>
  <c r="D12" i="32"/>
  <c r="E12" i="32" s="1"/>
  <c r="F12" i="32" s="1"/>
  <c r="G12" i="32" s="1"/>
  <c r="H12" i="32" s="1"/>
  <c r="I12" i="32" s="1"/>
  <c r="J12" i="32" s="1"/>
  <c r="K12" i="32" s="1"/>
  <c r="L12" i="32" s="1"/>
  <c r="M12" i="32" s="1"/>
  <c r="N12" i="32" s="1"/>
  <c r="O12" i="32" s="1"/>
  <c r="P12" i="32" s="1"/>
  <c r="Q12" i="32" s="1"/>
  <c r="R12" i="32" s="1"/>
  <c r="S12" i="32" s="1"/>
  <c r="T12" i="32" s="1"/>
  <c r="U12" i="32" s="1"/>
  <c r="V12" i="32" s="1"/>
  <c r="W12" i="32" s="1"/>
  <c r="X12" i="32" s="1"/>
  <c r="Y12" i="32" s="1"/>
  <c r="Z12" i="32" s="1"/>
  <c r="AA12" i="32" s="1"/>
  <c r="AB12" i="32" s="1"/>
  <c r="AC12" i="32" s="1"/>
  <c r="AD12" i="32" s="1"/>
  <c r="AE12" i="32" s="1"/>
  <c r="AF12" i="32" s="1"/>
  <c r="AG12" i="32" s="1"/>
  <c r="D13" i="32"/>
  <c r="E13" i="32"/>
  <c r="F13" i="32"/>
  <c r="G13" i="32"/>
  <c r="H13" i="32" s="1"/>
  <c r="I13" i="32" s="1"/>
  <c r="J13" i="32" s="1"/>
  <c r="K13" i="32" s="1"/>
  <c r="L13" i="32" s="1"/>
  <c r="M13" i="32" s="1"/>
  <c r="N13" i="32" s="1"/>
  <c r="O13" i="32" s="1"/>
  <c r="P13" i="32" s="1"/>
  <c r="Q13" i="32" s="1"/>
  <c r="R13" i="32" s="1"/>
  <c r="S13" i="32" s="1"/>
  <c r="T13" i="32" s="1"/>
  <c r="U13" i="32" s="1"/>
  <c r="V13" i="32" s="1"/>
  <c r="W13" i="32" s="1"/>
  <c r="X13" i="32" s="1"/>
  <c r="Y13" i="32" s="1"/>
  <c r="Z13" i="32" s="1"/>
  <c r="AA13" i="32" s="1"/>
  <c r="AB13" i="32" s="1"/>
  <c r="AC13" i="32" s="1"/>
  <c r="AD13" i="32" s="1"/>
  <c r="AE13" i="32" s="1"/>
  <c r="AF13" i="32" s="1"/>
  <c r="AG13" i="32" s="1"/>
  <c r="D14" i="32"/>
  <c r="E14" i="32" s="1"/>
  <c r="F14" i="32" s="1"/>
  <c r="G14" i="32" s="1"/>
  <c r="H14" i="32" s="1"/>
  <c r="I14" i="32" s="1"/>
  <c r="J14" i="32" s="1"/>
  <c r="K14" i="32" s="1"/>
  <c r="L14" i="32" s="1"/>
  <c r="M14" i="32" s="1"/>
  <c r="N14" i="32" s="1"/>
  <c r="O14" i="32" s="1"/>
  <c r="P14" i="32" s="1"/>
  <c r="Q14" i="32" s="1"/>
  <c r="R14" i="32" s="1"/>
  <c r="S14" i="32" s="1"/>
  <c r="T14" i="32" s="1"/>
  <c r="U14" i="32" s="1"/>
  <c r="V14" i="32" s="1"/>
  <c r="W14" i="32" s="1"/>
  <c r="X14" i="32" s="1"/>
  <c r="Y14" i="32" s="1"/>
  <c r="Z14" i="32" s="1"/>
  <c r="AA14" i="32" s="1"/>
  <c r="AB14" i="32" s="1"/>
  <c r="AC14" i="32" s="1"/>
  <c r="AD14" i="32" s="1"/>
  <c r="AE14" i="32" s="1"/>
  <c r="AF14" i="32" s="1"/>
  <c r="AG14" i="32" s="1"/>
  <c r="D15" i="32"/>
  <c r="E15" i="32"/>
  <c r="F15" i="32"/>
  <c r="G15" i="32"/>
  <c r="H15" i="32" s="1"/>
  <c r="I15" i="32" s="1"/>
  <c r="J15" i="32" s="1"/>
  <c r="K15" i="32" s="1"/>
  <c r="L15" i="32" s="1"/>
  <c r="M15" i="32" s="1"/>
  <c r="N15" i="32" s="1"/>
  <c r="O15" i="32" s="1"/>
  <c r="P15" i="32" s="1"/>
  <c r="Q15" i="32" s="1"/>
  <c r="R15" i="32" s="1"/>
  <c r="S15" i="32" s="1"/>
  <c r="T15" i="32" s="1"/>
  <c r="U15" i="32" s="1"/>
  <c r="V15" i="32" s="1"/>
  <c r="W15" i="32" s="1"/>
  <c r="X15" i="32" s="1"/>
  <c r="Y15" i="32" s="1"/>
  <c r="Z15" i="32" s="1"/>
  <c r="AA15" i="32" s="1"/>
  <c r="AB15" i="32" s="1"/>
  <c r="AC15" i="32" s="1"/>
  <c r="AD15" i="32" s="1"/>
  <c r="AE15" i="32" s="1"/>
  <c r="AF15" i="32" s="1"/>
  <c r="AG15" i="32" s="1"/>
  <c r="D16" i="32"/>
  <c r="E16" i="32" s="1"/>
  <c r="F16" i="32" s="1"/>
  <c r="G16" i="32" s="1"/>
  <c r="H16" i="32" s="1"/>
  <c r="I16" i="32" s="1"/>
  <c r="J16" i="32" s="1"/>
  <c r="K16" i="32" s="1"/>
  <c r="L16" i="32" s="1"/>
  <c r="M16" i="32" s="1"/>
  <c r="N16" i="32" s="1"/>
  <c r="O16" i="32" s="1"/>
  <c r="P16" i="32" s="1"/>
  <c r="Q16" i="32" s="1"/>
  <c r="R16" i="32" s="1"/>
  <c r="S16" i="32" s="1"/>
  <c r="T16" i="32" s="1"/>
  <c r="U16" i="32" s="1"/>
  <c r="V16" i="32" s="1"/>
  <c r="W16" i="32" s="1"/>
  <c r="X16" i="32" s="1"/>
  <c r="Y16" i="32" s="1"/>
  <c r="Z16" i="32" s="1"/>
  <c r="AA16" i="32" s="1"/>
  <c r="AB16" i="32" s="1"/>
  <c r="AC16" i="32" s="1"/>
  <c r="AD16" i="32" s="1"/>
  <c r="AE16" i="32" s="1"/>
  <c r="AF16" i="32" s="1"/>
  <c r="AG16" i="32" s="1"/>
  <c r="D17" i="32"/>
  <c r="E17" i="32"/>
  <c r="F17" i="32"/>
  <c r="G17" i="32"/>
  <c r="H17" i="32" s="1"/>
  <c r="I17" i="32" s="1"/>
  <c r="J17" i="32" s="1"/>
  <c r="K17" i="32" s="1"/>
  <c r="L17" i="32" s="1"/>
  <c r="M17" i="32" s="1"/>
  <c r="N17" i="32" s="1"/>
  <c r="O17" i="32" s="1"/>
  <c r="P17" i="32" s="1"/>
  <c r="Q17" i="32" s="1"/>
  <c r="R17" i="32" s="1"/>
  <c r="S17" i="32" s="1"/>
  <c r="T17" i="32" s="1"/>
  <c r="U17" i="32" s="1"/>
  <c r="V17" i="32" s="1"/>
  <c r="W17" i="32" s="1"/>
  <c r="X17" i="32" s="1"/>
  <c r="Y17" i="32" s="1"/>
  <c r="Z17" i="32" s="1"/>
  <c r="AA17" i="32" s="1"/>
  <c r="AB17" i="32" s="1"/>
  <c r="AC17" i="32" s="1"/>
  <c r="AD17" i="32" s="1"/>
  <c r="AE17" i="32" s="1"/>
  <c r="AF17" i="32" s="1"/>
  <c r="AG17" i="32" s="1"/>
  <c r="D18" i="32"/>
  <c r="E18" i="32" s="1"/>
  <c r="F18" i="32" s="1"/>
  <c r="G18" i="32" s="1"/>
  <c r="H18" i="32" s="1"/>
  <c r="I18" i="32" s="1"/>
  <c r="J18" i="32" s="1"/>
  <c r="K18" i="32" s="1"/>
  <c r="L18" i="32" s="1"/>
  <c r="M18" i="32" s="1"/>
  <c r="N18" i="32" s="1"/>
  <c r="O18" i="32" s="1"/>
  <c r="P18" i="32" s="1"/>
  <c r="Q18" i="32" s="1"/>
  <c r="R18" i="32" s="1"/>
  <c r="S18" i="32" s="1"/>
  <c r="T18" i="32" s="1"/>
  <c r="U18" i="32" s="1"/>
  <c r="V18" i="32" s="1"/>
  <c r="W18" i="32" s="1"/>
  <c r="X18" i="32" s="1"/>
  <c r="Y18" i="32" s="1"/>
  <c r="Z18" i="32" s="1"/>
  <c r="AA18" i="32" s="1"/>
  <c r="AB18" i="32" s="1"/>
  <c r="AC18" i="32" s="1"/>
  <c r="AD18" i="32" s="1"/>
  <c r="AE18" i="32" s="1"/>
  <c r="AF18" i="32" s="1"/>
  <c r="AG18" i="32" s="1"/>
  <c r="C3" i="32"/>
  <c r="C4" i="32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2" i="32"/>
  <c r="C2" i="31" l="1"/>
  <c r="D2" i="31"/>
  <c r="E2" i="31"/>
  <c r="F2" i="31"/>
  <c r="G2" i="31"/>
  <c r="H2" i="31"/>
  <c r="I2" i="31"/>
  <c r="J2" i="31"/>
  <c r="K2" i="31"/>
  <c r="L2" i="31"/>
  <c r="M2" i="31"/>
  <c r="N2" i="31"/>
  <c r="O2" i="31"/>
  <c r="P2" i="31"/>
  <c r="Q2" i="31"/>
  <c r="R2" i="31"/>
  <c r="S2" i="31"/>
  <c r="T2" i="31"/>
  <c r="U2" i="31"/>
  <c r="V2" i="31"/>
  <c r="W2" i="31"/>
  <c r="X2" i="31"/>
  <c r="Y2" i="31"/>
  <c r="Z2" i="31"/>
  <c r="AA2" i="31"/>
  <c r="AB2" i="31"/>
  <c r="AC2" i="31"/>
  <c r="AD2" i="31"/>
  <c r="AE2" i="31"/>
  <c r="AF2" i="31"/>
  <c r="AG2" i="31"/>
  <c r="C3" i="31"/>
  <c r="D3" i="31"/>
  <c r="E3" i="31"/>
  <c r="F3" i="31"/>
  <c r="G3" i="31"/>
  <c r="H3" i="31"/>
  <c r="I3" i="31"/>
  <c r="J3" i="31"/>
  <c r="K3" i="31"/>
  <c r="L3" i="31"/>
  <c r="M3" i="31"/>
  <c r="N3" i="31"/>
  <c r="O3" i="31"/>
  <c r="P3" i="31"/>
  <c r="Q3" i="31"/>
  <c r="R3" i="31"/>
  <c r="S3" i="31"/>
  <c r="T3" i="31"/>
  <c r="U3" i="31"/>
  <c r="V3" i="31"/>
  <c r="W3" i="31"/>
  <c r="X3" i="31"/>
  <c r="Y3" i="31"/>
  <c r="Z3" i="31"/>
  <c r="AA3" i="31"/>
  <c r="AB3" i="31"/>
  <c r="AC3" i="31"/>
  <c r="AD3" i="31"/>
  <c r="AE3" i="31"/>
  <c r="AF3" i="31"/>
  <c r="AG3" i="31"/>
  <c r="C4" i="31"/>
  <c r="D4" i="31"/>
  <c r="E4" i="31"/>
  <c r="F4" i="31"/>
  <c r="G4" i="31"/>
  <c r="H4" i="31"/>
  <c r="I4" i="31"/>
  <c r="J4" i="31"/>
  <c r="K4" i="31"/>
  <c r="L4" i="31"/>
  <c r="M4" i="31"/>
  <c r="N4" i="31"/>
  <c r="O4" i="31"/>
  <c r="P4" i="31"/>
  <c r="Q4" i="31"/>
  <c r="R4" i="31"/>
  <c r="S4" i="31"/>
  <c r="T4" i="31"/>
  <c r="U4" i="31"/>
  <c r="V4" i="31"/>
  <c r="W4" i="31"/>
  <c r="X4" i="31"/>
  <c r="Y4" i="31"/>
  <c r="Z4" i="31"/>
  <c r="AA4" i="31"/>
  <c r="AB4" i="31"/>
  <c r="AC4" i="31"/>
  <c r="AD4" i="31"/>
  <c r="AE4" i="31"/>
  <c r="AF4" i="31"/>
  <c r="AG4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R5" i="31"/>
  <c r="S5" i="31"/>
  <c r="T5" i="31"/>
  <c r="U5" i="31"/>
  <c r="V5" i="31"/>
  <c r="W5" i="31"/>
  <c r="X5" i="31"/>
  <c r="Y5" i="31"/>
  <c r="Z5" i="31"/>
  <c r="AA5" i="31"/>
  <c r="AB5" i="31"/>
  <c r="AC5" i="31"/>
  <c r="AD5" i="31"/>
  <c r="AE5" i="31"/>
  <c r="AF5" i="31"/>
  <c r="AG5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R6" i="31"/>
  <c r="S6" i="31"/>
  <c r="T6" i="31"/>
  <c r="U6" i="31"/>
  <c r="V6" i="31"/>
  <c r="W6" i="31"/>
  <c r="X6" i="31"/>
  <c r="Y6" i="31"/>
  <c r="Z6" i="31"/>
  <c r="AA6" i="31"/>
  <c r="AB6" i="31"/>
  <c r="AC6" i="31"/>
  <c r="AD6" i="31"/>
  <c r="AE6" i="31"/>
  <c r="AF6" i="31"/>
  <c r="AG6" i="31"/>
  <c r="C7" i="31"/>
  <c r="D7" i="31"/>
  <c r="E7" i="31"/>
  <c r="F7" i="31"/>
  <c r="G7" i="31"/>
  <c r="H7" i="31"/>
  <c r="I7" i="31"/>
  <c r="J7" i="31"/>
  <c r="K7" i="31"/>
  <c r="L7" i="31"/>
  <c r="M7" i="31"/>
  <c r="N7" i="31"/>
  <c r="O7" i="31"/>
  <c r="P7" i="31"/>
  <c r="Q7" i="31"/>
  <c r="R7" i="31"/>
  <c r="S7" i="31"/>
  <c r="T7" i="31"/>
  <c r="U7" i="31"/>
  <c r="V7" i="31"/>
  <c r="W7" i="31"/>
  <c r="X7" i="31"/>
  <c r="Y7" i="31"/>
  <c r="Z7" i="31"/>
  <c r="AA7" i="31"/>
  <c r="AB7" i="31"/>
  <c r="AC7" i="31"/>
  <c r="AD7" i="31"/>
  <c r="AE7" i="31"/>
  <c r="AF7" i="31"/>
  <c r="AG7" i="31"/>
  <c r="C8" i="31"/>
  <c r="D8" i="31"/>
  <c r="E8" i="31"/>
  <c r="F8" i="31"/>
  <c r="G8" i="31"/>
  <c r="H8" i="31"/>
  <c r="I8" i="31"/>
  <c r="J8" i="31"/>
  <c r="K8" i="31"/>
  <c r="L8" i="31"/>
  <c r="M8" i="31"/>
  <c r="N8" i="31"/>
  <c r="O8" i="31"/>
  <c r="P8" i="31"/>
  <c r="Q8" i="31"/>
  <c r="R8" i="31"/>
  <c r="S8" i="31"/>
  <c r="T8" i="31"/>
  <c r="U8" i="31"/>
  <c r="V8" i="31"/>
  <c r="W8" i="31"/>
  <c r="X8" i="31"/>
  <c r="Y8" i="31"/>
  <c r="Z8" i="31"/>
  <c r="AA8" i="31"/>
  <c r="AB8" i="31"/>
  <c r="AC8" i="31"/>
  <c r="AD8" i="31"/>
  <c r="AE8" i="31"/>
  <c r="AF8" i="31"/>
  <c r="AG8" i="31"/>
  <c r="C9" i="31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Q9" i="31"/>
  <c r="R9" i="31"/>
  <c r="S9" i="31"/>
  <c r="T9" i="31"/>
  <c r="U9" i="31"/>
  <c r="V9" i="31"/>
  <c r="W9" i="31"/>
  <c r="X9" i="31"/>
  <c r="Y9" i="31"/>
  <c r="Z9" i="31"/>
  <c r="AA9" i="31"/>
  <c r="AB9" i="31"/>
  <c r="AC9" i="31"/>
  <c r="AD9" i="31"/>
  <c r="AE9" i="31"/>
  <c r="AF9" i="31"/>
  <c r="AG9" i="31"/>
  <c r="C10" i="31"/>
  <c r="D10" i="31"/>
  <c r="E10" i="31"/>
  <c r="F10" i="31"/>
  <c r="G10" i="31"/>
  <c r="H10" i="31"/>
  <c r="I10" i="31"/>
  <c r="J10" i="31"/>
  <c r="K10" i="31"/>
  <c r="L10" i="31"/>
  <c r="M10" i="31"/>
  <c r="N10" i="31"/>
  <c r="O10" i="31"/>
  <c r="P10" i="31"/>
  <c r="Q10" i="31"/>
  <c r="R10" i="31"/>
  <c r="S10" i="31"/>
  <c r="T10" i="31"/>
  <c r="U10" i="31"/>
  <c r="V10" i="31"/>
  <c r="W10" i="31"/>
  <c r="X10" i="31"/>
  <c r="Y10" i="31"/>
  <c r="Z10" i="31"/>
  <c r="AA10" i="31"/>
  <c r="AB10" i="31"/>
  <c r="AC10" i="31"/>
  <c r="AD10" i="31"/>
  <c r="AE10" i="31"/>
  <c r="AF10" i="31"/>
  <c r="AG10" i="31"/>
  <c r="C11" i="31"/>
  <c r="D11" i="31"/>
  <c r="E11" i="31"/>
  <c r="F11" i="31"/>
  <c r="G11" i="31"/>
  <c r="H11" i="31"/>
  <c r="I11" i="31"/>
  <c r="J11" i="31"/>
  <c r="K11" i="31"/>
  <c r="L11" i="31"/>
  <c r="M11" i="31"/>
  <c r="N11" i="31"/>
  <c r="O11" i="31"/>
  <c r="P11" i="31"/>
  <c r="Q11" i="31"/>
  <c r="R11" i="31"/>
  <c r="S11" i="31"/>
  <c r="T11" i="31"/>
  <c r="U11" i="31"/>
  <c r="V11" i="31"/>
  <c r="W11" i="31"/>
  <c r="X11" i="31"/>
  <c r="Y11" i="31"/>
  <c r="Z11" i="31"/>
  <c r="AA11" i="31"/>
  <c r="AB11" i="31"/>
  <c r="AC11" i="31"/>
  <c r="AD11" i="31"/>
  <c r="AE11" i="31"/>
  <c r="AF11" i="31"/>
  <c r="AG11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R12" i="31"/>
  <c r="S12" i="31"/>
  <c r="T12" i="31"/>
  <c r="U12" i="31"/>
  <c r="V12" i="31"/>
  <c r="W12" i="31"/>
  <c r="X12" i="31"/>
  <c r="Y12" i="31"/>
  <c r="Z12" i="31"/>
  <c r="AA12" i="31"/>
  <c r="AB12" i="31"/>
  <c r="AC12" i="31"/>
  <c r="AD12" i="31"/>
  <c r="AE12" i="31"/>
  <c r="AF12" i="31"/>
  <c r="AG12" i="31"/>
  <c r="C13" i="31"/>
  <c r="D13" i="31"/>
  <c r="E13" i="31"/>
  <c r="F13" i="31"/>
  <c r="G13" i="31"/>
  <c r="H13" i="31"/>
  <c r="I13" i="31"/>
  <c r="J13" i="31"/>
  <c r="K13" i="31"/>
  <c r="L13" i="31"/>
  <c r="M13" i="31"/>
  <c r="N13" i="31"/>
  <c r="O13" i="31"/>
  <c r="P13" i="31"/>
  <c r="Q13" i="31"/>
  <c r="R13" i="31"/>
  <c r="S13" i="31"/>
  <c r="T13" i="31"/>
  <c r="U13" i="31"/>
  <c r="V13" i="31"/>
  <c r="W13" i="31"/>
  <c r="X13" i="31"/>
  <c r="Y13" i="31"/>
  <c r="Z13" i="31"/>
  <c r="AA13" i="31"/>
  <c r="AB13" i="31"/>
  <c r="AC13" i="31"/>
  <c r="AD13" i="31"/>
  <c r="AE13" i="31"/>
  <c r="AF13" i="31"/>
  <c r="AG13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R14" i="31"/>
  <c r="S14" i="31"/>
  <c r="T14" i="31"/>
  <c r="U14" i="31"/>
  <c r="V14" i="31"/>
  <c r="W14" i="31"/>
  <c r="X14" i="31"/>
  <c r="Y14" i="31"/>
  <c r="Z14" i="31"/>
  <c r="AA14" i="31"/>
  <c r="AB14" i="31"/>
  <c r="AC14" i="31"/>
  <c r="AD14" i="31"/>
  <c r="AE14" i="31"/>
  <c r="AF14" i="31"/>
  <c r="AG14" i="31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R15" i="31"/>
  <c r="S15" i="31"/>
  <c r="T15" i="31"/>
  <c r="U15" i="31"/>
  <c r="V15" i="31"/>
  <c r="W15" i="31"/>
  <c r="X15" i="31"/>
  <c r="Y15" i="31"/>
  <c r="Z15" i="31"/>
  <c r="AA15" i="31"/>
  <c r="AB15" i="31"/>
  <c r="AC15" i="31"/>
  <c r="AD15" i="31"/>
  <c r="AE15" i="31"/>
  <c r="AF15" i="31"/>
  <c r="AG15" i="31"/>
  <c r="C16" i="31"/>
  <c r="D16" i="31"/>
  <c r="E16" i="31"/>
  <c r="F16" i="31"/>
  <c r="G16" i="31"/>
  <c r="H16" i="31"/>
  <c r="I16" i="31"/>
  <c r="J16" i="31"/>
  <c r="K16" i="31"/>
  <c r="L16" i="31"/>
  <c r="M16" i="31"/>
  <c r="N16" i="31"/>
  <c r="O16" i="31"/>
  <c r="P16" i="31"/>
  <c r="Q16" i="31"/>
  <c r="R16" i="31"/>
  <c r="S16" i="31"/>
  <c r="T16" i="31"/>
  <c r="U16" i="31"/>
  <c r="V16" i="31"/>
  <c r="W16" i="31"/>
  <c r="X16" i="31"/>
  <c r="Y16" i="31"/>
  <c r="Z16" i="31"/>
  <c r="AA16" i="31"/>
  <c r="AB16" i="31"/>
  <c r="AC16" i="31"/>
  <c r="AD16" i="31"/>
  <c r="AE16" i="31"/>
  <c r="AF16" i="31"/>
  <c r="AG16" i="31"/>
  <c r="C17" i="31"/>
  <c r="D17" i="31"/>
  <c r="E17" i="31"/>
  <c r="F17" i="31"/>
  <c r="G17" i="31"/>
  <c r="H17" i="31"/>
  <c r="I17" i="31"/>
  <c r="J17" i="31"/>
  <c r="K17" i="31"/>
  <c r="L17" i="31"/>
  <c r="M17" i="31"/>
  <c r="N17" i="31"/>
  <c r="O17" i="31"/>
  <c r="P17" i="31"/>
  <c r="Q17" i="31"/>
  <c r="R17" i="31"/>
  <c r="S17" i="31"/>
  <c r="T17" i="31"/>
  <c r="U17" i="31"/>
  <c r="V17" i="31"/>
  <c r="W17" i="31"/>
  <c r="X17" i="31"/>
  <c r="Y17" i="31"/>
  <c r="Z17" i="31"/>
  <c r="AA17" i="31"/>
  <c r="AB17" i="31"/>
  <c r="AC17" i="31"/>
  <c r="AD17" i="31"/>
  <c r="AE17" i="31"/>
  <c r="AF17" i="31"/>
  <c r="AG17" i="31"/>
  <c r="C18" i="31"/>
  <c r="D18" i="31"/>
  <c r="E18" i="31"/>
  <c r="F18" i="31"/>
  <c r="G18" i="31"/>
  <c r="H18" i="31"/>
  <c r="I18" i="31"/>
  <c r="J18" i="31"/>
  <c r="K18" i="31"/>
  <c r="L18" i="31"/>
  <c r="M18" i="31"/>
  <c r="N18" i="31"/>
  <c r="O18" i="31"/>
  <c r="P18" i="31"/>
  <c r="Q18" i="31"/>
  <c r="R18" i="31"/>
  <c r="S18" i="31"/>
  <c r="T18" i="31"/>
  <c r="U18" i="31"/>
  <c r="V18" i="31"/>
  <c r="W18" i="31"/>
  <c r="X18" i="31"/>
  <c r="Y18" i="31"/>
  <c r="Z18" i="31"/>
  <c r="AA18" i="31"/>
  <c r="AB18" i="31"/>
  <c r="AC18" i="31"/>
  <c r="AD18" i="31"/>
  <c r="AE18" i="31"/>
  <c r="AF18" i="31"/>
  <c r="AG18" i="31"/>
  <c r="B3" i="3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2" i="31"/>
  <c r="X3" i="29"/>
  <c r="Y3" i="29" s="1"/>
  <c r="Z3" i="29" s="1"/>
  <c r="AA3" i="29" s="1"/>
  <c r="AB3" i="29" s="1"/>
  <c r="AC3" i="29" s="1"/>
  <c r="AD3" i="29" s="1"/>
  <c r="AE3" i="29" s="1"/>
  <c r="AF3" i="29" s="1"/>
  <c r="X4" i="29"/>
  <c r="Y4" i="29" s="1"/>
  <c r="Z4" i="29" s="1"/>
  <c r="AA4" i="29" s="1"/>
  <c r="AB4" i="29" s="1"/>
  <c r="AC4" i="29" s="1"/>
  <c r="AD4" i="29" s="1"/>
  <c r="AE4" i="29" s="1"/>
  <c r="AF4" i="29" s="1"/>
  <c r="X5" i="29"/>
  <c r="Y5" i="29"/>
  <c r="Z5" i="29"/>
  <c r="AA5" i="29"/>
  <c r="AB5" i="29" s="1"/>
  <c r="AC5" i="29" s="1"/>
  <c r="AD5" i="29" s="1"/>
  <c r="AE5" i="29" s="1"/>
  <c r="AF5" i="29" s="1"/>
  <c r="X6" i="29"/>
  <c r="Y6" i="29"/>
  <c r="Z6" i="29"/>
  <c r="AA6" i="29"/>
  <c r="AB6" i="29" s="1"/>
  <c r="AC6" i="29" s="1"/>
  <c r="AD6" i="29" s="1"/>
  <c r="AE6" i="29" s="1"/>
  <c r="AF6" i="29" s="1"/>
  <c r="X7" i="29"/>
  <c r="Y7" i="29" s="1"/>
  <c r="Z7" i="29" s="1"/>
  <c r="AA7" i="29" s="1"/>
  <c r="AB7" i="29" s="1"/>
  <c r="AC7" i="29" s="1"/>
  <c r="AD7" i="29" s="1"/>
  <c r="AE7" i="29" s="1"/>
  <c r="AF7" i="29" s="1"/>
  <c r="X8" i="29"/>
  <c r="Y8" i="29" s="1"/>
  <c r="Z8" i="29" s="1"/>
  <c r="AA8" i="29" s="1"/>
  <c r="AB8" i="29" s="1"/>
  <c r="AC8" i="29" s="1"/>
  <c r="AD8" i="29" s="1"/>
  <c r="AE8" i="29" s="1"/>
  <c r="AF8" i="29" s="1"/>
  <c r="X9" i="29"/>
  <c r="Y9" i="29" s="1"/>
  <c r="Z9" i="29" s="1"/>
  <c r="AA9" i="29" s="1"/>
  <c r="AB9" i="29" s="1"/>
  <c r="AC9" i="29" s="1"/>
  <c r="AD9" i="29" s="1"/>
  <c r="AE9" i="29" s="1"/>
  <c r="AF9" i="29" s="1"/>
  <c r="X10" i="29"/>
  <c r="Y10" i="29"/>
  <c r="Z10" i="29"/>
  <c r="AA10" i="29"/>
  <c r="AB10" i="29"/>
  <c r="AC10" i="29"/>
  <c r="AD10" i="29"/>
  <c r="AE10" i="29" s="1"/>
  <c r="AF10" i="29" s="1"/>
  <c r="X11" i="29"/>
  <c r="Y11" i="29" s="1"/>
  <c r="Z11" i="29" s="1"/>
  <c r="AA11" i="29" s="1"/>
  <c r="AB11" i="29" s="1"/>
  <c r="AC11" i="29" s="1"/>
  <c r="AD11" i="29" s="1"/>
  <c r="AE11" i="29" s="1"/>
  <c r="AF11" i="29" s="1"/>
  <c r="X12" i="29"/>
  <c r="Y12" i="29" s="1"/>
  <c r="Z12" i="29" s="1"/>
  <c r="AA12" i="29" s="1"/>
  <c r="AB12" i="29" s="1"/>
  <c r="AC12" i="29" s="1"/>
  <c r="AD12" i="29" s="1"/>
  <c r="AE12" i="29" s="1"/>
  <c r="AF12" i="29" s="1"/>
  <c r="X13" i="29"/>
  <c r="Y13" i="29" s="1"/>
  <c r="Z13" i="29" s="1"/>
  <c r="AA13" i="29" s="1"/>
  <c r="AB13" i="29" s="1"/>
  <c r="AC13" i="29" s="1"/>
  <c r="AD13" i="29" s="1"/>
  <c r="AE13" i="29" s="1"/>
  <c r="AF13" i="29" s="1"/>
  <c r="X14" i="29"/>
  <c r="Y14" i="29"/>
  <c r="Z14" i="29"/>
  <c r="AA14" i="29"/>
  <c r="AB14" i="29"/>
  <c r="AC14" i="29"/>
  <c r="AD14" i="29"/>
  <c r="AE14" i="29" s="1"/>
  <c r="AF14" i="29" s="1"/>
  <c r="X15" i="29"/>
  <c r="Y15" i="29" s="1"/>
  <c r="Z15" i="29" s="1"/>
  <c r="AA15" i="29" s="1"/>
  <c r="AB15" i="29" s="1"/>
  <c r="AC15" i="29" s="1"/>
  <c r="AD15" i="29" s="1"/>
  <c r="AE15" i="29" s="1"/>
  <c r="AF15" i="29" s="1"/>
  <c r="X16" i="29"/>
  <c r="Y16" i="29" s="1"/>
  <c r="Z16" i="29" s="1"/>
  <c r="AA16" i="29" s="1"/>
  <c r="AB16" i="29" s="1"/>
  <c r="AC16" i="29" s="1"/>
  <c r="AD16" i="29" s="1"/>
  <c r="AE16" i="29" s="1"/>
  <c r="AF16" i="29" s="1"/>
  <c r="X17" i="29"/>
  <c r="Y17" i="29"/>
  <c r="Z17" i="29"/>
  <c r="AA17" i="29"/>
  <c r="AB17" i="29" s="1"/>
  <c r="AC17" i="29" s="1"/>
  <c r="AD17" i="29" s="1"/>
  <c r="AE17" i="29" s="1"/>
  <c r="AF17" i="29" s="1"/>
  <c r="X18" i="29"/>
  <c r="Y18" i="29"/>
  <c r="Z18" i="29" s="1"/>
  <c r="AA18" i="29" s="1"/>
  <c r="AB18" i="29" s="1"/>
  <c r="AC18" i="29" s="1"/>
  <c r="AD18" i="29" s="1"/>
  <c r="AE18" i="29" s="1"/>
  <c r="AF18" i="29" s="1"/>
  <c r="Y2" i="29"/>
  <c r="Z2" i="29" s="1"/>
  <c r="AA2" i="29" s="1"/>
  <c r="AB2" i="29" s="1"/>
  <c r="AC2" i="29" s="1"/>
  <c r="AD2" i="29" s="1"/>
  <c r="AE2" i="29" s="1"/>
  <c r="AF2" i="29" s="1"/>
  <c r="X2" i="29"/>
  <c r="N3" i="29"/>
  <c r="O3" i="29" s="1"/>
  <c r="P3" i="29" s="1"/>
  <c r="Q3" i="29" s="1"/>
  <c r="R3" i="29" s="1"/>
  <c r="S3" i="29" s="1"/>
  <c r="T3" i="29" s="1"/>
  <c r="U3" i="29" s="1"/>
  <c r="V3" i="29" s="1"/>
  <c r="N4" i="29"/>
  <c r="O4" i="29"/>
  <c r="P4" i="29"/>
  <c r="Q4" i="29" s="1"/>
  <c r="R4" i="29" s="1"/>
  <c r="S4" i="29" s="1"/>
  <c r="T4" i="29" s="1"/>
  <c r="U4" i="29" s="1"/>
  <c r="V4" i="29" s="1"/>
  <c r="N5" i="29"/>
  <c r="O5" i="29"/>
  <c r="P5" i="29" s="1"/>
  <c r="Q5" i="29" s="1"/>
  <c r="R5" i="29" s="1"/>
  <c r="S5" i="29" s="1"/>
  <c r="T5" i="29" s="1"/>
  <c r="U5" i="29" s="1"/>
  <c r="V5" i="29" s="1"/>
  <c r="N6" i="29"/>
  <c r="O6" i="29" s="1"/>
  <c r="P6" i="29" s="1"/>
  <c r="Q6" i="29" s="1"/>
  <c r="R6" i="29" s="1"/>
  <c r="S6" i="29" s="1"/>
  <c r="T6" i="29" s="1"/>
  <c r="U6" i="29" s="1"/>
  <c r="V6" i="29" s="1"/>
  <c r="N7" i="29"/>
  <c r="O7" i="29" s="1"/>
  <c r="P7" i="29" s="1"/>
  <c r="Q7" i="29" s="1"/>
  <c r="R7" i="29" s="1"/>
  <c r="S7" i="29" s="1"/>
  <c r="T7" i="29" s="1"/>
  <c r="U7" i="29" s="1"/>
  <c r="V7" i="29" s="1"/>
  <c r="N8" i="29"/>
  <c r="O8" i="29"/>
  <c r="P8" i="29"/>
  <c r="Q8" i="29" s="1"/>
  <c r="R8" i="29" s="1"/>
  <c r="S8" i="29" s="1"/>
  <c r="T8" i="29" s="1"/>
  <c r="U8" i="29" s="1"/>
  <c r="V8" i="29" s="1"/>
  <c r="N9" i="29"/>
  <c r="O9" i="29"/>
  <c r="P9" i="29" s="1"/>
  <c r="Q9" i="29" s="1"/>
  <c r="R9" i="29" s="1"/>
  <c r="S9" i="29" s="1"/>
  <c r="T9" i="29" s="1"/>
  <c r="U9" i="29" s="1"/>
  <c r="V9" i="29" s="1"/>
  <c r="N10" i="29"/>
  <c r="O10" i="29" s="1"/>
  <c r="P10" i="29" s="1"/>
  <c r="Q10" i="29" s="1"/>
  <c r="R10" i="29" s="1"/>
  <c r="S10" i="29" s="1"/>
  <c r="T10" i="29" s="1"/>
  <c r="U10" i="29" s="1"/>
  <c r="V10" i="29" s="1"/>
  <c r="N11" i="29"/>
  <c r="O11" i="29" s="1"/>
  <c r="P11" i="29" s="1"/>
  <c r="Q11" i="29" s="1"/>
  <c r="R11" i="29" s="1"/>
  <c r="S11" i="29" s="1"/>
  <c r="T11" i="29" s="1"/>
  <c r="U11" i="29" s="1"/>
  <c r="V11" i="29" s="1"/>
  <c r="N12" i="29"/>
  <c r="O12" i="29"/>
  <c r="P12" i="29"/>
  <c r="Q12" i="29" s="1"/>
  <c r="R12" i="29" s="1"/>
  <c r="S12" i="29" s="1"/>
  <c r="T12" i="29" s="1"/>
  <c r="U12" i="29" s="1"/>
  <c r="V12" i="29" s="1"/>
  <c r="N13" i="29"/>
  <c r="O13" i="29"/>
  <c r="P13" i="29" s="1"/>
  <c r="Q13" i="29" s="1"/>
  <c r="R13" i="29" s="1"/>
  <c r="S13" i="29" s="1"/>
  <c r="T13" i="29" s="1"/>
  <c r="U13" i="29" s="1"/>
  <c r="V13" i="29" s="1"/>
  <c r="N14" i="29"/>
  <c r="O14" i="29" s="1"/>
  <c r="P14" i="29" s="1"/>
  <c r="Q14" i="29" s="1"/>
  <c r="R14" i="29" s="1"/>
  <c r="S14" i="29" s="1"/>
  <c r="T14" i="29" s="1"/>
  <c r="U14" i="29" s="1"/>
  <c r="V14" i="29" s="1"/>
  <c r="N15" i="29"/>
  <c r="O15" i="29" s="1"/>
  <c r="P15" i="29" s="1"/>
  <c r="Q15" i="29" s="1"/>
  <c r="R15" i="29" s="1"/>
  <c r="S15" i="29" s="1"/>
  <c r="T15" i="29" s="1"/>
  <c r="U15" i="29" s="1"/>
  <c r="V15" i="29" s="1"/>
  <c r="N16" i="29"/>
  <c r="O16" i="29"/>
  <c r="P16" i="29"/>
  <c r="Q16" i="29" s="1"/>
  <c r="R16" i="29" s="1"/>
  <c r="S16" i="29" s="1"/>
  <c r="T16" i="29" s="1"/>
  <c r="U16" i="29" s="1"/>
  <c r="V16" i="29" s="1"/>
  <c r="N17" i="29"/>
  <c r="O17" i="29" s="1"/>
  <c r="P17" i="29" s="1"/>
  <c r="Q17" i="29" s="1"/>
  <c r="R17" i="29" s="1"/>
  <c r="S17" i="29" s="1"/>
  <c r="T17" i="29" s="1"/>
  <c r="U17" i="29" s="1"/>
  <c r="V17" i="29" s="1"/>
  <c r="N18" i="29"/>
  <c r="O18" i="29" s="1"/>
  <c r="P18" i="29" s="1"/>
  <c r="Q18" i="29" s="1"/>
  <c r="R18" i="29" s="1"/>
  <c r="S18" i="29" s="1"/>
  <c r="T18" i="29" s="1"/>
  <c r="U18" i="29" s="1"/>
  <c r="V18" i="29" s="1"/>
  <c r="O2" i="29"/>
  <c r="P2" i="29" s="1"/>
  <c r="Q2" i="29" s="1"/>
  <c r="R2" i="29" s="1"/>
  <c r="S2" i="29" s="1"/>
  <c r="T2" i="29" s="1"/>
  <c r="U2" i="29" s="1"/>
  <c r="V2" i="29" s="1"/>
  <c r="N2" i="29"/>
  <c r="C3" i="29"/>
  <c r="D3" i="29" s="1"/>
  <c r="E3" i="29" s="1"/>
  <c r="F3" i="29" s="1"/>
  <c r="G3" i="29" s="1"/>
  <c r="H3" i="29" s="1"/>
  <c r="I3" i="29" s="1"/>
  <c r="J3" i="29" s="1"/>
  <c r="K3" i="29" s="1"/>
  <c r="L3" i="29" s="1"/>
  <c r="C4" i="29"/>
  <c r="D4" i="29"/>
  <c r="E4" i="29" s="1"/>
  <c r="F4" i="29" s="1"/>
  <c r="G4" i="29" s="1"/>
  <c r="H4" i="29" s="1"/>
  <c r="I4" i="29" s="1"/>
  <c r="J4" i="29" s="1"/>
  <c r="K4" i="29" s="1"/>
  <c r="L4" i="29" s="1"/>
  <c r="C5" i="29"/>
  <c r="D5" i="29" s="1"/>
  <c r="E5" i="29" s="1"/>
  <c r="F5" i="29" s="1"/>
  <c r="G5" i="29" s="1"/>
  <c r="H5" i="29" s="1"/>
  <c r="I5" i="29" s="1"/>
  <c r="J5" i="29" s="1"/>
  <c r="K5" i="29" s="1"/>
  <c r="L5" i="29" s="1"/>
  <c r="C6" i="29"/>
  <c r="D6" i="29"/>
  <c r="E6" i="29"/>
  <c r="F6" i="29" s="1"/>
  <c r="G6" i="29" s="1"/>
  <c r="H6" i="29" s="1"/>
  <c r="I6" i="29" s="1"/>
  <c r="J6" i="29" s="1"/>
  <c r="K6" i="29" s="1"/>
  <c r="L6" i="29" s="1"/>
  <c r="C7" i="29"/>
  <c r="D7" i="29"/>
  <c r="E7" i="29" s="1"/>
  <c r="F7" i="29" s="1"/>
  <c r="G7" i="29" s="1"/>
  <c r="H7" i="29" s="1"/>
  <c r="I7" i="29" s="1"/>
  <c r="J7" i="29" s="1"/>
  <c r="K7" i="29" s="1"/>
  <c r="L7" i="29" s="1"/>
  <c r="C8" i="29"/>
  <c r="D8" i="29"/>
  <c r="E8" i="29"/>
  <c r="F8" i="29"/>
  <c r="G8" i="29" s="1"/>
  <c r="H8" i="29" s="1"/>
  <c r="I8" i="29" s="1"/>
  <c r="J8" i="29" s="1"/>
  <c r="K8" i="29" s="1"/>
  <c r="L8" i="29" s="1"/>
  <c r="C9" i="29"/>
  <c r="D9" i="29" s="1"/>
  <c r="E9" i="29" s="1"/>
  <c r="F9" i="29" s="1"/>
  <c r="G9" i="29" s="1"/>
  <c r="H9" i="29" s="1"/>
  <c r="I9" i="29" s="1"/>
  <c r="J9" i="29" s="1"/>
  <c r="K9" i="29" s="1"/>
  <c r="L9" i="29" s="1"/>
  <c r="C10" i="29"/>
  <c r="D10" i="29"/>
  <c r="E10" i="29" s="1"/>
  <c r="F10" i="29" s="1"/>
  <c r="G10" i="29" s="1"/>
  <c r="H10" i="29" s="1"/>
  <c r="I10" i="29" s="1"/>
  <c r="J10" i="29" s="1"/>
  <c r="K10" i="29" s="1"/>
  <c r="L10" i="29" s="1"/>
  <c r="C11" i="29"/>
  <c r="D11" i="29" s="1"/>
  <c r="E11" i="29" s="1"/>
  <c r="F11" i="29" s="1"/>
  <c r="G11" i="29" s="1"/>
  <c r="H11" i="29" s="1"/>
  <c r="I11" i="29" s="1"/>
  <c r="J11" i="29" s="1"/>
  <c r="K11" i="29" s="1"/>
  <c r="L11" i="29" s="1"/>
  <c r="C12" i="29"/>
  <c r="D12" i="29"/>
  <c r="E12" i="29"/>
  <c r="F12" i="29" s="1"/>
  <c r="G12" i="29" s="1"/>
  <c r="H12" i="29" s="1"/>
  <c r="I12" i="29" s="1"/>
  <c r="J12" i="29" s="1"/>
  <c r="K12" i="29" s="1"/>
  <c r="L12" i="29" s="1"/>
  <c r="C13" i="29"/>
  <c r="D13" i="29"/>
  <c r="E13" i="29" s="1"/>
  <c r="F13" i="29" s="1"/>
  <c r="G13" i="29" s="1"/>
  <c r="H13" i="29" s="1"/>
  <c r="I13" i="29" s="1"/>
  <c r="J13" i="29" s="1"/>
  <c r="K13" i="29" s="1"/>
  <c r="L13" i="29" s="1"/>
  <c r="C14" i="29"/>
  <c r="D14" i="29"/>
  <c r="E14" i="29"/>
  <c r="F14" i="29"/>
  <c r="G14" i="29" s="1"/>
  <c r="H14" i="29" s="1"/>
  <c r="I14" i="29" s="1"/>
  <c r="J14" i="29" s="1"/>
  <c r="K14" i="29" s="1"/>
  <c r="L14" i="29" s="1"/>
  <c r="C15" i="29"/>
  <c r="D15" i="29" s="1"/>
  <c r="E15" i="29" s="1"/>
  <c r="F15" i="29" s="1"/>
  <c r="G15" i="29" s="1"/>
  <c r="H15" i="29" s="1"/>
  <c r="I15" i="29" s="1"/>
  <c r="J15" i="29" s="1"/>
  <c r="K15" i="29" s="1"/>
  <c r="L15" i="29" s="1"/>
  <c r="C16" i="29"/>
  <c r="D16" i="29"/>
  <c r="E16" i="29" s="1"/>
  <c r="F16" i="29" s="1"/>
  <c r="G16" i="29" s="1"/>
  <c r="H16" i="29" s="1"/>
  <c r="I16" i="29" s="1"/>
  <c r="J16" i="29" s="1"/>
  <c r="K16" i="29" s="1"/>
  <c r="L16" i="29" s="1"/>
  <c r="C17" i="29"/>
  <c r="D17" i="29" s="1"/>
  <c r="E17" i="29" s="1"/>
  <c r="F17" i="29" s="1"/>
  <c r="G17" i="29" s="1"/>
  <c r="H17" i="29" s="1"/>
  <c r="I17" i="29" s="1"/>
  <c r="J17" i="29" s="1"/>
  <c r="K17" i="29" s="1"/>
  <c r="L17" i="29" s="1"/>
  <c r="C18" i="29"/>
  <c r="D18" i="29"/>
  <c r="E18" i="29"/>
  <c r="F18" i="29" s="1"/>
  <c r="G18" i="29" s="1"/>
  <c r="H18" i="29" s="1"/>
  <c r="I18" i="29" s="1"/>
  <c r="J18" i="29" s="1"/>
  <c r="K18" i="29" s="1"/>
  <c r="L18" i="29" s="1"/>
  <c r="B3" i="29"/>
  <c r="B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2" i="29"/>
  <c r="C23" i="29"/>
  <c r="D23" i="29"/>
  <c r="E23" i="29"/>
  <c r="F23" i="29"/>
  <c r="G23" i="29"/>
  <c r="H23" i="29"/>
  <c r="I23" i="29"/>
  <c r="J23" i="29"/>
  <c r="K23" i="29"/>
  <c r="L23" i="29"/>
  <c r="M23" i="29"/>
  <c r="N23" i="29"/>
  <c r="O23" i="29"/>
  <c r="P23" i="29"/>
  <c r="Q23" i="29"/>
  <c r="R23" i="29"/>
  <c r="S23" i="29"/>
  <c r="T23" i="29"/>
  <c r="U23" i="29"/>
  <c r="V23" i="29"/>
  <c r="W23" i="29"/>
  <c r="X23" i="29"/>
  <c r="Y23" i="29"/>
  <c r="Z23" i="29"/>
  <c r="AA23" i="29"/>
  <c r="AB23" i="29"/>
  <c r="AC23" i="29"/>
  <c r="AD23" i="29"/>
  <c r="AE23" i="29"/>
  <c r="AF23" i="29"/>
  <c r="AG23" i="29"/>
  <c r="C24" i="29"/>
  <c r="D24" i="29"/>
  <c r="E24" i="29"/>
  <c r="F24" i="29"/>
  <c r="G24" i="29"/>
  <c r="H24" i="29"/>
  <c r="I24" i="29"/>
  <c r="J24" i="29"/>
  <c r="K24" i="29"/>
  <c r="L24" i="29"/>
  <c r="M24" i="29"/>
  <c r="N24" i="29"/>
  <c r="O24" i="29"/>
  <c r="P24" i="29"/>
  <c r="Q24" i="29"/>
  <c r="R24" i="29"/>
  <c r="S24" i="29"/>
  <c r="T24" i="29"/>
  <c r="U24" i="29"/>
  <c r="V24" i="29"/>
  <c r="W24" i="29"/>
  <c r="X24" i="29"/>
  <c r="Y24" i="29"/>
  <c r="Z24" i="29"/>
  <c r="AA24" i="29"/>
  <c r="AB24" i="29"/>
  <c r="AC24" i="29"/>
  <c r="AD24" i="29"/>
  <c r="AE24" i="29"/>
  <c r="AF24" i="29"/>
  <c r="AG24" i="29"/>
  <c r="C25" i="29"/>
  <c r="D25" i="29"/>
  <c r="E25" i="29"/>
  <c r="F25" i="29"/>
  <c r="G25" i="29"/>
  <c r="H25" i="29"/>
  <c r="I25" i="29"/>
  <c r="J25" i="29"/>
  <c r="K25" i="29"/>
  <c r="L25" i="29"/>
  <c r="M25" i="29"/>
  <c r="N25" i="29"/>
  <c r="O25" i="29"/>
  <c r="P25" i="29"/>
  <c r="Q25" i="29"/>
  <c r="R25" i="29"/>
  <c r="S25" i="29"/>
  <c r="T25" i="29"/>
  <c r="U25" i="29"/>
  <c r="V25" i="29"/>
  <c r="W25" i="29"/>
  <c r="X25" i="29"/>
  <c r="Y25" i="29"/>
  <c r="Z25" i="29"/>
  <c r="AA25" i="29"/>
  <c r="AB25" i="29"/>
  <c r="AC25" i="29"/>
  <c r="AD25" i="29"/>
  <c r="AE25" i="29"/>
  <c r="AF25" i="29"/>
  <c r="AG25" i="29"/>
  <c r="C26" i="29"/>
  <c r="D26" i="29"/>
  <c r="E26" i="29"/>
  <c r="F26" i="29"/>
  <c r="G26" i="29"/>
  <c r="H26" i="29"/>
  <c r="I26" i="29"/>
  <c r="J26" i="29"/>
  <c r="K26" i="29"/>
  <c r="L26" i="29"/>
  <c r="M26" i="29"/>
  <c r="N26" i="29"/>
  <c r="O26" i="29"/>
  <c r="P26" i="29"/>
  <c r="Q26" i="29"/>
  <c r="R26" i="29"/>
  <c r="S26" i="29"/>
  <c r="T26" i="29"/>
  <c r="U26" i="29"/>
  <c r="V26" i="29"/>
  <c r="W26" i="29"/>
  <c r="X26" i="29"/>
  <c r="Y26" i="29"/>
  <c r="Z26" i="29"/>
  <c r="AA26" i="29"/>
  <c r="AB26" i="29"/>
  <c r="AC26" i="29"/>
  <c r="AD26" i="29"/>
  <c r="AE26" i="29"/>
  <c r="AF26" i="29"/>
  <c r="AG26" i="29"/>
  <c r="C27" i="29"/>
  <c r="D27" i="29"/>
  <c r="E27" i="29"/>
  <c r="F27" i="29"/>
  <c r="G27" i="29"/>
  <c r="H27" i="29"/>
  <c r="I27" i="29"/>
  <c r="J27" i="29"/>
  <c r="K27" i="29"/>
  <c r="L27" i="29"/>
  <c r="M27" i="29"/>
  <c r="N27" i="29"/>
  <c r="O27" i="29"/>
  <c r="P27" i="29"/>
  <c r="Q27" i="29"/>
  <c r="R27" i="29"/>
  <c r="S27" i="29"/>
  <c r="T27" i="29"/>
  <c r="U27" i="29"/>
  <c r="V27" i="29"/>
  <c r="W27" i="29"/>
  <c r="X27" i="29"/>
  <c r="Y27" i="29"/>
  <c r="Z27" i="29"/>
  <c r="AA27" i="29"/>
  <c r="AB27" i="29"/>
  <c r="AC27" i="29"/>
  <c r="AD27" i="29"/>
  <c r="AE27" i="29"/>
  <c r="AF27" i="29"/>
  <c r="AG27" i="29"/>
  <c r="C28" i="29"/>
  <c r="D28" i="29"/>
  <c r="E28" i="29"/>
  <c r="F28" i="29"/>
  <c r="G28" i="29"/>
  <c r="H28" i="29"/>
  <c r="I28" i="29"/>
  <c r="J28" i="29"/>
  <c r="K28" i="29"/>
  <c r="L28" i="29"/>
  <c r="M28" i="29"/>
  <c r="N28" i="29"/>
  <c r="O28" i="29"/>
  <c r="P28" i="29"/>
  <c r="Q28" i="29"/>
  <c r="R28" i="29"/>
  <c r="S28" i="29"/>
  <c r="T28" i="29"/>
  <c r="U28" i="29"/>
  <c r="V28" i="29"/>
  <c r="W28" i="29"/>
  <c r="X28" i="29"/>
  <c r="Y28" i="29"/>
  <c r="Z28" i="29"/>
  <c r="AA28" i="29"/>
  <c r="AB28" i="29"/>
  <c r="AC28" i="29"/>
  <c r="AD28" i="29"/>
  <c r="AE28" i="29"/>
  <c r="AF28" i="29"/>
  <c r="AG28" i="29"/>
  <c r="C29" i="29"/>
  <c r="D29" i="29"/>
  <c r="E29" i="29"/>
  <c r="F29" i="29"/>
  <c r="G29" i="29"/>
  <c r="H29" i="29"/>
  <c r="I29" i="29"/>
  <c r="J29" i="29"/>
  <c r="K29" i="29"/>
  <c r="L29" i="29"/>
  <c r="M29" i="29"/>
  <c r="N29" i="29"/>
  <c r="O29" i="29"/>
  <c r="P29" i="29"/>
  <c r="Q29" i="29"/>
  <c r="R29" i="29"/>
  <c r="S29" i="29"/>
  <c r="T29" i="29"/>
  <c r="U29" i="29"/>
  <c r="V29" i="29"/>
  <c r="W29" i="29"/>
  <c r="X29" i="29"/>
  <c r="Y29" i="29"/>
  <c r="Z29" i="29"/>
  <c r="AA29" i="29"/>
  <c r="AB29" i="29"/>
  <c r="AC29" i="29"/>
  <c r="AD29" i="29"/>
  <c r="AE29" i="29"/>
  <c r="AF29" i="29"/>
  <c r="AG29" i="29"/>
  <c r="C30" i="29"/>
  <c r="D30" i="29"/>
  <c r="E30" i="29"/>
  <c r="F30" i="29"/>
  <c r="G30" i="29"/>
  <c r="H30" i="29"/>
  <c r="I30" i="29"/>
  <c r="J30" i="29"/>
  <c r="K30" i="29"/>
  <c r="L30" i="29"/>
  <c r="M30" i="29"/>
  <c r="N30" i="29"/>
  <c r="O30" i="29"/>
  <c r="P30" i="29"/>
  <c r="Q30" i="29"/>
  <c r="R30" i="29"/>
  <c r="S30" i="29"/>
  <c r="T30" i="29"/>
  <c r="U30" i="29"/>
  <c r="V30" i="29"/>
  <c r="W30" i="29"/>
  <c r="X30" i="29"/>
  <c r="Y30" i="29"/>
  <c r="Z30" i="29"/>
  <c r="AA30" i="29"/>
  <c r="AB30" i="29"/>
  <c r="AC30" i="29"/>
  <c r="AD30" i="29"/>
  <c r="AE30" i="29"/>
  <c r="AF30" i="29"/>
  <c r="AG30" i="29"/>
  <c r="C31" i="29"/>
  <c r="D31" i="29"/>
  <c r="E31" i="29"/>
  <c r="F31" i="29"/>
  <c r="G31" i="29"/>
  <c r="H31" i="29"/>
  <c r="I31" i="29"/>
  <c r="J31" i="29"/>
  <c r="K31" i="29"/>
  <c r="L31" i="29"/>
  <c r="M31" i="29"/>
  <c r="N31" i="29"/>
  <c r="O31" i="29"/>
  <c r="P31" i="29"/>
  <c r="Q31" i="29"/>
  <c r="R31" i="29"/>
  <c r="S31" i="29"/>
  <c r="T31" i="29"/>
  <c r="U31" i="29"/>
  <c r="V31" i="29"/>
  <c r="W31" i="29"/>
  <c r="X31" i="29"/>
  <c r="Y31" i="29"/>
  <c r="Z31" i="29"/>
  <c r="AA31" i="29"/>
  <c r="AB31" i="29"/>
  <c r="AC31" i="29"/>
  <c r="AD31" i="29"/>
  <c r="AE31" i="29"/>
  <c r="AF31" i="29"/>
  <c r="AG31" i="29"/>
  <c r="C32" i="29"/>
  <c r="D32" i="29"/>
  <c r="E32" i="29"/>
  <c r="F32" i="29"/>
  <c r="G32" i="29"/>
  <c r="H32" i="29"/>
  <c r="I32" i="29"/>
  <c r="J32" i="29"/>
  <c r="K32" i="29"/>
  <c r="L32" i="29"/>
  <c r="M32" i="29"/>
  <c r="N32" i="29"/>
  <c r="O32" i="29"/>
  <c r="P32" i="29"/>
  <c r="Q32" i="29"/>
  <c r="R32" i="29"/>
  <c r="S32" i="29"/>
  <c r="T32" i="29"/>
  <c r="U32" i="29"/>
  <c r="V32" i="29"/>
  <c r="W32" i="29"/>
  <c r="X32" i="29"/>
  <c r="Y32" i="29"/>
  <c r="Z32" i="29"/>
  <c r="AA32" i="29"/>
  <c r="AB32" i="29"/>
  <c r="AC32" i="29"/>
  <c r="AD32" i="29"/>
  <c r="AE32" i="29"/>
  <c r="AF32" i="29"/>
  <c r="AG32" i="29"/>
  <c r="C33" i="29"/>
  <c r="D33" i="29"/>
  <c r="E33" i="29"/>
  <c r="F33" i="29"/>
  <c r="G33" i="29"/>
  <c r="H33" i="29"/>
  <c r="I33" i="29"/>
  <c r="J33" i="29"/>
  <c r="K33" i="29"/>
  <c r="L33" i="29"/>
  <c r="M33" i="29"/>
  <c r="N33" i="29"/>
  <c r="O33" i="29"/>
  <c r="P33" i="29"/>
  <c r="Q33" i="29"/>
  <c r="R33" i="29"/>
  <c r="S33" i="29"/>
  <c r="T33" i="29"/>
  <c r="U33" i="29"/>
  <c r="V33" i="29"/>
  <c r="W33" i="29"/>
  <c r="X33" i="29"/>
  <c r="Y33" i="29"/>
  <c r="Z33" i="29"/>
  <c r="AA33" i="29"/>
  <c r="AB33" i="29"/>
  <c r="AC33" i="29"/>
  <c r="AD33" i="29"/>
  <c r="AE33" i="29"/>
  <c r="AF33" i="29"/>
  <c r="AG33" i="29"/>
  <c r="C34" i="29"/>
  <c r="D34" i="29"/>
  <c r="E34" i="29"/>
  <c r="F34" i="29"/>
  <c r="G34" i="29"/>
  <c r="H34" i="29"/>
  <c r="I34" i="29"/>
  <c r="J34" i="29"/>
  <c r="K34" i="29"/>
  <c r="L34" i="29"/>
  <c r="M34" i="29"/>
  <c r="N34" i="29"/>
  <c r="O34" i="29"/>
  <c r="P34" i="29"/>
  <c r="Q34" i="29"/>
  <c r="R34" i="29"/>
  <c r="S34" i="29"/>
  <c r="T34" i="29"/>
  <c r="U34" i="29"/>
  <c r="V34" i="29"/>
  <c r="W34" i="29"/>
  <c r="X34" i="29"/>
  <c r="Y34" i="29"/>
  <c r="Z34" i="29"/>
  <c r="AA34" i="29"/>
  <c r="AB34" i="29"/>
  <c r="AC34" i="29"/>
  <c r="AD34" i="29"/>
  <c r="AE34" i="29"/>
  <c r="AF34" i="29"/>
  <c r="AG34" i="29"/>
  <c r="C35" i="29"/>
  <c r="D35" i="29"/>
  <c r="E35" i="29"/>
  <c r="F35" i="29"/>
  <c r="G35" i="29"/>
  <c r="H35" i="29"/>
  <c r="I35" i="29"/>
  <c r="J35" i="29"/>
  <c r="K35" i="29"/>
  <c r="L35" i="29"/>
  <c r="M35" i="29"/>
  <c r="N35" i="29"/>
  <c r="O35" i="29"/>
  <c r="P35" i="29"/>
  <c r="Q35" i="29"/>
  <c r="R35" i="29"/>
  <c r="S35" i="29"/>
  <c r="T35" i="29"/>
  <c r="U35" i="29"/>
  <c r="V35" i="29"/>
  <c r="W35" i="29"/>
  <c r="X35" i="29"/>
  <c r="Y35" i="29"/>
  <c r="Z35" i="29"/>
  <c r="AA35" i="29"/>
  <c r="AB35" i="29"/>
  <c r="AC35" i="29"/>
  <c r="AD35" i="29"/>
  <c r="AE35" i="29"/>
  <c r="AF35" i="29"/>
  <c r="AG35" i="29"/>
  <c r="C36" i="29"/>
  <c r="D36" i="29"/>
  <c r="E36" i="29"/>
  <c r="F36" i="29"/>
  <c r="G36" i="29"/>
  <c r="H36" i="29"/>
  <c r="I36" i="29"/>
  <c r="J36" i="29"/>
  <c r="K36" i="29"/>
  <c r="L36" i="29"/>
  <c r="M36" i="29"/>
  <c r="N36" i="29"/>
  <c r="O36" i="29"/>
  <c r="P36" i="29"/>
  <c r="Q36" i="29"/>
  <c r="R36" i="29"/>
  <c r="S36" i="29"/>
  <c r="T36" i="29"/>
  <c r="U36" i="29"/>
  <c r="V36" i="29"/>
  <c r="W36" i="29"/>
  <c r="X36" i="29"/>
  <c r="Y36" i="29"/>
  <c r="Z36" i="29"/>
  <c r="AA36" i="29"/>
  <c r="AB36" i="29"/>
  <c r="AC36" i="29"/>
  <c r="AD36" i="29"/>
  <c r="AE36" i="29"/>
  <c r="AF36" i="29"/>
  <c r="AG36" i="29"/>
  <c r="C37" i="29"/>
  <c r="D37" i="29"/>
  <c r="E37" i="29"/>
  <c r="F37" i="29"/>
  <c r="G37" i="29"/>
  <c r="H37" i="29"/>
  <c r="I37" i="29"/>
  <c r="J37" i="29"/>
  <c r="K37" i="29"/>
  <c r="L37" i="29"/>
  <c r="M37" i="29"/>
  <c r="N37" i="29"/>
  <c r="O37" i="29"/>
  <c r="P37" i="29"/>
  <c r="Q37" i="29"/>
  <c r="R37" i="29"/>
  <c r="S37" i="29"/>
  <c r="T37" i="29"/>
  <c r="U37" i="29"/>
  <c r="V37" i="29"/>
  <c r="W37" i="29"/>
  <c r="X37" i="29"/>
  <c r="Y37" i="29"/>
  <c r="Z37" i="29"/>
  <c r="AA37" i="29"/>
  <c r="AB37" i="29"/>
  <c r="AC37" i="29"/>
  <c r="AD37" i="29"/>
  <c r="AE37" i="29"/>
  <c r="AF37" i="29"/>
  <c r="AG37" i="29"/>
  <c r="C38" i="29"/>
  <c r="D38" i="29"/>
  <c r="E38" i="29"/>
  <c r="F38" i="29"/>
  <c r="G38" i="29"/>
  <c r="H38" i="29"/>
  <c r="I38" i="29"/>
  <c r="J38" i="29"/>
  <c r="K38" i="29"/>
  <c r="L38" i="29"/>
  <c r="M38" i="29"/>
  <c r="N38" i="29"/>
  <c r="O38" i="29"/>
  <c r="P38" i="29"/>
  <c r="Q38" i="29"/>
  <c r="R38" i="29"/>
  <c r="S38" i="29"/>
  <c r="T38" i="29"/>
  <c r="U38" i="29"/>
  <c r="V38" i="29"/>
  <c r="W38" i="29"/>
  <c r="X38" i="29"/>
  <c r="Y38" i="29"/>
  <c r="Z38" i="29"/>
  <c r="AA38" i="29"/>
  <c r="AB38" i="29"/>
  <c r="AC38" i="29"/>
  <c r="AD38" i="29"/>
  <c r="AE38" i="29"/>
  <c r="AF38" i="29"/>
  <c r="AG38" i="29"/>
  <c r="C39" i="29"/>
  <c r="D39" i="29"/>
  <c r="E39" i="29"/>
  <c r="F39" i="29"/>
  <c r="G39" i="29"/>
  <c r="H39" i="29"/>
  <c r="I39" i="29"/>
  <c r="J39" i="29"/>
  <c r="K39" i="29"/>
  <c r="L39" i="29"/>
  <c r="M39" i="29"/>
  <c r="N39" i="29"/>
  <c r="O39" i="29"/>
  <c r="P39" i="29"/>
  <c r="Q39" i="29"/>
  <c r="R39" i="29"/>
  <c r="S39" i="29"/>
  <c r="T39" i="29"/>
  <c r="U39" i="29"/>
  <c r="V39" i="29"/>
  <c r="W39" i="29"/>
  <c r="X39" i="29"/>
  <c r="Y39" i="29"/>
  <c r="Z39" i="29"/>
  <c r="AA39" i="29"/>
  <c r="AB39" i="29"/>
  <c r="AC39" i="29"/>
  <c r="AD39" i="29"/>
  <c r="AE39" i="29"/>
  <c r="AF39" i="29"/>
  <c r="AG39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23" i="29"/>
  <c r="U2" i="2" l="1"/>
  <c r="U3" i="2"/>
  <c r="G3" i="2" s="1"/>
  <c r="G2" i="2" l="1"/>
  <c r="G35" i="2" l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D2" i="22" l="1"/>
  <c r="E2" i="22" s="1"/>
  <c r="F2" i="22" s="1"/>
  <c r="G2" i="22" s="1"/>
  <c r="H2" i="22" s="1"/>
  <c r="I2" i="22" s="1"/>
  <c r="J2" i="22" s="1"/>
  <c r="K2" i="22" s="1"/>
  <c r="L2" i="22" s="1"/>
  <c r="M2" i="22" s="1"/>
  <c r="N2" i="22" s="1"/>
  <c r="O2" i="22" s="1"/>
  <c r="P2" i="22" s="1"/>
  <c r="Q2" i="22" s="1"/>
  <c r="R2" i="22" s="1"/>
  <c r="S2" i="22" s="1"/>
  <c r="T2" i="22" s="1"/>
  <c r="U2" i="22" s="1"/>
  <c r="V2" i="22" s="1"/>
  <c r="W2" i="22" s="1"/>
  <c r="X2" i="22" s="1"/>
  <c r="Y2" i="22" s="1"/>
  <c r="Z2" i="22" s="1"/>
  <c r="AA2" i="22" s="1"/>
  <c r="AB2" i="22" s="1"/>
  <c r="AC2" i="22" s="1"/>
  <c r="AD2" i="22" s="1"/>
  <c r="AE2" i="22" s="1"/>
  <c r="AF2" i="22" s="1"/>
  <c r="AG2" i="22" s="1"/>
  <c r="D3" i="22"/>
  <c r="E3" i="22" s="1"/>
  <c r="F3" i="22" s="1"/>
  <c r="G3" i="22" s="1"/>
  <c r="H3" i="22" s="1"/>
  <c r="I3" i="22" s="1"/>
  <c r="J3" i="22" s="1"/>
  <c r="K3" i="22" s="1"/>
  <c r="L3" i="22" s="1"/>
  <c r="M3" i="22" s="1"/>
  <c r="N3" i="22" s="1"/>
  <c r="O3" i="22" s="1"/>
  <c r="P3" i="22" s="1"/>
  <c r="Q3" i="22" s="1"/>
  <c r="R3" i="22" s="1"/>
  <c r="S3" i="22" s="1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AG3" i="22" s="1"/>
  <c r="D4" i="22"/>
  <c r="E4" i="22" s="1"/>
  <c r="F4" i="22" s="1"/>
  <c r="G4" i="22" s="1"/>
  <c r="H4" i="22" s="1"/>
  <c r="I4" i="22" s="1"/>
  <c r="J4" i="22" s="1"/>
  <c r="K4" i="22" s="1"/>
  <c r="L4" i="22" s="1"/>
  <c r="M4" i="22" s="1"/>
  <c r="N4" i="22" s="1"/>
  <c r="O4" i="22" s="1"/>
  <c r="P4" i="22" s="1"/>
  <c r="Q4" i="22" s="1"/>
  <c r="R4" i="22" s="1"/>
  <c r="S4" i="22" s="1"/>
  <c r="T4" i="22" s="1"/>
  <c r="U4" i="22" s="1"/>
  <c r="V4" i="22" s="1"/>
  <c r="W4" i="22" s="1"/>
  <c r="X4" i="22" s="1"/>
  <c r="Y4" i="22" s="1"/>
  <c r="Z4" i="22" s="1"/>
  <c r="AA4" i="22" s="1"/>
  <c r="AB4" i="22" s="1"/>
  <c r="AC4" i="22" s="1"/>
  <c r="AD4" i="22" s="1"/>
  <c r="AE4" i="22" s="1"/>
  <c r="AF4" i="22" s="1"/>
  <c r="AG4" i="22" s="1"/>
  <c r="D5" i="22"/>
  <c r="E5" i="22" s="1"/>
  <c r="F5" i="22" s="1"/>
  <c r="G5" i="22" s="1"/>
  <c r="H5" i="22" s="1"/>
  <c r="I5" i="22" s="1"/>
  <c r="J5" i="22" s="1"/>
  <c r="K5" i="22" s="1"/>
  <c r="L5" i="22" s="1"/>
  <c r="M5" i="22" s="1"/>
  <c r="N5" i="22" s="1"/>
  <c r="O5" i="22" s="1"/>
  <c r="P5" i="22" s="1"/>
  <c r="Q5" i="22" s="1"/>
  <c r="R5" i="22" s="1"/>
  <c r="S5" i="22" s="1"/>
  <c r="T5" i="22" s="1"/>
  <c r="U5" i="22" s="1"/>
  <c r="V5" i="22" s="1"/>
  <c r="W5" i="22" s="1"/>
  <c r="X5" i="22" s="1"/>
  <c r="Y5" i="22" s="1"/>
  <c r="Z5" i="22" s="1"/>
  <c r="AA5" i="22" s="1"/>
  <c r="AB5" i="22" s="1"/>
  <c r="AC5" i="22" s="1"/>
  <c r="AD5" i="22" s="1"/>
  <c r="AE5" i="22" s="1"/>
  <c r="AF5" i="22" s="1"/>
  <c r="AG5" i="22" s="1"/>
  <c r="D6" i="22"/>
  <c r="E6" i="22" s="1"/>
  <c r="F6" i="22" s="1"/>
  <c r="G6" i="22" s="1"/>
  <c r="H6" i="22" s="1"/>
  <c r="I6" i="22" s="1"/>
  <c r="J6" i="22" s="1"/>
  <c r="K6" i="22" s="1"/>
  <c r="L6" i="22" s="1"/>
  <c r="M6" i="22" s="1"/>
  <c r="N6" i="22" s="1"/>
  <c r="O6" i="22" s="1"/>
  <c r="P6" i="22" s="1"/>
  <c r="Q6" i="22" s="1"/>
  <c r="R6" i="22" s="1"/>
  <c r="S6" i="22" s="1"/>
  <c r="T6" i="22" s="1"/>
  <c r="U6" i="22" s="1"/>
  <c r="V6" i="22" s="1"/>
  <c r="W6" i="22" s="1"/>
  <c r="X6" i="22" s="1"/>
  <c r="Y6" i="22" s="1"/>
  <c r="Z6" i="22" s="1"/>
  <c r="AA6" i="22" s="1"/>
  <c r="AB6" i="22" s="1"/>
  <c r="AC6" i="22" s="1"/>
  <c r="AD6" i="22" s="1"/>
  <c r="AE6" i="22" s="1"/>
  <c r="AF6" i="22" s="1"/>
  <c r="AG6" i="22" s="1"/>
  <c r="D7" i="22"/>
  <c r="E7" i="22" s="1"/>
  <c r="F7" i="22" s="1"/>
  <c r="G7" i="22" s="1"/>
  <c r="H7" i="22" s="1"/>
  <c r="I7" i="22" s="1"/>
  <c r="J7" i="22" s="1"/>
  <c r="K7" i="22" s="1"/>
  <c r="L7" i="22" s="1"/>
  <c r="M7" i="22" s="1"/>
  <c r="N7" i="22" s="1"/>
  <c r="O7" i="22" s="1"/>
  <c r="P7" i="22" s="1"/>
  <c r="Q7" i="22" s="1"/>
  <c r="R7" i="22" s="1"/>
  <c r="S7" i="22" s="1"/>
  <c r="T7" i="22" s="1"/>
  <c r="U7" i="22" s="1"/>
  <c r="V7" i="22" s="1"/>
  <c r="W7" i="22" s="1"/>
  <c r="X7" i="22" s="1"/>
  <c r="Y7" i="22" s="1"/>
  <c r="Z7" i="22" s="1"/>
  <c r="AA7" i="22" s="1"/>
  <c r="AB7" i="22" s="1"/>
  <c r="AC7" i="22" s="1"/>
  <c r="AD7" i="22" s="1"/>
  <c r="AE7" i="22" s="1"/>
  <c r="AF7" i="22" s="1"/>
  <c r="AG7" i="22" s="1"/>
  <c r="D8" i="22"/>
  <c r="E8" i="22"/>
  <c r="F8" i="22" s="1"/>
  <c r="G8" i="22" s="1"/>
  <c r="H8" i="22" s="1"/>
  <c r="I8" i="22" s="1"/>
  <c r="J8" i="22" s="1"/>
  <c r="K8" i="22" s="1"/>
  <c r="L8" i="22" s="1"/>
  <c r="M8" i="22" s="1"/>
  <c r="N8" i="22" s="1"/>
  <c r="O8" i="22" s="1"/>
  <c r="P8" i="22" s="1"/>
  <c r="Q8" i="22" s="1"/>
  <c r="R8" i="22" s="1"/>
  <c r="S8" i="22" s="1"/>
  <c r="T8" i="22" s="1"/>
  <c r="U8" i="22" s="1"/>
  <c r="V8" i="22" s="1"/>
  <c r="W8" i="22" s="1"/>
  <c r="X8" i="22" s="1"/>
  <c r="Y8" i="22" s="1"/>
  <c r="Z8" i="22" s="1"/>
  <c r="AA8" i="22" s="1"/>
  <c r="AB8" i="22" s="1"/>
  <c r="AC8" i="22" s="1"/>
  <c r="AD8" i="22" s="1"/>
  <c r="AE8" i="22" s="1"/>
  <c r="AF8" i="22" s="1"/>
  <c r="AG8" i="22" s="1"/>
  <c r="D9" i="22"/>
  <c r="E9" i="22" s="1"/>
  <c r="F9" i="22" s="1"/>
  <c r="G9" i="22" s="1"/>
  <c r="H9" i="22" s="1"/>
  <c r="I9" i="22" s="1"/>
  <c r="J9" i="22" s="1"/>
  <c r="K9" i="22" s="1"/>
  <c r="L9" i="22" s="1"/>
  <c r="M9" i="22" s="1"/>
  <c r="N9" i="22" s="1"/>
  <c r="O9" i="22" s="1"/>
  <c r="P9" i="22" s="1"/>
  <c r="Q9" i="22" s="1"/>
  <c r="R9" i="22" s="1"/>
  <c r="S9" i="22" s="1"/>
  <c r="T9" i="22" s="1"/>
  <c r="U9" i="22" s="1"/>
  <c r="V9" i="22" s="1"/>
  <c r="W9" i="22" s="1"/>
  <c r="X9" i="22" s="1"/>
  <c r="Y9" i="22" s="1"/>
  <c r="Z9" i="22" s="1"/>
  <c r="AA9" i="22" s="1"/>
  <c r="AB9" i="22" s="1"/>
  <c r="AC9" i="22" s="1"/>
  <c r="AD9" i="22" s="1"/>
  <c r="AE9" i="22" s="1"/>
  <c r="AF9" i="22" s="1"/>
  <c r="AG9" i="22" s="1"/>
  <c r="D10" i="22"/>
  <c r="E10" i="22"/>
  <c r="F10" i="22" s="1"/>
  <c r="G10" i="22" s="1"/>
  <c r="H10" i="22" s="1"/>
  <c r="I10" i="22" s="1"/>
  <c r="J10" i="22" s="1"/>
  <c r="K10" i="22" s="1"/>
  <c r="L10" i="22" s="1"/>
  <c r="M10" i="22" s="1"/>
  <c r="N10" i="22" s="1"/>
  <c r="O10" i="22" s="1"/>
  <c r="P10" i="22" s="1"/>
  <c r="Q10" i="22" s="1"/>
  <c r="R10" i="22" s="1"/>
  <c r="S10" i="22" s="1"/>
  <c r="T10" i="22" s="1"/>
  <c r="U10" i="22" s="1"/>
  <c r="V10" i="22" s="1"/>
  <c r="W10" i="22" s="1"/>
  <c r="X10" i="22" s="1"/>
  <c r="Y10" i="22" s="1"/>
  <c r="Z10" i="22" s="1"/>
  <c r="AA10" i="22" s="1"/>
  <c r="AB10" i="22" s="1"/>
  <c r="AC10" i="22" s="1"/>
  <c r="AD10" i="22" s="1"/>
  <c r="AE10" i="22" s="1"/>
  <c r="AF10" i="22" s="1"/>
  <c r="AG10" i="22" s="1"/>
  <c r="D11" i="22"/>
  <c r="E11" i="22" s="1"/>
  <c r="F11" i="22" s="1"/>
  <c r="G11" i="22" s="1"/>
  <c r="H11" i="22" s="1"/>
  <c r="I11" i="22" s="1"/>
  <c r="J11" i="22" s="1"/>
  <c r="K11" i="22" s="1"/>
  <c r="L11" i="22" s="1"/>
  <c r="M11" i="22" s="1"/>
  <c r="N11" i="22" s="1"/>
  <c r="O11" i="22" s="1"/>
  <c r="P11" i="22" s="1"/>
  <c r="Q11" i="22" s="1"/>
  <c r="R11" i="22" s="1"/>
  <c r="S11" i="22" s="1"/>
  <c r="T11" i="22" s="1"/>
  <c r="U11" i="22" s="1"/>
  <c r="V11" i="22" s="1"/>
  <c r="W11" i="22" s="1"/>
  <c r="X11" i="22" s="1"/>
  <c r="Y11" i="22" s="1"/>
  <c r="Z11" i="22" s="1"/>
  <c r="AA11" i="22" s="1"/>
  <c r="AB11" i="22" s="1"/>
  <c r="AC11" i="22" s="1"/>
  <c r="AD11" i="22" s="1"/>
  <c r="AE11" i="22" s="1"/>
  <c r="AF11" i="22" s="1"/>
  <c r="AG11" i="22" s="1"/>
  <c r="D12" i="22"/>
  <c r="E12" i="22"/>
  <c r="F12" i="22" s="1"/>
  <c r="G12" i="22" s="1"/>
  <c r="H12" i="22" s="1"/>
  <c r="I12" i="22" s="1"/>
  <c r="J12" i="22" s="1"/>
  <c r="K12" i="22" s="1"/>
  <c r="L12" i="22" s="1"/>
  <c r="M12" i="22" s="1"/>
  <c r="N12" i="22" s="1"/>
  <c r="O12" i="22" s="1"/>
  <c r="P12" i="22" s="1"/>
  <c r="Q12" i="22" s="1"/>
  <c r="R12" i="22" s="1"/>
  <c r="S12" i="22" s="1"/>
  <c r="T12" i="22" s="1"/>
  <c r="U12" i="22" s="1"/>
  <c r="V12" i="22" s="1"/>
  <c r="W12" i="22" s="1"/>
  <c r="X12" i="22" s="1"/>
  <c r="Y12" i="22" s="1"/>
  <c r="Z12" i="22" s="1"/>
  <c r="AA12" i="22" s="1"/>
  <c r="AB12" i="22" s="1"/>
  <c r="AC12" i="22" s="1"/>
  <c r="AD12" i="22" s="1"/>
  <c r="AE12" i="22" s="1"/>
  <c r="AF12" i="22" s="1"/>
  <c r="AG12" i="22" s="1"/>
  <c r="D13" i="22"/>
  <c r="E13" i="22" s="1"/>
  <c r="F13" i="22" s="1"/>
  <c r="G13" i="22" s="1"/>
  <c r="H13" i="22" s="1"/>
  <c r="I13" i="22" s="1"/>
  <c r="J13" i="22" s="1"/>
  <c r="K13" i="22" s="1"/>
  <c r="L13" i="22" s="1"/>
  <c r="M13" i="22" s="1"/>
  <c r="N13" i="22" s="1"/>
  <c r="O13" i="22" s="1"/>
  <c r="P13" i="22" s="1"/>
  <c r="Q13" i="22" s="1"/>
  <c r="R13" i="22" s="1"/>
  <c r="S13" i="22" s="1"/>
  <c r="T13" i="22" s="1"/>
  <c r="U13" i="22" s="1"/>
  <c r="V13" i="22" s="1"/>
  <c r="W13" i="22" s="1"/>
  <c r="X13" i="22" s="1"/>
  <c r="Y13" i="22" s="1"/>
  <c r="Z13" i="22" s="1"/>
  <c r="AA13" i="22" s="1"/>
  <c r="AB13" i="22" s="1"/>
  <c r="AC13" i="22" s="1"/>
  <c r="AD13" i="22" s="1"/>
  <c r="AE13" i="22" s="1"/>
  <c r="AF13" i="22" s="1"/>
  <c r="AG13" i="22" s="1"/>
  <c r="D14" i="22"/>
  <c r="E14" i="22"/>
  <c r="F14" i="22" s="1"/>
  <c r="G14" i="22" s="1"/>
  <c r="H14" i="22" s="1"/>
  <c r="I14" i="22" s="1"/>
  <c r="J14" i="22" s="1"/>
  <c r="K14" i="22" s="1"/>
  <c r="L14" i="22" s="1"/>
  <c r="M14" i="22" s="1"/>
  <c r="N14" i="22" s="1"/>
  <c r="O14" i="22" s="1"/>
  <c r="P14" i="22" s="1"/>
  <c r="Q14" i="22" s="1"/>
  <c r="R14" i="22" s="1"/>
  <c r="S14" i="22" s="1"/>
  <c r="T14" i="22" s="1"/>
  <c r="U14" i="22" s="1"/>
  <c r="V14" i="22" s="1"/>
  <c r="W14" i="22" s="1"/>
  <c r="X14" i="22" s="1"/>
  <c r="Y14" i="22" s="1"/>
  <c r="Z14" i="22" s="1"/>
  <c r="AA14" i="22" s="1"/>
  <c r="AB14" i="22" s="1"/>
  <c r="AC14" i="22" s="1"/>
  <c r="AD14" i="22" s="1"/>
  <c r="AE14" i="22" s="1"/>
  <c r="AF14" i="22" s="1"/>
  <c r="AG14" i="22" s="1"/>
  <c r="D15" i="22"/>
  <c r="E15" i="22" s="1"/>
  <c r="F15" i="22" s="1"/>
  <c r="G15" i="22" s="1"/>
  <c r="H15" i="22" s="1"/>
  <c r="I15" i="22" s="1"/>
  <c r="J15" i="22" s="1"/>
  <c r="K15" i="22" s="1"/>
  <c r="L15" i="22" s="1"/>
  <c r="M15" i="22" s="1"/>
  <c r="N15" i="22" s="1"/>
  <c r="O15" i="22" s="1"/>
  <c r="P15" i="22" s="1"/>
  <c r="Q15" i="22" s="1"/>
  <c r="R15" i="22" s="1"/>
  <c r="S15" i="22" s="1"/>
  <c r="T15" i="22" s="1"/>
  <c r="U15" i="22" s="1"/>
  <c r="V15" i="22" s="1"/>
  <c r="W15" i="22" s="1"/>
  <c r="X15" i="22" s="1"/>
  <c r="Y15" i="22" s="1"/>
  <c r="Z15" i="22" s="1"/>
  <c r="AA15" i="22" s="1"/>
  <c r="AB15" i="22" s="1"/>
  <c r="AC15" i="22" s="1"/>
  <c r="AD15" i="22" s="1"/>
  <c r="AE15" i="22" s="1"/>
  <c r="AF15" i="22" s="1"/>
  <c r="AG15" i="22" s="1"/>
  <c r="D16" i="22"/>
  <c r="E16" i="22"/>
  <c r="F16" i="22" s="1"/>
  <c r="G16" i="22" s="1"/>
  <c r="H16" i="22" s="1"/>
  <c r="I16" i="22" s="1"/>
  <c r="J16" i="22" s="1"/>
  <c r="K16" i="22" s="1"/>
  <c r="L16" i="22" s="1"/>
  <c r="M16" i="22" s="1"/>
  <c r="N16" i="22" s="1"/>
  <c r="O16" i="22" s="1"/>
  <c r="P16" i="22" s="1"/>
  <c r="Q16" i="22" s="1"/>
  <c r="R16" i="22" s="1"/>
  <c r="S16" i="22" s="1"/>
  <c r="T16" i="22" s="1"/>
  <c r="U16" i="22" s="1"/>
  <c r="V16" i="22" s="1"/>
  <c r="W16" i="22" s="1"/>
  <c r="X16" i="22" s="1"/>
  <c r="Y16" i="22" s="1"/>
  <c r="Z16" i="22" s="1"/>
  <c r="AA16" i="22" s="1"/>
  <c r="AB16" i="22" s="1"/>
  <c r="AC16" i="22" s="1"/>
  <c r="AD16" i="22" s="1"/>
  <c r="AE16" i="22" s="1"/>
  <c r="AF16" i="22" s="1"/>
  <c r="AG16" i="22" s="1"/>
  <c r="D17" i="22"/>
  <c r="E17" i="22" s="1"/>
  <c r="F17" i="22" s="1"/>
  <c r="G17" i="22" s="1"/>
  <c r="H17" i="22" s="1"/>
  <c r="I17" i="22" s="1"/>
  <c r="J17" i="22" s="1"/>
  <c r="K17" i="22" s="1"/>
  <c r="L17" i="22" s="1"/>
  <c r="M17" i="22" s="1"/>
  <c r="N17" i="22" s="1"/>
  <c r="O17" i="22" s="1"/>
  <c r="P17" i="22" s="1"/>
  <c r="Q17" i="22" s="1"/>
  <c r="R17" i="22" s="1"/>
  <c r="S17" i="22" s="1"/>
  <c r="T17" i="22" s="1"/>
  <c r="U17" i="22" s="1"/>
  <c r="V17" i="22" s="1"/>
  <c r="W17" i="22" s="1"/>
  <c r="X17" i="22" s="1"/>
  <c r="Y17" i="22" s="1"/>
  <c r="Z17" i="22" s="1"/>
  <c r="AA17" i="22" s="1"/>
  <c r="AB17" i="22" s="1"/>
  <c r="AC17" i="22" s="1"/>
  <c r="AD17" i="22" s="1"/>
  <c r="AE17" i="22" s="1"/>
  <c r="AF17" i="22" s="1"/>
  <c r="AG17" i="22" s="1"/>
  <c r="D18" i="22"/>
  <c r="E18" i="22"/>
  <c r="F18" i="22" s="1"/>
  <c r="G18" i="22" s="1"/>
  <c r="H18" i="22" s="1"/>
  <c r="I18" i="22" s="1"/>
  <c r="J18" i="22" s="1"/>
  <c r="K18" i="22" s="1"/>
  <c r="L18" i="22" s="1"/>
  <c r="M18" i="22" s="1"/>
  <c r="N18" i="22" s="1"/>
  <c r="O18" i="22" s="1"/>
  <c r="P18" i="22" s="1"/>
  <c r="Q18" i="22" s="1"/>
  <c r="R18" i="22" s="1"/>
  <c r="S18" i="22" s="1"/>
  <c r="T18" i="22" s="1"/>
  <c r="U18" i="22" s="1"/>
  <c r="V18" i="22" s="1"/>
  <c r="W18" i="22" s="1"/>
  <c r="X18" i="22" s="1"/>
  <c r="Y18" i="22" s="1"/>
  <c r="Z18" i="22" s="1"/>
  <c r="AA18" i="22" s="1"/>
  <c r="AB18" i="22" s="1"/>
  <c r="AC18" i="22" s="1"/>
  <c r="AD18" i="22" s="1"/>
  <c r="AE18" i="22" s="1"/>
  <c r="AF18" i="22" s="1"/>
  <c r="AG18" i="22" s="1"/>
  <c r="C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2" i="22"/>
  <c r="G22" i="19" l="1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21" i="19"/>
  <c r="B3" i="20" l="1"/>
  <c r="C3" i="20" s="1"/>
  <c r="D3" i="20" s="1"/>
  <c r="E3" i="20" s="1"/>
  <c r="F3" i="20" s="1"/>
  <c r="G3" i="20" s="1"/>
  <c r="H3" i="20" s="1"/>
  <c r="I3" i="20" s="1"/>
  <c r="J3" i="20" s="1"/>
  <c r="K3" i="20" s="1"/>
  <c r="L3" i="20" s="1"/>
  <c r="M3" i="20" s="1"/>
  <c r="N3" i="20" s="1"/>
  <c r="O3" i="20" s="1"/>
  <c r="P3" i="20" s="1"/>
  <c r="Q3" i="20" s="1"/>
  <c r="R3" i="20" s="1"/>
  <c r="S3" i="20" s="1"/>
  <c r="T3" i="20" s="1"/>
  <c r="U3" i="20" s="1"/>
  <c r="V3" i="20" s="1"/>
  <c r="W3" i="20" s="1"/>
  <c r="X3" i="20" s="1"/>
  <c r="Y3" i="20" s="1"/>
  <c r="Z3" i="20" s="1"/>
  <c r="AA3" i="20" s="1"/>
  <c r="AB3" i="20" s="1"/>
  <c r="AC3" i="20" s="1"/>
  <c r="AD3" i="20" s="1"/>
  <c r="AE3" i="20" s="1"/>
  <c r="AF3" i="20" s="1"/>
  <c r="AG3" i="20" s="1"/>
  <c r="B4" i="20"/>
  <c r="C4" i="20" s="1"/>
  <c r="D4" i="20" s="1"/>
  <c r="E4" i="20" s="1"/>
  <c r="F4" i="20" s="1"/>
  <c r="G4" i="20" s="1"/>
  <c r="H4" i="20" s="1"/>
  <c r="I4" i="20" s="1"/>
  <c r="J4" i="20" s="1"/>
  <c r="K4" i="20" s="1"/>
  <c r="L4" i="20" s="1"/>
  <c r="M4" i="20" s="1"/>
  <c r="N4" i="20" s="1"/>
  <c r="O4" i="20" s="1"/>
  <c r="P4" i="20" s="1"/>
  <c r="Q4" i="20" s="1"/>
  <c r="R4" i="20" s="1"/>
  <c r="S4" i="20" s="1"/>
  <c r="T4" i="20" s="1"/>
  <c r="U4" i="20" s="1"/>
  <c r="V4" i="20" s="1"/>
  <c r="W4" i="20" s="1"/>
  <c r="X4" i="20" s="1"/>
  <c r="Y4" i="20" s="1"/>
  <c r="Z4" i="20" s="1"/>
  <c r="AA4" i="20" s="1"/>
  <c r="AB4" i="20" s="1"/>
  <c r="AC4" i="20" s="1"/>
  <c r="AD4" i="20" s="1"/>
  <c r="AE4" i="20" s="1"/>
  <c r="AF4" i="20" s="1"/>
  <c r="AG4" i="20" s="1"/>
  <c r="B5" i="20"/>
  <c r="C5" i="20" s="1"/>
  <c r="D5" i="20" s="1"/>
  <c r="E5" i="20" s="1"/>
  <c r="F5" i="20" s="1"/>
  <c r="G5" i="20" s="1"/>
  <c r="H5" i="20" s="1"/>
  <c r="I5" i="20" s="1"/>
  <c r="J5" i="20" s="1"/>
  <c r="K5" i="20" s="1"/>
  <c r="L5" i="20" s="1"/>
  <c r="M5" i="20" s="1"/>
  <c r="N5" i="20" s="1"/>
  <c r="O5" i="20" s="1"/>
  <c r="P5" i="20" s="1"/>
  <c r="Q5" i="20" s="1"/>
  <c r="R5" i="20" s="1"/>
  <c r="S5" i="20" s="1"/>
  <c r="T5" i="20" s="1"/>
  <c r="U5" i="20" s="1"/>
  <c r="V5" i="20" s="1"/>
  <c r="W5" i="20" s="1"/>
  <c r="X5" i="20" s="1"/>
  <c r="Y5" i="20" s="1"/>
  <c r="Z5" i="20" s="1"/>
  <c r="AA5" i="20" s="1"/>
  <c r="AB5" i="20" s="1"/>
  <c r="AC5" i="20" s="1"/>
  <c r="AD5" i="20" s="1"/>
  <c r="AE5" i="20" s="1"/>
  <c r="AF5" i="20" s="1"/>
  <c r="AG5" i="20" s="1"/>
  <c r="B6" i="20"/>
  <c r="C6" i="20" s="1"/>
  <c r="D6" i="20" s="1"/>
  <c r="E6" i="20" s="1"/>
  <c r="F6" i="20" s="1"/>
  <c r="G6" i="20" s="1"/>
  <c r="H6" i="20" s="1"/>
  <c r="I6" i="20" s="1"/>
  <c r="J6" i="20" s="1"/>
  <c r="K6" i="20" s="1"/>
  <c r="L6" i="20" s="1"/>
  <c r="M6" i="20" s="1"/>
  <c r="N6" i="20" s="1"/>
  <c r="O6" i="20" s="1"/>
  <c r="P6" i="20" s="1"/>
  <c r="Q6" i="20" s="1"/>
  <c r="R6" i="20" s="1"/>
  <c r="S6" i="20" s="1"/>
  <c r="T6" i="20" s="1"/>
  <c r="U6" i="20" s="1"/>
  <c r="V6" i="20" s="1"/>
  <c r="W6" i="20" s="1"/>
  <c r="X6" i="20" s="1"/>
  <c r="Y6" i="20" s="1"/>
  <c r="Z6" i="20" s="1"/>
  <c r="AA6" i="20" s="1"/>
  <c r="AB6" i="20" s="1"/>
  <c r="AC6" i="20" s="1"/>
  <c r="AD6" i="20" s="1"/>
  <c r="AE6" i="20" s="1"/>
  <c r="AF6" i="20" s="1"/>
  <c r="AG6" i="20" s="1"/>
  <c r="B7" i="20"/>
  <c r="C7" i="20" s="1"/>
  <c r="D7" i="20" s="1"/>
  <c r="E7" i="20" s="1"/>
  <c r="F7" i="20" s="1"/>
  <c r="G7" i="20" s="1"/>
  <c r="H7" i="20" s="1"/>
  <c r="I7" i="20" s="1"/>
  <c r="J7" i="20" s="1"/>
  <c r="K7" i="20" s="1"/>
  <c r="L7" i="20" s="1"/>
  <c r="M7" i="20" s="1"/>
  <c r="N7" i="20" s="1"/>
  <c r="O7" i="20" s="1"/>
  <c r="P7" i="20" s="1"/>
  <c r="Q7" i="20" s="1"/>
  <c r="R7" i="20" s="1"/>
  <c r="S7" i="20" s="1"/>
  <c r="T7" i="20" s="1"/>
  <c r="U7" i="20" s="1"/>
  <c r="V7" i="20" s="1"/>
  <c r="W7" i="20" s="1"/>
  <c r="X7" i="20" s="1"/>
  <c r="Y7" i="20" s="1"/>
  <c r="Z7" i="20" s="1"/>
  <c r="AA7" i="20" s="1"/>
  <c r="AB7" i="20" s="1"/>
  <c r="AC7" i="20" s="1"/>
  <c r="AD7" i="20" s="1"/>
  <c r="AE7" i="20" s="1"/>
  <c r="AF7" i="20" s="1"/>
  <c r="AG7" i="20" s="1"/>
  <c r="B8" i="20"/>
  <c r="C8" i="20" s="1"/>
  <c r="D8" i="20" s="1"/>
  <c r="E8" i="20" s="1"/>
  <c r="F8" i="20" s="1"/>
  <c r="G8" i="20" s="1"/>
  <c r="H8" i="20" s="1"/>
  <c r="I8" i="20" s="1"/>
  <c r="J8" i="20" s="1"/>
  <c r="K8" i="20" s="1"/>
  <c r="L8" i="20" s="1"/>
  <c r="M8" i="20" s="1"/>
  <c r="N8" i="20" s="1"/>
  <c r="O8" i="20" s="1"/>
  <c r="P8" i="20" s="1"/>
  <c r="Q8" i="20" s="1"/>
  <c r="R8" i="20" s="1"/>
  <c r="S8" i="20" s="1"/>
  <c r="T8" i="20" s="1"/>
  <c r="U8" i="20" s="1"/>
  <c r="V8" i="20" s="1"/>
  <c r="W8" i="20" s="1"/>
  <c r="X8" i="20" s="1"/>
  <c r="Y8" i="20" s="1"/>
  <c r="Z8" i="20" s="1"/>
  <c r="AA8" i="20" s="1"/>
  <c r="AB8" i="20" s="1"/>
  <c r="AC8" i="20" s="1"/>
  <c r="AD8" i="20" s="1"/>
  <c r="AE8" i="20" s="1"/>
  <c r="AF8" i="20" s="1"/>
  <c r="AG8" i="20" s="1"/>
  <c r="B9" i="20"/>
  <c r="C9" i="20" s="1"/>
  <c r="D9" i="20" s="1"/>
  <c r="E9" i="20" s="1"/>
  <c r="F9" i="20" s="1"/>
  <c r="G9" i="20" s="1"/>
  <c r="H9" i="20" s="1"/>
  <c r="I9" i="20" s="1"/>
  <c r="J9" i="20" s="1"/>
  <c r="K9" i="20" s="1"/>
  <c r="L9" i="20" s="1"/>
  <c r="M9" i="20" s="1"/>
  <c r="N9" i="20" s="1"/>
  <c r="O9" i="20" s="1"/>
  <c r="P9" i="20" s="1"/>
  <c r="Q9" i="20" s="1"/>
  <c r="R9" i="20" s="1"/>
  <c r="S9" i="20" s="1"/>
  <c r="T9" i="20" s="1"/>
  <c r="U9" i="20" s="1"/>
  <c r="V9" i="20" s="1"/>
  <c r="W9" i="20" s="1"/>
  <c r="X9" i="20" s="1"/>
  <c r="Y9" i="20" s="1"/>
  <c r="Z9" i="20" s="1"/>
  <c r="AA9" i="20" s="1"/>
  <c r="AB9" i="20" s="1"/>
  <c r="AC9" i="20" s="1"/>
  <c r="AD9" i="20" s="1"/>
  <c r="AE9" i="20" s="1"/>
  <c r="AF9" i="20" s="1"/>
  <c r="AG9" i="20" s="1"/>
  <c r="B10" i="20"/>
  <c r="C10" i="20" s="1"/>
  <c r="D10" i="20" s="1"/>
  <c r="E10" i="20" s="1"/>
  <c r="F10" i="20" s="1"/>
  <c r="G10" i="20" s="1"/>
  <c r="H10" i="20" s="1"/>
  <c r="I10" i="20" s="1"/>
  <c r="J10" i="20" s="1"/>
  <c r="K10" i="20" s="1"/>
  <c r="L10" i="20" s="1"/>
  <c r="M10" i="20" s="1"/>
  <c r="N10" i="20" s="1"/>
  <c r="O10" i="20" s="1"/>
  <c r="P10" i="20" s="1"/>
  <c r="Q10" i="20" s="1"/>
  <c r="R10" i="20" s="1"/>
  <c r="S10" i="20" s="1"/>
  <c r="T10" i="20" s="1"/>
  <c r="U10" i="20" s="1"/>
  <c r="V10" i="20" s="1"/>
  <c r="W10" i="20" s="1"/>
  <c r="X10" i="20" s="1"/>
  <c r="Y10" i="20" s="1"/>
  <c r="Z10" i="20" s="1"/>
  <c r="AA10" i="20" s="1"/>
  <c r="AB10" i="20" s="1"/>
  <c r="AC10" i="20" s="1"/>
  <c r="AD10" i="20" s="1"/>
  <c r="AE10" i="20" s="1"/>
  <c r="AF10" i="20" s="1"/>
  <c r="AG10" i="20" s="1"/>
  <c r="B11" i="20"/>
  <c r="C11" i="20" s="1"/>
  <c r="D11" i="20" s="1"/>
  <c r="E11" i="20" s="1"/>
  <c r="F11" i="20" s="1"/>
  <c r="G11" i="20" s="1"/>
  <c r="H11" i="20" s="1"/>
  <c r="I11" i="20" s="1"/>
  <c r="J11" i="20" s="1"/>
  <c r="K11" i="20" s="1"/>
  <c r="L11" i="20" s="1"/>
  <c r="M11" i="20" s="1"/>
  <c r="N11" i="20" s="1"/>
  <c r="O11" i="20" s="1"/>
  <c r="P11" i="20" s="1"/>
  <c r="Q11" i="20" s="1"/>
  <c r="R11" i="20" s="1"/>
  <c r="S11" i="20" s="1"/>
  <c r="T11" i="20" s="1"/>
  <c r="U11" i="20" s="1"/>
  <c r="V11" i="20" s="1"/>
  <c r="W11" i="20" s="1"/>
  <c r="X11" i="20" s="1"/>
  <c r="Y11" i="20" s="1"/>
  <c r="Z11" i="20" s="1"/>
  <c r="AA11" i="20" s="1"/>
  <c r="AB11" i="20" s="1"/>
  <c r="AC11" i="20" s="1"/>
  <c r="AD11" i="20" s="1"/>
  <c r="AE11" i="20" s="1"/>
  <c r="AF11" i="20" s="1"/>
  <c r="AG11" i="20" s="1"/>
  <c r="B12" i="20"/>
  <c r="C12" i="20" s="1"/>
  <c r="D12" i="20" s="1"/>
  <c r="E12" i="20" s="1"/>
  <c r="F12" i="20" s="1"/>
  <c r="G12" i="20" s="1"/>
  <c r="H12" i="20" s="1"/>
  <c r="I12" i="20" s="1"/>
  <c r="J12" i="20" s="1"/>
  <c r="K12" i="20" s="1"/>
  <c r="L12" i="20" s="1"/>
  <c r="M12" i="20" s="1"/>
  <c r="N12" i="20" s="1"/>
  <c r="O12" i="20" s="1"/>
  <c r="P12" i="20" s="1"/>
  <c r="Q12" i="20" s="1"/>
  <c r="R12" i="20" s="1"/>
  <c r="S12" i="20" s="1"/>
  <c r="T12" i="20" s="1"/>
  <c r="U12" i="20" s="1"/>
  <c r="V12" i="20" s="1"/>
  <c r="W12" i="20" s="1"/>
  <c r="X12" i="20" s="1"/>
  <c r="Y12" i="20" s="1"/>
  <c r="Z12" i="20" s="1"/>
  <c r="AA12" i="20" s="1"/>
  <c r="AB12" i="20" s="1"/>
  <c r="AC12" i="20" s="1"/>
  <c r="AD12" i="20" s="1"/>
  <c r="AE12" i="20" s="1"/>
  <c r="AF12" i="20" s="1"/>
  <c r="AG12" i="20" s="1"/>
  <c r="B13" i="20"/>
  <c r="C13" i="20" s="1"/>
  <c r="D13" i="20" s="1"/>
  <c r="E13" i="20" s="1"/>
  <c r="F13" i="20" s="1"/>
  <c r="G13" i="20" s="1"/>
  <c r="H13" i="20" s="1"/>
  <c r="I13" i="20" s="1"/>
  <c r="J13" i="20" s="1"/>
  <c r="K13" i="20" s="1"/>
  <c r="L13" i="20" s="1"/>
  <c r="M13" i="20" s="1"/>
  <c r="N13" i="20" s="1"/>
  <c r="O13" i="20" s="1"/>
  <c r="P13" i="20" s="1"/>
  <c r="Q13" i="20" s="1"/>
  <c r="R13" i="20" s="1"/>
  <c r="S13" i="20" s="1"/>
  <c r="T13" i="20" s="1"/>
  <c r="U13" i="20" s="1"/>
  <c r="V13" i="20" s="1"/>
  <c r="W13" i="20" s="1"/>
  <c r="X13" i="20" s="1"/>
  <c r="Y13" i="20" s="1"/>
  <c r="Z13" i="20" s="1"/>
  <c r="AA13" i="20" s="1"/>
  <c r="AB13" i="20" s="1"/>
  <c r="AC13" i="20" s="1"/>
  <c r="AD13" i="20" s="1"/>
  <c r="AE13" i="20" s="1"/>
  <c r="AF13" i="20" s="1"/>
  <c r="AG13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F14" i="20" s="1"/>
  <c r="AG14" i="20" s="1"/>
  <c r="B15" i="20"/>
  <c r="C15" i="20" s="1"/>
  <c r="D15" i="20" s="1"/>
  <c r="E15" i="20" s="1"/>
  <c r="F15" i="20" s="1"/>
  <c r="G15" i="20" s="1"/>
  <c r="H15" i="20" s="1"/>
  <c r="I15" i="20" s="1"/>
  <c r="J15" i="20" s="1"/>
  <c r="K15" i="20" s="1"/>
  <c r="L15" i="20" s="1"/>
  <c r="M15" i="20" s="1"/>
  <c r="N15" i="20" s="1"/>
  <c r="O15" i="20" s="1"/>
  <c r="P15" i="20" s="1"/>
  <c r="Q15" i="20" s="1"/>
  <c r="R15" i="20" s="1"/>
  <c r="S15" i="20" s="1"/>
  <c r="T15" i="20" s="1"/>
  <c r="U15" i="20" s="1"/>
  <c r="V15" i="20" s="1"/>
  <c r="W15" i="20" s="1"/>
  <c r="X15" i="20" s="1"/>
  <c r="Y15" i="20" s="1"/>
  <c r="Z15" i="20" s="1"/>
  <c r="AA15" i="20" s="1"/>
  <c r="AB15" i="20" s="1"/>
  <c r="AC15" i="20" s="1"/>
  <c r="AD15" i="20" s="1"/>
  <c r="AE15" i="20" s="1"/>
  <c r="AF15" i="20" s="1"/>
  <c r="AG15" i="20" s="1"/>
  <c r="B16" i="20"/>
  <c r="C16" i="20" s="1"/>
  <c r="D16" i="20" s="1"/>
  <c r="E16" i="20" s="1"/>
  <c r="F16" i="20" s="1"/>
  <c r="G16" i="20" s="1"/>
  <c r="H16" i="20" s="1"/>
  <c r="I16" i="20" s="1"/>
  <c r="J16" i="20" s="1"/>
  <c r="K16" i="20" s="1"/>
  <c r="L16" i="20" s="1"/>
  <c r="M16" i="20" s="1"/>
  <c r="N16" i="20" s="1"/>
  <c r="O16" i="20" s="1"/>
  <c r="P16" i="20" s="1"/>
  <c r="Q16" i="20" s="1"/>
  <c r="R16" i="20" s="1"/>
  <c r="S16" i="20" s="1"/>
  <c r="T16" i="20" s="1"/>
  <c r="U16" i="20" s="1"/>
  <c r="V16" i="20" s="1"/>
  <c r="W16" i="20" s="1"/>
  <c r="X16" i="20" s="1"/>
  <c r="Y16" i="20" s="1"/>
  <c r="Z16" i="20" s="1"/>
  <c r="AA16" i="20" s="1"/>
  <c r="AB16" i="20" s="1"/>
  <c r="AC16" i="20" s="1"/>
  <c r="AD16" i="20" s="1"/>
  <c r="AE16" i="20" s="1"/>
  <c r="AF16" i="20" s="1"/>
  <c r="AG16" i="20" s="1"/>
  <c r="B17" i="20"/>
  <c r="C17" i="20" s="1"/>
  <c r="D17" i="20" s="1"/>
  <c r="E17" i="20" s="1"/>
  <c r="F17" i="20" s="1"/>
  <c r="G17" i="20" s="1"/>
  <c r="H17" i="20" s="1"/>
  <c r="I17" i="20" s="1"/>
  <c r="J17" i="20" s="1"/>
  <c r="K17" i="20" s="1"/>
  <c r="L17" i="20" s="1"/>
  <c r="M17" i="20" s="1"/>
  <c r="N17" i="20" s="1"/>
  <c r="O17" i="20" s="1"/>
  <c r="P17" i="20" s="1"/>
  <c r="Q17" i="20" s="1"/>
  <c r="R17" i="20" s="1"/>
  <c r="S17" i="20" s="1"/>
  <c r="T17" i="20" s="1"/>
  <c r="U17" i="20" s="1"/>
  <c r="V17" i="20" s="1"/>
  <c r="W17" i="20" s="1"/>
  <c r="X17" i="20" s="1"/>
  <c r="Y17" i="20" s="1"/>
  <c r="Z17" i="20" s="1"/>
  <c r="AA17" i="20" s="1"/>
  <c r="AB17" i="20" s="1"/>
  <c r="AC17" i="20" s="1"/>
  <c r="AD17" i="20" s="1"/>
  <c r="AE17" i="20" s="1"/>
  <c r="AF17" i="20" s="1"/>
  <c r="AG17" i="20" s="1"/>
  <c r="B18" i="20"/>
  <c r="C18" i="20" s="1"/>
  <c r="D18" i="20" s="1"/>
  <c r="E18" i="20" s="1"/>
  <c r="F18" i="20" s="1"/>
  <c r="G18" i="20" s="1"/>
  <c r="H18" i="20" s="1"/>
  <c r="I18" i="20" s="1"/>
  <c r="J18" i="20" s="1"/>
  <c r="K18" i="20" s="1"/>
  <c r="L18" i="20" s="1"/>
  <c r="M18" i="20" s="1"/>
  <c r="N18" i="20" s="1"/>
  <c r="O18" i="20" s="1"/>
  <c r="P18" i="20" s="1"/>
  <c r="Q18" i="20" s="1"/>
  <c r="R18" i="20" s="1"/>
  <c r="S18" i="20" s="1"/>
  <c r="T18" i="20" s="1"/>
  <c r="U18" i="20" s="1"/>
  <c r="V18" i="20" s="1"/>
  <c r="W18" i="20" s="1"/>
  <c r="X18" i="20" s="1"/>
  <c r="Y18" i="20" s="1"/>
  <c r="Z18" i="20" s="1"/>
  <c r="AA18" i="20" s="1"/>
  <c r="AB18" i="20" s="1"/>
  <c r="AC18" i="20" s="1"/>
  <c r="AD18" i="20" s="1"/>
  <c r="AE18" i="20" s="1"/>
  <c r="AF18" i="20" s="1"/>
  <c r="AG18" i="20" s="1"/>
  <c r="B2" i="20"/>
  <c r="C2" i="20" s="1"/>
  <c r="D2" i="20" s="1"/>
  <c r="E2" i="20" s="1"/>
  <c r="F2" i="20" s="1"/>
  <c r="G2" i="20" s="1"/>
  <c r="H2" i="20" s="1"/>
  <c r="I2" i="20" s="1"/>
  <c r="J2" i="20" s="1"/>
  <c r="K2" i="20" s="1"/>
  <c r="L2" i="20" s="1"/>
  <c r="M2" i="20" s="1"/>
  <c r="N2" i="20" s="1"/>
  <c r="O2" i="20" s="1"/>
  <c r="P2" i="20" s="1"/>
  <c r="Q2" i="20" s="1"/>
  <c r="R2" i="20" s="1"/>
  <c r="S2" i="20" s="1"/>
  <c r="T2" i="20" s="1"/>
  <c r="U2" i="20" s="1"/>
  <c r="V2" i="20" s="1"/>
  <c r="W2" i="20" s="1"/>
  <c r="X2" i="20" s="1"/>
  <c r="Y2" i="20" s="1"/>
  <c r="Z2" i="20" s="1"/>
  <c r="AA2" i="20" s="1"/>
  <c r="AB2" i="20" s="1"/>
  <c r="AC2" i="20" s="1"/>
  <c r="AD2" i="20" s="1"/>
  <c r="AE2" i="20" s="1"/>
  <c r="AF2" i="20" s="1"/>
  <c r="AG2" i="20" s="1"/>
  <c r="F37" i="19"/>
  <c r="F36" i="19"/>
  <c r="F35" i="19"/>
  <c r="F34" i="19"/>
  <c r="F33" i="19"/>
  <c r="F32" i="19"/>
  <c r="F31" i="19"/>
  <c r="F30" i="19"/>
  <c r="F29" i="19"/>
  <c r="F28" i="19"/>
  <c r="F27" i="19"/>
  <c r="F25" i="19"/>
  <c r="F24" i="19"/>
  <c r="F23" i="19"/>
  <c r="F22" i="19"/>
  <c r="F21" i="19"/>
  <c r="B24" i="12" l="1"/>
  <c r="B2" i="4" s="1"/>
  <c r="C24" i="12"/>
  <c r="C2" i="4" s="1"/>
  <c r="D24" i="12"/>
  <c r="D2" i="4" s="1"/>
  <c r="E24" i="12"/>
  <c r="E2" i="4" s="1"/>
  <c r="F24" i="12"/>
  <c r="F2" i="4" s="1"/>
  <c r="G24" i="12"/>
  <c r="G2" i="4" s="1"/>
  <c r="H24" i="12"/>
  <c r="H2" i="4" s="1"/>
  <c r="I24" i="12"/>
  <c r="I2" i="4" s="1"/>
  <c r="J24" i="12"/>
  <c r="J2" i="4" s="1"/>
  <c r="K24" i="12"/>
  <c r="K2" i="4" s="1"/>
  <c r="L24" i="12"/>
  <c r="L2" i="4" s="1"/>
  <c r="M24" i="12"/>
  <c r="M2" i="4" s="1"/>
  <c r="N24" i="12"/>
  <c r="N2" i="4" s="1"/>
  <c r="O24" i="12"/>
  <c r="O2" i="4" s="1"/>
  <c r="P24" i="12"/>
  <c r="P2" i="4" s="1"/>
  <c r="Q24" i="12"/>
  <c r="Q2" i="4" s="1"/>
  <c r="R24" i="12"/>
  <c r="R2" i="4" s="1"/>
  <c r="R10" i="12"/>
  <c r="R2" i="2" s="1"/>
  <c r="Q10" i="12"/>
  <c r="Q2" i="2" s="1"/>
  <c r="P10" i="12"/>
  <c r="P2" i="2" s="1"/>
  <c r="O10" i="12"/>
  <c r="O2" i="2" s="1"/>
  <c r="N10" i="12"/>
  <c r="N2" i="2" s="1"/>
  <c r="M10" i="12"/>
  <c r="M2" i="2" s="1"/>
  <c r="L10" i="12"/>
  <c r="L2" i="2" s="1"/>
  <c r="K10" i="12"/>
  <c r="K2" i="2" s="1"/>
  <c r="J10" i="12"/>
  <c r="J2" i="2" s="1"/>
  <c r="I10" i="12"/>
  <c r="I2" i="2" s="1"/>
  <c r="H10" i="12"/>
  <c r="H2" i="2" s="1"/>
  <c r="G10" i="12"/>
  <c r="F10" i="12"/>
  <c r="F2" i="2" s="1"/>
  <c r="E10" i="12"/>
  <c r="E2" i="2" s="1"/>
  <c r="D10" i="12"/>
  <c r="D2" i="2" s="1"/>
  <c r="C10" i="12"/>
  <c r="C2" i="2" s="1"/>
  <c r="B10" i="12"/>
  <c r="B2" i="2" s="1"/>
  <c r="B3" i="5" l="1" a="1"/>
  <c r="B3" i="5" s="1"/>
  <c r="B4" i="3" a="1"/>
  <c r="R81" i="4"/>
  <c r="R82" i="4" s="1"/>
  <c r="R83" i="4" s="1"/>
  <c r="Q81" i="4"/>
  <c r="Q82" i="4" s="1"/>
  <c r="Q83" i="4" s="1"/>
  <c r="I81" i="4"/>
  <c r="I82" i="4" s="1"/>
  <c r="I83" i="4" s="1"/>
  <c r="H81" i="4"/>
  <c r="H82" i="4" s="1"/>
  <c r="H83" i="4" s="1"/>
  <c r="G81" i="4"/>
  <c r="G82" i="4" s="1"/>
  <c r="G83" i="4" s="1"/>
  <c r="F81" i="4"/>
  <c r="F82" i="4" s="1"/>
  <c r="F83" i="4" s="1"/>
  <c r="E81" i="4"/>
  <c r="E82" i="4" s="1"/>
  <c r="E83" i="4" s="1"/>
  <c r="R80" i="4"/>
  <c r="Q80" i="4"/>
  <c r="P80" i="4"/>
  <c r="P81" i="4" s="1"/>
  <c r="P82" i="4" s="1"/>
  <c r="P83" i="4" s="1"/>
  <c r="O80" i="4"/>
  <c r="O81" i="4" s="1"/>
  <c r="O82" i="4" s="1"/>
  <c r="O83" i="4" s="1"/>
  <c r="N80" i="4"/>
  <c r="N81" i="4" s="1"/>
  <c r="N82" i="4" s="1"/>
  <c r="N83" i="4" s="1"/>
  <c r="M80" i="4"/>
  <c r="M81" i="4" s="1"/>
  <c r="M82" i="4" s="1"/>
  <c r="M83" i="4" s="1"/>
  <c r="L80" i="4"/>
  <c r="L81" i="4" s="1"/>
  <c r="L82" i="4" s="1"/>
  <c r="L83" i="4" s="1"/>
  <c r="K80" i="4"/>
  <c r="K81" i="4" s="1"/>
  <c r="K82" i="4" s="1"/>
  <c r="K83" i="4" s="1"/>
  <c r="J80" i="4"/>
  <c r="J81" i="4" s="1"/>
  <c r="J82" i="4" s="1"/>
  <c r="J83" i="4" s="1"/>
  <c r="I80" i="4"/>
  <c r="H80" i="4"/>
  <c r="G80" i="4"/>
  <c r="F80" i="4"/>
  <c r="E80" i="4"/>
  <c r="D80" i="4"/>
  <c r="D81" i="4" s="1"/>
  <c r="D82" i="4" s="1"/>
  <c r="D83" i="4" s="1"/>
  <c r="C80" i="4"/>
  <c r="C81" i="4" s="1"/>
  <c r="C82" i="4" s="1"/>
  <c r="C83" i="4" s="1"/>
  <c r="B80" i="4"/>
  <c r="B81" i="4" s="1"/>
  <c r="B82" i="4" s="1"/>
  <c r="B83" i="4" s="1"/>
  <c r="R76" i="4"/>
  <c r="R77" i="4" s="1"/>
  <c r="R78" i="4" s="1"/>
  <c r="Q76" i="4"/>
  <c r="Q77" i="4" s="1"/>
  <c r="Q78" i="4" s="1"/>
  <c r="P76" i="4"/>
  <c r="P77" i="4" s="1"/>
  <c r="P78" i="4" s="1"/>
  <c r="H76" i="4"/>
  <c r="H77" i="4" s="1"/>
  <c r="H78" i="4" s="1"/>
  <c r="G76" i="4"/>
  <c r="G77" i="4" s="1"/>
  <c r="G78" i="4" s="1"/>
  <c r="F76" i="4"/>
  <c r="F77" i="4" s="1"/>
  <c r="F78" i="4" s="1"/>
  <c r="E76" i="4"/>
  <c r="E77" i="4" s="1"/>
  <c r="E78" i="4" s="1"/>
  <c r="D76" i="4"/>
  <c r="D77" i="4" s="1"/>
  <c r="D78" i="4" s="1"/>
  <c r="R75" i="4"/>
  <c r="Q75" i="4"/>
  <c r="P75" i="4"/>
  <c r="O75" i="4"/>
  <c r="O76" i="4" s="1"/>
  <c r="O77" i="4" s="1"/>
  <c r="O78" i="4" s="1"/>
  <c r="N75" i="4"/>
  <c r="N76" i="4" s="1"/>
  <c r="N77" i="4" s="1"/>
  <c r="N78" i="4" s="1"/>
  <c r="M75" i="4"/>
  <c r="M76" i="4" s="1"/>
  <c r="M77" i="4" s="1"/>
  <c r="M78" i="4" s="1"/>
  <c r="L75" i="4"/>
  <c r="L76" i="4" s="1"/>
  <c r="L77" i="4" s="1"/>
  <c r="L78" i="4" s="1"/>
  <c r="K75" i="4"/>
  <c r="K76" i="4" s="1"/>
  <c r="K77" i="4" s="1"/>
  <c r="K78" i="4" s="1"/>
  <c r="J75" i="4"/>
  <c r="J76" i="4" s="1"/>
  <c r="J77" i="4" s="1"/>
  <c r="J78" i="4" s="1"/>
  <c r="I75" i="4"/>
  <c r="I76" i="4" s="1"/>
  <c r="I77" i="4" s="1"/>
  <c r="I78" i="4" s="1"/>
  <c r="H75" i="4"/>
  <c r="G75" i="4"/>
  <c r="F75" i="4"/>
  <c r="E75" i="4"/>
  <c r="D75" i="4"/>
  <c r="C75" i="4"/>
  <c r="C76" i="4" s="1"/>
  <c r="C77" i="4" s="1"/>
  <c r="C78" i="4" s="1"/>
  <c r="B75" i="4"/>
  <c r="B76" i="4" s="1"/>
  <c r="B77" i="4" s="1"/>
  <c r="B78" i="4" s="1"/>
  <c r="M72" i="4"/>
  <c r="M73" i="4" s="1"/>
  <c r="L72" i="4"/>
  <c r="L73" i="4" s="1"/>
  <c r="R71" i="4"/>
  <c r="R72" i="4" s="1"/>
  <c r="R73" i="4" s="1"/>
  <c r="Q71" i="4"/>
  <c r="Q72" i="4" s="1"/>
  <c r="Q73" i="4" s="1"/>
  <c r="P71" i="4"/>
  <c r="P72" i="4" s="1"/>
  <c r="P73" i="4" s="1"/>
  <c r="O71" i="4"/>
  <c r="O72" i="4" s="1"/>
  <c r="O73" i="4" s="1"/>
  <c r="N71" i="4"/>
  <c r="N72" i="4" s="1"/>
  <c r="N73" i="4" s="1"/>
  <c r="M71" i="4"/>
  <c r="L71" i="4"/>
  <c r="F71" i="4"/>
  <c r="F72" i="4" s="1"/>
  <c r="F73" i="4" s="1"/>
  <c r="E71" i="4"/>
  <c r="E72" i="4" s="1"/>
  <c r="E73" i="4" s="1"/>
  <c r="D71" i="4"/>
  <c r="D72" i="4" s="1"/>
  <c r="D73" i="4" s="1"/>
  <c r="C71" i="4"/>
  <c r="C72" i="4" s="1"/>
  <c r="C73" i="4" s="1"/>
  <c r="B71" i="4"/>
  <c r="B72" i="4" s="1"/>
  <c r="B73" i="4" s="1"/>
  <c r="R70" i="4"/>
  <c r="Q70" i="4"/>
  <c r="P70" i="4"/>
  <c r="O70" i="4"/>
  <c r="N70" i="4"/>
  <c r="M70" i="4"/>
  <c r="L70" i="4"/>
  <c r="K70" i="4"/>
  <c r="K71" i="4" s="1"/>
  <c r="K72" i="4" s="1"/>
  <c r="K73" i="4" s="1"/>
  <c r="J70" i="4"/>
  <c r="J71" i="4" s="1"/>
  <c r="J72" i="4" s="1"/>
  <c r="J73" i="4" s="1"/>
  <c r="I70" i="4"/>
  <c r="I71" i="4" s="1"/>
  <c r="I72" i="4" s="1"/>
  <c r="I73" i="4" s="1"/>
  <c r="H70" i="4"/>
  <c r="H71" i="4" s="1"/>
  <c r="H72" i="4" s="1"/>
  <c r="H73" i="4" s="1"/>
  <c r="G70" i="4"/>
  <c r="G71" i="4" s="1"/>
  <c r="G72" i="4" s="1"/>
  <c r="G73" i="4" s="1"/>
  <c r="F70" i="4"/>
  <c r="E70" i="4"/>
  <c r="D70" i="4"/>
  <c r="C70" i="4"/>
  <c r="B70" i="4"/>
  <c r="Q66" i="4"/>
  <c r="Q67" i="4" s="1"/>
  <c r="Q68" i="4" s="1"/>
  <c r="N66" i="4"/>
  <c r="N67" i="4" s="1"/>
  <c r="N68" i="4" s="1"/>
  <c r="K66" i="4"/>
  <c r="K67" i="4" s="1"/>
  <c r="K68" i="4" s="1"/>
  <c r="H66" i="4"/>
  <c r="H67" i="4" s="1"/>
  <c r="H68" i="4" s="1"/>
  <c r="E66" i="4"/>
  <c r="E67" i="4" s="1"/>
  <c r="E68" i="4" s="1"/>
  <c r="B66" i="4"/>
  <c r="B67" i="4" s="1"/>
  <c r="B68" i="4" s="1"/>
  <c r="R65" i="4"/>
  <c r="R66" i="4" s="1"/>
  <c r="R67" i="4" s="1"/>
  <c r="R68" i="4" s="1"/>
  <c r="Q65" i="4"/>
  <c r="P65" i="4"/>
  <c r="P66" i="4" s="1"/>
  <c r="P67" i="4" s="1"/>
  <c r="P68" i="4" s="1"/>
  <c r="O65" i="4"/>
  <c r="O66" i="4" s="1"/>
  <c r="O67" i="4" s="1"/>
  <c r="O68" i="4" s="1"/>
  <c r="N65" i="4"/>
  <c r="M65" i="4"/>
  <c r="M66" i="4" s="1"/>
  <c r="M67" i="4" s="1"/>
  <c r="M68" i="4" s="1"/>
  <c r="L65" i="4"/>
  <c r="L66" i="4" s="1"/>
  <c r="L67" i="4" s="1"/>
  <c r="L68" i="4" s="1"/>
  <c r="K65" i="4"/>
  <c r="J65" i="4"/>
  <c r="J66" i="4" s="1"/>
  <c r="J67" i="4" s="1"/>
  <c r="J68" i="4" s="1"/>
  <c r="I65" i="4"/>
  <c r="I66" i="4" s="1"/>
  <c r="I67" i="4" s="1"/>
  <c r="I68" i="4" s="1"/>
  <c r="H65" i="4"/>
  <c r="G65" i="4"/>
  <c r="G66" i="4" s="1"/>
  <c r="G67" i="4" s="1"/>
  <c r="G68" i="4" s="1"/>
  <c r="F65" i="4"/>
  <c r="F66" i="4" s="1"/>
  <c r="F67" i="4" s="1"/>
  <c r="F68" i="4" s="1"/>
  <c r="E65" i="4"/>
  <c r="D65" i="4"/>
  <c r="D66" i="4" s="1"/>
  <c r="D67" i="4" s="1"/>
  <c r="D68" i="4" s="1"/>
  <c r="C65" i="4"/>
  <c r="C66" i="4" s="1"/>
  <c r="C67" i="4" s="1"/>
  <c r="C68" i="4" s="1"/>
  <c r="B65" i="4"/>
  <c r="Q61" i="4"/>
  <c r="Q62" i="4" s="1"/>
  <c r="Q63" i="4" s="1"/>
  <c r="O61" i="4"/>
  <c r="O62" i="4" s="1"/>
  <c r="O63" i="4" s="1"/>
  <c r="N61" i="4"/>
  <c r="N62" i="4" s="1"/>
  <c r="N63" i="4" s="1"/>
  <c r="E61" i="4"/>
  <c r="E62" i="4" s="1"/>
  <c r="E63" i="4" s="1"/>
  <c r="C61" i="4"/>
  <c r="C62" i="4" s="1"/>
  <c r="C63" i="4" s="1"/>
  <c r="B61" i="4"/>
  <c r="B62" i="4" s="1"/>
  <c r="B63" i="4" s="1"/>
  <c r="R60" i="4"/>
  <c r="R61" i="4" s="1"/>
  <c r="R62" i="4" s="1"/>
  <c r="R63" i="4" s="1"/>
  <c r="Q60" i="4"/>
  <c r="P60" i="4"/>
  <c r="P61" i="4" s="1"/>
  <c r="P62" i="4" s="1"/>
  <c r="P63" i="4" s="1"/>
  <c r="O60" i="4"/>
  <c r="N60" i="4"/>
  <c r="M60" i="4"/>
  <c r="M61" i="4" s="1"/>
  <c r="M62" i="4" s="1"/>
  <c r="M63" i="4" s="1"/>
  <c r="L60" i="4"/>
  <c r="L61" i="4" s="1"/>
  <c r="L62" i="4" s="1"/>
  <c r="L63" i="4" s="1"/>
  <c r="K60" i="4"/>
  <c r="K61" i="4" s="1"/>
  <c r="K62" i="4" s="1"/>
  <c r="K63" i="4" s="1"/>
  <c r="J60" i="4"/>
  <c r="J61" i="4" s="1"/>
  <c r="J62" i="4" s="1"/>
  <c r="J63" i="4" s="1"/>
  <c r="I60" i="4"/>
  <c r="I61" i="4" s="1"/>
  <c r="I62" i="4" s="1"/>
  <c r="I63" i="4" s="1"/>
  <c r="H60" i="4"/>
  <c r="H61" i="4" s="1"/>
  <c r="H62" i="4" s="1"/>
  <c r="H63" i="4" s="1"/>
  <c r="G60" i="4"/>
  <c r="G61" i="4" s="1"/>
  <c r="G62" i="4" s="1"/>
  <c r="G63" i="4" s="1"/>
  <c r="F60" i="4"/>
  <c r="F61" i="4" s="1"/>
  <c r="F62" i="4" s="1"/>
  <c r="F63" i="4" s="1"/>
  <c r="E60" i="4"/>
  <c r="D60" i="4"/>
  <c r="D61" i="4" s="1"/>
  <c r="D62" i="4" s="1"/>
  <c r="D63" i="4" s="1"/>
  <c r="C60" i="4"/>
  <c r="B60" i="4"/>
  <c r="Q56" i="4"/>
  <c r="Q57" i="4" s="1"/>
  <c r="Q58" i="4" s="1"/>
  <c r="O56" i="4"/>
  <c r="O57" i="4" s="1"/>
  <c r="O58" i="4" s="1"/>
  <c r="N56" i="4"/>
  <c r="N57" i="4" s="1"/>
  <c r="N58" i="4" s="1"/>
  <c r="M56" i="4"/>
  <c r="M57" i="4" s="1"/>
  <c r="M58" i="4" s="1"/>
  <c r="K56" i="4"/>
  <c r="K57" i="4" s="1"/>
  <c r="K58" i="4" s="1"/>
  <c r="E56" i="4"/>
  <c r="E57" i="4" s="1"/>
  <c r="E58" i="4" s="1"/>
  <c r="C56" i="4"/>
  <c r="C57" i="4" s="1"/>
  <c r="C58" i="4" s="1"/>
  <c r="B56" i="4"/>
  <c r="B57" i="4" s="1"/>
  <c r="B58" i="4" s="1"/>
  <c r="R55" i="4"/>
  <c r="R56" i="4" s="1"/>
  <c r="R57" i="4" s="1"/>
  <c r="R58" i="4" s="1"/>
  <c r="Q55" i="4"/>
  <c r="P55" i="4"/>
  <c r="P56" i="4" s="1"/>
  <c r="P57" i="4" s="1"/>
  <c r="P58" i="4" s="1"/>
  <c r="O55" i="4"/>
  <c r="N55" i="4"/>
  <c r="M55" i="4"/>
  <c r="L55" i="4"/>
  <c r="L56" i="4" s="1"/>
  <c r="L57" i="4" s="1"/>
  <c r="L58" i="4" s="1"/>
  <c r="K55" i="4"/>
  <c r="J55" i="4"/>
  <c r="J56" i="4" s="1"/>
  <c r="J57" i="4" s="1"/>
  <c r="J58" i="4" s="1"/>
  <c r="I55" i="4"/>
  <c r="I56" i="4" s="1"/>
  <c r="I57" i="4" s="1"/>
  <c r="I58" i="4" s="1"/>
  <c r="H55" i="4"/>
  <c r="H56" i="4" s="1"/>
  <c r="H57" i="4" s="1"/>
  <c r="H58" i="4" s="1"/>
  <c r="G55" i="4"/>
  <c r="G56" i="4" s="1"/>
  <c r="G57" i="4" s="1"/>
  <c r="G58" i="4" s="1"/>
  <c r="F55" i="4"/>
  <c r="F56" i="4" s="1"/>
  <c r="F57" i="4" s="1"/>
  <c r="F58" i="4" s="1"/>
  <c r="E55" i="4"/>
  <c r="D55" i="4"/>
  <c r="D56" i="4" s="1"/>
  <c r="D57" i="4" s="1"/>
  <c r="D58" i="4" s="1"/>
  <c r="C55" i="4"/>
  <c r="B55" i="4"/>
  <c r="N52" i="4"/>
  <c r="N53" i="4" s="1"/>
  <c r="B52" i="4"/>
  <c r="B53" i="4" s="1"/>
  <c r="R51" i="4"/>
  <c r="R52" i="4" s="1"/>
  <c r="R53" i="4" s="1"/>
  <c r="O51" i="4"/>
  <c r="O52" i="4" s="1"/>
  <c r="O53" i="4" s="1"/>
  <c r="N51" i="4"/>
  <c r="G51" i="4"/>
  <c r="G52" i="4" s="1"/>
  <c r="G53" i="4" s="1"/>
  <c r="F51" i="4"/>
  <c r="F52" i="4" s="1"/>
  <c r="F53" i="4" s="1"/>
  <c r="C51" i="4"/>
  <c r="C52" i="4" s="1"/>
  <c r="C53" i="4" s="1"/>
  <c r="B51" i="4"/>
  <c r="R50" i="4"/>
  <c r="Q50" i="4"/>
  <c r="Q51" i="4" s="1"/>
  <c r="Q52" i="4" s="1"/>
  <c r="Q53" i="4" s="1"/>
  <c r="P50" i="4"/>
  <c r="P51" i="4" s="1"/>
  <c r="P52" i="4" s="1"/>
  <c r="P53" i="4" s="1"/>
  <c r="O50" i="4"/>
  <c r="N50" i="4"/>
  <c r="M50" i="4"/>
  <c r="M51" i="4" s="1"/>
  <c r="M52" i="4" s="1"/>
  <c r="M53" i="4" s="1"/>
  <c r="L50" i="4"/>
  <c r="L51" i="4" s="1"/>
  <c r="L52" i="4" s="1"/>
  <c r="L53" i="4" s="1"/>
  <c r="K50" i="4"/>
  <c r="K51" i="4" s="1"/>
  <c r="K52" i="4" s="1"/>
  <c r="K53" i="4" s="1"/>
  <c r="J50" i="4"/>
  <c r="J51" i="4" s="1"/>
  <c r="J52" i="4" s="1"/>
  <c r="J53" i="4" s="1"/>
  <c r="I50" i="4"/>
  <c r="I51" i="4" s="1"/>
  <c r="I52" i="4" s="1"/>
  <c r="I53" i="4" s="1"/>
  <c r="H50" i="4"/>
  <c r="H51" i="4" s="1"/>
  <c r="H52" i="4" s="1"/>
  <c r="H53" i="4" s="1"/>
  <c r="G50" i="4"/>
  <c r="F50" i="4"/>
  <c r="E50" i="4"/>
  <c r="E51" i="4" s="1"/>
  <c r="E52" i="4" s="1"/>
  <c r="E53" i="4" s="1"/>
  <c r="D50" i="4"/>
  <c r="D51" i="4" s="1"/>
  <c r="D52" i="4" s="1"/>
  <c r="D53" i="4" s="1"/>
  <c r="C50" i="4"/>
  <c r="B50" i="4"/>
  <c r="G47" i="4"/>
  <c r="G48" i="4" s="1"/>
  <c r="R46" i="4"/>
  <c r="R47" i="4" s="1"/>
  <c r="R48" i="4" s="1"/>
  <c r="P46" i="4"/>
  <c r="P47" i="4" s="1"/>
  <c r="P48" i="4" s="1"/>
  <c r="O46" i="4"/>
  <c r="O47" i="4" s="1"/>
  <c r="O48" i="4" s="1"/>
  <c r="L46" i="4"/>
  <c r="L47" i="4" s="1"/>
  <c r="L48" i="4" s="1"/>
  <c r="J46" i="4"/>
  <c r="J47" i="4" s="1"/>
  <c r="J48" i="4" s="1"/>
  <c r="G46" i="4"/>
  <c r="F46" i="4"/>
  <c r="F47" i="4" s="1"/>
  <c r="F48" i="4" s="1"/>
  <c r="D46" i="4"/>
  <c r="D47" i="4" s="1"/>
  <c r="D48" i="4" s="1"/>
  <c r="C46" i="4"/>
  <c r="C47" i="4" s="1"/>
  <c r="C48" i="4" s="1"/>
  <c r="R45" i="4"/>
  <c r="Q45" i="4"/>
  <c r="Q46" i="4" s="1"/>
  <c r="Q47" i="4" s="1"/>
  <c r="Q48" i="4" s="1"/>
  <c r="P45" i="4"/>
  <c r="O45" i="4"/>
  <c r="N45" i="4"/>
  <c r="N46" i="4" s="1"/>
  <c r="N47" i="4" s="1"/>
  <c r="N48" i="4" s="1"/>
  <c r="M45" i="4"/>
  <c r="M46" i="4" s="1"/>
  <c r="M47" i="4" s="1"/>
  <c r="M48" i="4" s="1"/>
  <c r="L45" i="4"/>
  <c r="K45" i="4"/>
  <c r="K46" i="4" s="1"/>
  <c r="K47" i="4" s="1"/>
  <c r="K48" i="4" s="1"/>
  <c r="J45" i="4"/>
  <c r="I45" i="4"/>
  <c r="I46" i="4" s="1"/>
  <c r="I47" i="4" s="1"/>
  <c r="I48" i="4" s="1"/>
  <c r="H45" i="4"/>
  <c r="H46" i="4" s="1"/>
  <c r="H47" i="4" s="1"/>
  <c r="H48" i="4" s="1"/>
  <c r="G45" i="4"/>
  <c r="F45" i="4"/>
  <c r="E45" i="4"/>
  <c r="E46" i="4" s="1"/>
  <c r="E47" i="4" s="1"/>
  <c r="E48" i="4" s="1"/>
  <c r="D45" i="4"/>
  <c r="C45" i="4"/>
  <c r="B45" i="4"/>
  <c r="B46" i="4" s="1"/>
  <c r="B47" i="4" s="1"/>
  <c r="B48" i="4" s="1"/>
  <c r="R41" i="4"/>
  <c r="R42" i="4" s="1"/>
  <c r="R43" i="4" s="1"/>
  <c r="Q41" i="4"/>
  <c r="Q42" i="4" s="1"/>
  <c r="Q43" i="4" s="1"/>
  <c r="P41" i="4"/>
  <c r="P42" i="4" s="1"/>
  <c r="P43" i="4" s="1"/>
  <c r="H41" i="4"/>
  <c r="H42" i="4" s="1"/>
  <c r="H43" i="4" s="1"/>
  <c r="G41" i="4"/>
  <c r="G42" i="4" s="1"/>
  <c r="G43" i="4" s="1"/>
  <c r="F41" i="4"/>
  <c r="F42" i="4" s="1"/>
  <c r="F43" i="4" s="1"/>
  <c r="E41" i="4"/>
  <c r="E42" i="4" s="1"/>
  <c r="E43" i="4" s="1"/>
  <c r="D41" i="4"/>
  <c r="D42" i="4" s="1"/>
  <c r="D43" i="4" s="1"/>
  <c r="R40" i="4"/>
  <c r="Q40" i="4"/>
  <c r="P40" i="4"/>
  <c r="O40" i="4"/>
  <c r="O41" i="4" s="1"/>
  <c r="O42" i="4" s="1"/>
  <c r="O43" i="4" s="1"/>
  <c r="N40" i="4"/>
  <c r="N41" i="4" s="1"/>
  <c r="N42" i="4" s="1"/>
  <c r="N43" i="4" s="1"/>
  <c r="M40" i="4"/>
  <c r="M41" i="4" s="1"/>
  <c r="M42" i="4" s="1"/>
  <c r="M43" i="4" s="1"/>
  <c r="L40" i="4"/>
  <c r="L41" i="4" s="1"/>
  <c r="L42" i="4" s="1"/>
  <c r="L43" i="4" s="1"/>
  <c r="K40" i="4"/>
  <c r="K41" i="4" s="1"/>
  <c r="K42" i="4" s="1"/>
  <c r="K43" i="4" s="1"/>
  <c r="J40" i="4"/>
  <c r="J41" i="4" s="1"/>
  <c r="J42" i="4" s="1"/>
  <c r="J43" i="4" s="1"/>
  <c r="I40" i="4"/>
  <c r="I41" i="4" s="1"/>
  <c r="I42" i="4" s="1"/>
  <c r="I43" i="4" s="1"/>
  <c r="H40" i="4"/>
  <c r="G40" i="4"/>
  <c r="F40" i="4"/>
  <c r="E40" i="4"/>
  <c r="D40" i="4"/>
  <c r="C40" i="4"/>
  <c r="C41" i="4" s="1"/>
  <c r="C42" i="4" s="1"/>
  <c r="C43" i="4" s="1"/>
  <c r="B40" i="4"/>
  <c r="B41" i="4" s="1"/>
  <c r="B42" i="4" s="1"/>
  <c r="B43" i="4" s="1"/>
  <c r="R36" i="4"/>
  <c r="R37" i="4" s="1"/>
  <c r="R38" i="4" s="1"/>
  <c r="Q36" i="4"/>
  <c r="Q37" i="4" s="1"/>
  <c r="Q38" i="4" s="1"/>
  <c r="I36" i="4"/>
  <c r="I37" i="4" s="1"/>
  <c r="I38" i="4" s="1"/>
  <c r="H36" i="4"/>
  <c r="H37" i="4" s="1"/>
  <c r="H38" i="4" s="1"/>
  <c r="G36" i="4"/>
  <c r="G37" i="4" s="1"/>
  <c r="G38" i="4" s="1"/>
  <c r="F36" i="4"/>
  <c r="F37" i="4" s="1"/>
  <c r="F38" i="4" s="1"/>
  <c r="E36" i="4"/>
  <c r="E37" i="4" s="1"/>
  <c r="E38" i="4" s="1"/>
  <c r="R35" i="4"/>
  <c r="Q35" i="4"/>
  <c r="P35" i="4"/>
  <c r="P36" i="4" s="1"/>
  <c r="P37" i="4" s="1"/>
  <c r="P38" i="4" s="1"/>
  <c r="O35" i="4"/>
  <c r="O36" i="4" s="1"/>
  <c r="O37" i="4" s="1"/>
  <c r="O38" i="4" s="1"/>
  <c r="N35" i="4"/>
  <c r="N36" i="4" s="1"/>
  <c r="N37" i="4" s="1"/>
  <c r="N38" i="4" s="1"/>
  <c r="M35" i="4"/>
  <c r="M36" i="4" s="1"/>
  <c r="M37" i="4" s="1"/>
  <c r="M38" i="4" s="1"/>
  <c r="L35" i="4"/>
  <c r="L36" i="4" s="1"/>
  <c r="L37" i="4" s="1"/>
  <c r="L38" i="4" s="1"/>
  <c r="K35" i="4"/>
  <c r="K36" i="4" s="1"/>
  <c r="K37" i="4" s="1"/>
  <c r="K38" i="4" s="1"/>
  <c r="J35" i="4"/>
  <c r="J36" i="4" s="1"/>
  <c r="J37" i="4" s="1"/>
  <c r="J38" i="4" s="1"/>
  <c r="I35" i="4"/>
  <c r="H35" i="4"/>
  <c r="G35" i="4"/>
  <c r="F35" i="4"/>
  <c r="E35" i="4"/>
  <c r="D35" i="4"/>
  <c r="D36" i="4" s="1"/>
  <c r="D37" i="4" s="1"/>
  <c r="D38" i="4" s="1"/>
  <c r="C35" i="4"/>
  <c r="C36" i="4" s="1"/>
  <c r="C37" i="4" s="1"/>
  <c r="C38" i="4" s="1"/>
  <c r="B35" i="4"/>
  <c r="B36" i="4" s="1"/>
  <c r="B37" i="4" s="1"/>
  <c r="B38" i="4" s="1"/>
  <c r="R31" i="4"/>
  <c r="R32" i="4" s="1"/>
  <c r="R33" i="4" s="1"/>
  <c r="Q31" i="4"/>
  <c r="Q32" i="4" s="1"/>
  <c r="Q33" i="4" s="1"/>
  <c r="I31" i="4"/>
  <c r="I32" i="4" s="1"/>
  <c r="I33" i="4" s="1"/>
  <c r="H31" i="4"/>
  <c r="H32" i="4" s="1"/>
  <c r="H33" i="4" s="1"/>
  <c r="G31" i="4"/>
  <c r="G32" i="4" s="1"/>
  <c r="G33" i="4" s="1"/>
  <c r="F31" i="4"/>
  <c r="F32" i="4" s="1"/>
  <c r="F33" i="4" s="1"/>
  <c r="E31" i="4"/>
  <c r="E32" i="4" s="1"/>
  <c r="E33" i="4" s="1"/>
  <c r="R30" i="4"/>
  <c r="Q30" i="4"/>
  <c r="P30" i="4"/>
  <c r="P31" i="4" s="1"/>
  <c r="P32" i="4" s="1"/>
  <c r="P33" i="4" s="1"/>
  <c r="O30" i="4"/>
  <c r="O31" i="4" s="1"/>
  <c r="O32" i="4" s="1"/>
  <c r="O33" i="4" s="1"/>
  <c r="N30" i="4"/>
  <c r="N31" i="4" s="1"/>
  <c r="N32" i="4" s="1"/>
  <c r="N33" i="4" s="1"/>
  <c r="M30" i="4"/>
  <c r="M31" i="4" s="1"/>
  <c r="M32" i="4" s="1"/>
  <c r="M33" i="4" s="1"/>
  <c r="L30" i="4"/>
  <c r="L31" i="4" s="1"/>
  <c r="L32" i="4" s="1"/>
  <c r="L33" i="4" s="1"/>
  <c r="K30" i="4"/>
  <c r="K31" i="4" s="1"/>
  <c r="K32" i="4" s="1"/>
  <c r="K33" i="4" s="1"/>
  <c r="J30" i="4"/>
  <c r="J31" i="4" s="1"/>
  <c r="J32" i="4" s="1"/>
  <c r="J33" i="4" s="1"/>
  <c r="I30" i="4"/>
  <c r="H30" i="4"/>
  <c r="G30" i="4"/>
  <c r="F30" i="4"/>
  <c r="E30" i="4"/>
  <c r="D30" i="4"/>
  <c r="D31" i="4" s="1"/>
  <c r="D32" i="4" s="1"/>
  <c r="D33" i="4" s="1"/>
  <c r="C30" i="4"/>
  <c r="C31" i="4" s="1"/>
  <c r="C32" i="4" s="1"/>
  <c r="C33" i="4" s="1"/>
  <c r="B30" i="4"/>
  <c r="B31" i="4" s="1"/>
  <c r="B32" i="4" s="1"/>
  <c r="B33" i="4" s="1"/>
  <c r="M27" i="4"/>
  <c r="M28" i="4" s="1"/>
  <c r="R26" i="4"/>
  <c r="R27" i="4" s="1"/>
  <c r="R28" i="4" s="1"/>
  <c r="Q26" i="4"/>
  <c r="Q27" i="4" s="1"/>
  <c r="Q28" i="4" s="1"/>
  <c r="O26" i="4"/>
  <c r="O27" i="4" s="1"/>
  <c r="O28" i="4" s="1"/>
  <c r="N26" i="4"/>
  <c r="N27" i="4" s="1"/>
  <c r="N28" i="4" s="1"/>
  <c r="M26" i="4"/>
  <c r="F26" i="4"/>
  <c r="F27" i="4" s="1"/>
  <c r="F28" i="4" s="1"/>
  <c r="E26" i="4"/>
  <c r="E27" i="4" s="1"/>
  <c r="E28" i="4" s="1"/>
  <c r="C26" i="4"/>
  <c r="C27" i="4" s="1"/>
  <c r="C28" i="4" s="1"/>
  <c r="B26" i="4"/>
  <c r="B27" i="4" s="1"/>
  <c r="B28" i="4" s="1"/>
  <c r="R25" i="4"/>
  <c r="Q25" i="4"/>
  <c r="P25" i="4"/>
  <c r="P26" i="4" s="1"/>
  <c r="P27" i="4" s="1"/>
  <c r="P28" i="4" s="1"/>
  <c r="O25" i="4"/>
  <c r="N25" i="4"/>
  <c r="M25" i="4"/>
  <c r="L25" i="4"/>
  <c r="L26" i="4" s="1"/>
  <c r="L27" i="4" s="1"/>
  <c r="L28" i="4" s="1"/>
  <c r="K25" i="4"/>
  <c r="K26" i="4" s="1"/>
  <c r="K27" i="4" s="1"/>
  <c r="K28" i="4" s="1"/>
  <c r="J25" i="4"/>
  <c r="J26" i="4" s="1"/>
  <c r="J27" i="4" s="1"/>
  <c r="J28" i="4" s="1"/>
  <c r="I25" i="4"/>
  <c r="I26" i="4" s="1"/>
  <c r="I27" i="4" s="1"/>
  <c r="I28" i="4" s="1"/>
  <c r="H25" i="4"/>
  <c r="H26" i="4" s="1"/>
  <c r="H27" i="4" s="1"/>
  <c r="H28" i="4" s="1"/>
  <c r="G25" i="4"/>
  <c r="G26" i="4" s="1"/>
  <c r="G27" i="4" s="1"/>
  <c r="G28" i="4" s="1"/>
  <c r="F25" i="4"/>
  <c r="E25" i="4"/>
  <c r="D25" i="4"/>
  <c r="D26" i="4" s="1"/>
  <c r="D27" i="4" s="1"/>
  <c r="D28" i="4" s="1"/>
  <c r="C25" i="4"/>
  <c r="B25" i="4"/>
  <c r="Q23" i="4"/>
  <c r="J23" i="4"/>
  <c r="E23" i="4"/>
  <c r="Q22" i="4"/>
  <c r="J22" i="4"/>
  <c r="E22" i="4"/>
  <c r="R21" i="4"/>
  <c r="R22" i="4" s="1"/>
  <c r="R23" i="4" s="1"/>
  <c r="Q21" i="4"/>
  <c r="P21" i="4"/>
  <c r="P22" i="4" s="1"/>
  <c r="P23" i="4" s="1"/>
  <c r="J21" i="4"/>
  <c r="H21" i="4"/>
  <c r="H22" i="4" s="1"/>
  <c r="H23" i="4" s="1"/>
  <c r="G21" i="4"/>
  <c r="G22" i="4" s="1"/>
  <c r="G23" i="4" s="1"/>
  <c r="F21" i="4"/>
  <c r="F22" i="4" s="1"/>
  <c r="F23" i="4" s="1"/>
  <c r="E21" i="4"/>
  <c r="D21" i="4"/>
  <c r="D22" i="4" s="1"/>
  <c r="D23" i="4" s="1"/>
  <c r="R20" i="4"/>
  <c r="Q20" i="4"/>
  <c r="P20" i="4"/>
  <c r="O20" i="4"/>
  <c r="O21" i="4" s="1"/>
  <c r="O22" i="4" s="1"/>
  <c r="O23" i="4" s="1"/>
  <c r="N20" i="4"/>
  <c r="N21" i="4" s="1"/>
  <c r="N22" i="4" s="1"/>
  <c r="N23" i="4" s="1"/>
  <c r="M20" i="4"/>
  <c r="M21" i="4" s="1"/>
  <c r="M22" i="4" s="1"/>
  <c r="M23" i="4" s="1"/>
  <c r="L20" i="4"/>
  <c r="L21" i="4" s="1"/>
  <c r="L22" i="4" s="1"/>
  <c r="L23" i="4" s="1"/>
  <c r="K20" i="4"/>
  <c r="K21" i="4" s="1"/>
  <c r="K22" i="4" s="1"/>
  <c r="K23" i="4" s="1"/>
  <c r="J20" i="4"/>
  <c r="I20" i="4"/>
  <c r="I21" i="4" s="1"/>
  <c r="I22" i="4" s="1"/>
  <c r="I23" i="4" s="1"/>
  <c r="H20" i="4"/>
  <c r="G20" i="4"/>
  <c r="F20" i="4"/>
  <c r="E20" i="4"/>
  <c r="D20" i="4"/>
  <c r="C20" i="4"/>
  <c r="C21" i="4" s="1"/>
  <c r="C22" i="4" s="1"/>
  <c r="C23" i="4" s="1"/>
  <c r="B20" i="4"/>
  <c r="B21" i="4" s="1"/>
  <c r="B22" i="4" s="1"/>
  <c r="B23" i="4" s="1"/>
  <c r="N17" i="4"/>
  <c r="N18" i="4" s="1"/>
  <c r="M17" i="4"/>
  <c r="M18" i="4" s="1"/>
  <c r="B17" i="4"/>
  <c r="B18" i="4" s="1"/>
  <c r="R16" i="4"/>
  <c r="R17" i="4" s="1"/>
  <c r="R18" i="4" s="1"/>
  <c r="P16" i="4"/>
  <c r="P17" i="4" s="1"/>
  <c r="P18" i="4" s="1"/>
  <c r="O16" i="4"/>
  <c r="O17" i="4" s="1"/>
  <c r="O18" i="4" s="1"/>
  <c r="N16" i="4"/>
  <c r="M16" i="4"/>
  <c r="G16" i="4"/>
  <c r="G17" i="4" s="1"/>
  <c r="G18" i="4" s="1"/>
  <c r="F16" i="4"/>
  <c r="F17" i="4" s="1"/>
  <c r="F18" i="4" s="1"/>
  <c r="D16" i="4"/>
  <c r="D17" i="4" s="1"/>
  <c r="D18" i="4" s="1"/>
  <c r="C16" i="4"/>
  <c r="C17" i="4" s="1"/>
  <c r="C18" i="4" s="1"/>
  <c r="B16" i="4"/>
  <c r="R15" i="4"/>
  <c r="Q15" i="4"/>
  <c r="Q16" i="4" s="1"/>
  <c r="Q17" i="4" s="1"/>
  <c r="Q18" i="4" s="1"/>
  <c r="P15" i="4"/>
  <c r="O15" i="4"/>
  <c r="N15" i="4"/>
  <c r="M15" i="4"/>
  <c r="L15" i="4"/>
  <c r="L16" i="4" s="1"/>
  <c r="L17" i="4" s="1"/>
  <c r="L18" i="4" s="1"/>
  <c r="K15" i="4"/>
  <c r="K16" i="4" s="1"/>
  <c r="K17" i="4" s="1"/>
  <c r="K18" i="4" s="1"/>
  <c r="J15" i="4"/>
  <c r="J16" i="4" s="1"/>
  <c r="J17" i="4" s="1"/>
  <c r="J18" i="4" s="1"/>
  <c r="I15" i="4"/>
  <c r="I16" i="4" s="1"/>
  <c r="I17" i="4" s="1"/>
  <c r="I18" i="4" s="1"/>
  <c r="H15" i="4"/>
  <c r="H16" i="4" s="1"/>
  <c r="H17" i="4" s="1"/>
  <c r="H18" i="4" s="1"/>
  <c r="G15" i="4"/>
  <c r="F15" i="4"/>
  <c r="E15" i="4"/>
  <c r="E16" i="4" s="1"/>
  <c r="E17" i="4" s="1"/>
  <c r="E18" i="4" s="1"/>
  <c r="D15" i="4"/>
  <c r="C15" i="4"/>
  <c r="B15" i="4"/>
  <c r="M12" i="4"/>
  <c r="M13" i="4" s="1"/>
  <c r="I12" i="4"/>
  <c r="I13" i="4" s="1"/>
  <c r="R11" i="4"/>
  <c r="R12" i="4" s="1"/>
  <c r="R13" i="4" s="1"/>
  <c r="Q11" i="4"/>
  <c r="Q12" i="4" s="1"/>
  <c r="Q13" i="4" s="1"/>
  <c r="N11" i="4"/>
  <c r="N12" i="4" s="1"/>
  <c r="N13" i="4" s="1"/>
  <c r="M11" i="4"/>
  <c r="I11" i="4"/>
  <c r="F11" i="4"/>
  <c r="F12" i="4" s="1"/>
  <c r="F13" i="4" s="1"/>
  <c r="E11" i="4"/>
  <c r="E12" i="4" s="1"/>
  <c r="E13" i="4" s="1"/>
  <c r="B11" i="4"/>
  <c r="B12" i="4" s="1"/>
  <c r="B13" i="4" s="1"/>
  <c r="R10" i="4"/>
  <c r="Q10" i="4"/>
  <c r="P10" i="4"/>
  <c r="P11" i="4" s="1"/>
  <c r="P12" i="4" s="1"/>
  <c r="P13" i="4" s="1"/>
  <c r="O10" i="4"/>
  <c r="O11" i="4" s="1"/>
  <c r="O12" i="4" s="1"/>
  <c r="O13" i="4" s="1"/>
  <c r="N10" i="4"/>
  <c r="M10" i="4"/>
  <c r="L10" i="4"/>
  <c r="L11" i="4" s="1"/>
  <c r="L12" i="4" s="1"/>
  <c r="L13" i="4" s="1"/>
  <c r="K10" i="4"/>
  <c r="K11" i="4" s="1"/>
  <c r="K12" i="4" s="1"/>
  <c r="K13" i="4" s="1"/>
  <c r="J10" i="4"/>
  <c r="J11" i="4" s="1"/>
  <c r="J12" i="4" s="1"/>
  <c r="J13" i="4" s="1"/>
  <c r="I10" i="4"/>
  <c r="H10" i="4"/>
  <c r="H11" i="4" s="1"/>
  <c r="H12" i="4" s="1"/>
  <c r="H13" i="4" s="1"/>
  <c r="G10" i="4"/>
  <c r="G11" i="4" s="1"/>
  <c r="G12" i="4" s="1"/>
  <c r="G13" i="4" s="1"/>
  <c r="F10" i="4"/>
  <c r="E10" i="4"/>
  <c r="D10" i="4"/>
  <c r="D11" i="4" s="1"/>
  <c r="D12" i="4" s="1"/>
  <c r="D13" i="4" s="1"/>
  <c r="C10" i="4"/>
  <c r="C11" i="4" s="1"/>
  <c r="C12" i="4" s="1"/>
  <c r="C13" i="4" s="1"/>
  <c r="B10" i="4"/>
  <c r="C5" i="4"/>
  <c r="D5" i="4"/>
  <c r="D6" i="4" s="1"/>
  <c r="D7" i="4" s="1"/>
  <c r="D8" i="4" s="1"/>
  <c r="E5" i="4"/>
  <c r="E6" i="4" s="1"/>
  <c r="E7" i="4" s="1"/>
  <c r="E8" i="4" s="1"/>
  <c r="F5" i="4"/>
  <c r="F6" i="4" s="1"/>
  <c r="F7" i="4" s="1"/>
  <c r="F8" i="4" s="1"/>
  <c r="G5" i="4"/>
  <c r="G6" i="4" s="1"/>
  <c r="G7" i="4" s="1"/>
  <c r="G8" i="4" s="1"/>
  <c r="H5" i="4"/>
  <c r="I5" i="4"/>
  <c r="J5" i="4"/>
  <c r="K5" i="4"/>
  <c r="L5" i="4"/>
  <c r="M5" i="4"/>
  <c r="M6" i="4" s="1"/>
  <c r="M7" i="4" s="1"/>
  <c r="M8" i="4" s="1"/>
  <c r="N5" i="4"/>
  <c r="O5" i="4"/>
  <c r="P5" i="4"/>
  <c r="P6" i="4" s="1"/>
  <c r="P7" i="4" s="1"/>
  <c r="P8" i="4" s="1"/>
  <c r="Q5" i="4"/>
  <c r="Q6" i="4" s="1"/>
  <c r="Q7" i="4" s="1"/>
  <c r="Q8" i="4" s="1"/>
  <c r="R5" i="4"/>
  <c r="R6" i="4" s="1"/>
  <c r="R7" i="4" s="1"/>
  <c r="R8" i="4" s="1"/>
  <c r="C6" i="4"/>
  <c r="C7" i="4" s="1"/>
  <c r="C8" i="4" s="1"/>
  <c r="H6" i="4"/>
  <c r="I6" i="4"/>
  <c r="I7" i="4" s="1"/>
  <c r="I8" i="4" s="1"/>
  <c r="J6" i="4"/>
  <c r="K6" i="4"/>
  <c r="L6" i="4"/>
  <c r="L7" i="4" s="1"/>
  <c r="L8" i="4" s="1"/>
  <c r="N6" i="4"/>
  <c r="N7" i="4" s="1"/>
  <c r="N8" i="4" s="1"/>
  <c r="O6" i="4"/>
  <c r="O7" i="4" s="1"/>
  <c r="O8" i="4" s="1"/>
  <c r="H7" i="4"/>
  <c r="H8" i="4" s="1"/>
  <c r="J7" i="4"/>
  <c r="J8" i="4" s="1"/>
  <c r="K7" i="4"/>
  <c r="K8" i="4" s="1"/>
  <c r="B6" i="4"/>
  <c r="B7" i="4" s="1"/>
  <c r="B8" i="4" s="1"/>
  <c r="B5" i="4"/>
  <c r="C25" i="12"/>
  <c r="C3" i="4" s="1"/>
  <c r="C3" i="5" s="1" a="1"/>
  <c r="D25" i="12"/>
  <c r="D3" i="4" s="1"/>
  <c r="E25" i="12"/>
  <c r="E3" i="4" s="1"/>
  <c r="F25" i="12"/>
  <c r="F3" i="4" s="1"/>
  <c r="G25" i="12"/>
  <c r="G3" i="4" s="1"/>
  <c r="H25" i="12"/>
  <c r="H3" i="4" s="1"/>
  <c r="I25" i="12"/>
  <c r="I3" i="4" s="1"/>
  <c r="J25" i="12"/>
  <c r="J3" i="4" s="1"/>
  <c r="K25" i="12"/>
  <c r="K3" i="4" s="1"/>
  <c r="L25" i="12"/>
  <c r="L3" i="4" s="1"/>
  <c r="M25" i="12"/>
  <c r="M3" i="4" s="1"/>
  <c r="N25" i="12"/>
  <c r="N3" i="4" s="1"/>
  <c r="O25" i="12"/>
  <c r="O3" i="4" s="1"/>
  <c r="P25" i="12"/>
  <c r="P3" i="4" s="1"/>
  <c r="Q25" i="12"/>
  <c r="Q3" i="4" s="1"/>
  <c r="R25" i="12"/>
  <c r="R3" i="4" s="1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B26" i="12"/>
  <c r="B27" i="12"/>
  <c r="B25" i="12"/>
  <c r="B3" i="4" s="1"/>
  <c r="B2" i="5" s="1" a="1"/>
  <c r="R81" i="2"/>
  <c r="R82" i="2" s="1"/>
  <c r="R83" i="2" s="1"/>
  <c r="P81" i="2"/>
  <c r="P82" i="2" s="1"/>
  <c r="P83" i="2" s="1"/>
  <c r="O81" i="2"/>
  <c r="O82" i="2" s="1"/>
  <c r="O83" i="2" s="1"/>
  <c r="F81" i="2"/>
  <c r="F82" i="2" s="1"/>
  <c r="F83" i="2" s="1"/>
  <c r="D81" i="2"/>
  <c r="D82" i="2" s="1"/>
  <c r="D83" i="2" s="1"/>
  <c r="R80" i="2"/>
  <c r="Q80" i="2"/>
  <c r="Q81" i="2" s="1"/>
  <c r="Q82" i="2" s="1"/>
  <c r="Q83" i="2" s="1"/>
  <c r="P80" i="2"/>
  <c r="O80" i="2"/>
  <c r="N80" i="2"/>
  <c r="N81" i="2" s="1"/>
  <c r="N82" i="2" s="1"/>
  <c r="N83" i="2" s="1"/>
  <c r="M80" i="2"/>
  <c r="M81" i="2" s="1"/>
  <c r="M82" i="2" s="1"/>
  <c r="M83" i="2" s="1"/>
  <c r="L80" i="2"/>
  <c r="L81" i="2" s="1"/>
  <c r="L82" i="2" s="1"/>
  <c r="L83" i="2" s="1"/>
  <c r="K80" i="2"/>
  <c r="K81" i="2" s="1"/>
  <c r="K82" i="2" s="1"/>
  <c r="K83" i="2" s="1"/>
  <c r="J80" i="2"/>
  <c r="J81" i="2" s="1"/>
  <c r="J82" i="2" s="1"/>
  <c r="J83" i="2" s="1"/>
  <c r="I80" i="2"/>
  <c r="I81" i="2" s="1"/>
  <c r="I82" i="2" s="1"/>
  <c r="I83" i="2" s="1"/>
  <c r="H80" i="2"/>
  <c r="H81" i="2" s="1"/>
  <c r="H82" i="2" s="1"/>
  <c r="H83" i="2" s="1"/>
  <c r="F80" i="2"/>
  <c r="E80" i="2"/>
  <c r="E81" i="2" s="1"/>
  <c r="E82" i="2" s="1"/>
  <c r="E83" i="2" s="1"/>
  <c r="D80" i="2"/>
  <c r="C80" i="2"/>
  <c r="C81" i="2" s="1"/>
  <c r="C82" i="2" s="1"/>
  <c r="C83" i="2" s="1"/>
  <c r="B80" i="2"/>
  <c r="B81" i="2" s="1"/>
  <c r="B82" i="2" s="1"/>
  <c r="B83" i="2" s="1"/>
  <c r="P76" i="2"/>
  <c r="P77" i="2" s="1"/>
  <c r="P78" i="2" s="1"/>
  <c r="N76" i="2"/>
  <c r="N77" i="2" s="1"/>
  <c r="N78" i="2" s="1"/>
  <c r="J76" i="2"/>
  <c r="J77" i="2" s="1"/>
  <c r="J78" i="2" s="1"/>
  <c r="D76" i="2"/>
  <c r="D77" i="2" s="1"/>
  <c r="D78" i="2" s="1"/>
  <c r="C76" i="2"/>
  <c r="C77" i="2" s="1"/>
  <c r="C78" i="2" s="1"/>
  <c r="B76" i="2"/>
  <c r="B77" i="2" s="1"/>
  <c r="B78" i="2" s="1"/>
  <c r="R75" i="2"/>
  <c r="R76" i="2" s="1"/>
  <c r="R77" i="2" s="1"/>
  <c r="R78" i="2" s="1"/>
  <c r="Q75" i="2"/>
  <c r="Q76" i="2" s="1"/>
  <c r="Q77" i="2" s="1"/>
  <c r="Q78" i="2" s="1"/>
  <c r="P75" i="2"/>
  <c r="O75" i="2"/>
  <c r="O76" i="2" s="1"/>
  <c r="O77" i="2" s="1"/>
  <c r="O78" i="2" s="1"/>
  <c r="N75" i="2"/>
  <c r="M75" i="2"/>
  <c r="M76" i="2" s="1"/>
  <c r="M77" i="2" s="1"/>
  <c r="M78" i="2" s="1"/>
  <c r="L75" i="2"/>
  <c r="L76" i="2" s="1"/>
  <c r="L77" i="2" s="1"/>
  <c r="L78" i="2" s="1"/>
  <c r="K75" i="2"/>
  <c r="K76" i="2" s="1"/>
  <c r="K77" i="2" s="1"/>
  <c r="K78" i="2" s="1"/>
  <c r="J75" i="2"/>
  <c r="I75" i="2"/>
  <c r="I76" i="2" s="1"/>
  <c r="I77" i="2" s="1"/>
  <c r="I78" i="2" s="1"/>
  <c r="H75" i="2"/>
  <c r="H76" i="2" s="1"/>
  <c r="H77" i="2" s="1"/>
  <c r="H78" i="2" s="1"/>
  <c r="F75" i="2"/>
  <c r="F76" i="2" s="1"/>
  <c r="F77" i="2" s="1"/>
  <c r="F78" i="2" s="1"/>
  <c r="E75" i="2"/>
  <c r="E76" i="2" s="1"/>
  <c r="E77" i="2" s="1"/>
  <c r="E78" i="2" s="1"/>
  <c r="D75" i="2"/>
  <c r="C75" i="2"/>
  <c r="B75" i="2"/>
  <c r="H71" i="2"/>
  <c r="H72" i="2" s="1"/>
  <c r="H73" i="2" s="1"/>
  <c r="R70" i="2"/>
  <c r="R71" i="2" s="1"/>
  <c r="R72" i="2" s="1"/>
  <c r="R73" i="2" s="1"/>
  <c r="Q70" i="2"/>
  <c r="Q71" i="2" s="1"/>
  <c r="Q72" i="2" s="1"/>
  <c r="Q73" i="2" s="1"/>
  <c r="P70" i="2"/>
  <c r="P71" i="2" s="1"/>
  <c r="P72" i="2" s="1"/>
  <c r="P73" i="2" s="1"/>
  <c r="O70" i="2"/>
  <c r="O71" i="2" s="1"/>
  <c r="O72" i="2" s="1"/>
  <c r="O73" i="2" s="1"/>
  <c r="N70" i="2"/>
  <c r="N71" i="2" s="1"/>
  <c r="N72" i="2" s="1"/>
  <c r="N73" i="2" s="1"/>
  <c r="M70" i="2"/>
  <c r="M71" i="2" s="1"/>
  <c r="M72" i="2" s="1"/>
  <c r="M73" i="2" s="1"/>
  <c r="L70" i="2"/>
  <c r="L71" i="2" s="1"/>
  <c r="L72" i="2" s="1"/>
  <c r="L73" i="2" s="1"/>
  <c r="K70" i="2"/>
  <c r="K71" i="2" s="1"/>
  <c r="K72" i="2" s="1"/>
  <c r="K73" i="2" s="1"/>
  <c r="J70" i="2"/>
  <c r="J71" i="2" s="1"/>
  <c r="J72" i="2" s="1"/>
  <c r="J73" i="2" s="1"/>
  <c r="I70" i="2"/>
  <c r="I71" i="2" s="1"/>
  <c r="I72" i="2" s="1"/>
  <c r="I73" i="2" s="1"/>
  <c r="H70" i="2"/>
  <c r="F70" i="2"/>
  <c r="F71" i="2" s="1"/>
  <c r="F72" i="2" s="1"/>
  <c r="F73" i="2" s="1"/>
  <c r="E70" i="2"/>
  <c r="E71" i="2" s="1"/>
  <c r="E72" i="2" s="1"/>
  <c r="E73" i="2" s="1"/>
  <c r="D70" i="2"/>
  <c r="D71" i="2" s="1"/>
  <c r="D72" i="2" s="1"/>
  <c r="D73" i="2" s="1"/>
  <c r="C70" i="2"/>
  <c r="C71" i="2" s="1"/>
  <c r="C72" i="2" s="1"/>
  <c r="C73" i="2" s="1"/>
  <c r="B70" i="2"/>
  <c r="B71" i="2" s="1"/>
  <c r="B72" i="2" s="1"/>
  <c r="B73" i="2" s="1"/>
  <c r="O67" i="2"/>
  <c r="O68" i="2" s="1"/>
  <c r="I67" i="2"/>
  <c r="I68" i="2" s="1"/>
  <c r="Q66" i="2"/>
  <c r="Q67" i="2" s="1"/>
  <c r="Q68" i="2" s="1"/>
  <c r="O66" i="2"/>
  <c r="I66" i="2"/>
  <c r="H66" i="2"/>
  <c r="H67" i="2" s="1"/>
  <c r="H68" i="2" s="1"/>
  <c r="F66" i="2"/>
  <c r="F67" i="2" s="1"/>
  <c r="F68" i="2" s="1"/>
  <c r="C66" i="2"/>
  <c r="C67" i="2" s="1"/>
  <c r="C68" i="2" s="1"/>
  <c r="B66" i="2"/>
  <c r="B67" i="2" s="1"/>
  <c r="B68" i="2" s="1"/>
  <c r="R65" i="2"/>
  <c r="R66" i="2" s="1"/>
  <c r="R67" i="2" s="1"/>
  <c r="R68" i="2" s="1"/>
  <c r="Q65" i="2"/>
  <c r="P65" i="2"/>
  <c r="P66" i="2" s="1"/>
  <c r="P67" i="2" s="1"/>
  <c r="P68" i="2" s="1"/>
  <c r="O65" i="2"/>
  <c r="N65" i="2"/>
  <c r="N66" i="2" s="1"/>
  <c r="N67" i="2" s="1"/>
  <c r="N68" i="2" s="1"/>
  <c r="M65" i="2"/>
  <c r="M66" i="2" s="1"/>
  <c r="M67" i="2" s="1"/>
  <c r="M68" i="2" s="1"/>
  <c r="L65" i="2"/>
  <c r="L66" i="2" s="1"/>
  <c r="L67" i="2" s="1"/>
  <c r="L68" i="2" s="1"/>
  <c r="K65" i="2"/>
  <c r="K66" i="2" s="1"/>
  <c r="K67" i="2" s="1"/>
  <c r="K68" i="2" s="1"/>
  <c r="J65" i="2"/>
  <c r="J66" i="2" s="1"/>
  <c r="J67" i="2" s="1"/>
  <c r="J68" i="2" s="1"/>
  <c r="I65" i="2"/>
  <c r="H65" i="2"/>
  <c r="F65" i="2"/>
  <c r="E65" i="2"/>
  <c r="E66" i="2" s="1"/>
  <c r="E67" i="2" s="1"/>
  <c r="E68" i="2" s="1"/>
  <c r="D65" i="2"/>
  <c r="D66" i="2" s="1"/>
  <c r="D67" i="2" s="1"/>
  <c r="D68" i="2" s="1"/>
  <c r="C65" i="2"/>
  <c r="B65" i="2"/>
  <c r="F61" i="2"/>
  <c r="F62" i="2" s="1"/>
  <c r="F63" i="2" s="1"/>
  <c r="R60" i="2"/>
  <c r="R61" i="2" s="1"/>
  <c r="R62" i="2" s="1"/>
  <c r="R63" i="2" s="1"/>
  <c r="Q60" i="2"/>
  <c r="Q61" i="2" s="1"/>
  <c r="Q62" i="2" s="1"/>
  <c r="Q63" i="2" s="1"/>
  <c r="P60" i="2"/>
  <c r="P61" i="2" s="1"/>
  <c r="P62" i="2" s="1"/>
  <c r="P63" i="2" s="1"/>
  <c r="O60" i="2"/>
  <c r="O61" i="2" s="1"/>
  <c r="O62" i="2" s="1"/>
  <c r="O63" i="2" s="1"/>
  <c r="N60" i="2"/>
  <c r="N61" i="2" s="1"/>
  <c r="N62" i="2" s="1"/>
  <c r="N63" i="2" s="1"/>
  <c r="M60" i="2"/>
  <c r="M61" i="2" s="1"/>
  <c r="M62" i="2" s="1"/>
  <c r="M63" i="2" s="1"/>
  <c r="L60" i="2"/>
  <c r="L61" i="2" s="1"/>
  <c r="L62" i="2" s="1"/>
  <c r="L63" i="2" s="1"/>
  <c r="K60" i="2"/>
  <c r="K61" i="2" s="1"/>
  <c r="K62" i="2" s="1"/>
  <c r="K63" i="2" s="1"/>
  <c r="J60" i="2"/>
  <c r="J61" i="2" s="1"/>
  <c r="J62" i="2" s="1"/>
  <c r="J63" i="2" s="1"/>
  <c r="I60" i="2"/>
  <c r="I61" i="2" s="1"/>
  <c r="I62" i="2" s="1"/>
  <c r="I63" i="2" s="1"/>
  <c r="H60" i="2"/>
  <c r="H61" i="2" s="1"/>
  <c r="H62" i="2" s="1"/>
  <c r="H63" i="2" s="1"/>
  <c r="F60" i="2"/>
  <c r="E60" i="2"/>
  <c r="E61" i="2" s="1"/>
  <c r="E62" i="2" s="1"/>
  <c r="E63" i="2" s="1"/>
  <c r="D60" i="2"/>
  <c r="D61" i="2" s="1"/>
  <c r="D62" i="2" s="1"/>
  <c r="D63" i="2" s="1"/>
  <c r="C60" i="2"/>
  <c r="C61" i="2" s="1"/>
  <c r="C62" i="2" s="1"/>
  <c r="C63" i="2" s="1"/>
  <c r="B60" i="2"/>
  <c r="B61" i="2" s="1"/>
  <c r="B62" i="2" s="1"/>
  <c r="B63" i="2" s="1"/>
  <c r="P56" i="2"/>
  <c r="P57" i="2" s="1"/>
  <c r="P58" i="2" s="1"/>
  <c r="O56" i="2"/>
  <c r="O57" i="2" s="1"/>
  <c r="O58" i="2" s="1"/>
  <c r="M56" i="2"/>
  <c r="M57" i="2" s="1"/>
  <c r="M58" i="2" s="1"/>
  <c r="E56" i="2"/>
  <c r="E57" i="2" s="1"/>
  <c r="E58" i="2" s="1"/>
  <c r="D56" i="2"/>
  <c r="D57" i="2" s="1"/>
  <c r="D58" i="2" s="1"/>
  <c r="C56" i="2"/>
  <c r="C57" i="2" s="1"/>
  <c r="C58" i="2" s="1"/>
  <c r="B56" i="2"/>
  <c r="B57" i="2" s="1"/>
  <c r="B58" i="2" s="1"/>
  <c r="R55" i="2"/>
  <c r="R56" i="2" s="1"/>
  <c r="R57" i="2" s="1"/>
  <c r="R58" i="2" s="1"/>
  <c r="Q55" i="2"/>
  <c r="Q56" i="2" s="1"/>
  <c r="Q57" i="2" s="1"/>
  <c r="Q58" i="2" s="1"/>
  <c r="P55" i="2"/>
  <c r="O55" i="2"/>
  <c r="N55" i="2"/>
  <c r="N56" i="2" s="1"/>
  <c r="N57" i="2" s="1"/>
  <c r="N58" i="2" s="1"/>
  <c r="M55" i="2"/>
  <c r="L55" i="2"/>
  <c r="L56" i="2" s="1"/>
  <c r="L57" i="2" s="1"/>
  <c r="L58" i="2" s="1"/>
  <c r="K55" i="2"/>
  <c r="K56" i="2" s="1"/>
  <c r="K57" i="2" s="1"/>
  <c r="K58" i="2" s="1"/>
  <c r="J55" i="2"/>
  <c r="J56" i="2" s="1"/>
  <c r="J57" i="2" s="1"/>
  <c r="J58" i="2" s="1"/>
  <c r="I55" i="2"/>
  <c r="I56" i="2" s="1"/>
  <c r="I57" i="2" s="1"/>
  <c r="I58" i="2" s="1"/>
  <c r="H55" i="2"/>
  <c r="H56" i="2" s="1"/>
  <c r="H57" i="2" s="1"/>
  <c r="H58" i="2" s="1"/>
  <c r="F55" i="2"/>
  <c r="F56" i="2" s="1"/>
  <c r="F57" i="2" s="1"/>
  <c r="F58" i="2" s="1"/>
  <c r="E55" i="2"/>
  <c r="D55" i="2"/>
  <c r="C55" i="2"/>
  <c r="B55" i="2"/>
  <c r="Q51" i="2"/>
  <c r="Q52" i="2" s="1"/>
  <c r="Q53" i="2" s="1"/>
  <c r="R50" i="2"/>
  <c r="R51" i="2" s="1"/>
  <c r="R52" i="2" s="1"/>
  <c r="R53" i="2" s="1"/>
  <c r="Q50" i="2"/>
  <c r="P50" i="2"/>
  <c r="P51" i="2" s="1"/>
  <c r="P52" i="2" s="1"/>
  <c r="P53" i="2" s="1"/>
  <c r="O50" i="2"/>
  <c r="O51" i="2" s="1"/>
  <c r="O52" i="2" s="1"/>
  <c r="O53" i="2" s="1"/>
  <c r="N50" i="2"/>
  <c r="N51" i="2" s="1"/>
  <c r="N52" i="2" s="1"/>
  <c r="N53" i="2" s="1"/>
  <c r="M50" i="2"/>
  <c r="M51" i="2" s="1"/>
  <c r="M52" i="2" s="1"/>
  <c r="M53" i="2" s="1"/>
  <c r="L50" i="2"/>
  <c r="L51" i="2" s="1"/>
  <c r="L52" i="2" s="1"/>
  <c r="L53" i="2" s="1"/>
  <c r="K50" i="2"/>
  <c r="K51" i="2" s="1"/>
  <c r="K52" i="2" s="1"/>
  <c r="K53" i="2" s="1"/>
  <c r="J50" i="2"/>
  <c r="J51" i="2" s="1"/>
  <c r="J52" i="2" s="1"/>
  <c r="J53" i="2" s="1"/>
  <c r="I50" i="2"/>
  <c r="I51" i="2" s="1"/>
  <c r="I52" i="2" s="1"/>
  <c r="I53" i="2" s="1"/>
  <c r="H50" i="2"/>
  <c r="H51" i="2" s="1"/>
  <c r="H52" i="2" s="1"/>
  <c r="H53" i="2" s="1"/>
  <c r="F50" i="2"/>
  <c r="F51" i="2" s="1"/>
  <c r="F52" i="2" s="1"/>
  <c r="F53" i="2" s="1"/>
  <c r="E50" i="2"/>
  <c r="E51" i="2" s="1"/>
  <c r="E52" i="2" s="1"/>
  <c r="E53" i="2" s="1"/>
  <c r="D50" i="2"/>
  <c r="D51" i="2" s="1"/>
  <c r="D52" i="2" s="1"/>
  <c r="D53" i="2" s="1"/>
  <c r="C50" i="2"/>
  <c r="C51" i="2" s="1"/>
  <c r="C52" i="2" s="1"/>
  <c r="C53" i="2" s="1"/>
  <c r="B50" i="2"/>
  <c r="B51" i="2" s="1"/>
  <c r="B52" i="2" s="1"/>
  <c r="B53" i="2" s="1"/>
  <c r="D47" i="2"/>
  <c r="D48" i="2" s="1"/>
  <c r="O46" i="2"/>
  <c r="O47" i="2" s="1"/>
  <c r="O48" i="2" s="1"/>
  <c r="L46" i="2"/>
  <c r="L47" i="2" s="1"/>
  <c r="L48" i="2" s="1"/>
  <c r="D46" i="2"/>
  <c r="C46" i="2"/>
  <c r="C47" i="2" s="1"/>
  <c r="C48" i="2" s="1"/>
  <c r="B46" i="2"/>
  <c r="B47" i="2" s="1"/>
  <c r="B48" i="2" s="1"/>
  <c r="R45" i="2"/>
  <c r="R46" i="2" s="1"/>
  <c r="R47" i="2" s="1"/>
  <c r="R48" i="2" s="1"/>
  <c r="Q45" i="2"/>
  <c r="Q46" i="2" s="1"/>
  <c r="Q47" i="2" s="1"/>
  <c r="Q48" i="2" s="1"/>
  <c r="P45" i="2"/>
  <c r="P46" i="2" s="1"/>
  <c r="P47" i="2" s="1"/>
  <c r="P48" i="2" s="1"/>
  <c r="O45" i="2"/>
  <c r="N45" i="2"/>
  <c r="N46" i="2" s="1"/>
  <c r="N47" i="2" s="1"/>
  <c r="N48" i="2" s="1"/>
  <c r="M45" i="2"/>
  <c r="M46" i="2" s="1"/>
  <c r="M47" i="2" s="1"/>
  <c r="M48" i="2" s="1"/>
  <c r="L45" i="2"/>
  <c r="K45" i="2"/>
  <c r="K46" i="2" s="1"/>
  <c r="K47" i="2" s="1"/>
  <c r="K48" i="2" s="1"/>
  <c r="J45" i="2"/>
  <c r="J46" i="2" s="1"/>
  <c r="J47" i="2" s="1"/>
  <c r="J48" i="2" s="1"/>
  <c r="I45" i="2"/>
  <c r="I46" i="2" s="1"/>
  <c r="I47" i="2" s="1"/>
  <c r="I48" i="2" s="1"/>
  <c r="H45" i="2"/>
  <c r="H46" i="2" s="1"/>
  <c r="H47" i="2" s="1"/>
  <c r="H48" i="2" s="1"/>
  <c r="F45" i="2"/>
  <c r="F46" i="2" s="1"/>
  <c r="F47" i="2" s="1"/>
  <c r="F48" i="2" s="1"/>
  <c r="E45" i="2"/>
  <c r="E46" i="2" s="1"/>
  <c r="E47" i="2" s="1"/>
  <c r="E48" i="2" s="1"/>
  <c r="D45" i="2"/>
  <c r="C45" i="2"/>
  <c r="B45" i="2"/>
  <c r="P42" i="2"/>
  <c r="P43" i="2" s="1"/>
  <c r="I42" i="2"/>
  <c r="I43" i="2" s="1"/>
  <c r="Q41" i="2"/>
  <c r="Q42" i="2" s="1"/>
  <c r="Q43" i="2" s="1"/>
  <c r="P41" i="2"/>
  <c r="O41" i="2"/>
  <c r="O42" i="2" s="1"/>
  <c r="O43" i="2" s="1"/>
  <c r="M41" i="2"/>
  <c r="M42" i="2" s="1"/>
  <c r="M43" i="2" s="1"/>
  <c r="I41" i="2"/>
  <c r="C41" i="2"/>
  <c r="C42" i="2" s="1"/>
  <c r="C43" i="2" s="1"/>
  <c r="B41" i="2"/>
  <c r="B42" i="2" s="1"/>
  <c r="B43" i="2" s="1"/>
  <c r="R40" i="2"/>
  <c r="R41" i="2" s="1"/>
  <c r="R42" i="2" s="1"/>
  <c r="R43" i="2" s="1"/>
  <c r="Q40" i="2"/>
  <c r="P40" i="2"/>
  <c r="O40" i="2"/>
  <c r="N40" i="2"/>
  <c r="N41" i="2" s="1"/>
  <c r="N42" i="2" s="1"/>
  <c r="N43" i="2" s="1"/>
  <c r="M40" i="2"/>
  <c r="L40" i="2"/>
  <c r="L41" i="2" s="1"/>
  <c r="L42" i="2" s="1"/>
  <c r="L43" i="2" s="1"/>
  <c r="K40" i="2"/>
  <c r="K41" i="2" s="1"/>
  <c r="K42" i="2" s="1"/>
  <c r="K43" i="2" s="1"/>
  <c r="J40" i="2"/>
  <c r="J41" i="2" s="1"/>
  <c r="J42" i="2" s="1"/>
  <c r="J43" i="2" s="1"/>
  <c r="I40" i="2"/>
  <c r="H40" i="2"/>
  <c r="H41" i="2" s="1"/>
  <c r="H42" i="2" s="1"/>
  <c r="H43" i="2" s="1"/>
  <c r="F40" i="2"/>
  <c r="F41" i="2" s="1"/>
  <c r="F42" i="2" s="1"/>
  <c r="F43" i="2" s="1"/>
  <c r="E40" i="2"/>
  <c r="E41" i="2" s="1"/>
  <c r="E42" i="2" s="1"/>
  <c r="E43" i="2" s="1"/>
  <c r="D40" i="2"/>
  <c r="D41" i="2" s="1"/>
  <c r="D42" i="2" s="1"/>
  <c r="D43" i="2" s="1"/>
  <c r="C40" i="2"/>
  <c r="B40" i="2"/>
  <c r="D36" i="2"/>
  <c r="D37" i="2" s="1"/>
  <c r="D38" i="2" s="1"/>
  <c r="C36" i="2"/>
  <c r="C37" i="2" s="1"/>
  <c r="C38" i="2" s="1"/>
  <c r="R35" i="2"/>
  <c r="R36" i="2" s="1"/>
  <c r="R37" i="2" s="1"/>
  <c r="R38" i="2" s="1"/>
  <c r="Q35" i="2"/>
  <c r="Q36" i="2" s="1"/>
  <c r="Q37" i="2" s="1"/>
  <c r="Q38" i="2" s="1"/>
  <c r="P35" i="2"/>
  <c r="P36" i="2" s="1"/>
  <c r="P37" i="2" s="1"/>
  <c r="P38" i="2" s="1"/>
  <c r="O35" i="2"/>
  <c r="O36" i="2" s="1"/>
  <c r="O37" i="2" s="1"/>
  <c r="O38" i="2" s="1"/>
  <c r="N35" i="2"/>
  <c r="N36" i="2" s="1"/>
  <c r="N37" i="2" s="1"/>
  <c r="N38" i="2" s="1"/>
  <c r="M35" i="2"/>
  <c r="M36" i="2" s="1"/>
  <c r="M37" i="2" s="1"/>
  <c r="M38" i="2" s="1"/>
  <c r="L35" i="2"/>
  <c r="L36" i="2" s="1"/>
  <c r="L37" i="2" s="1"/>
  <c r="L38" i="2" s="1"/>
  <c r="K35" i="2"/>
  <c r="K36" i="2" s="1"/>
  <c r="K37" i="2" s="1"/>
  <c r="K38" i="2" s="1"/>
  <c r="J35" i="2"/>
  <c r="J36" i="2" s="1"/>
  <c r="J37" i="2" s="1"/>
  <c r="J38" i="2" s="1"/>
  <c r="I35" i="2"/>
  <c r="I36" i="2" s="1"/>
  <c r="I37" i="2" s="1"/>
  <c r="I38" i="2" s="1"/>
  <c r="H35" i="2"/>
  <c r="H36" i="2" s="1"/>
  <c r="H37" i="2" s="1"/>
  <c r="H38" i="2" s="1"/>
  <c r="F35" i="2"/>
  <c r="F36" i="2" s="1"/>
  <c r="F37" i="2" s="1"/>
  <c r="F38" i="2" s="1"/>
  <c r="E35" i="2"/>
  <c r="E36" i="2" s="1"/>
  <c r="E37" i="2" s="1"/>
  <c r="E38" i="2" s="1"/>
  <c r="D35" i="2"/>
  <c r="C35" i="2"/>
  <c r="B35" i="2"/>
  <c r="B36" i="2" s="1"/>
  <c r="B37" i="2" s="1"/>
  <c r="B38" i="2" s="1"/>
  <c r="R31" i="2"/>
  <c r="R32" i="2" s="1"/>
  <c r="R33" i="2" s="1"/>
  <c r="I31" i="2"/>
  <c r="I32" i="2" s="1"/>
  <c r="I33" i="2" s="1"/>
  <c r="F31" i="2"/>
  <c r="F32" i="2" s="1"/>
  <c r="F33" i="2" s="1"/>
  <c r="R30" i="2"/>
  <c r="Q30" i="2"/>
  <c r="Q31" i="2" s="1"/>
  <c r="Q32" i="2" s="1"/>
  <c r="Q33" i="2" s="1"/>
  <c r="P30" i="2"/>
  <c r="P31" i="2" s="1"/>
  <c r="P32" i="2" s="1"/>
  <c r="P33" i="2" s="1"/>
  <c r="O30" i="2"/>
  <c r="O31" i="2" s="1"/>
  <c r="O32" i="2" s="1"/>
  <c r="O33" i="2" s="1"/>
  <c r="N30" i="2"/>
  <c r="N31" i="2" s="1"/>
  <c r="N32" i="2" s="1"/>
  <c r="N33" i="2" s="1"/>
  <c r="M30" i="2"/>
  <c r="M31" i="2" s="1"/>
  <c r="M32" i="2" s="1"/>
  <c r="M33" i="2" s="1"/>
  <c r="L30" i="2"/>
  <c r="L31" i="2" s="1"/>
  <c r="L32" i="2" s="1"/>
  <c r="L33" i="2" s="1"/>
  <c r="K30" i="2"/>
  <c r="K31" i="2" s="1"/>
  <c r="K32" i="2" s="1"/>
  <c r="K33" i="2" s="1"/>
  <c r="J30" i="2"/>
  <c r="J31" i="2" s="1"/>
  <c r="J32" i="2" s="1"/>
  <c r="J33" i="2" s="1"/>
  <c r="I30" i="2"/>
  <c r="H30" i="2"/>
  <c r="H31" i="2" s="1"/>
  <c r="H32" i="2" s="1"/>
  <c r="H33" i="2" s="1"/>
  <c r="F30" i="2"/>
  <c r="E30" i="2"/>
  <c r="E31" i="2" s="1"/>
  <c r="E32" i="2" s="1"/>
  <c r="E33" i="2" s="1"/>
  <c r="D30" i="2"/>
  <c r="D31" i="2" s="1"/>
  <c r="D32" i="2" s="1"/>
  <c r="D33" i="2" s="1"/>
  <c r="C30" i="2"/>
  <c r="C31" i="2" s="1"/>
  <c r="C32" i="2" s="1"/>
  <c r="C33" i="2" s="1"/>
  <c r="B30" i="2"/>
  <c r="B31" i="2" s="1"/>
  <c r="B32" i="2" s="1"/>
  <c r="B33" i="2" s="1"/>
  <c r="O26" i="2"/>
  <c r="O27" i="2" s="1"/>
  <c r="O28" i="2" s="1"/>
  <c r="N26" i="2"/>
  <c r="N27" i="2" s="1"/>
  <c r="N28" i="2" s="1"/>
  <c r="R25" i="2"/>
  <c r="R26" i="2" s="1"/>
  <c r="R27" i="2" s="1"/>
  <c r="R28" i="2" s="1"/>
  <c r="Q25" i="2"/>
  <c r="Q26" i="2" s="1"/>
  <c r="Q27" i="2" s="1"/>
  <c r="Q28" i="2" s="1"/>
  <c r="P25" i="2"/>
  <c r="P26" i="2" s="1"/>
  <c r="P27" i="2" s="1"/>
  <c r="P28" i="2" s="1"/>
  <c r="O25" i="2"/>
  <c r="N25" i="2"/>
  <c r="M25" i="2"/>
  <c r="M26" i="2" s="1"/>
  <c r="M27" i="2" s="1"/>
  <c r="M28" i="2" s="1"/>
  <c r="L25" i="2"/>
  <c r="L26" i="2" s="1"/>
  <c r="L27" i="2" s="1"/>
  <c r="L28" i="2" s="1"/>
  <c r="K25" i="2"/>
  <c r="K26" i="2" s="1"/>
  <c r="K27" i="2" s="1"/>
  <c r="K28" i="2" s="1"/>
  <c r="J25" i="2"/>
  <c r="J26" i="2" s="1"/>
  <c r="J27" i="2" s="1"/>
  <c r="J28" i="2" s="1"/>
  <c r="I25" i="2"/>
  <c r="I26" i="2" s="1"/>
  <c r="I27" i="2" s="1"/>
  <c r="I28" i="2" s="1"/>
  <c r="H25" i="2"/>
  <c r="H26" i="2" s="1"/>
  <c r="H27" i="2" s="1"/>
  <c r="H28" i="2" s="1"/>
  <c r="F25" i="2"/>
  <c r="F26" i="2" s="1"/>
  <c r="F27" i="2" s="1"/>
  <c r="F28" i="2" s="1"/>
  <c r="E25" i="2"/>
  <c r="E26" i="2" s="1"/>
  <c r="E27" i="2" s="1"/>
  <c r="E28" i="2" s="1"/>
  <c r="D25" i="2"/>
  <c r="D26" i="2" s="1"/>
  <c r="D27" i="2" s="1"/>
  <c r="D28" i="2" s="1"/>
  <c r="C25" i="2"/>
  <c r="C26" i="2" s="1"/>
  <c r="C27" i="2" s="1"/>
  <c r="C28" i="2" s="1"/>
  <c r="B25" i="2"/>
  <c r="B26" i="2" s="1"/>
  <c r="B27" i="2" s="1"/>
  <c r="B28" i="2" s="1"/>
  <c r="R21" i="2"/>
  <c r="R22" i="2" s="1"/>
  <c r="R23" i="2" s="1"/>
  <c r="Q21" i="2"/>
  <c r="Q22" i="2" s="1"/>
  <c r="Q23" i="2" s="1"/>
  <c r="E21" i="2"/>
  <c r="E22" i="2" s="1"/>
  <c r="E23" i="2" s="1"/>
  <c r="R20" i="2"/>
  <c r="Q20" i="2"/>
  <c r="P20" i="2"/>
  <c r="P21" i="2" s="1"/>
  <c r="P22" i="2" s="1"/>
  <c r="P23" i="2" s="1"/>
  <c r="O20" i="2"/>
  <c r="O21" i="2" s="1"/>
  <c r="O22" i="2" s="1"/>
  <c r="O23" i="2" s="1"/>
  <c r="N20" i="2"/>
  <c r="N21" i="2" s="1"/>
  <c r="N22" i="2" s="1"/>
  <c r="N23" i="2" s="1"/>
  <c r="M20" i="2"/>
  <c r="M21" i="2" s="1"/>
  <c r="M22" i="2" s="1"/>
  <c r="M23" i="2" s="1"/>
  <c r="L20" i="2"/>
  <c r="L21" i="2" s="1"/>
  <c r="L22" i="2" s="1"/>
  <c r="L23" i="2" s="1"/>
  <c r="K20" i="2"/>
  <c r="K21" i="2" s="1"/>
  <c r="K22" i="2" s="1"/>
  <c r="K23" i="2" s="1"/>
  <c r="J20" i="2"/>
  <c r="J21" i="2" s="1"/>
  <c r="J22" i="2" s="1"/>
  <c r="J23" i="2" s="1"/>
  <c r="I20" i="2"/>
  <c r="I21" i="2" s="1"/>
  <c r="I22" i="2" s="1"/>
  <c r="I23" i="2" s="1"/>
  <c r="H20" i="2"/>
  <c r="H21" i="2" s="1"/>
  <c r="H22" i="2" s="1"/>
  <c r="H23" i="2" s="1"/>
  <c r="F20" i="2"/>
  <c r="F21" i="2" s="1"/>
  <c r="F22" i="2" s="1"/>
  <c r="F23" i="2" s="1"/>
  <c r="E20" i="2"/>
  <c r="D20" i="2"/>
  <c r="D21" i="2" s="1"/>
  <c r="D22" i="2" s="1"/>
  <c r="D23" i="2" s="1"/>
  <c r="C20" i="2"/>
  <c r="C21" i="2" s="1"/>
  <c r="C22" i="2" s="1"/>
  <c r="C23" i="2" s="1"/>
  <c r="B20" i="2"/>
  <c r="B21" i="2" s="1"/>
  <c r="B22" i="2" s="1"/>
  <c r="B23" i="2" s="1"/>
  <c r="R16" i="2"/>
  <c r="R17" i="2" s="1"/>
  <c r="R18" i="2" s="1"/>
  <c r="N16" i="2"/>
  <c r="N17" i="2" s="1"/>
  <c r="N18" i="2" s="1"/>
  <c r="E16" i="2"/>
  <c r="E17" i="2" s="1"/>
  <c r="E18" i="2" s="1"/>
  <c r="R15" i="2"/>
  <c r="Q15" i="2"/>
  <c r="Q16" i="2" s="1"/>
  <c r="Q17" i="2" s="1"/>
  <c r="Q18" i="2" s="1"/>
  <c r="P15" i="2"/>
  <c r="P16" i="2" s="1"/>
  <c r="P17" i="2" s="1"/>
  <c r="P18" i="2" s="1"/>
  <c r="O15" i="2"/>
  <c r="O16" i="2" s="1"/>
  <c r="O17" i="2" s="1"/>
  <c r="O18" i="2" s="1"/>
  <c r="N15" i="2"/>
  <c r="M15" i="2"/>
  <c r="M16" i="2" s="1"/>
  <c r="M17" i="2" s="1"/>
  <c r="M18" i="2" s="1"/>
  <c r="L15" i="2"/>
  <c r="L16" i="2" s="1"/>
  <c r="L17" i="2" s="1"/>
  <c r="L18" i="2" s="1"/>
  <c r="K15" i="2"/>
  <c r="K16" i="2" s="1"/>
  <c r="K17" i="2" s="1"/>
  <c r="K18" i="2" s="1"/>
  <c r="J15" i="2"/>
  <c r="J16" i="2" s="1"/>
  <c r="J17" i="2" s="1"/>
  <c r="J18" i="2" s="1"/>
  <c r="I15" i="2"/>
  <c r="I16" i="2" s="1"/>
  <c r="I17" i="2" s="1"/>
  <c r="I18" i="2" s="1"/>
  <c r="H15" i="2"/>
  <c r="H16" i="2" s="1"/>
  <c r="H17" i="2" s="1"/>
  <c r="H18" i="2" s="1"/>
  <c r="F15" i="2"/>
  <c r="F16" i="2" s="1"/>
  <c r="F17" i="2" s="1"/>
  <c r="F18" i="2" s="1"/>
  <c r="E15" i="2"/>
  <c r="D15" i="2"/>
  <c r="D16" i="2" s="1"/>
  <c r="D17" i="2" s="1"/>
  <c r="D18" i="2" s="1"/>
  <c r="C15" i="2"/>
  <c r="C16" i="2" s="1"/>
  <c r="C17" i="2" s="1"/>
  <c r="C18" i="2" s="1"/>
  <c r="B15" i="2"/>
  <c r="B16" i="2" s="1"/>
  <c r="B17" i="2" s="1"/>
  <c r="B18" i="2" s="1"/>
  <c r="C10" i="2"/>
  <c r="D10" i="2"/>
  <c r="D11" i="2" s="1"/>
  <c r="D12" i="2" s="1"/>
  <c r="D13" i="2" s="1"/>
  <c r="E10" i="2"/>
  <c r="E11" i="2" s="1"/>
  <c r="E12" i="2" s="1"/>
  <c r="E13" i="2" s="1"/>
  <c r="F10" i="2"/>
  <c r="F11" i="2" s="1"/>
  <c r="F12" i="2" s="1"/>
  <c r="F13" i="2" s="1"/>
  <c r="H10" i="2"/>
  <c r="I10" i="2"/>
  <c r="J10" i="2"/>
  <c r="K10" i="2"/>
  <c r="K11" i="2" s="1"/>
  <c r="K12" i="2" s="1"/>
  <c r="K13" i="2" s="1"/>
  <c r="L10" i="2"/>
  <c r="L11" i="2" s="1"/>
  <c r="L12" i="2" s="1"/>
  <c r="L13" i="2" s="1"/>
  <c r="M10" i="2"/>
  <c r="M11" i="2" s="1"/>
  <c r="M12" i="2" s="1"/>
  <c r="M13" i="2" s="1"/>
  <c r="N10" i="2"/>
  <c r="N11" i="2" s="1"/>
  <c r="N12" i="2" s="1"/>
  <c r="N13" i="2" s="1"/>
  <c r="O10" i="2"/>
  <c r="O11" i="2" s="1"/>
  <c r="O12" i="2" s="1"/>
  <c r="O13" i="2" s="1"/>
  <c r="P10" i="2"/>
  <c r="P11" i="2" s="1"/>
  <c r="P12" i="2" s="1"/>
  <c r="P13" i="2" s="1"/>
  <c r="Q10" i="2"/>
  <c r="Q11" i="2" s="1"/>
  <c r="Q12" i="2" s="1"/>
  <c r="Q13" i="2" s="1"/>
  <c r="R10" i="2"/>
  <c r="C11" i="2"/>
  <c r="C12" i="2" s="1"/>
  <c r="C13" i="2" s="1"/>
  <c r="H11" i="2"/>
  <c r="H12" i="2" s="1"/>
  <c r="H13" i="2" s="1"/>
  <c r="I11" i="2"/>
  <c r="J11" i="2"/>
  <c r="J12" i="2" s="1"/>
  <c r="J13" i="2" s="1"/>
  <c r="R11" i="2"/>
  <c r="I12" i="2"/>
  <c r="I13" i="2" s="1"/>
  <c r="R12" i="2"/>
  <c r="R13" i="2" s="1"/>
  <c r="B10" i="2"/>
  <c r="B11" i="2" s="1"/>
  <c r="B12" i="2" s="1"/>
  <c r="B13" i="2" s="1"/>
  <c r="C11" i="12"/>
  <c r="C3" i="2" s="1"/>
  <c r="D11" i="12"/>
  <c r="D3" i="2" s="1"/>
  <c r="E11" i="12"/>
  <c r="E3" i="2" s="1"/>
  <c r="F11" i="12"/>
  <c r="F3" i="2" s="1"/>
  <c r="G11" i="12"/>
  <c r="H11" i="12"/>
  <c r="H3" i="2" s="1"/>
  <c r="I11" i="12"/>
  <c r="I3" i="2" s="1"/>
  <c r="J11" i="12"/>
  <c r="J3" i="2" s="1"/>
  <c r="K11" i="12"/>
  <c r="K3" i="2" s="1"/>
  <c r="L11" i="12"/>
  <c r="L3" i="2" s="1"/>
  <c r="M11" i="12"/>
  <c r="M3" i="2" s="1"/>
  <c r="N11" i="12"/>
  <c r="N3" i="2" s="1"/>
  <c r="O11" i="12"/>
  <c r="O3" i="2" s="1"/>
  <c r="P11" i="12"/>
  <c r="P3" i="2" s="1"/>
  <c r="Q11" i="12"/>
  <c r="Q3" i="2" s="1"/>
  <c r="R11" i="12"/>
  <c r="R3" i="2" s="1"/>
  <c r="C12" i="12"/>
  <c r="C4" i="2" s="1"/>
  <c r="D12" i="12"/>
  <c r="D4" i="2" s="1"/>
  <c r="E12" i="12"/>
  <c r="E4" i="2" s="1"/>
  <c r="F12" i="12"/>
  <c r="F4" i="2" s="1"/>
  <c r="G12" i="12"/>
  <c r="H12" i="12"/>
  <c r="H4" i="2" s="1"/>
  <c r="I12" i="12"/>
  <c r="I4" i="2" s="1"/>
  <c r="J12" i="12"/>
  <c r="J4" i="2" s="1"/>
  <c r="K12" i="12"/>
  <c r="K4" i="2" s="1"/>
  <c r="L12" i="12"/>
  <c r="L4" i="2" s="1"/>
  <c r="M12" i="12"/>
  <c r="M4" i="2" s="1"/>
  <c r="N12" i="12"/>
  <c r="N4" i="2" s="1"/>
  <c r="O12" i="12"/>
  <c r="O4" i="2" s="1"/>
  <c r="P12" i="12"/>
  <c r="P4" i="2" s="1"/>
  <c r="Q12" i="12"/>
  <c r="Q4" i="2" s="1"/>
  <c r="R12" i="12"/>
  <c r="R4" i="2" s="1"/>
  <c r="C13" i="12"/>
  <c r="C5" i="2" s="1"/>
  <c r="D13" i="12"/>
  <c r="D5" i="2" s="1"/>
  <c r="E13" i="12"/>
  <c r="E5" i="2" s="1"/>
  <c r="F13" i="12"/>
  <c r="F5" i="2" s="1"/>
  <c r="G13" i="12"/>
  <c r="H13" i="12"/>
  <c r="H5" i="2" s="1"/>
  <c r="H6" i="2" s="1"/>
  <c r="H7" i="2" s="1"/>
  <c r="I13" i="12"/>
  <c r="I5" i="2" s="1"/>
  <c r="I6" i="2" s="1"/>
  <c r="J13" i="12"/>
  <c r="J5" i="2" s="1"/>
  <c r="J6" i="2" s="1"/>
  <c r="K13" i="12"/>
  <c r="K5" i="2" s="1"/>
  <c r="K6" i="2" s="1"/>
  <c r="L13" i="12"/>
  <c r="L5" i="2" s="1"/>
  <c r="L6" i="2" s="1"/>
  <c r="M13" i="12"/>
  <c r="M5" i="2" s="1"/>
  <c r="M6" i="2" s="1"/>
  <c r="M7" i="2" s="1"/>
  <c r="M8" i="2" s="1"/>
  <c r="N13" i="12"/>
  <c r="N5" i="2" s="1"/>
  <c r="N6" i="2" s="1"/>
  <c r="N7" i="2" s="1"/>
  <c r="N8" i="2" s="1"/>
  <c r="O13" i="12"/>
  <c r="O5" i="2" s="1"/>
  <c r="O6" i="2" s="1"/>
  <c r="P13" i="12"/>
  <c r="P5" i="2" s="1"/>
  <c r="Q13" i="12"/>
  <c r="Q5" i="2" s="1"/>
  <c r="R13" i="12"/>
  <c r="R5" i="2" s="1"/>
  <c r="R6" i="2" s="1"/>
  <c r="R7" i="2" s="1"/>
  <c r="R8" i="2" s="1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B12" i="12"/>
  <c r="B4" i="2" s="1"/>
  <c r="B13" i="12"/>
  <c r="B5" i="2" s="1"/>
  <c r="B14" i="12"/>
  <c r="B11" i="12"/>
  <c r="B3" i="2" s="1"/>
  <c r="B16" i="5" l="1"/>
  <c r="C4" i="5" a="1"/>
  <c r="AW5" i="5" s="1"/>
  <c r="B10" i="5"/>
  <c r="B5" i="5"/>
  <c r="B17" i="5"/>
  <c r="B6" i="5"/>
  <c r="B9" i="5"/>
  <c r="B7" i="5"/>
  <c r="B12" i="5"/>
  <c r="B15" i="5"/>
  <c r="B8" i="5"/>
  <c r="B18" i="5"/>
  <c r="B14" i="5"/>
  <c r="B13" i="5"/>
  <c r="B11" i="5"/>
  <c r="B4" i="5"/>
  <c r="B2" i="5"/>
  <c r="W2" i="5"/>
  <c r="CD2" i="5"/>
  <c r="AP2" i="5"/>
  <c r="CE2" i="5"/>
  <c r="AY2" i="5"/>
  <c r="BC2" i="5"/>
  <c r="BV2" i="5"/>
  <c r="AZ2" i="5"/>
  <c r="BO2" i="5"/>
  <c r="AV2" i="5"/>
  <c r="BY2" i="5"/>
  <c r="Z2" i="5"/>
  <c r="BT2" i="5"/>
  <c r="I2" i="5"/>
  <c r="BF2" i="5"/>
  <c r="R2" i="5"/>
  <c r="AU2" i="5"/>
  <c r="AM2" i="5"/>
  <c r="AQ2" i="5"/>
  <c r="BJ2" i="5"/>
  <c r="J2" i="5"/>
  <c r="AR2" i="5"/>
  <c r="BH2" i="5"/>
  <c r="CA2" i="5"/>
  <c r="BG2" i="5"/>
  <c r="AH2" i="5"/>
  <c r="BX2" i="5"/>
  <c r="AG2" i="5"/>
  <c r="O2" i="5"/>
  <c r="S2" i="5"/>
  <c r="AX2" i="5"/>
  <c r="AT2" i="5"/>
  <c r="V2" i="5"/>
  <c r="BL2" i="5"/>
  <c r="BD2" i="5"/>
  <c r="C2" i="5"/>
  <c r="G2" i="5"/>
  <c r="AL2" i="5"/>
  <c r="BE2" i="5"/>
  <c r="H2" i="5"/>
  <c r="BS2" i="5"/>
  <c r="CC2" i="5"/>
  <c r="T2" i="5"/>
  <c r="AN2" i="5"/>
  <c r="AE2" i="5"/>
  <c r="AI2" i="5"/>
  <c r="BM2" i="5"/>
  <c r="N2" i="5"/>
  <c r="BW2" i="5"/>
  <c r="E2" i="5"/>
  <c r="BK2" i="5"/>
  <c r="AA2" i="5"/>
  <c r="AS2" i="5"/>
  <c r="BI2" i="5"/>
  <c r="AB2" i="5"/>
  <c r="BZ2" i="5"/>
  <c r="BR2" i="5"/>
  <c r="BA2" i="5"/>
  <c r="Y2" i="5"/>
  <c r="BN2" i="5"/>
  <c r="AF2" i="5"/>
  <c r="AJ2" i="5"/>
  <c r="P2" i="5"/>
  <c r="BB2" i="5"/>
  <c r="BQ2" i="5"/>
  <c r="AO2" i="5"/>
  <c r="X2" i="5"/>
  <c r="L2" i="5"/>
  <c r="M2" i="5"/>
  <c r="AW2" i="5"/>
  <c r="K2" i="5"/>
  <c r="D2" i="5"/>
  <c r="AD2" i="5"/>
  <c r="U2" i="5"/>
  <c r="AC2" i="5"/>
  <c r="BP2" i="5"/>
  <c r="AK2" i="5"/>
  <c r="CF2" i="5"/>
  <c r="BU2" i="5"/>
  <c r="F2" i="5"/>
  <c r="CB2" i="5"/>
  <c r="Q2" i="5"/>
  <c r="C3" i="5"/>
  <c r="BV3" i="5"/>
  <c r="BR3" i="5"/>
  <c r="P3" i="5"/>
  <c r="BG3" i="5"/>
  <c r="AF3" i="5"/>
  <c r="R3" i="5"/>
  <c r="AN3" i="5"/>
  <c r="L3" i="5"/>
  <c r="E3" i="5"/>
  <c r="BO3" i="5"/>
  <c r="AX3" i="5"/>
  <c r="AT3" i="5"/>
  <c r="BJ3" i="5"/>
  <c r="AI3" i="5"/>
  <c r="H3" i="5"/>
  <c r="F3" i="5"/>
  <c r="AB3" i="5"/>
  <c r="Z3" i="5"/>
  <c r="J3" i="5"/>
  <c r="AL3" i="5"/>
  <c r="W3" i="5"/>
  <c r="CA3" i="5"/>
  <c r="BY3" i="5"/>
  <c r="D3" i="5"/>
  <c r="BI3" i="5"/>
  <c r="CC3" i="5"/>
  <c r="N3" i="5"/>
  <c r="CD3" i="5"/>
  <c r="BC3" i="5"/>
  <c r="BM3" i="5"/>
  <c r="BW3" i="5"/>
  <c r="CF3" i="5"/>
  <c r="AS3" i="5"/>
  <c r="X3" i="5"/>
  <c r="AK3" i="5"/>
  <c r="BE3" i="5"/>
  <c r="BU3" i="5"/>
  <c r="BF3" i="5"/>
  <c r="AQ3" i="5"/>
  <c r="BA3" i="5"/>
  <c r="BK3" i="5"/>
  <c r="AV3" i="5"/>
  <c r="BQ3" i="5"/>
  <c r="Q3" i="5"/>
  <c r="AA3" i="5"/>
  <c r="BH3" i="5"/>
  <c r="AU3" i="5"/>
  <c r="M3" i="5"/>
  <c r="AG3" i="5"/>
  <c r="AW3" i="5"/>
  <c r="AH3" i="5"/>
  <c r="S3" i="5"/>
  <c r="AO3" i="5"/>
  <c r="AY3" i="5"/>
  <c r="CB3" i="5"/>
  <c r="BZ3" i="5"/>
  <c r="BD3" i="5"/>
  <c r="BN3" i="5"/>
  <c r="O3" i="5"/>
  <c r="BP3" i="5"/>
  <c r="BL3" i="5"/>
  <c r="BT3" i="5"/>
  <c r="U3" i="5"/>
  <c r="Y3" i="5"/>
  <c r="V3" i="5"/>
  <c r="G3" i="5"/>
  <c r="AC3" i="5"/>
  <c r="AM3" i="5"/>
  <c r="BS3" i="5"/>
  <c r="T3" i="5"/>
  <c r="AJ3" i="5"/>
  <c r="I3" i="5"/>
  <c r="BB3" i="5"/>
  <c r="BX3" i="5"/>
  <c r="AP3" i="5"/>
  <c r="K3" i="5"/>
  <c r="AE3" i="5"/>
  <c r="CE3" i="5"/>
  <c r="AR3" i="5"/>
  <c r="AD3" i="5"/>
  <c r="AZ3" i="5"/>
  <c r="C8" i="5" a="1"/>
  <c r="B4" i="3"/>
  <c r="B6" i="3"/>
  <c r="B17" i="3"/>
  <c r="B15" i="3"/>
  <c r="B9" i="3"/>
  <c r="B14" i="3"/>
  <c r="B11" i="3"/>
  <c r="B16" i="3"/>
  <c r="B10" i="3"/>
  <c r="B8" i="3"/>
  <c r="B18" i="3"/>
  <c r="B7" i="3"/>
  <c r="B13" i="3"/>
  <c r="B5" i="3"/>
  <c r="B12" i="3"/>
  <c r="D6" i="2"/>
  <c r="D7" i="2" s="1"/>
  <c r="D8" i="2" s="1"/>
  <c r="P6" i="2"/>
  <c r="P7" i="2" s="1"/>
  <c r="P8" i="2" s="1"/>
  <c r="I7" i="2"/>
  <c r="I8" i="2" s="1"/>
  <c r="O7" i="2"/>
  <c r="O8" i="2" s="1"/>
  <c r="F6" i="2"/>
  <c r="F7" i="2" s="1"/>
  <c r="F8" i="2" s="1"/>
  <c r="Q6" i="2"/>
  <c r="Q7" i="2" s="1"/>
  <c r="Q8" i="2" s="1"/>
  <c r="E6" i="2"/>
  <c r="E7" i="2" s="1"/>
  <c r="E8" i="2" s="1"/>
  <c r="L7" i="2"/>
  <c r="L8" i="2" s="1"/>
  <c r="C6" i="2"/>
  <c r="C7" i="2" s="1"/>
  <c r="C8" i="2" s="1"/>
  <c r="K7" i="2"/>
  <c r="K8" i="2" s="1"/>
  <c r="J7" i="2"/>
  <c r="J8" i="2" s="1"/>
  <c r="H8" i="2"/>
  <c r="B6" i="2"/>
  <c r="B7" i="2" s="1"/>
  <c r="B8" i="2" s="1"/>
  <c r="B2" i="3" l="1" a="1"/>
  <c r="BF2" i="3" s="1"/>
  <c r="BZ4" i="5"/>
  <c r="V5" i="5"/>
  <c r="AJ5" i="5"/>
  <c r="CE5" i="5"/>
  <c r="BC4" i="5"/>
  <c r="J7" i="5"/>
  <c r="BE7" i="5"/>
  <c r="G7" i="5"/>
  <c r="S7" i="5"/>
  <c r="B3" i="3" a="1"/>
  <c r="E3" i="3" s="1"/>
  <c r="W4" i="5"/>
  <c r="D7" i="5"/>
  <c r="BK4" i="5"/>
  <c r="BO6" i="5"/>
  <c r="P5" i="5"/>
  <c r="BJ4" i="5"/>
  <c r="AO6" i="5"/>
  <c r="Z4" i="5"/>
  <c r="S5" i="5"/>
  <c r="AP5" i="5"/>
  <c r="BF6" i="5"/>
  <c r="BS7" i="5"/>
  <c r="T5" i="5"/>
  <c r="U7" i="5"/>
  <c r="D4" i="5"/>
  <c r="AK4" i="5"/>
  <c r="AK7" i="5"/>
  <c r="R7" i="5"/>
  <c r="AW4" i="5"/>
  <c r="BI7" i="5"/>
  <c r="BR5" i="5"/>
  <c r="BI4" i="5"/>
  <c r="BG5" i="5"/>
  <c r="O7" i="5"/>
  <c r="D5" i="5"/>
  <c r="AN4" i="5"/>
  <c r="R4" i="5"/>
  <c r="BL5" i="5"/>
  <c r="Z6" i="5"/>
  <c r="BK5" i="5"/>
  <c r="BG6" i="5"/>
  <c r="CC7" i="5"/>
  <c r="BY7" i="5"/>
  <c r="J4" i="5"/>
  <c r="F4" i="5"/>
  <c r="U6" i="5"/>
  <c r="W7" i="5"/>
  <c r="BQ4" i="5"/>
  <c r="AA6" i="5"/>
  <c r="F6" i="5"/>
  <c r="CF4" i="5"/>
  <c r="AD7" i="5"/>
  <c r="C6" i="5"/>
  <c r="AY4" i="5"/>
  <c r="AI5" i="5"/>
  <c r="P4" i="5"/>
  <c r="M7" i="5"/>
  <c r="AC7" i="5"/>
  <c r="CD4" i="5"/>
  <c r="AS4" i="5"/>
  <c r="T6" i="5"/>
  <c r="AA4" i="5"/>
  <c r="E5" i="5"/>
  <c r="BO5" i="5"/>
  <c r="CB6" i="5"/>
  <c r="BE6" i="5"/>
  <c r="AY7" i="5"/>
  <c r="N7" i="5"/>
  <c r="BD7" i="5"/>
  <c r="F7" i="5"/>
  <c r="Y6" i="5"/>
  <c r="AN5" i="5"/>
  <c r="AR4" i="5"/>
  <c r="BN6" i="5"/>
  <c r="BL7" i="5"/>
  <c r="AB6" i="5"/>
  <c r="V4" i="5"/>
  <c r="AP4" i="5"/>
  <c r="AM4" i="5"/>
  <c r="AE4" i="5"/>
  <c r="AE5" i="5"/>
  <c r="AH5" i="5"/>
  <c r="AN7" i="5"/>
  <c r="CC5" i="5"/>
  <c r="BS4" i="5"/>
  <c r="BT7" i="5"/>
  <c r="AT5" i="5"/>
  <c r="AW7" i="5"/>
  <c r="AM6" i="5"/>
  <c r="CC6" i="5"/>
  <c r="AO5" i="5"/>
  <c r="X7" i="5"/>
  <c r="BC7" i="5"/>
  <c r="J6" i="5"/>
  <c r="AI7" i="5"/>
  <c r="BX4" i="5"/>
  <c r="BY4" i="5"/>
  <c r="X5" i="5"/>
  <c r="AJ6" i="5"/>
  <c r="AZ7" i="5"/>
  <c r="X6" i="5"/>
  <c r="CF6" i="5"/>
  <c r="BL6" i="5"/>
  <c r="AR6" i="5"/>
  <c r="BR7" i="5"/>
  <c r="AG6" i="5"/>
  <c r="AQ6" i="5"/>
  <c r="BA4" i="5"/>
  <c r="CB5" i="5"/>
  <c r="BZ6" i="5"/>
  <c r="BH7" i="5"/>
  <c r="AJ7" i="5"/>
  <c r="BI6" i="5"/>
  <c r="BU5" i="5"/>
  <c r="H4" i="5"/>
  <c r="BA7" i="5"/>
  <c r="AX6" i="5"/>
  <c r="AW6" i="5"/>
  <c r="L6" i="5"/>
  <c r="AG5" i="5"/>
  <c r="AH7" i="5"/>
  <c r="U5" i="5"/>
  <c r="S4" i="5"/>
  <c r="AC4" i="5"/>
  <c r="AC5" i="5"/>
  <c r="BQ6" i="5"/>
  <c r="C5" i="5"/>
  <c r="BK6" i="5"/>
  <c r="BJ6" i="5"/>
  <c r="AX5" i="5"/>
  <c r="AS5" i="5"/>
  <c r="BY6" i="5"/>
  <c r="AL7" i="5"/>
  <c r="AD6" i="5"/>
  <c r="AC6" i="5"/>
  <c r="BD4" i="5"/>
  <c r="L5" i="5"/>
  <c r="I5" i="5"/>
  <c r="Q4" i="5"/>
  <c r="BP6" i="5"/>
  <c r="BF7" i="5"/>
  <c r="X4" i="5"/>
  <c r="K6" i="5"/>
  <c r="AT4" i="5"/>
  <c r="L4" i="5"/>
  <c r="CB4" i="5"/>
  <c r="AO4" i="5"/>
  <c r="CD7" i="5"/>
  <c r="BU4" i="5"/>
  <c r="AU5" i="5"/>
  <c r="BM6" i="5"/>
  <c r="H6" i="5"/>
  <c r="AT7" i="5"/>
  <c r="I6" i="5"/>
  <c r="CA6" i="5"/>
  <c r="V7" i="5"/>
  <c r="AN6" i="5"/>
  <c r="BJ7" i="5"/>
  <c r="L7" i="5"/>
  <c r="N4" i="5"/>
  <c r="BV7" i="5"/>
  <c r="T4" i="5"/>
  <c r="BM7" i="5"/>
  <c r="CD6" i="5"/>
  <c r="BP4" i="5"/>
  <c r="BO4" i="5"/>
  <c r="AF7" i="5"/>
  <c r="V6" i="5"/>
  <c r="AE6" i="5"/>
  <c r="BA5" i="5"/>
  <c r="BN4" i="5"/>
  <c r="I7" i="5"/>
  <c r="BM5" i="5"/>
  <c r="BO7" i="5"/>
  <c r="D6" i="5"/>
  <c r="N5" i="5"/>
  <c r="M5" i="5"/>
  <c r="J5" i="5"/>
  <c r="R6" i="5"/>
  <c r="E7" i="5"/>
  <c r="BX5" i="5"/>
  <c r="M6" i="5"/>
  <c r="AF4" i="5"/>
  <c r="BB5" i="5"/>
  <c r="E4" i="5"/>
  <c r="G5" i="5"/>
  <c r="H5" i="5"/>
  <c r="F5" i="5"/>
  <c r="K7" i="5"/>
  <c r="AP7" i="5"/>
  <c r="AZ5" i="5"/>
  <c r="BH4" i="5"/>
  <c r="U4" i="5"/>
  <c r="M4" i="5"/>
  <c r="BS5" i="5"/>
  <c r="Q6" i="5"/>
  <c r="BH5" i="5"/>
  <c r="BW5" i="5"/>
  <c r="I4" i="5"/>
  <c r="AO7" i="5"/>
  <c r="AB5" i="5"/>
  <c r="H7" i="5"/>
  <c r="BH6" i="5"/>
  <c r="BG4" i="5"/>
  <c r="BW7" i="5"/>
  <c r="BS6" i="5"/>
  <c r="AU4" i="5"/>
  <c r="AQ7" i="5"/>
  <c r="T7" i="5"/>
  <c r="AL4" i="5"/>
  <c r="AM5" i="5"/>
  <c r="CA7" i="5"/>
  <c r="BE4" i="5"/>
  <c r="BV5" i="5"/>
  <c r="W6" i="5"/>
  <c r="BT4" i="5"/>
  <c r="BF5" i="5"/>
  <c r="AX4" i="5"/>
  <c r="O4" i="5"/>
  <c r="BY5" i="5"/>
  <c r="BP5" i="5"/>
  <c r="BW4" i="5"/>
  <c r="AS7" i="5"/>
  <c r="AF6" i="5"/>
  <c r="BM4" i="5"/>
  <c r="AD4" i="5"/>
  <c r="AF5" i="5"/>
  <c r="BW6" i="5"/>
  <c r="BR6" i="5"/>
  <c r="BR4" i="5"/>
  <c r="AI6" i="5"/>
  <c r="AJ4" i="5"/>
  <c r="BX7" i="5"/>
  <c r="AA7" i="5"/>
  <c r="AZ6" i="5"/>
  <c r="BU7" i="5"/>
  <c r="BX6" i="5"/>
  <c r="BT6" i="5"/>
  <c r="CB7" i="5"/>
  <c r="CC4" i="5"/>
  <c r="AE7" i="5"/>
  <c r="BZ7" i="5"/>
  <c r="AK5" i="5"/>
  <c r="BQ5" i="5"/>
  <c r="AG4" i="5"/>
  <c r="BZ5" i="5"/>
  <c r="G6" i="5"/>
  <c r="S6" i="5"/>
  <c r="AZ4" i="5"/>
  <c r="AT6" i="5"/>
  <c r="CA5" i="5"/>
  <c r="G4" i="5"/>
  <c r="AS6" i="5"/>
  <c r="AQ4" i="5"/>
  <c r="CA4" i="5"/>
  <c r="AP6" i="5"/>
  <c r="BE5" i="5"/>
  <c r="AL6" i="5"/>
  <c r="CF5" i="5"/>
  <c r="Z5" i="5"/>
  <c r="BB7" i="5"/>
  <c r="C7" i="5"/>
  <c r="AY6" i="5"/>
  <c r="AR7" i="5"/>
  <c r="AU6" i="5"/>
  <c r="BA6" i="5"/>
  <c r="AX7" i="5"/>
  <c r="BF4" i="5"/>
  <c r="P7" i="5"/>
  <c r="BK7" i="5"/>
  <c r="O5" i="5"/>
  <c r="AV5" i="5"/>
  <c r="K4" i="5"/>
  <c r="BG7" i="5"/>
  <c r="AU7" i="5"/>
  <c r="AQ5" i="5"/>
  <c r="BC5" i="5"/>
  <c r="BD6" i="5"/>
  <c r="BQ7" i="5"/>
  <c r="BC6" i="5"/>
  <c r="Q5" i="5"/>
  <c r="BD5" i="5"/>
  <c r="AG7" i="5"/>
  <c r="BJ5" i="5"/>
  <c r="O6" i="5"/>
  <c r="Y4" i="5"/>
  <c r="E6" i="5"/>
  <c r="AY5" i="5"/>
  <c r="AM7" i="5"/>
  <c r="AB7" i="5"/>
  <c r="BB6" i="5"/>
  <c r="BN7" i="5"/>
  <c r="Y7" i="5"/>
  <c r="P6" i="5"/>
  <c r="AK6" i="5"/>
  <c r="Q7" i="5"/>
  <c r="AI4" i="5"/>
  <c r="CE6" i="5"/>
  <c r="AV7" i="5"/>
  <c r="BV4" i="5"/>
  <c r="AA5" i="5"/>
  <c r="C4" i="5"/>
  <c r="AH6" i="5"/>
  <c r="BB4" i="5"/>
  <c r="AB4" i="5"/>
  <c r="CE7" i="5"/>
  <c r="AD5" i="5"/>
  <c r="BL4" i="5"/>
  <c r="AR5" i="5"/>
  <c r="R5" i="5"/>
  <c r="BN5" i="5"/>
  <c r="BT5" i="5"/>
  <c r="BU6" i="5"/>
  <c r="W5" i="5"/>
  <c r="CF7" i="5"/>
  <c r="BI5" i="5"/>
  <c r="CD5" i="5"/>
  <c r="K5" i="5"/>
  <c r="AV4" i="5"/>
  <c r="Z7" i="5"/>
  <c r="CE4" i="5"/>
  <c r="BP7" i="5"/>
  <c r="Y5" i="5"/>
  <c r="N6" i="5"/>
  <c r="AH4" i="5"/>
  <c r="AL5" i="5"/>
  <c r="AV6" i="5"/>
  <c r="BV6" i="5"/>
  <c r="BW2" i="3"/>
  <c r="AI2" i="3"/>
  <c r="AK2" i="3"/>
  <c r="C4" i="3" a="1"/>
  <c r="AX5" i="3" s="1"/>
  <c r="C8" i="5"/>
  <c r="AL8" i="5"/>
  <c r="P9" i="5"/>
  <c r="D10" i="5"/>
  <c r="BB10" i="5"/>
  <c r="T11" i="5"/>
  <c r="BP11" i="5"/>
  <c r="AH12" i="5"/>
  <c r="CD12" i="5"/>
  <c r="AV13" i="5"/>
  <c r="N14" i="5"/>
  <c r="BJ14" i="5"/>
  <c r="AB15" i="5"/>
  <c r="BX15" i="5"/>
  <c r="AP16" i="5"/>
  <c r="H17" i="5"/>
  <c r="BD17" i="5"/>
  <c r="V18" i="5"/>
  <c r="BR18" i="5"/>
  <c r="AX8" i="5"/>
  <c r="F10" i="5"/>
  <c r="BM10" i="5"/>
  <c r="AE11" i="5"/>
  <c r="CA11" i="5"/>
  <c r="AS12" i="5"/>
  <c r="K13" i="5"/>
  <c r="BG13" i="5"/>
  <c r="Y14" i="5"/>
  <c r="BU14" i="5"/>
  <c r="AW8" i="5"/>
  <c r="Z9" i="5"/>
  <c r="E10" i="5"/>
  <c r="BL10" i="5"/>
  <c r="AD11" i="5"/>
  <c r="BZ11" i="5"/>
  <c r="AR12" i="5"/>
  <c r="J13" i="5"/>
  <c r="BF13" i="5"/>
  <c r="X14" i="5"/>
  <c r="BT14" i="5"/>
  <c r="AL15" i="5"/>
  <c r="D16" i="5"/>
  <c r="AZ16" i="5"/>
  <c r="R17" i="5"/>
  <c r="BN17" i="5"/>
  <c r="AF18" i="5"/>
  <c r="CB18" i="5"/>
  <c r="BU8" i="5"/>
  <c r="AN9" i="5"/>
  <c r="R10" i="5"/>
  <c r="BY10" i="5"/>
  <c r="AQ11" i="5"/>
  <c r="I12" i="5"/>
  <c r="BE12" i="5"/>
  <c r="W13" i="5"/>
  <c r="BS13" i="5"/>
  <c r="AK14" i="5"/>
  <c r="C15" i="5"/>
  <c r="AY15" i="5"/>
  <c r="Q16" i="5"/>
  <c r="BM16" i="5"/>
  <c r="AE17" i="5"/>
  <c r="CA17" i="5"/>
  <c r="AS18" i="5"/>
  <c r="M8" i="5"/>
  <c r="O9" i="5"/>
  <c r="AC10" i="5"/>
  <c r="R11" i="5"/>
  <c r="J12" i="5"/>
  <c r="CB12" i="5"/>
  <c r="BT13" i="5"/>
  <c r="BH14" i="5"/>
  <c r="AX15" i="5"/>
  <c r="AC16" i="5"/>
  <c r="G17" i="5"/>
  <c r="BZ17" i="5"/>
  <c r="BE18" i="5"/>
  <c r="N8" i="5"/>
  <c r="BI14" i="5"/>
  <c r="AD16" i="5"/>
  <c r="S17" i="5"/>
  <c r="BF18" i="5"/>
  <c r="AA9" i="5"/>
  <c r="AD10" i="5"/>
  <c r="S11" i="5"/>
  <c r="T12" i="5"/>
  <c r="CC12" i="5"/>
  <c r="CD13" i="5"/>
  <c r="AZ15" i="5"/>
  <c r="CB17" i="5"/>
  <c r="BI8" i="5"/>
  <c r="AZ9" i="5"/>
  <c r="BA10" i="5"/>
  <c r="BB11" i="5"/>
  <c r="AG12" i="5"/>
  <c r="AH13" i="5"/>
  <c r="M14" i="5"/>
  <c r="N15" i="5"/>
  <c r="BV15" i="5"/>
  <c r="BB16" i="5"/>
  <c r="AP17" i="5"/>
  <c r="T18" i="5"/>
  <c r="CD18" i="5"/>
  <c r="BJ8" i="5"/>
  <c r="BK9" i="5"/>
  <c r="BN10" i="5"/>
  <c r="BC11" i="5"/>
  <c r="AT12" i="5"/>
  <c r="AI13" i="5"/>
  <c r="Z14" i="5"/>
  <c r="O15" i="5"/>
  <c r="BW15" i="5"/>
  <c r="BL16" i="5"/>
  <c r="AQ17" i="5"/>
  <c r="U18" i="5"/>
  <c r="BV8" i="5"/>
  <c r="BL9" i="5"/>
  <c r="BX10" i="5"/>
  <c r="BD11" i="5"/>
  <c r="BD12" i="5"/>
  <c r="AJ13" i="5"/>
  <c r="AJ14" i="5"/>
  <c r="P15" i="5"/>
  <c r="E16" i="5"/>
  <c r="BN16" i="5"/>
  <c r="AR17" i="5"/>
  <c r="AG18" i="5"/>
  <c r="CF8" i="5"/>
  <c r="BW9" i="5"/>
  <c r="BZ10" i="5"/>
  <c r="BN11" i="5"/>
  <c r="BF12" i="5"/>
  <c r="AT13" i="5"/>
  <c r="Y8" i="5"/>
  <c r="AO10" i="5"/>
  <c r="U12" i="5"/>
  <c r="CE13" i="5"/>
  <c r="AM15" i="5"/>
  <c r="BX16" i="5"/>
  <c r="I18" i="5"/>
  <c r="Z8" i="5"/>
  <c r="AP10" i="5"/>
  <c r="V12" i="5"/>
  <c r="CF13" i="5"/>
  <c r="AN15" i="5"/>
  <c r="BY16" i="5"/>
  <c r="J18" i="5"/>
  <c r="AK8" i="5"/>
  <c r="AZ10" i="5"/>
  <c r="AF12" i="5"/>
  <c r="L14" i="5"/>
  <c r="BJ15" i="5"/>
  <c r="BZ16" i="5"/>
  <c r="AH18" i="5"/>
  <c r="BR12" i="5"/>
  <c r="AB16" i="5"/>
  <c r="H18" i="5"/>
  <c r="H11" i="5"/>
  <c r="AD17" i="5"/>
  <c r="BC17" i="5"/>
  <c r="C9" i="5"/>
  <c r="F11" i="5"/>
  <c r="BP12" i="5"/>
  <c r="AL14" i="5"/>
  <c r="BK15" i="5"/>
  <c r="F17" i="5"/>
  <c r="AR18" i="5"/>
  <c r="D9" i="5"/>
  <c r="BQ12" i="5"/>
  <c r="AV14" i="5"/>
  <c r="BL15" i="5"/>
  <c r="T17" i="5"/>
  <c r="AT18" i="5"/>
  <c r="AW14" i="5"/>
  <c r="Z15" i="5"/>
  <c r="BR13" i="5"/>
  <c r="G11" i="5"/>
  <c r="N9" i="5"/>
  <c r="F16" i="5"/>
  <c r="BD18" i="5"/>
  <c r="CC18" i="5"/>
  <c r="BA16" i="5"/>
  <c r="H12" i="5"/>
  <c r="AB9" i="5"/>
  <c r="AF11" i="5"/>
  <c r="L13" i="5"/>
  <c r="AX14" i="5"/>
  <c r="P16" i="5"/>
  <c r="AF17" i="5"/>
  <c r="BP18" i="5"/>
  <c r="AM9" i="5"/>
  <c r="V13" i="5"/>
  <c r="BV14" i="5"/>
  <c r="R16" i="5"/>
  <c r="BB17" i="5"/>
  <c r="BQ18" i="5"/>
  <c r="AR11" i="5"/>
  <c r="BP17" i="5"/>
  <c r="AA15" i="5"/>
  <c r="AP11" i="5"/>
  <c r="AY9" i="5"/>
  <c r="X13" i="5"/>
  <c r="CF14" i="5"/>
  <c r="Q10" i="5"/>
  <c r="BX9" i="5"/>
  <c r="BO11" i="5"/>
  <c r="AU13" i="5"/>
  <c r="D15" i="5"/>
  <c r="AN16" i="5"/>
  <c r="BO17" i="5"/>
  <c r="P10" i="5"/>
  <c r="CB11" i="5"/>
  <c r="BH13" i="5"/>
  <c r="AO16" i="5"/>
  <c r="AL9" i="5"/>
  <c r="CA18" i="5"/>
  <c r="E17" i="5"/>
  <c r="Y15" i="5"/>
  <c r="AS13" i="5"/>
  <c r="BM11" i="5"/>
  <c r="C10" i="5"/>
  <c r="W8" i="5"/>
  <c r="BX17" i="5"/>
  <c r="N16" i="5"/>
  <c r="AH14" i="5"/>
  <c r="BB12" i="5"/>
  <c r="BV10" i="5"/>
  <c r="L9" i="5"/>
  <c r="AK16" i="5"/>
  <c r="CA13" i="5"/>
  <c r="Q12" i="5"/>
  <c r="AK10" i="5"/>
  <c r="BM18" i="5"/>
  <c r="P18" i="5"/>
  <c r="AJ16" i="5"/>
  <c r="BD14" i="5"/>
  <c r="BX12" i="5"/>
  <c r="N11" i="5"/>
  <c r="AH9" i="5"/>
  <c r="BW18" i="5"/>
  <c r="M17" i="5"/>
  <c r="AG15" i="5"/>
  <c r="BA13" i="5"/>
  <c r="BU11" i="5"/>
  <c r="K10" i="5"/>
  <c r="AE8" i="5"/>
  <c r="BT17" i="5"/>
  <c r="J16" i="5"/>
  <c r="AD14" i="5"/>
  <c r="AX12" i="5"/>
  <c r="BR10" i="5"/>
  <c r="H9" i="5"/>
  <c r="W9" i="5"/>
  <c r="W17" i="5"/>
  <c r="AQ15" i="5"/>
  <c r="BK13" i="5"/>
  <c r="CE11" i="5"/>
  <c r="U10" i="5"/>
  <c r="AO8" i="5"/>
  <c r="AV18" i="5"/>
  <c r="BP16" i="5"/>
  <c r="F15" i="5"/>
  <c r="Z13" i="5"/>
  <c r="AT11" i="5"/>
  <c r="BN9" i="5"/>
  <c r="D8" i="5"/>
  <c r="BG18" i="5"/>
  <c r="CA16" i="5"/>
  <c r="Q15" i="5"/>
  <c r="AK13" i="5"/>
  <c r="BE11" i="5"/>
  <c r="BY9" i="5"/>
  <c r="O8" i="5"/>
  <c r="BO18" i="5"/>
  <c r="S18" i="5"/>
  <c r="AM16" i="5"/>
  <c r="BG14" i="5"/>
  <c r="CA12" i="5"/>
  <c r="Q11" i="5"/>
  <c r="AK9" i="5"/>
  <c r="BC18" i="5"/>
  <c r="AB17" i="5"/>
  <c r="AV15" i="5"/>
  <c r="BP13" i="5"/>
  <c r="F12" i="5"/>
  <c r="Z10" i="5"/>
  <c r="AT8" i="5"/>
  <c r="AI15" i="5"/>
  <c r="AE13" i="5"/>
  <c r="AY11" i="5"/>
  <c r="AI9" i="5"/>
  <c r="AW16" i="5"/>
  <c r="AX17" i="5"/>
  <c r="BR15" i="5"/>
  <c r="H14" i="5"/>
  <c r="AB12" i="5"/>
  <c r="AV10" i="5"/>
  <c r="BP8" i="5"/>
  <c r="AA18" i="5"/>
  <c r="AU16" i="5"/>
  <c r="G18" i="5"/>
  <c r="BY17" i="5"/>
  <c r="O16" i="5"/>
  <c r="AI14" i="5"/>
  <c r="BC12" i="5"/>
  <c r="BW10" i="5"/>
  <c r="M9" i="5"/>
  <c r="BN18" i="5"/>
  <c r="D17" i="5"/>
  <c r="X15" i="5"/>
  <c r="AR13" i="5"/>
  <c r="BL11" i="5"/>
  <c r="CF9" i="5"/>
  <c r="V8" i="5"/>
  <c r="K15" i="5"/>
  <c r="G13" i="5"/>
  <c r="AA11" i="5"/>
  <c r="BE8" i="5"/>
  <c r="BQ8" i="5"/>
  <c r="Z17" i="5"/>
  <c r="AT15" i="5"/>
  <c r="AA16" i="5"/>
  <c r="CC13" i="5"/>
  <c r="BA11" i="5"/>
  <c r="Y9" i="5"/>
  <c r="AD18" i="5"/>
  <c r="CF15" i="5"/>
  <c r="BD13" i="5"/>
  <c r="AB11" i="5"/>
  <c r="AV8" i="5"/>
  <c r="C16" i="5"/>
  <c r="BQ13" i="5"/>
  <c r="AO11" i="5"/>
  <c r="CE8" i="5"/>
  <c r="R18" i="5"/>
  <c r="BT15" i="5"/>
  <c r="AF13" i="5"/>
  <c r="P11" i="5"/>
  <c r="BR8" i="5"/>
  <c r="BQ14" i="5"/>
  <c r="AO12" i="5"/>
  <c r="M10" i="5"/>
  <c r="BX18" i="5"/>
  <c r="BH16" i="5"/>
  <c r="AF14" i="5"/>
  <c r="P12" i="5"/>
  <c r="L10" i="5"/>
  <c r="H8" i="5"/>
  <c r="Y17" i="5"/>
  <c r="I15" i="5"/>
  <c r="Q13" i="5"/>
  <c r="Y11" i="5"/>
  <c r="AG9" i="5"/>
  <c r="BJ18" i="5"/>
  <c r="BR16" i="5"/>
  <c r="BZ14" i="5"/>
  <c r="D13" i="5"/>
  <c r="L11" i="5"/>
  <c r="T9" i="5"/>
  <c r="BU18" i="5"/>
  <c r="CC16" i="5"/>
  <c r="G15" i="5"/>
  <c r="O13" i="5"/>
  <c r="W11" i="5"/>
  <c r="AE9" i="5"/>
  <c r="BS15" i="5"/>
  <c r="AH17" i="5"/>
  <c r="AP15" i="5"/>
  <c r="AX13" i="5"/>
  <c r="BF11" i="5"/>
  <c r="BB9" i="5"/>
  <c r="BA18" i="5"/>
  <c r="W18" i="5"/>
  <c r="AE16" i="5"/>
  <c r="AM14" i="5"/>
  <c r="AU12" i="5"/>
  <c r="BC10" i="5"/>
  <c r="BK8" i="5"/>
  <c r="AQ18" i="5"/>
  <c r="BU15" i="5"/>
  <c r="BE13" i="5"/>
  <c r="AC11" i="5"/>
  <c r="BS8" i="5"/>
  <c r="F18" i="5"/>
  <c r="BH15" i="5"/>
  <c r="T13" i="5"/>
  <c r="D11" i="5"/>
  <c r="BF8" i="5"/>
  <c r="AS14" i="5"/>
  <c r="AC12" i="5"/>
  <c r="AE18" i="5"/>
  <c r="BI15" i="5"/>
  <c r="AG13" i="5"/>
  <c r="E11" i="5"/>
  <c r="BG8" i="5"/>
  <c r="BL17" i="5"/>
  <c r="AJ15" i="5"/>
  <c r="H13" i="5"/>
  <c r="BJ10" i="5"/>
  <c r="AH8" i="5"/>
  <c r="BM17" i="5"/>
  <c r="AW15" i="5"/>
  <c r="U13" i="5"/>
  <c r="BK10" i="5"/>
  <c r="AU8" i="5"/>
  <c r="AZ17" i="5"/>
  <c r="L15" i="5"/>
  <c r="BZ12" i="5"/>
  <c r="AX10" i="5"/>
  <c r="J8" i="5"/>
  <c r="U14" i="5"/>
  <c r="BW11" i="5"/>
  <c r="AS8" i="5"/>
  <c r="AN18" i="5"/>
  <c r="L16" i="5"/>
  <c r="BN13" i="5"/>
  <c r="BJ11" i="5"/>
  <c r="BF9" i="5"/>
  <c r="BK18" i="5"/>
  <c r="BG16" i="5"/>
  <c r="BC14" i="5"/>
  <c r="BK12" i="5"/>
  <c r="BS10" i="5"/>
  <c r="CA8" i="5"/>
  <c r="Z18" i="5"/>
  <c r="AH16" i="5"/>
  <c r="AP14" i="5"/>
  <c r="AL12" i="5"/>
  <c r="AT10" i="5"/>
  <c r="BB8" i="5"/>
  <c r="AK18" i="5"/>
  <c r="AS16" i="5"/>
  <c r="BA14" i="5"/>
  <c r="BI12" i="5"/>
  <c r="BQ10" i="5"/>
  <c r="BY8" i="5"/>
  <c r="BT18" i="5"/>
  <c r="CB16" i="5"/>
  <c r="BX14" i="5"/>
  <c r="CF12" i="5"/>
  <c r="J11" i="5"/>
  <c r="R9" i="5"/>
  <c r="AA17" i="5"/>
  <c r="BQ17" i="5"/>
  <c r="BY15" i="5"/>
  <c r="C14" i="5"/>
  <c r="K12" i="5"/>
  <c r="S10" i="5"/>
  <c r="AA8" i="5"/>
  <c r="BA17" i="5"/>
  <c r="AK15" i="5"/>
  <c r="I13" i="5"/>
  <c r="AY10" i="5"/>
  <c r="AI8" i="5"/>
  <c r="AN17" i="5"/>
  <c r="CD14" i="5"/>
  <c r="BN12" i="5"/>
  <c r="AL10" i="5"/>
  <c r="Q18" i="5"/>
  <c r="I14" i="5"/>
  <c r="BK11" i="5"/>
  <c r="AO17" i="5"/>
  <c r="M15" i="5"/>
  <c r="BO12" i="5"/>
  <c r="AM10" i="5"/>
  <c r="K8" i="5"/>
  <c r="P17" i="5"/>
  <c r="BR14" i="5"/>
  <c r="AP12" i="5"/>
  <c r="N10" i="5"/>
  <c r="AY17" i="5"/>
  <c r="BO13" i="5"/>
  <c r="AM11" i="5"/>
  <c r="U8" i="5"/>
  <c r="D18" i="5"/>
  <c r="BF15" i="5"/>
  <c r="AP13" i="5"/>
  <c r="AL11" i="5"/>
  <c r="V9" i="5"/>
  <c r="AM18" i="5"/>
  <c r="W16" i="5"/>
  <c r="AE14" i="5"/>
  <c r="AM12" i="5"/>
  <c r="AU10" i="5"/>
  <c r="BC8" i="5"/>
  <c r="CF17" i="5"/>
  <c r="CB15" i="5"/>
  <c r="F14" i="5"/>
  <c r="N12" i="5"/>
  <c r="V10" i="5"/>
  <c r="AD8" i="5"/>
  <c r="M18" i="5"/>
  <c r="U16" i="5"/>
  <c r="AC14" i="5"/>
  <c r="AK12" i="5"/>
  <c r="AS10" i="5"/>
  <c r="BA8" i="5"/>
  <c r="AJ18" i="5"/>
  <c r="AR16" i="5"/>
  <c r="AZ14" i="5"/>
  <c r="BH12" i="5"/>
  <c r="BP10" i="5"/>
  <c r="BX8" i="5"/>
  <c r="M16" i="5"/>
  <c r="AS17" i="5"/>
  <c r="BA15" i="5"/>
  <c r="BI13" i="5"/>
  <c r="BQ11" i="5"/>
  <c r="BM9" i="5"/>
  <c r="AC17" i="5"/>
  <c r="CE14" i="5"/>
  <c r="AQ12" i="5"/>
  <c r="AA10" i="5"/>
  <c r="BV9" i="5"/>
  <c r="BV16" i="5"/>
  <c r="BF14" i="5"/>
  <c r="AD12" i="5"/>
  <c r="BT9" i="5"/>
  <c r="O17" i="5"/>
  <c r="BC13" i="5"/>
  <c r="O11" i="5"/>
  <c r="I8" i="5"/>
  <c r="BV17" i="5"/>
  <c r="AH15" i="5"/>
  <c r="AD13" i="5"/>
  <c r="Z11" i="5"/>
  <c r="J9" i="5"/>
  <c r="O18" i="5"/>
  <c r="K16" i="5"/>
  <c r="S14" i="5"/>
  <c r="AA12" i="5"/>
  <c r="AI10" i="5"/>
  <c r="AQ8" i="5"/>
  <c r="BH17" i="5"/>
  <c r="BP15" i="5"/>
  <c r="BX13" i="5"/>
  <c r="CF11" i="5"/>
  <c r="J10" i="5"/>
  <c r="R8" i="5"/>
  <c r="CE17" i="5"/>
  <c r="I16" i="5"/>
  <c r="Q14" i="5"/>
  <c r="Y12" i="5"/>
  <c r="AG10" i="5"/>
  <c r="AC8" i="5"/>
  <c r="X18" i="5"/>
  <c r="AF16" i="5"/>
  <c r="AN14" i="5"/>
  <c r="AV12" i="5"/>
  <c r="BD10" i="5"/>
  <c r="BL8" i="5"/>
  <c r="BE14" i="5"/>
  <c r="AG17" i="5"/>
  <c r="AO15" i="5"/>
  <c r="AW13" i="5"/>
  <c r="AS11" i="5"/>
  <c r="BA9" i="5"/>
  <c r="Q17" i="5"/>
  <c r="BS14" i="5"/>
  <c r="AE12" i="5"/>
  <c r="O10" i="5"/>
  <c r="BH8" i="5"/>
  <c r="BJ16" i="5"/>
  <c r="AT14" i="5"/>
  <c r="R12" i="5"/>
  <c r="BH9" i="5"/>
  <c r="BI16" i="5"/>
  <c r="AQ13" i="5"/>
  <c r="C11" i="5"/>
  <c r="X8" i="5"/>
  <c r="BJ17" i="5"/>
  <c r="V15" i="5"/>
  <c r="R13" i="5"/>
  <c r="CF10" i="5"/>
  <c r="CB8" i="5"/>
  <c r="C18" i="5"/>
  <c r="CC15" i="5"/>
  <c r="G14" i="5"/>
  <c r="O12" i="5"/>
  <c r="W10" i="5"/>
  <c r="S8" i="5"/>
  <c r="AV17" i="5"/>
  <c r="BD15" i="5"/>
  <c r="BL13" i="5"/>
  <c r="BT11" i="5"/>
  <c r="CB9" i="5"/>
  <c r="F8" i="5"/>
  <c r="BS17" i="5"/>
  <c r="CA15" i="5"/>
  <c r="E14" i="5"/>
  <c r="M12" i="5"/>
  <c r="I10" i="5"/>
  <c r="Q8" i="5"/>
  <c r="L18" i="5"/>
  <c r="T16" i="5"/>
  <c r="AB14" i="5"/>
  <c r="AJ12" i="5"/>
  <c r="AR10" i="5"/>
  <c r="AZ8" i="5"/>
  <c r="BG9" i="5"/>
  <c r="U17" i="5"/>
  <c r="AC15" i="5"/>
  <c r="Y13" i="5"/>
  <c r="AG11" i="5"/>
  <c r="AO9" i="5"/>
  <c r="AY16" i="5"/>
  <c r="K14" i="5"/>
  <c r="BY11" i="5"/>
  <c r="AW9" i="5"/>
  <c r="AP18" i="5"/>
  <c r="Z16" i="5"/>
  <c r="CB13" i="5"/>
  <c r="AN11" i="5"/>
  <c r="X9" i="5"/>
  <c r="AU15" i="5"/>
  <c r="BM12" i="5"/>
  <c r="AW10" i="5"/>
  <c r="AM17" i="5"/>
  <c r="CF16" i="5"/>
  <c r="BP14" i="5"/>
  <c r="AZ12" i="5"/>
  <c r="AJ10" i="5"/>
  <c r="AF8" i="5"/>
  <c r="AW17" i="5"/>
  <c r="AS15" i="5"/>
  <c r="AO13" i="5"/>
  <c r="AW11" i="5"/>
  <c r="BE9" i="5"/>
  <c r="K9" i="5"/>
  <c r="L17" i="5"/>
  <c r="T15" i="5"/>
  <c r="AB13" i="5"/>
  <c r="AJ11" i="5"/>
  <c r="AR9" i="5"/>
  <c r="BY18" i="5"/>
  <c r="AI17" i="5"/>
  <c r="AE15" i="5"/>
  <c r="AM13" i="5"/>
  <c r="AU11" i="5"/>
  <c r="BC9" i="5"/>
  <c r="AX9" i="5"/>
  <c r="BF17" i="5"/>
  <c r="BN15" i="5"/>
  <c r="BV13" i="5"/>
  <c r="CD11" i="5"/>
  <c r="H10" i="5"/>
  <c r="P8" i="5"/>
  <c r="AU18" i="5"/>
  <c r="BC16" i="5"/>
  <c r="BK14" i="5"/>
  <c r="BS12" i="5"/>
  <c r="CA10" i="5"/>
  <c r="E9" i="5"/>
  <c r="AB10" i="5"/>
  <c r="BW16" i="5"/>
  <c r="V14" i="5"/>
  <c r="BY12" i="5"/>
  <c r="BL18" i="5"/>
  <c r="T14" i="5"/>
  <c r="CD9" i="5"/>
  <c r="CE16" i="5"/>
  <c r="E13" i="5"/>
  <c r="U9" i="5"/>
  <c r="BF16" i="5"/>
  <c r="BV12" i="5"/>
  <c r="BZ8" i="5"/>
  <c r="BQ16" i="5"/>
  <c r="C13" i="5"/>
  <c r="S9" i="5"/>
  <c r="V17" i="5"/>
  <c r="AL13" i="5"/>
  <c r="AP9" i="5"/>
  <c r="K18" i="5"/>
  <c r="AA14" i="5"/>
  <c r="AQ10" i="5"/>
  <c r="BK16" i="5"/>
  <c r="J14" i="5"/>
  <c r="BA12" i="5"/>
  <c r="AZ18" i="5"/>
  <c r="BZ13" i="5"/>
  <c r="BR9" i="5"/>
  <c r="BS16" i="5"/>
  <c r="BW12" i="5"/>
  <c r="I9" i="5"/>
  <c r="AT16" i="5"/>
  <c r="BJ12" i="5"/>
  <c r="BN8" i="5"/>
  <c r="BU12" i="5"/>
  <c r="G9" i="5"/>
  <c r="J17" i="5"/>
  <c r="N13" i="5"/>
  <c r="AD9" i="5"/>
  <c r="CC17" i="5"/>
  <c r="O14" i="5"/>
  <c r="AE10" i="5"/>
  <c r="AU14" i="5"/>
  <c r="BX11" i="5"/>
  <c r="E12" i="5"/>
  <c r="AB18" i="5"/>
  <c r="BB13" i="5"/>
  <c r="AT9" i="5"/>
  <c r="AI16" i="5"/>
  <c r="AY12" i="5"/>
  <c r="BO8" i="5"/>
  <c r="V16" i="5"/>
  <c r="Z12" i="5"/>
  <c r="AP8" i="5"/>
  <c r="AG16" i="5"/>
  <c r="AW12" i="5"/>
  <c r="BM8" i="5"/>
  <c r="BD16" i="5"/>
  <c r="BT12" i="5"/>
  <c r="F9" i="5"/>
  <c r="BE17" i="5"/>
  <c r="BU13" i="5"/>
  <c r="G10" i="5"/>
  <c r="AO18" i="5"/>
  <c r="AZ13" i="5"/>
  <c r="P14" i="5"/>
  <c r="AX16" i="5"/>
  <c r="BO9" i="5"/>
  <c r="BE16" i="5"/>
  <c r="J15" i="5"/>
  <c r="AJ17" i="5"/>
  <c r="BW13" i="5"/>
  <c r="AF10" i="5"/>
  <c r="U11" i="5"/>
  <c r="BI17" i="5"/>
  <c r="X17" i="5"/>
  <c r="BR17" i="5"/>
  <c r="W14" i="5"/>
  <c r="AZ11" i="5"/>
  <c r="BU10" i="5"/>
  <c r="AL17" i="5"/>
  <c r="F13" i="5"/>
  <c r="BD8" i="5"/>
  <c r="BQ15" i="5"/>
  <c r="C12" i="5"/>
  <c r="G8" i="5"/>
  <c r="AR15" i="5"/>
  <c r="BH11" i="5"/>
  <c r="BJ9" i="5"/>
  <c r="BO15" i="5"/>
  <c r="BS11" i="5"/>
  <c r="E8" i="5"/>
  <c r="H16" i="5"/>
  <c r="X12" i="5"/>
  <c r="AN8" i="5"/>
  <c r="I17" i="5"/>
  <c r="M13" i="5"/>
  <c r="AC9" i="5"/>
  <c r="S12" i="5"/>
  <c r="AV9" i="5"/>
  <c r="BI10" i="5"/>
  <c r="N17" i="5"/>
  <c r="BL12" i="5"/>
  <c r="AR8" i="5"/>
  <c r="BE15" i="5"/>
  <c r="BI11" i="5"/>
  <c r="BK17" i="5"/>
  <c r="AF15" i="5"/>
  <c r="AV11" i="5"/>
  <c r="L8" i="5"/>
  <c r="BG11" i="5"/>
  <c r="AN10" i="5"/>
  <c r="BZ15" i="5"/>
  <c r="L12" i="5"/>
  <c r="AB8" i="5"/>
  <c r="BO16" i="5"/>
  <c r="CE12" i="5"/>
  <c r="Q9" i="5"/>
  <c r="G12" i="5"/>
  <c r="AJ9" i="5"/>
  <c r="Y10" i="5"/>
  <c r="BT16" i="5"/>
  <c r="AN12" i="5"/>
  <c r="T8" i="5"/>
  <c r="U15" i="5"/>
  <c r="AK11" i="5"/>
  <c r="BV18" i="5"/>
  <c r="H15" i="5"/>
  <c r="X11" i="5"/>
  <c r="BG15" i="5"/>
  <c r="S15" i="5"/>
  <c r="AI11" i="5"/>
  <c r="BT8" i="5"/>
  <c r="BB15" i="5"/>
  <c r="BR11" i="5"/>
  <c r="AJ8" i="5"/>
  <c r="AQ16" i="5"/>
  <c r="BG12" i="5"/>
  <c r="BW8" i="5"/>
  <c r="W15" i="5"/>
  <c r="BP9" i="5"/>
  <c r="CE18" i="5"/>
  <c r="AG14" i="5"/>
  <c r="AY13" i="5"/>
  <c r="BC15" i="5"/>
  <c r="BB18" i="5"/>
  <c r="BG17" i="5"/>
  <c r="E15" i="5"/>
  <c r="BH10" i="5"/>
  <c r="AU17" i="5"/>
  <c r="BW14" i="5"/>
  <c r="BU9" i="5"/>
  <c r="CD8" i="5"/>
  <c r="CE9" i="5"/>
  <c r="AV16" i="5"/>
  <c r="D12" i="5"/>
  <c r="C17" i="5"/>
  <c r="CA14" i="5"/>
  <c r="M11" i="5"/>
  <c r="AX18" i="5"/>
  <c r="BN14" i="5"/>
  <c r="CD10" i="5"/>
  <c r="BI18" i="5"/>
  <c r="BY14" i="5"/>
  <c r="K11" i="5"/>
  <c r="AU9" i="5"/>
  <c r="AD15" i="5"/>
  <c r="AH11" i="5"/>
  <c r="AC18" i="5"/>
  <c r="S16" i="5"/>
  <c r="AI12" i="5"/>
  <c r="AY8" i="5"/>
  <c r="BT10" i="5"/>
  <c r="CD17" i="5"/>
  <c r="CB14" i="5"/>
  <c r="BD9" i="5"/>
  <c r="T10" i="5"/>
  <c r="BI9" i="5"/>
  <c r="Y16" i="5"/>
  <c r="CC8" i="5"/>
  <c r="X16" i="5"/>
  <c r="BV11" i="5"/>
  <c r="BS9" i="5"/>
  <c r="BO14" i="5"/>
  <c r="CE10" i="5"/>
  <c r="AL18" i="5"/>
  <c r="BB14" i="5"/>
  <c r="BF10" i="5"/>
  <c r="AW18" i="5"/>
  <c r="BM14" i="5"/>
  <c r="CC10" i="5"/>
  <c r="CF18" i="5"/>
  <c r="R15" i="5"/>
  <c r="V11" i="5"/>
  <c r="BW17" i="5"/>
  <c r="G16" i="5"/>
  <c r="W12" i="5"/>
  <c r="AM8" i="5"/>
  <c r="BY13" i="5"/>
  <c r="BQ9" i="5"/>
  <c r="I11" i="5"/>
  <c r="BZ18" i="5"/>
  <c r="CE15" i="5"/>
  <c r="AG8" i="5"/>
  <c r="CD15" i="5"/>
  <c r="AX11" i="5"/>
  <c r="AY18" i="5"/>
  <c r="AQ14" i="5"/>
  <c r="BG10" i="5"/>
  <c r="N18" i="5"/>
  <c r="R14" i="5"/>
  <c r="AH10" i="5"/>
  <c r="Y18" i="5"/>
  <c r="AO14" i="5"/>
  <c r="BE10" i="5"/>
  <c r="BH18" i="5"/>
  <c r="BL14" i="5"/>
  <c r="CB10" i="5"/>
  <c r="BU16" i="5"/>
  <c r="BM15" i="5"/>
  <c r="CC11" i="5"/>
  <c r="CC9" i="5"/>
  <c r="BM13" i="5"/>
  <c r="D14" i="5"/>
  <c r="AL16" i="5"/>
  <c r="S13" i="5"/>
  <c r="CC14" i="5"/>
  <c r="AR14" i="5"/>
  <c r="X10" i="5"/>
  <c r="AK17" i="5"/>
  <c r="AC13" i="5"/>
  <c r="AS9" i="5"/>
  <c r="CD16" i="5"/>
  <c r="P13" i="5"/>
  <c r="AF9" i="5"/>
  <c r="K17" i="5"/>
  <c r="AA13" i="5"/>
  <c r="AQ9" i="5"/>
  <c r="AT17" i="5"/>
  <c r="BJ13" i="5"/>
  <c r="BZ9" i="5"/>
  <c r="AI18" i="5"/>
  <c r="AY14" i="5"/>
  <c r="BO10" i="5"/>
  <c r="BU17" i="5"/>
  <c r="CA9" i="5"/>
  <c r="E18" i="5"/>
  <c r="AN13" i="5"/>
  <c r="BS18" i="5"/>
  <c r="C8" i="3" a="1"/>
  <c r="AX2" i="3" l="1"/>
  <c r="BA2" i="3"/>
  <c r="BV2" i="3"/>
  <c r="CE2" i="3"/>
  <c r="BR2" i="3"/>
  <c r="AW2" i="3"/>
  <c r="AU2" i="3"/>
  <c r="AV2" i="3"/>
  <c r="BO2" i="3"/>
  <c r="BL2" i="3"/>
  <c r="Q2" i="3"/>
  <c r="BI2" i="3"/>
  <c r="Z2" i="3"/>
  <c r="AS2" i="3"/>
  <c r="C2" i="3"/>
  <c r="CC2" i="3"/>
  <c r="BZ2" i="3"/>
  <c r="AY2" i="3"/>
  <c r="D2" i="3"/>
  <c r="W2" i="3"/>
  <c r="BG2" i="3"/>
  <c r="BD2" i="3"/>
  <c r="AC2" i="3"/>
  <c r="BH2" i="3"/>
  <c r="CF2" i="3"/>
  <c r="V2" i="3"/>
  <c r="AB2" i="3"/>
  <c r="BX2" i="3"/>
  <c r="AH2" i="3"/>
  <c r="G2" i="3"/>
  <c r="AN2" i="3"/>
  <c r="B2" i="3"/>
  <c r="AF2" i="3"/>
  <c r="BJ2" i="3"/>
  <c r="AT2" i="3"/>
  <c r="AL2" i="3"/>
  <c r="H2" i="3"/>
  <c r="F2" i="3"/>
  <c r="BB2" i="3"/>
  <c r="L2" i="3"/>
  <c r="BP2" i="3"/>
  <c r="M2" i="3"/>
  <c r="J2" i="3"/>
  <c r="R2" i="3"/>
  <c r="X2" i="3"/>
  <c r="P2" i="3"/>
  <c r="BS2" i="3"/>
  <c r="BE2" i="3"/>
  <c r="N2" i="3"/>
  <c r="BY2" i="3"/>
  <c r="R3" i="3"/>
  <c r="BC2" i="3"/>
  <c r="T2" i="3"/>
  <c r="AA2" i="3"/>
  <c r="BQ2" i="3"/>
  <c r="I2" i="3"/>
  <c r="AG2" i="3"/>
  <c r="BM2" i="3"/>
  <c r="K2" i="3"/>
  <c r="AQ2" i="3"/>
  <c r="BT2" i="3"/>
  <c r="Y2" i="3"/>
  <c r="BN2" i="3"/>
  <c r="AZ2" i="3"/>
  <c r="AO2" i="3"/>
  <c r="U2" i="3"/>
  <c r="BK2" i="3"/>
  <c r="O2" i="3"/>
  <c r="AM2" i="3"/>
  <c r="AD2" i="3"/>
  <c r="AJ2" i="3"/>
  <c r="CD2" i="3"/>
  <c r="S2" i="3"/>
  <c r="X3" i="3"/>
  <c r="AR3" i="3"/>
  <c r="L3" i="3"/>
  <c r="AY3" i="3"/>
  <c r="AN3" i="3"/>
  <c r="Y3" i="3"/>
  <c r="BN3" i="3"/>
  <c r="N3" i="3"/>
  <c r="V3" i="3"/>
  <c r="AV3" i="3"/>
  <c r="CE3" i="3"/>
  <c r="B3" i="3"/>
  <c r="C3" i="3"/>
  <c r="BK3" i="3"/>
  <c r="BE3" i="3"/>
  <c r="T3" i="3"/>
  <c r="AO3" i="3"/>
  <c r="AB3" i="3"/>
  <c r="O3" i="3"/>
  <c r="F3" i="3"/>
  <c r="BX3" i="3"/>
  <c r="AT3" i="3"/>
  <c r="AI3" i="3"/>
  <c r="S3" i="3"/>
  <c r="M3" i="3"/>
  <c r="CB3" i="3"/>
  <c r="BO3" i="3"/>
  <c r="AC3" i="3"/>
  <c r="BB3" i="3"/>
  <c r="BL3" i="3"/>
  <c r="BC3" i="3"/>
  <c r="W3" i="3"/>
  <c r="AD3" i="3"/>
  <c r="J3" i="3"/>
  <c r="BU3" i="3"/>
  <c r="AG3" i="3"/>
  <c r="CF3" i="3"/>
  <c r="H3" i="3"/>
  <c r="BS3" i="3"/>
  <c r="CB2" i="3"/>
  <c r="K3" i="3"/>
  <c r="BP3" i="3"/>
  <c r="BQ3" i="3"/>
  <c r="AW3" i="3"/>
  <c r="AP2" i="3"/>
  <c r="AR2" i="3"/>
  <c r="BU2" i="3"/>
  <c r="E2" i="3"/>
  <c r="AE2" i="3"/>
  <c r="CA2" i="3"/>
  <c r="CA3" i="3"/>
  <c r="AJ3" i="3"/>
  <c r="AS3" i="3"/>
  <c r="Z3" i="3"/>
  <c r="AF3" i="3"/>
  <c r="Q3" i="3"/>
  <c r="BT3" i="3"/>
  <c r="D3" i="3"/>
  <c r="AU3" i="3"/>
  <c r="BW3" i="3"/>
  <c r="BI3" i="3"/>
  <c r="AM3" i="3"/>
  <c r="BF3" i="3"/>
  <c r="BA3" i="3"/>
  <c r="I3" i="3"/>
  <c r="BR3" i="3"/>
  <c r="AP3" i="3"/>
  <c r="G3" i="3"/>
  <c r="BZ3" i="3"/>
  <c r="AQ3" i="3"/>
  <c r="CD3" i="3"/>
  <c r="CC3" i="3"/>
  <c r="AE3" i="3"/>
  <c r="U3" i="3"/>
  <c r="BG3" i="3"/>
  <c r="AA3" i="3"/>
  <c r="AL3" i="3"/>
  <c r="BM3" i="3"/>
  <c r="BD3" i="3"/>
  <c r="P3" i="3"/>
  <c r="BH3" i="3"/>
  <c r="BV3" i="3"/>
  <c r="AH3" i="3"/>
  <c r="BY3" i="3"/>
  <c r="AX3" i="3"/>
  <c r="BJ3" i="3"/>
  <c r="AZ3" i="3"/>
  <c r="AK3" i="3"/>
  <c r="AM5" i="3"/>
  <c r="BS5" i="3"/>
  <c r="BX7" i="3"/>
  <c r="BS4" i="3"/>
  <c r="AF6" i="3"/>
  <c r="N7" i="3"/>
  <c r="BU7" i="3"/>
  <c r="BT4" i="3"/>
  <c r="AL7" i="3"/>
  <c r="AP4" i="3"/>
  <c r="BS7" i="3"/>
  <c r="O5" i="3"/>
  <c r="CE6" i="3"/>
  <c r="AW4" i="3"/>
  <c r="AF4" i="3"/>
  <c r="BG5" i="3"/>
  <c r="CB4" i="3"/>
  <c r="N5" i="3"/>
  <c r="BV7" i="3"/>
  <c r="F4" i="3"/>
  <c r="Z7" i="3"/>
  <c r="AX7" i="3"/>
  <c r="P5" i="3"/>
  <c r="I5" i="3"/>
  <c r="Q7" i="3"/>
  <c r="AS5" i="3"/>
  <c r="AJ7" i="3"/>
  <c r="AT5" i="3"/>
  <c r="BW5" i="3"/>
  <c r="BL5" i="3"/>
  <c r="BU6" i="3"/>
  <c r="G6" i="3"/>
  <c r="AE7" i="3"/>
  <c r="M4" i="3"/>
  <c r="J5" i="3"/>
  <c r="Q4" i="3"/>
  <c r="U6" i="3"/>
  <c r="M5" i="3"/>
  <c r="AN4" i="3"/>
  <c r="Q6" i="3"/>
  <c r="BY4" i="3"/>
  <c r="BC5" i="3"/>
  <c r="AT6" i="3"/>
  <c r="L5" i="3"/>
  <c r="BW4" i="3"/>
  <c r="BP4" i="3"/>
  <c r="BB4" i="3"/>
  <c r="I7" i="3"/>
  <c r="I4" i="3"/>
  <c r="CB6" i="3"/>
  <c r="X6" i="3"/>
  <c r="I6" i="3"/>
  <c r="AB7" i="3"/>
  <c r="C7" i="3"/>
  <c r="BN7" i="3"/>
  <c r="E6" i="3"/>
  <c r="BW7" i="3"/>
  <c r="S7" i="3"/>
  <c r="AH6" i="3"/>
  <c r="W4" i="3"/>
  <c r="AM6" i="3"/>
  <c r="K7" i="3"/>
  <c r="AP7" i="3"/>
  <c r="W6" i="3"/>
  <c r="N6" i="3"/>
  <c r="AQ4" i="3"/>
  <c r="AW7" i="3"/>
  <c r="BV5" i="3"/>
  <c r="G5" i="3"/>
  <c r="AG6" i="3"/>
  <c r="U4" i="3"/>
  <c r="AJ5" i="3"/>
  <c r="AV5" i="3"/>
  <c r="J7" i="3"/>
  <c r="AX6" i="3"/>
  <c r="BQ6" i="3"/>
  <c r="AO4" i="3"/>
  <c r="BM4" i="3"/>
  <c r="Z4" i="3"/>
  <c r="AJ4" i="3"/>
  <c r="BA7" i="3"/>
  <c r="AA5" i="3"/>
  <c r="AK5" i="3"/>
  <c r="E4" i="3"/>
  <c r="CE4" i="3"/>
  <c r="BZ4" i="3"/>
  <c r="CF4" i="3"/>
  <c r="H5" i="3"/>
  <c r="BI5" i="3"/>
  <c r="CE7" i="3"/>
  <c r="AS6" i="3"/>
  <c r="BW6" i="3"/>
  <c r="CD7" i="3"/>
  <c r="AV6" i="3"/>
  <c r="R4" i="3"/>
  <c r="AY6" i="3"/>
  <c r="AB5" i="3"/>
  <c r="L4" i="3"/>
  <c r="AR4" i="3"/>
  <c r="Y4" i="3"/>
  <c r="AL4" i="3"/>
  <c r="AA6" i="3"/>
  <c r="AQ5" i="3"/>
  <c r="BO5" i="3"/>
  <c r="BV6" i="3"/>
  <c r="BO6" i="3"/>
  <c r="R6" i="3"/>
  <c r="BF6" i="3"/>
  <c r="BA4" i="3"/>
  <c r="BK6" i="3"/>
  <c r="P6" i="3"/>
  <c r="BR6" i="3"/>
  <c r="BZ6" i="3"/>
  <c r="Q5" i="3"/>
  <c r="AM4" i="3"/>
  <c r="AZ7" i="3"/>
  <c r="BR4" i="3"/>
  <c r="Y5" i="3"/>
  <c r="AH5" i="3"/>
  <c r="BI4" i="3"/>
  <c r="AJ6" i="3"/>
  <c r="T4" i="3"/>
  <c r="AZ6" i="3"/>
  <c r="E7" i="3"/>
  <c r="CB5" i="3"/>
  <c r="BP7" i="3"/>
  <c r="CA7" i="3"/>
  <c r="C5" i="3"/>
  <c r="BP6" i="3"/>
  <c r="BB6" i="3"/>
  <c r="AG5" i="3"/>
  <c r="BI6" i="3"/>
  <c r="BF5" i="3"/>
  <c r="AU7" i="3"/>
  <c r="BY6" i="3"/>
  <c r="AL6" i="3"/>
  <c r="CF7" i="3"/>
  <c r="AO7" i="3"/>
  <c r="AF5" i="3"/>
  <c r="V7" i="3"/>
  <c r="P4" i="3"/>
  <c r="AU6" i="3"/>
  <c r="AY4" i="3"/>
  <c r="BG4" i="3"/>
  <c r="S6" i="3"/>
  <c r="D5" i="3"/>
  <c r="BN6" i="3"/>
  <c r="X7" i="3"/>
  <c r="BT6" i="3"/>
  <c r="AK7" i="3"/>
  <c r="R7" i="3"/>
  <c r="BR5" i="3"/>
  <c r="BY7" i="3"/>
  <c r="BG6" i="3"/>
  <c r="BC7" i="3"/>
  <c r="BC4" i="3"/>
  <c r="AB6" i="3"/>
  <c r="BB5" i="3"/>
  <c r="L7" i="3"/>
  <c r="W5" i="3"/>
  <c r="BG7" i="3"/>
  <c r="AI4" i="3"/>
  <c r="O4" i="3"/>
  <c r="S4" i="3"/>
  <c r="BI7" i="3"/>
  <c r="BC6" i="3"/>
  <c r="S5" i="3"/>
  <c r="CF6" i="3"/>
  <c r="W7" i="3"/>
  <c r="Z5" i="3"/>
  <c r="AH7" i="3"/>
  <c r="BT5" i="3"/>
  <c r="CA5" i="3"/>
  <c r="BA6" i="3"/>
  <c r="F6" i="3"/>
  <c r="AI6" i="3"/>
  <c r="AT4" i="3"/>
  <c r="AG4" i="3"/>
  <c r="CC6" i="3"/>
  <c r="K4" i="3"/>
  <c r="V6" i="3"/>
  <c r="AL5" i="3"/>
  <c r="BX5" i="3"/>
  <c r="BT7" i="3"/>
  <c r="BU4" i="3"/>
  <c r="AA4" i="3"/>
  <c r="AW6" i="3"/>
  <c r="BN5" i="3"/>
  <c r="AI5" i="3"/>
  <c r="Y6" i="3"/>
  <c r="E5" i="3"/>
  <c r="AC7" i="3"/>
  <c r="X5" i="3"/>
  <c r="AQ7" i="3"/>
  <c r="U7" i="3"/>
  <c r="BE4" i="3"/>
  <c r="AD5" i="3"/>
  <c r="AE6" i="3"/>
  <c r="BQ7" i="3"/>
  <c r="AY5" i="3"/>
  <c r="AU5" i="3"/>
  <c r="T7" i="3"/>
  <c r="BF4" i="3"/>
  <c r="AW5" i="3"/>
  <c r="BJ6" i="3"/>
  <c r="AD6" i="3"/>
  <c r="Z6" i="3"/>
  <c r="BH7" i="3"/>
  <c r="BK7" i="3"/>
  <c r="BV4" i="3"/>
  <c r="M7" i="3"/>
  <c r="R5" i="3"/>
  <c r="AP5" i="3"/>
  <c r="AS4" i="3"/>
  <c r="BD6" i="3"/>
  <c r="BA5" i="3"/>
  <c r="J4" i="3"/>
  <c r="CD5" i="3"/>
  <c r="BP5" i="3"/>
  <c r="U5" i="3"/>
  <c r="H7" i="3"/>
  <c r="AE4" i="3"/>
  <c r="AI7" i="3"/>
  <c r="BZ5" i="3"/>
  <c r="AK6" i="3"/>
  <c r="BD4" i="3"/>
  <c r="M6" i="3"/>
  <c r="CC7" i="3"/>
  <c r="T5" i="3"/>
  <c r="AO6" i="3"/>
  <c r="F7" i="3"/>
  <c r="BE5" i="3"/>
  <c r="AK4" i="3"/>
  <c r="L6" i="3"/>
  <c r="AQ6" i="3"/>
  <c r="AP6" i="3"/>
  <c r="CD4" i="3"/>
  <c r="T6" i="3"/>
  <c r="AA7" i="3"/>
  <c r="BH6" i="3"/>
  <c r="G7" i="3"/>
  <c r="BJ4" i="3"/>
  <c r="H4" i="3"/>
  <c r="AE5" i="3"/>
  <c r="O6" i="3"/>
  <c r="CF5" i="3"/>
  <c r="K5" i="3"/>
  <c r="BM5" i="3"/>
  <c r="BX6" i="3"/>
  <c r="BO4" i="3"/>
  <c r="BJ5" i="3"/>
  <c r="BQ5" i="3"/>
  <c r="AR6" i="3"/>
  <c r="BY5" i="3"/>
  <c r="BF7" i="3"/>
  <c r="AV4" i="3"/>
  <c r="C6" i="3"/>
  <c r="V4" i="3"/>
  <c r="AD7" i="3"/>
  <c r="CD6" i="3"/>
  <c r="CB7" i="3"/>
  <c r="O7" i="3"/>
  <c r="AR5" i="3"/>
  <c r="BO7" i="3"/>
  <c r="AN5" i="3"/>
  <c r="CA6" i="3"/>
  <c r="D7" i="3"/>
  <c r="BL4" i="3"/>
  <c r="AD4" i="3"/>
  <c r="AH4" i="3"/>
  <c r="J6" i="3"/>
  <c r="AF7" i="3"/>
  <c r="BK5" i="3"/>
  <c r="AV7" i="3"/>
  <c r="AS7" i="3"/>
  <c r="BN4" i="3"/>
  <c r="BB7" i="3"/>
  <c r="X4" i="3"/>
  <c r="AG7" i="3"/>
  <c r="BQ4" i="3"/>
  <c r="AR7" i="3"/>
  <c r="D4" i="3"/>
  <c r="CE5" i="3"/>
  <c r="G4" i="3"/>
  <c r="AC6" i="3"/>
  <c r="BU5" i="3"/>
  <c r="AB4" i="3"/>
  <c r="BS6" i="3"/>
  <c r="C4" i="3"/>
  <c r="C8" i="3"/>
  <c r="T8" i="3"/>
  <c r="AK8" i="3"/>
  <c r="BG8" i="3"/>
  <c r="CC8" i="3"/>
  <c r="P9" i="3"/>
  <c r="AL9" i="3"/>
  <c r="BH9" i="3"/>
  <c r="CD9" i="3"/>
  <c r="Q10" i="3"/>
  <c r="AM10" i="3"/>
  <c r="BI10" i="3"/>
  <c r="BZ10" i="3"/>
  <c r="R11" i="3"/>
  <c r="AL11" i="3"/>
  <c r="BB11" i="3"/>
  <c r="BV11" i="3"/>
  <c r="H12" i="3"/>
  <c r="AB12" i="3"/>
  <c r="AR12" i="3"/>
  <c r="BL12" i="3"/>
  <c r="CB12" i="3"/>
  <c r="O13" i="3"/>
  <c r="AE13" i="3"/>
  <c r="AT13" i="3"/>
  <c r="BK13" i="3"/>
  <c r="BZ13" i="3"/>
  <c r="J14" i="3"/>
  <c r="X14" i="3"/>
  <c r="AL14" i="3"/>
  <c r="BB14" i="3"/>
  <c r="BP14" i="3"/>
  <c r="CD14" i="3"/>
  <c r="N15" i="3"/>
  <c r="AB15" i="3"/>
  <c r="AR15" i="3"/>
  <c r="BF15" i="3"/>
  <c r="BT15" i="3"/>
  <c r="D16" i="3"/>
  <c r="R16" i="3"/>
  <c r="AH16" i="3"/>
  <c r="AV16" i="3"/>
  <c r="BJ16" i="3"/>
  <c r="BX16" i="3"/>
  <c r="H17" i="3"/>
  <c r="X17" i="3"/>
  <c r="AL17" i="3"/>
  <c r="AZ17" i="3"/>
  <c r="BN17" i="3"/>
  <c r="CB17" i="3"/>
  <c r="N18" i="3"/>
  <c r="AB18" i="3"/>
  <c r="AP18" i="3"/>
  <c r="BD18" i="3"/>
  <c r="BR18" i="3"/>
  <c r="O18" i="3"/>
  <c r="AQ18" i="3"/>
  <c r="BU18" i="3"/>
  <c r="U8" i="3"/>
  <c r="AL8" i="3"/>
  <c r="BH8" i="3"/>
  <c r="CD8" i="3"/>
  <c r="V9" i="3"/>
  <c r="AM9" i="3"/>
  <c r="BI9" i="3"/>
  <c r="CE9" i="3"/>
  <c r="R10" i="3"/>
  <c r="AN10" i="3"/>
  <c r="BJ10" i="3"/>
  <c r="CF10" i="3"/>
  <c r="S11" i="3"/>
  <c r="AM11" i="3"/>
  <c r="BC11" i="3"/>
  <c r="BW11" i="3"/>
  <c r="I12" i="3"/>
  <c r="AC12" i="3"/>
  <c r="AS12" i="3"/>
  <c r="BM12" i="3"/>
  <c r="CC12" i="3"/>
  <c r="Q13" i="3"/>
  <c r="AF13" i="3"/>
  <c r="AU13" i="3"/>
  <c r="BM13" i="3"/>
  <c r="CA13" i="3"/>
  <c r="K14" i="3"/>
  <c r="Y14" i="3"/>
  <c r="AO14" i="3"/>
  <c r="BC14" i="3"/>
  <c r="BQ14" i="3"/>
  <c r="CE14" i="3"/>
  <c r="O15" i="3"/>
  <c r="AE15" i="3"/>
  <c r="AS15" i="3"/>
  <c r="BG15" i="3"/>
  <c r="BU15" i="3"/>
  <c r="E16" i="3"/>
  <c r="U16" i="3"/>
  <c r="AI16" i="3"/>
  <c r="AW16" i="3"/>
  <c r="BK16" i="3"/>
  <c r="BY16" i="3"/>
  <c r="K17" i="3"/>
  <c r="Y17" i="3"/>
  <c r="AM17" i="3"/>
  <c r="BA17" i="3"/>
  <c r="BO17" i="3"/>
  <c r="CE17" i="3"/>
  <c r="AC18" i="3"/>
  <c r="BE18" i="3"/>
  <c r="H8" i="3"/>
  <c r="Y8" i="3"/>
  <c r="AU8" i="3"/>
  <c r="BQ8" i="3"/>
  <c r="D9" i="3"/>
  <c r="Z9" i="3"/>
  <c r="AV9" i="3"/>
  <c r="BR9" i="3"/>
  <c r="E10" i="3"/>
  <c r="AA10" i="3"/>
  <c r="AW10" i="3"/>
  <c r="BN10" i="3"/>
  <c r="F11" i="3"/>
  <c r="AA11" i="3"/>
  <c r="AQ11" i="3"/>
  <c r="BK11" i="3"/>
  <c r="CA11" i="3"/>
  <c r="Q12" i="3"/>
  <c r="AG12" i="3"/>
  <c r="BA12" i="3"/>
  <c r="BQ12" i="3"/>
  <c r="F13" i="3"/>
  <c r="U13" i="3"/>
  <c r="AJ13" i="3"/>
  <c r="BB13" i="3"/>
  <c r="BQ13" i="3"/>
  <c r="CE13" i="3"/>
  <c r="Q14" i="3"/>
  <c r="AE14" i="3"/>
  <c r="AS14" i="3"/>
  <c r="BG14" i="3"/>
  <c r="BU14" i="3"/>
  <c r="G15" i="3"/>
  <c r="U15" i="3"/>
  <c r="AI15" i="3"/>
  <c r="AW15" i="3"/>
  <c r="BK15" i="3"/>
  <c r="CA15" i="3"/>
  <c r="K16" i="3"/>
  <c r="Y16" i="3"/>
  <c r="AM16" i="3"/>
  <c r="BA16" i="3"/>
  <c r="BQ16" i="3"/>
  <c r="CE16" i="3"/>
  <c r="O17" i="3"/>
  <c r="AC17" i="3"/>
  <c r="AQ17" i="3"/>
  <c r="BG17" i="3"/>
  <c r="BU17" i="3"/>
  <c r="E18" i="3"/>
  <c r="S18" i="3"/>
  <c r="AG18" i="3"/>
  <c r="AW18" i="3"/>
  <c r="BK18" i="3"/>
  <c r="BY18" i="3"/>
  <c r="N8" i="3"/>
  <c r="AT8" i="3"/>
  <c r="BT8" i="3"/>
  <c r="O9" i="3"/>
  <c r="AU9" i="3"/>
  <c r="BU9" i="3"/>
  <c r="P10" i="3"/>
  <c r="AV10" i="3"/>
  <c r="BV10" i="3"/>
  <c r="Q11" i="3"/>
  <c r="AP11" i="3"/>
  <c r="BN11" i="3"/>
  <c r="G12" i="3"/>
  <c r="AF12" i="3"/>
  <c r="BD12" i="3"/>
  <c r="CA12" i="3"/>
  <c r="T13" i="3"/>
  <c r="AP13" i="3"/>
  <c r="BH13" i="3"/>
  <c r="CD13" i="3"/>
  <c r="T14" i="3"/>
  <c r="AK14" i="3"/>
  <c r="BF14" i="3"/>
  <c r="BZ14" i="3"/>
  <c r="M15" i="3"/>
  <c r="AH15" i="3"/>
  <c r="AZ15" i="3"/>
  <c r="BS15" i="3"/>
  <c r="J16" i="3"/>
  <c r="AB16" i="3"/>
  <c r="AU16" i="3"/>
  <c r="BN16" i="3"/>
  <c r="D17" i="3"/>
  <c r="W17" i="3"/>
  <c r="AP17" i="3"/>
  <c r="BJ17" i="3"/>
  <c r="CA17" i="3"/>
  <c r="R18" i="3"/>
  <c r="AL18" i="3"/>
  <c r="BC18" i="3"/>
  <c r="BX18" i="3"/>
  <c r="V8" i="3"/>
  <c r="AV8" i="3"/>
  <c r="BU8" i="3"/>
  <c r="W9" i="3"/>
  <c r="BV9" i="3"/>
  <c r="X10" i="3"/>
  <c r="AX10" i="3"/>
  <c r="BW10" i="3"/>
  <c r="T11" i="3"/>
  <c r="AR11" i="3"/>
  <c r="BO11" i="3"/>
  <c r="J12" i="3"/>
  <c r="BE12" i="3"/>
  <c r="CD12" i="3"/>
  <c r="V13" i="3"/>
  <c r="AQ13" i="3"/>
  <c r="BN13" i="3"/>
  <c r="CF13" i="3"/>
  <c r="AP14" i="3"/>
  <c r="BH14" i="3"/>
  <c r="CA14" i="3"/>
  <c r="P15" i="3"/>
  <c r="AJ15" i="3"/>
  <c r="BV15" i="3"/>
  <c r="L16" i="3"/>
  <c r="AC16" i="3"/>
  <c r="AW9" i="3"/>
  <c r="AH12" i="3"/>
  <c r="U14" i="3"/>
  <c r="AF8" i="3"/>
  <c r="BE8" i="3"/>
  <c r="CF8" i="3"/>
  <c r="AB9" i="3"/>
  <c r="BF9" i="3"/>
  <c r="C10" i="3"/>
  <c r="AC10" i="3"/>
  <c r="BB10" i="3"/>
  <c r="D11" i="3"/>
  <c r="AC11" i="3"/>
  <c r="AZ11" i="3"/>
  <c r="BY11" i="3"/>
  <c r="S12" i="3"/>
  <c r="AP12" i="3"/>
  <c r="BO12" i="3"/>
  <c r="H13" i="3"/>
  <c r="AC13" i="3"/>
  <c r="AY13" i="3"/>
  <c r="BS13" i="3"/>
  <c r="H14" i="3"/>
  <c r="AC14" i="3"/>
  <c r="AU14" i="3"/>
  <c r="BN14" i="3"/>
  <c r="C15" i="3"/>
  <c r="W15" i="3"/>
  <c r="AN15" i="3"/>
  <c r="BI15" i="3"/>
  <c r="CC15" i="3"/>
  <c r="P16" i="3"/>
  <c r="AK16" i="3"/>
  <c r="BE16" i="3"/>
  <c r="BV16" i="3"/>
  <c r="M17" i="3"/>
  <c r="AE17" i="3"/>
  <c r="AX17" i="3"/>
  <c r="BS17" i="3"/>
  <c r="G18" i="3"/>
  <c r="Z18" i="3"/>
  <c r="AS18" i="3"/>
  <c r="BM18" i="3"/>
  <c r="CD18" i="3"/>
  <c r="I8" i="3"/>
  <c r="AH8" i="3"/>
  <c r="BI8" i="3"/>
  <c r="M8" i="3"/>
  <c r="BF8" i="3"/>
  <c r="M9" i="3"/>
  <c r="AY9" i="3"/>
  <c r="F10" i="3"/>
  <c r="AO10" i="3"/>
  <c r="BY10" i="3"/>
  <c r="AE11" i="3"/>
  <c r="BL11" i="3"/>
  <c r="P12" i="3"/>
  <c r="AT12" i="3"/>
  <c r="BY12" i="3"/>
  <c r="X13" i="3"/>
  <c r="BC13" i="3"/>
  <c r="CB13" i="3"/>
  <c r="W14" i="3"/>
  <c r="AW14" i="3"/>
  <c r="BV14" i="3"/>
  <c r="T15" i="3"/>
  <c r="AT15" i="3"/>
  <c r="BP15" i="3"/>
  <c r="M16" i="3"/>
  <c r="AL16" i="3"/>
  <c r="BH16" i="3"/>
  <c r="CF16" i="3"/>
  <c r="Z17" i="3"/>
  <c r="AV17" i="3"/>
  <c r="BT17" i="3"/>
  <c r="J18" i="3"/>
  <c r="AH18" i="3"/>
  <c r="BF18" i="3"/>
  <c r="CB18" i="3"/>
  <c r="W8" i="3"/>
  <c r="BJ8" i="3"/>
  <c r="N9" i="3"/>
  <c r="AZ9" i="3"/>
  <c r="L10" i="3"/>
  <c r="AP10" i="3"/>
  <c r="C11" i="3"/>
  <c r="AF11" i="3"/>
  <c r="BM11" i="3"/>
  <c r="R12" i="3"/>
  <c r="AY12" i="3"/>
  <c r="BZ12" i="3"/>
  <c r="AA13" i="3"/>
  <c r="BD13" i="3"/>
  <c r="CC13" i="3"/>
  <c r="Z14" i="3"/>
  <c r="AX14" i="3"/>
  <c r="BY14" i="3"/>
  <c r="V15" i="3"/>
  <c r="AU15" i="3"/>
  <c r="BQ15" i="3"/>
  <c r="N16" i="3"/>
  <c r="AN16" i="3"/>
  <c r="BI16" i="3"/>
  <c r="C17" i="3"/>
  <c r="AA17" i="3"/>
  <c r="AW17" i="3"/>
  <c r="BV17" i="3"/>
  <c r="M18" i="3"/>
  <c r="AK18" i="3"/>
  <c r="BI18" i="3"/>
  <c r="CC18" i="3"/>
  <c r="X8" i="3"/>
  <c r="BP8" i="3"/>
  <c r="X9" i="3"/>
  <c r="BG9" i="3"/>
  <c r="M10" i="3"/>
  <c r="AY10" i="3"/>
  <c r="E11" i="3"/>
  <c r="AK11" i="3"/>
  <c r="BP11" i="3"/>
  <c r="T12" i="3"/>
  <c r="AZ12" i="3"/>
  <c r="C13" i="3"/>
  <c r="AD13" i="3"/>
  <c r="BE13" i="3"/>
  <c r="E14" i="3"/>
  <c r="AD14" i="3"/>
  <c r="BA14" i="3"/>
  <c r="CB14" i="3"/>
  <c r="X15" i="3"/>
  <c r="AV15" i="3"/>
  <c r="BR15" i="3"/>
  <c r="O16" i="3"/>
  <c r="AO16" i="3"/>
  <c r="BL16" i="3"/>
  <c r="E17" i="3"/>
  <c r="AB17" i="3"/>
  <c r="AY17" i="3"/>
  <c r="P18" i="3"/>
  <c r="AM18" i="3"/>
  <c r="BJ18" i="3"/>
  <c r="AH9" i="3"/>
  <c r="N11" i="3"/>
  <c r="AI13" i="3"/>
  <c r="D15" i="3"/>
  <c r="BS16" i="3"/>
  <c r="BZ17" i="3"/>
  <c r="AR13" i="3"/>
  <c r="AA16" i="3"/>
  <c r="AA18" i="3"/>
  <c r="K8" i="3"/>
  <c r="AO12" i="3"/>
  <c r="BL15" i="3"/>
  <c r="H18" i="3"/>
  <c r="O12" i="3"/>
  <c r="BO15" i="3"/>
  <c r="AU17" i="3"/>
  <c r="BW17" i="3"/>
  <c r="BV8" i="3"/>
  <c r="BH10" i="3"/>
  <c r="BZ11" i="3"/>
  <c r="BF12" i="3"/>
  <c r="BO13" i="3"/>
  <c r="BI14" i="3"/>
  <c r="BC15" i="3"/>
  <c r="AT16" i="3"/>
  <c r="AI17" i="3"/>
  <c r="BO18" i="3"/>
  <c r="AM12" i="3"/>
  <c r="J15" i="3"/>
  <c r="BW16" i="3"/>
  <c r="BV18" i="3"/>
  <c r="K9" i="3"/>
  <c r="BS14" i="3"/>
  <c r="BM17" i="3"/>
  <c r="BD8" i="3"/>
  <c r="AL10" i="3"/>
  <c r="AQ12" i="3"/>
  <c r="S15" i="3"/>
  <c r="BG16" i="3"/>
  <c r="BP17" i="3"/>
  <c r="AK10" i="3"/>
  <c r="AX9" i="3"/>
  <c r="BX12" i="3"/>
  <c r="I16" i="3"/>
  <c r="Z8" i="3"/>
  <c r="BR8" i="3"/>
  <c r="Y9" i="3"/>
  <c r="BJ9" i="3"/>
  <c r="N10" i="3"/>
  <c r="AZ10" i="3"/>
  <c r="G11" i="3"/>
  <c r="AN11" i="3"/>
  <c r="BU11" i="3"/>
  <c r="U12" i="3"/>
  <c r="BB12" i="3"/>
  <c r="E13" i="3"/>
  <c r="AG13" i="3"/>
  <c r="BF13" i="3"/>
  <c r="F14" i="3"/>
  <c r="AF14" i="3"/>
  <c r="BD14" i="3"/>
  <c r="CC14" i="3"/>
  <c r="Y15" i="3"/>
  <c r="AX15" i="3"/>
  <c r="BW15" i="3"/>
  <c r="Q16" i="3"/>
  <c r="AP16" i="3"/>
  <c r="BM16" i="3"/>
  <c r="F17" i="3"/>
  <c r="AD17" i="3"/>
  <c r="BB17" i="3"/>
  <c r="BX17" i="3"/>
  <c r="Q18" i="3"/>
  <c r="AN18" i="3"/>
  <c r="BL18" i="3"/>
  <c r="AG8" i="3"/>
  <c r="BS8" i="3"/>
  <c r="AA9" i="3"/>
  <c r="O10" i="3"/>
  <c r="BA10" i="3"/>
  <c r="H11" i="3"/>
  <c r="AO11" i="3"/>
  <c r="BX11" i="3"/>
  <c r="BC12" i="3"/>
  <c r="G13" i="3"/>
  <c r="AH13" i="3"/>
  <c r="G14" i="3"/>
  <c r="BE14" i="3"/>
  <c r="Z15" i="3"/>
  <c r="BX15" i="3"/>
  <c r="BR16" i="3"/>
  <c r="AF17" i="3"/>
  <c r="BY17" i="3"/>
  <c r="BN18" i="3"/>
  <c r="BL9" i="3"/>
  <c r="AA12" i="3"/>
  <c r="I14" i="3"/>
  <c r="CB15" i="3"/>
  <c r="BD17" i="3"/>
  <c r="BW9" i="3"/>
  <c r="BP12" i="3"/>
  <c r="AQ14" i="3"/>
  <c r="BH15" i="3"/>
  <c r="Q17" i="3"/>
  <c r="AY18" i="3"/>
  <c r="S13" i="3"/>
  <c r="S17" i="3"/>
  <c r="BJ11" i="3"/>
  <c r="AJ16" i="3"/>
  <c r="BK9" i="3"/>
  <c r="V12" i="3"/>
  <c r="BG13" i="3"/>
  <c r="AG14" i="3"/>
  <c r="CF14" i="3"/>
  <c r="AY15" i="3"/>
  <c r="V16" i="3"/>
  <c r="AS16" i="3"/>
  <c r="G17" i="3"/>
  <c r="BC17" i="3"/>
  <c r="T18" i="3"/>
  <c r="AO18" i="3"/>
  <c r="AI8" i="3"/>
  <c r="Y10" i="3"/>
  <c r="AW11" i="3"/>
  <c r="I13" i="3"/>
  <c r="AH14" i="3"/>
  <c r="AA15" i="3"/>
  <c r="W16" i="3"/>
  <c r="L17" i="3"/>
  <c r="AR18" i="3"/>
  <c r="D12" i="3"/>
  <c r="BO14" i="3"/>
  <c r="AN17" i="3"/>
  <c r="AX8" i="3"/>
  <c r="L15" i="3"/>
  <c r="AE18" i="3"/>
  <c r="BT14" i="3"/>
  <c r="CA18" i="3"/>
  <c r="U18" i="3"/>
  <c r="AB11" i="3"/>
  <c r="AT14" i="3"/>
  <c r="F16" i="3"/>
  <c r="AR17" i="3"/>
  <c r="BY13" i="3"/>
  <c r="BB18" i="3"/>
  <c r="AJ8" i="3"/>
  <c r="CB8" i="3"/>
  <c r="AI9" i="3"/>
  <c r="BS9" i="3"/>
  <c r="Z10" i="3"/>
  <c r="BK10" i="3"/>
  <c r="O11" i="3"/>
  <c r="AX11" i="3"/>
  <c r="CB11" i="3"/>
  <c r="AD12" i="3"/>
  <c r="BK12" i="3"/>
  <c r="J13" i="3"/>
  <c r="AM13" i="3"/>
  <c r="BP13" i="3"/>
  <c r="L14" i="3"/>
  <c r="AI14" i="3"/>
  <c r="BJ14" i="3"/>
  <c r="H15" i="3"/>
  <c r="AF15" i="3"/>
  <c r="BD15" i="3"/>
  <c r="CD15" i="3"/>
  <c r="X16" i="3"/>
  <c r="AX16" i="3"/>
  <c r="BT16" i="3"/>
  <c r="N17" i="3"/>
  <c r="AJ17" i="3"/>
  <c r="BH17" i="3"/>
  <c r="CF17" i="3"/>
  <c r="V18" i="3"/>
  <c r="AT18" i="3"/>
  <c r="BP18" i="3"/>
  <c r="AR8" i="3"/>
  <c r="CE8" i="3"/>
  <c r="AJ9" i="3"/>
  <c r="BT9" i="3"/>
  <c r="AB10" i="3"/>
  <c r="P11" i="3"/>
  <c r="AY11" i="3"/>
  <c r="C12" i="3"/>
  <c r="AE12" i="3"/>
  <c r="BN12" i="3"/>
  <c r="K13" i="3"/>
  <c r="AO13" i="3"/>
  <c r="BR13" i="3"/>
  <c r="M14" i="3"/>
  <c r="AJ14" i="3"/>
  <c r="BM14" i="3"/>
  <c r="I15" i="3"/>
  <c r="AG15" i="3"/>
  <c r="BE15" i="3"/>
  <c r="CE15" i="3"/>
  <c r="AY16" i="3"/>
  <c r="BU16" i="3"/>
  <c r="P17" i="3"/>
  <c r="AK17" i="3"/>
  <c r="BI17" i="3"/>
  <c r="C18" i="3"/>
  <c r="Y18" i="3"/>
  <c r="AX18" i="3"/>
  <c r="BQ18" i="3"/>
  <c r="AK9" i="3"/>
  <c r="AD10" i="3"/>
  <c r="BM10" i="3"/>
  <c r="Y11" i="3"/>
  <c r="BA11" i="3"/>
  <c r="L13" i="3"/>
  <c r="N14" i="3"/>
  <c r="AK15" i="3"/>
  <c r="CF15" i="3"/>
  <c r="BK17" i="3"/>
  <c r="AV13" i="3"/>
  <c r="BF16" i="3"/>
  <c r="V14" i="3"/>
  <c r="I18" i="3"/>
  <c r="BL10" i="3"/>
  <c r="Z16" i="3"/>
  <c r="AS8" i="3"/>
  <c r="BT13" i="3"/>
  <c r="AZ16" i="3"/>
  <c r="CF9" i="3"/>
  <c r="S14" i="3"/>
  <c r="AG16" i="3"/>
  <c r="BA18" i="3"/>
  <c r="L8" i="3"/>
  <c r="AV14" i="3"/>
  <c r="T17" i="3"/>
  <c r="C9" i="3"/>
  <c r="D18" i="3"/>
  <c r="BA13" i="3"/>
  <c r="AF18" i="3"/>
  <c r="J8" i="3"/>
  <c r="AW8" i="3"/>
  <c r="J9" i="3"/>
  <c r="AN9" i="3"/>
  <c r="BX9" i="3"/>
  <c r="AJ10" i="3"/>
  <c r="BT10" i="3"/>
  <c r="Z11" i="3"/>
  <c r="BD11" i="3"/>
  <c r="E12" i="3"/>
  <c r="AN12" i="3"/>
  <c r="BR12" i="3"/>
  <c r="R13" i="3"/>
  <c r="AS13" i="3"/>
  <c r="BW13" i="3"/>
  <c r="R14" i="3"/>
  <c r="AR14" i="3"/>
  <c r="BR14" i="3"/>
  <c r="K15" i="3"/>
  <c r="AL15" i="3"/>
  <c r="BJ15" i="3"/>
  <c r="C16" i="3"/>
  <c r="AD16" i="3"/>
  <c r="BB16" i="3"/>
  <c r="BZ16" i="3"/>
  <c r="R17" i="3"/>
  <c r="AO17" i="3"/>
  <c r="BL17" i="3"/>
  <c r="F18" i="3"/>
  <c r="AD18" i="3"/>
  <c r="AZ18" i="3"/>
  <c r="BW18" i="3"/>
  <c r="AT9" i="3"/>
  <c r="BU10" i="3"/>
  <c r="BI11" i="3"/>
  <c r="F12" i="3"/>
  <c r="BW12" i="3"/>
  <c r="BX13" i="3"/>
  <c r="AM15" i="3"/>
  <c r="CC16" i="3"/>
  <c r="BZ18" i="3"/>
  <c r="L9" i="3"/>
  <c r="D10" i="3"/>
  <c r="BX10" i="3"/>
  <c r="AD11" i="3"/>
  <c r="W13" i="3"/>
  <c r="AQ15" i="3"/>
  <c r="CD16" i="3"/>
  <c r="AS9" i="3"/>
  <c r="AZ13" i="3"/>
  <c r="BT11" i="3"/>
  <c r="J10" i="3"/>
  <c r="AD8" i="3"/>
  <c r="K11" i="3"/>
  <c r="G9" i="3"/>
  <c r="BR17" i="3"/>
  <c r="H16" i="3"/>
  <c r="AB14" i="3"/>
  <c r="AV12" i="3"/>
  <c r="BP10" i="3"/>
  <c r="F9" i="3"/>
  <c r="CF18" i="3"/>
  <c r="CC17" i="3"/>
  <c r="S16" i="3"/>
  <c r="AM14" i="3"/>
  <c r="BG12" i="3"/>
  <c r="CA10" i="3"/>
  <c r="Q9" i="3"/>
  <c r="CC9" i="3"/>
  <c r="G8" i="3"/>
  <c r="CF11" i="3"/>
  <c r="CB9" i="3"/>
  <c r="F8" i="3"/>
  <c r="BE10" i="3"/>
  <c r="AO8" i="3"/>
  <c r="J17" i="3"/>
  <c r="R15" i="3"/>
  <c r="Z13" i="3"/>
  <c r="AH11" i="3"/>
  <c r="AP9" i="3"/>
  <c r="M12" i="3"/>
  <c r="K18" i="3"/>
  <c r="G16" i="3"/>
  <c r="O14" i="3"/>
  <c r="W12" i="3"/>
  <c r="AE10" i="3"/>
  <c r="AM8" i="3"/>
  <c r="AG9" i="3"/>
  <c r="AB13" i="3"/>
  <c r="AJ11" i="3"/>
  <c r="AR9" i="3"/>
  <c r="Y12" i="3"/>
  <c r="U10" i="3"/>
  <c r="E8" i="3"/>
  <c r="BD16" i="3"/>
  <c r="BL14" i="3"/>
  <c r="BT12" i="3"/>
  <c r="CB10" i="3"/>
  <c r="BX8" i="3"/>
  <c r="AV18" i="3"/>
  <c r="AS17" i="3"/>
  <c r="BA15" i="3"/>
  <c r="BI13" i="3"/>
  <c r="BQ11" i="3"/>
  <c r="BY9" i="3"/>
  <c r="CE10" i="3"/>
  <c r="I9" i="3"/>
  <c r="D13" i="3"/>
  <c r="L11" i="3"/>
  <c r="T9" i="3"/>
  <c r="BS11" i="3"/>
  <c r="BO9" i="3"/>
  <c r="BT18" i="3"/>
  <c r="AF16" i="3"/>
  <c r="AN14" i="3"/>
  <c r="AJ12" i="3"/>
  <c r="AR10" i="3"/>
  <c r="AZ8" i="3"/>
  <c r="L18" i="3"/>
  <c r="U17" i="3"/>
  <c r="AC15" i="3"/>
  <c r="AK13" i="3"/>
  <c r="AS11" i="3"/>
  <c r="BA9" i="3"/>
  <c r="AF10" i="3"/>
  <c r="Q15" i="3"/>
  <c r="AG11" i="3"/>
  <c r="BS10" i="3"/>
  <c r="CA8" i="3"/>
  <c r="BV12" i="3"/>
  <c r="CD10" i="3"/>
  <c r="H9" i="3"/>
  <c r="BG11" i="3"/>
  <c r="BC9" i="3"/>
  <c r="X18" i="3"/>
  <c r="T16" i="3"/>
  <c r="P14" i="3"/>
  <c r="X12" i="3"/>
  <c r="AN8" i="3"/>
  <c r="CE18" i="3"/>
  <c r="I17" i="3"/>
  <c r="Y13" i="3"/>
  <c r="AO9" i="3"/>
  <c r="BG10" i="3"/>
  <c r="BO8" i="3"/>
  <c r="BJ12" i="3"/>
  <c r="BR10" i="3"/>
  <c r="BZ8" i="3"/>
  <c r="AU11" i="3"/>
  <c r="AE9" i="3"/>
  <c r="CD17" i="3"/>
  <c r="BZ15" i="3"/>
  <c r="D14" i="3"/>
  <c r="L12" i="3"/>
  <c r="T10" i="3"/>
  <c r="AB8" i="3"/>
  <c r="BS18" i="3"/>
  <c r="CA16" i="3"/>
  <c r="E15" i="3"/>
  <c r="M13" i="3"/>
  <c r="U11" i="3"/>
  <c r="AC9" i="3"/>
  <c r="W10" i="3"/>
  <c r="AE8" i="3"/>
  <c r="Z12" i="3"/>
  <c r="AH10" i="3"/>
  <c r="AP8" i="3"/>
  <c r="CC10" i="3"/>
  <c r="BM8" i="3"/>
  <c r="AH17" i="3"/>
  <c r="AP15" i="3"/>
  <c r="AX13" i="3"/>
  <c r="BF11" i="3"/>
  <c r="BN9" i="3"/>
  <c r="BU12" i="3"/>
  <c r="AI18" i="3"/>
  <c r="AQ16" i="3"/>
  <c r="AY14" i="3"/>
  <c r="AU12" i="3"/>
  <c r="BC10" i="3"/>
  <c r="BK8" i="3"/>
  <c r="BQ9" i="3"/>
  <c r="BH11" i="3"/>
  <c r="BI12" i="3"/>
  <c r="AC8" i="3"/>
  <c r="F15" i="3"/>
  <c r="V11" i="3"/>
  <c r="AQ9" i="3"/>
  <c r="BY15" i="3"/>
  <c r="K12" i="3"/>
  <c r="AA8" i="3"/>
  <c r="BE9" i="3"/>
  <c r="AV11" i="3"/>
  <c r="AK12" i="3"/>
  <c r="Q8" i="3"/>
  <c r="BX14" i="3"/>
  <c r="J11" i="3"/>
  <c r="BH18" i="3"/>
  <c r="BM15" i="3"/>
  <c r="CC11" i="3"/>
  <c r="O8" i="3"/>
  <c r="U9" i="3"/>
  <c r="X11" i="3"/>
  <c r="CE11" i="3"/>
  <c r="I10" i="3"/>
  <c r="AZ14" i="3"/>
  <c r="AJ18" i="3"/>
  <c r="AO15" i="3"/>
  <c r="AX12" i="3"/>
  <c r="E9" i="3"/>
  <c r="BY8" i="3"/>
  <c r="BD10" i="3"/>
  <c r="S9" i="3"/>
  <c r="AI10" i="3"/>
  <c r="BC16" i="3"/>
  <c r="BC8" i="3"/>
  <c r="BF10" i="3"/>
  <c r="AI11" i="3"/>
  <c r="BF17" i="3"/>
  <c r="BV13" i="3"/>
  <c r="H10" i="3"/>
  <c r="BG18" i="3"/>
  <c r="BW14" i="3"/>
  <c r="I11" i="3"/>
  <c r="AQ8" i="3"/>
  <c r="AT10" i="3"/>
  <c r="W11" i="3"/>
  <c r="AT17" i="3"/>
  <c r="BJ13" i="3"/>
  <c r="BZ9" i="3"/>
  <c r="AU18" i="3"/>
  <c r="BK14" i="3"/>
  <c r="BO10" i="3"/>
  <c r="S8" i="3"/>
  <c r="V10" i="3"/>
  <c r="BQ10" i="3"/>
  <c r="V17" i="3"/>
  <c r="AL13" i="3"/>
  <c r="W18" i="3"/>
  <c r="AA14" i="3"/>
  <c r="AQ10" i="3"/>
  <c r="BN15" i="3"/>
  <c r="AL12" i="3"/>
  <c r="BB9" i="3"/>
  <c r="P8" i="3"/>
  <c r="D8" i="3"/>
  <c r="BL13" i="3"/>
  <c r="BP9" i="3"/>
  <c r="AS10" i="3"/>
  <c r="CB16" i="3"/>
  <c r="N13" i="3"/>
  <c r="AD9" i="3"/>
  <c r="BQ17" i="3"/>
  <c r="C14" i="3"/>
  <c r="S10" i="3"/>
  <c r="AW13" i="3"/>
  <c r="BN8" i="3"/>
  <c r="BB15" i="3"/>
  <c r="AN13" i="3"/>
  <c r="BD9" i="3"/>
  <c r="AG10" i="3"/>
  <c r="BP16" i="3"/>
  <c r="CF12" i="3"/>
  <c r="R9" i="3"/>
  <c r="BE17" i="3"/>
  <c r="BU13" i="3"/>
  <c r="G10" i="3"/>
  <c r="CD11" i="3"/>
  <c r="BW8" i="3"/>
  <c r="M11" i="3"/>
  <c r="P13" i="3"/>
  <c r="AF9" i="3"/>
  <c r="CA9" i="3"/>
  <c r="AR16" i="3"/>
  <c r="BH12" i="3"/>
  <c r="BL8" i="3"/>
  <c r="AG17" i="3"/>
  <c r="BM9" i="3"/>
  <c r="BO16" i="3"/>
  <c r="BB8" i="3"/>
  <c r="BS12" i="3"/>
  <c r="K10" i="3"/>
  <c r="N12" i="3"/>
  <c r="R8" i="3"/>
  <c r="BA8" i="3"/>
  <c r="AD15" i="3"/>
  <c r="AT11" i="3"/>
  <c r="AW12" i="3"/>
  <c r="AE16" i="3"/>
  <c r="AI12" i="3"/>
  <c r="AY8" i="3"/>
  <c r="BE11" i="3"/>
  <c r="AU10" i="3"/>
  <c r="CE12" i="3"/>
  <c r="BR11" i="3"/>
  <c r="N4" i="3"/>
  <c r="F5" i="3"/>
  <c r="BJ7" i="3"/>
  <c r="BL7" i="3"/>
  <c r="BM7" i="3"/>
  <c r="AT7" i="3"/>
  <c r="D6" i="3"/>
  <c r="K6" i="3"/>
  <c r="BE6" i="3"/>
  <c r="BL6" i="3"/>
  <c r="H6" i="3"/>
  <c r="AM7" i="3"/>
  <c r="AZ4" i="3"/>
  <c r="Y7" i="3"/>
  <c r="AU4" i="3"/>
  <c r="BK4" i="3"/>
  <c r="AN7" i="3"/>
  <c r="CA4" i="3"/>
  <c r="BM6" i="3"/>
  <c r="AO5" i="3"/>
  <c r="BD5" i="3"/>
  <c r="AZ5" i="3"/>
  <c r="BZ7" i="3"/>
  <c r="AN6" i="3"/>
  <c r="P7" i="3"/>
  <c r="BD7" i="3"/>
  <c r="CC5" i="3"/>
  <c r="V5" i="3"/>
  <c r="AC5" i="3"/>
  <c r="BE7" i="3"/>
  <c r="AX4" i="3"/>
  <c r="BX4" i="3"/>
  <c r="BH4" i="3"/>
  <c r="AC4" i="3"/>
  <c r="CC4" i="3"/>
  <c r="BH5" i="3"/>
  <c r="AY7" i="3"/>
  <c r="BR7" i="3"/>
  <c r="C2" i="29" l="1"/>
  <c r="D2" i="29"/>
  <c r="E2" i="29" s="1"/>
  <c r="F2" i="29" s="1"/>
  <c r="G2" i="29" s="1"/>
  <c r="H2" i="29" s="1"/>
  <c r="I2" i="29" s="1"/>
  <c r="J2" i="29" s="1"/>
  <c r="K2" i="29" s="1"/>
  <c r="L2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Jintae Kim</author>
  </authors>
  <commentList>
    <comment ref="G1" authorId="0" shapeId="0" xr:uid="{3C79EA71-F740-423D-861B-DDF3B3A95987}">
      <text>
        <r>
          <rPr>
            <b/>
            <sz val="9"/>
            <color indexed="81"/>
            <rFont val="Tahoma"/>
            <family val="2"/>
          </rPr>
          <t>Jintae Kim:</t>
        </r>
        <r>
          <rPr>
            <sz val="9"/>
            <color indexed="81"/>
            <rFont val="Tahoma"/>
            <family val="2"/>
          </rPr>
          <t xml:space="preserve">
UN 실질 GDP 통계 1990~2020년 CAGR 사용
Constant 2015 USD, Billion</t>
        </r>
      </text>
    </comment>
  </commentList>
</comments>
</file>

<file path=xl/sharedStrings.xml><?xml version="1.0" encoding="utf-8"?>
<sst xmlns="http://schemas.openxmlformats.org/spreadsheetml/2006/main" count="481" uniqueCount="84">
  <si>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</si>
  <si>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</si>
  <si>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</si>
  <si>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</si>
  <si>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</si>
  <si>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</si>
  <si>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</si>
  <si>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</si>
  <si>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</si>
  <si>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</si>
  <si>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</si>
  <si>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</si>
  <si>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</si>
  <si>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</si>
  <si>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</si>
  <si>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</si>
  <si>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</si>
  <si>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</si>
  <si>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</si>
  <si>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</si>
  <si>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</si>
  <si>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</si>
  <si>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</si>
  <si>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</si>
  <si>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</si>
  <si>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</si>
  <si>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</si>
  <si>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</si>
  <si>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</si>
  <si>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</si>
  <si>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</si>
  <si>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</si>
  <si>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11_RFSU</t>
  </si>
  <si>
    <t>14_RCPA</t>
  </si>
  <si>
    <t>16_RPAS</t>
  </si>
  <si>
    <t>17_RPAO</t>
  </si>
  <si>
    <t>인구</t>
  </si>
  <si>
    <t>GDPPPP</t>
  </si>
  <si>
    <t>Country Name</t>
  </si>
  <si>
    <t>Country Code</t>
  </si>
  <si>
    <t>Indicator Name</t>
  </si>
  <si>
    <t>Indicator Code</t>
  </si>
  <si>
    <t>Korea, Rep.</t>
  </si>
  <si>
    <t>KOR</t>
  </si>
  <si>
    <t>Gross savings (% of GDP)</t>
  </si>
  <si>
    <t>NY.GNS.ICTR.ZS</t>
  </si>
  <si>
    <t>China</t>
  </si>
  <si>
    <t>CHN</t>
  </si>
  <si>
    <t>Japan</t>
  </si>
  <si>
    <t>JPN</t>
  </si>
  <si>
    <t>Russian Federation</t>
  </si>
  <si>
    <t>RUS</t>
  </si>
  <si>
    <t>Mongolia</t>
  </si>
  <si>
    <t>MNG</t>
  </si>
  <si>
    <t>Korea, Dem. People's Rep.</t>
  </si>
  <si>
    <t>PRK</t>
  </si>
  <si>
    <t>United States</t>
  </si>
  <si>
    <t>USA</t>
  </si>
  <si>
    <t>Brazil</t>
  </si>
  <si>
    <t>BRA</t>
  </si>
  <si>
    <t>Germany</t>
  </si>
  <si>
    <t>DEU</t>
  </si>
  <si>
    <t>Poland</t>
  </si>
  <si>
    <t>POL</t>
  </si>
  <si>
    <t>Ukraine</t>
  </si>
  <si>
    <t>UKR</t>
  </si>
  <si>
    <t>Saudi Arabia</t>
  </si>
  <si>
    <t>SAU</t>
  </si>
  <si>
    <t>South Africa</t>
  </si>
  <si>
    <t>ZAF</t>
  </si>
  <si>
    <t>Viet Nam</t>
  </si>
  <si>
    <t>VNM</t>
  </si>
  <si>
    <t>India</t>
  </si>
  <si>
    <t>IND</t>
  </si>
  <si>
    <t>Indonesia</t>
  </si>
  <si>
    <t>IDN</t>
  </si>
  <si>
    <t>Australia</t>
  </si>
  <si>
    <t>AUS</t>
  </si>
  <si>
    <t>2000-2019</t>
  </si>
  <si>
    <t>Data Source</t>
  </si>
  <si>
    <t>World Development Indicators</t>
  </si>
  <si>
    <t>Last Updated Date</t>
  </si>
  <si>
    <t>모형 19년 sh1</t>
  </si>
  <si>
    <t>BAU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</si>
</sst>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0" xfId="0" applyNumberFormat="1"/>
    <xf numFmtId="2" fontId="0" fillId="0" borderId="0" xfId="0" applyNumberFormat="1"/>
    <xf numFmtId="165" fontId="0" fillId="2" borderId="1" xfId="0" applyNumberFormat="1" applyFill="1" applyBorder="1"/>
    <xf numFmtId="165" fontId="0" fillId="0" borderId="0" xfId="0" applyNumberFormat="1"/>
    <xf numFmtId="165" fontId="0" fillId="0" borderId="1" xfId="1" applyNumberFormat="1" applyFont="1" applyFill="1" applyBorder="1"/>
    <xf numFmtId="0" fontId="0" fillId="0" borderId="0" xfId="0" applyFont="1" applyBorder="1" applyAlignment="1">
      <alignment horizontal="center" vertical="top"/>
    </xf>
    <xf numFmtId="0" fontId="0" fillId="0" borderId="0" xfId="0" applyFont="1"/>
    <xf numFmtId="0" fontId="2" fillId="0" borderId="1" xfId="0" applyFont="1" applyBorder="1"/>
    <xf numFmtId="2" fontId="0" fillId="0" borderId="1" xfId="0" applyNumberFormat="1" applyBorder="1"/>
    <xf numFmtId="0" fontId="0" fillId="0" borderId="0" xfId="0" applyNumberFormat="1"/>
    <xf numFmtId="0" fontId="0" fillId="3" borderId="0" xfId="0" applyNumberFormat="1" applyFill="1"/>
    <xf numFmtId="0" fontId="0" fillId="0" borderId="0" xfId="0" applyNumberFormat="1" applyFill="1"/>
    <xf numFmtId="0" fontId="0" fillId="3" borderId="0" xfId="0" applyFill="1"/>
    <xf numFmtId="0" fontId="0" fillId="0" borderId="0" xfId="0" applyFill="1"/>
    <xf numFmtId="0" fontId="0" fillId="0" borderId="1" xfId="0" applyBorder="1" applyAlignment="1">
      <alignment horizontal="center" vertical="center"/>
    </xf>
    <xf numFmtId="10" fontId="0" fillId="0" borderId="1" xfId="2" applyNumberFormat="1" applyFont="1" applyBorder="1"/>
    <xf numFmtId="10" fontId="3" fillId="0" borderId="1" xfId="2" applyNumberFormat="1" applyFont="1" applyBorder="1"/>
    <xf numFmtId="14" fontId="0" fillId="0" borderId="0" xfId="0" applyNumberFormat="1"/>
    <xf numFmtId="165" fontId="0" fillId="0" borderId="0" xfId="0" applyNumberFormat="1" applyFont="1" applyBorder="1" applyAlignment="1">
      <alignment horizontal="center" vertical="top"/>
    </xf>
    <xf numFmtId="2" fontId="0" fillId="4" borderId="0" xfId="0" applyNumberFormat="1" applyFill="1"/>
    <xf numFmtId="0" fontId="2" fillId="0" borderId="1" xfId="0" applyFont="1" applyFill="1" applyBorder="1" applyAlignment="1">
      <alignment horizontal="center" vertical="top"/>
    </xf>
    <xf numFmtId="0" fontId="2" fillId="0" borderId="1" xfId="0" applyNumberFormat="1" applyFont="1" applyBorder="1" applyAlignment="1">
      <alignment horizontal="center" vertical="top"/>
    </xf>
    <xf numFmtId="0" fontId="2" fillId="5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9" fontId="0" fillId="0" borderId="0" xfId="2" applyFont="1"/>
    <xf numFmtId="3" fontId="6" fillId="0" borderId="0" xfId="0" applyNumberFormat="1" applyFont="1"/>
    <xf numFmtId="2" fontId="0" fillId="0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NDC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PERMIT_NDC_old!$A$2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PERMIT_NDC_old!$B$2:$AG$2</c:f>
              <c:numCache>
                <c:formatCode>0.00</c:formatCode>
                <c:ptCount val="32"/>
                <c:pt idx="0">
                  <c:v>1</c:v>
                </c:pt>
                <c:pt idx="1">
                  <c:v>0.96880530280148291</c:v>
                </c:pt>
                <c:pt idx="2">
                  <c:v>0.93761060560296583</c:v>
                </c:pt>
                <c:pt idx="3">
                  <c:v>0.90641590840444874</c:v>
                </c:pt>
                <c:pt idx="4">
                  <c:v>0.87522121120593166</c:v>
                </c:pt>
                <c:pt idx="5">
                  <c:v>0.84402651400741457</c:v>
                </c:pt>
                <c:pt idx="6">
                  <c:v>0.81283181680889749</c:v>
                </c:pt>
                <c:pt idx="7">
                  <c:v>0.7816371196103804</c:v>
                </c:pt>
                <c:pt idx="8">
                  <c:v>0.75044242241186332</c:v>
                </c:pt>
                <c:pt idx="9">
                  <c:v>0.71924772521334623</c:v>
                </c:pt>
                <c:pt idx="10">
                  <c:v>0.68805302801482915</c:v>
                </c:pt>
                <c:pt idx="11">
                  <c:v>0.65685833081631229</c:v>
                </c:pt>
                <c:pt idx="12">
                  <c:v>0.65685833081631229</c:v>
                </c:pt>
                <c:pt idx="13">
                  <c:v>0.65685833081631229</c:v>
                </c:pt>
                <c:pt idx="14">
                  <c:v>0.65685833081631229</c:v>
                </c:pt>
                <c:pt idx="15">
                  <c:v>0.65685833081631229</c:v>
                </c:pt>
                <c:pt idx="16">
                  <c:v>0.65685833081631229</c:v>
                </c:pt>
                <c:pt idx="17">
                  <c:v>0.65685833081631229</c:v>
                </c:pt>
                <c:pt idx="18">
                  <c:v>0.65685833081631229</c:v>
                </c:pt>
                <c:pt idx="19">
                  <c:v>0.65685833081631229</c:v>
                </c:pt>
                <c:pt idx="20">
                  <c:v>0.65685833081631229</c:v>
                </c:pt>
                <c:pt idx="21">
                  <c:v>0.65685833081631229</c:v>
                </c:pt>
                <c:pt idx="22">
                  <c:v>0.65685833081631229</c:v>
                </c:pt>
                <c:pt idx="23">
                  <c:v>0.65685833081631229</c:v>
                </c:pt>
                <c:pt idx="24">
                  <c:v>0.65685833081631229</c:v>
                </c:pt>
                <c:pt idx="25">
                  <c:v>0.65685833081631229</c:v>
                </c:pt>
                <c:pt idx="26">
                  <c:v>0.65685833081631229</c:v>
                </c:pt>
                <c:pt idx="27">
                  <c:v>0.65685833081631229</c:v>
                </c:pt>
                <c:pt idx="28">
                  <c:v>0.65685833081631229</c:v>
                </c:pt>
                <c:pt idx="29">
                  <c:v>0.65685833081631229</c:v>
                </c:pt>
                <c:pt idx="30">
                  <c:v>0.65685833081631229</c:v>
                </c:pt>
                <c:pt idx="31">
                  <c:v>0.65685833081631229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5-439C-9329-287CAD2CBAE6}"/>
            </c:ext>
          </c:extLst>
        </c:ser>
        <c:ser>
          <c:idx val="1"/>
          <c:order val="1"/>
          <c:tx>
            <c:strRef>
              <c:f>PERMIT_NDC_old!$A$3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PERMIT_NDC_old!$B$3:$AG$3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0.97052663224549995</c:v>
                </c:pt>
                <c:pt idx="13">
                  <c:v>0.97052663224549995</c:v>
                </c:pt>
                <c:pt idx="14">
                  <c:v>0.97052663224549995</c:v>
                </c:pt>
                <c:pt idx="15">
                  <c:v>0.97052663224549995</c:v>
                </c:pt>
                <c:pt idx="16">
                  <c:v>0.97052663224549995</c:v>
                </c:pt>
                <c:pt idx="17">
                  <c:v>0.97052663224549995</c:v>
                </c:pt>
                <c:pt idx="18">
                  <c:v>0.97052663224549995</c:v>
                </c:pt>
                <c:pt idx="19">
                  <c:v>0.97052663224549995</c:v>
                </c:pt>
                <c:pt idx="20">
                  <c:v>0.97052663224549995</c:v>
                </c:pt>
                <c:pt idx="21">
                  <c:v>0.97052663224549995</c:v>
                </c:pt>
                <c:pt idx="22">
                  <c:v>0.97052663224549995</c:v>
                </c:pt>
                <c:pt idx="23">
                  <c:v>0.97052663224549995</c:v>
                </c:pt>
                <c:pt idx="24">
                  <c:v>0.97052663224549995</c:v>
                </c:pt>
                <c:pt idx="25">
                  <c:v>0.97052663224549995</c:v>
                </c:pt>
                <c:pt idx="26">
                  <c:v>0.97052663224549995</c:v>
                </c:pt>
                <c:pt idx="27">
                  <c:v>0.97052663224549995</c:v>
                </c:pt>
                <c:pt idx="28">
                  <c:v>0.97052663224549995</c:v>
                </c:pt>
                <c:pt idx="29">
                  <c:v>0.97052663224549995</c:v>
                </c:pt>
                <c:pt idx="30">
                  <c:v>0.97052663224549995</c:v>
                </c:pt>
                <c:pt idx="31">
                  <c:v>0.97052663224549995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5-439C-9329-287CAD2CBAE6}"/>
            </c:ext>
          </c:extLst>
        </c:ser>
        <c:ser>
          <c:idx val="2"/>
          <c:order val="2"/>
          <c:tx>
            <c:strRef>
              <c:f>PERMIT_NDC_old!$A$4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PERMIT_NDC_old!$B$4:$AG$4</c:f>
              <c:numCache>
                <c:formatCode>0.00</c:formatCode>
                <c:ptCount val="32"/>
                <c:pt idx="0">
                  <c:v>1</c:v>
                </c:pt>
                <c:pt idx="1">
                  <c:v>0.97030956186559991</c:v>
                </c:pt>
                <c:pt idx="2">
                  <c:v>0.94061912373119982</c:v>
                </c:pt>
                <c:pt idx="3">
                  <c:v>0.91092868559679974</c:v>
                </c:pt>
                <c:pt idx="4">
                  <c:v>0.88123824746239965</c:v>
                </c:pt>
                <c:pt idx="5">
                  <c:v>0.85154780932799956</c:v>
                </c:pt>
                <c:pt idx="6">
                  <c:v>0.82185737119359947</c:v>
                </c:pt>
                <c:pt idx="7">
                  <c:v>0.79216693305919939</c:v>
                </c:pt>
                <c:pt idx="8">
                  <c:v>0.7624764949247993</c:v>
                </c:pt>
                <c:pt idx="9">
                  <c:v>0.73278605679039921</c:v>
                </c:pt>
                <c:pt idx="10">
                  <c:v>0.70309561865599912</c:v>
                </c:pt>
                <c:pt idx="11">
                  <c:v>0.67340518052159881</c:v>
                </c:pt>
                <c:pt idx="12">
                  <c:v>0.67340518052159881</c:v>
                </c:pt>
                <c:pt idx="13">
                  <c:v>0.67340518052159881</c:v>
                </c:pt>
                <c:pt idx="14">
                  <c:v>0.67340518052159881</c:v>
                </c:pt>
                <c:pt idx="15">
                  <c:v>0.67340518052159881</c:v>
                </c:pt>
                <c:pt idx="16">
                  <c:v>0.67340518052159881</c:v>
                </c:pt>
                <c:pt idx="17">
                  <c:v>0.67340518052159881</c:v>
                </c:pt>
                <c:pt idx="18">
                  <c:v>0.67340518052159881</c:v>
                </c:pt>
                <c:pt idx="19">
                  <c:v>0.67340518052159881</c:v>
                </c:pt>
                <c:pt idx="20">
                  <c:v>0.67340518052159881</c:v>
                </c:pt>
                <c:pt idx="21">
                  <c:v>0.67340518052159881</c:v>
                </c:pt>
                <c:pt idx="22">
                  <c:v>0.67340518052159881</c:v>
                </c:pt>
                <c:pt idx="23">
                  <c:v>0.67340518052159881</c:v>
                </c:pt>
                <c:pt idx="24">
                  <c:v>0.67340518052159881</c:v>
                </c:pt>
                <c:pt idx="25">
                  <c:v>0.67340518052159881</c:v>
                </c:pt>
                <c:pt idx="26">
                  <c:v>0.67340518052159881</c:v>
                </c:pt>
                <c:pt idx="27">
                  <c:v>0.67340518052159881</c:v>
                </c:pt>
                <c:pt idx="28">
                  <c:v>0.67340518052159881</c:v>
                </c:pt>
                <c:pt idx="29">
                  <c:v>0.67340518052159881</c:v>
                </c:pt>
                <c:pt idx="30">
                  <c:v>0.67340518052159881</c:v>
                </c:pt>
                <c:pt idx="31">
                  <c:v>0.67340518052159881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F5-439C-9329-287CAD2CBAE6}"/>
            </c:ext>
          </c:extLst>
        </c:ser>
        <c:ser>
          <c:idx val="3"/>
          <c:order val="3"/>
          <c:tx>
            <c:strRef>
              <c:f>PERMIT_NDC_old!$A$5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PERMIT_NDC_old!$B$5:$AG$5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1.1345147057436835</c:v>
                </c:pt>
                <c:pt idx="12">
                  <c:v>1.1345147057436835</c:v>
                </c:pt>
                <c:pt idx="13">
                  <c:v>1.1345147057436835</c:v>
                </c:pt>
                <c:pt idx="14">
                  <c:v>1.1345147057436835</c:v>
                </c:pt>
                <c:pt idx="15">
                  <c:v>1.1345147057436835</c:v>
                </c:pt>
                <c:pt idx="16">
                  <c:v>1.1345147057436835</c:v>
                </c:pt>
                <c:pt idx="17">
                  <c:v>1.1345147057436835</c:v>
                </c:pt>
                <c:pt idx="18">
                  <c:v>1.1345147057436835</c:v>
                </c:pt>
                <c:pt idx="19">
                  <c:v>1.1345147057436835</c:v>
                </c:pt>
                <c:pt idx="20">
                  <c:v>1.1345147057436835</c:v>
                </c:pt>
                <c:pt idx="21">
                  <c:v>1.1345147057436835</c:v>
                </c:pt>
                <c:pt idx="22">
                  <c:v>1.1345147057436835</c:v>
                </c:pt>
                <c:pt idx="23">
                  <c:v>1.1345147057436835</c:v>
                </c:pt>
                <c:pt idx="24">
                  <c:v>1.1345147057436835</c:v>
                </c:pt>
                <c:pt idx="25">
                  <c:v>1.1345147057436835</c:v>
                </c:pt>
                <c:pt idx="26">
                  <c:v>1.1345147057436835</c:v>
                </c:pt>
                <c:pt idx="27">
                  <c:v>1.1345147057436835</c:v>
                </c:pt>
                <c:pt idx="28">
                  <c:v>1.1345147057436835</c:v>
                </c:pt>
                <c:pt idx="29">
                  <c:v>1.1345147057436835</c:v>
                </c:pt>
                <c:pt idx="30">
                  <c:v>1.1345147057436835</c:v>
                </c:pt>
                <c:pt idx="31">
                  <c:v>1.1345147057436835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F5-439C-9329-287CAD2CBAE6}"/>
            </c:ext>
          </c:extLst>
        </c:ser>
        <c:ser>
          <c:idx val="4"/>
          <c:order val="4"/>
          <c:tx>
            <c:strRef>
              <c:f>PERMIT_NDC_old!$A$6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PERMIT_NDC_old!$B$6:$AG$6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1.1345147057436833</c:v>
                </c:pt>
                <c:pt idx="12">
                  <c:v>1.1345147057436833</c:v>
                </c:pt>
                <c:pt idx="13">
                  <c:v>1.1345147057436833</c:v>
                </c:pt>
                <c:pt idx="14">
                  <c:v>1.1345147057436833</c:v>
                </c:pt>
                <c:pt idx="15">
                  <c:v>1.1345147057436833</c:v>
                </c:pt>
                <c:pt idx="16">
                  <c:v>1.1345147057436833</c:v>
                </c:pt>
                <c:pt idx="17">
                  <c:v>1.1345147057436833</c:v>
                </c:pt>
                <c:pt idx="18">
                  <c:v>1.1345147057436833</c:v>
                </c:pt>
                <c:pt idx="19">
                  <c:v>1.1345147057436833</c:v>
                </c:pt>
                <c:pt idx="20">
                  <c:v>1.1345147057436833</c:v>
                </c:pt>
                <c:pt idx="21">
                  <c:v>1.1345147057436833</c:v>
                </c:pt>
                <c:pt idx="22">
                  <c:v>1.1345147057436833</c:v>
                </c:pt>
                <c:pt idx="23">
                  <c:v>1.1345147057436833</c:v>
                </c:pt>
                <c:pt idx="24">
                  <c:v>1.1345147057436833</c:v>
                </c:pt>
                <c:pt idx="25">
                  <c:v>1.1345147057436833</c:v>
                </c:pt>
                <c:pt idx="26">
                  <c:v>1.1345147057436833</c:v>
                </c:pt>
                <c:pt idx="27">
                  <c:v>1.1345147057436833</c:v>
                </c:pt>
                <c:pt idx="28">
                  <c:v>1.1345147057436833</c:v>
                </c:pt>
                <c:pt idx="29">
                  <c:v>1.1345147057436833</c:v>
                </c:pt>
                <c:pt idx="30">
                  <c:v>1.1345147057436833</c:v>
                </c:pt>
                <c:pt idx="31">
                  <c:v>1.1345147057436833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F5-439C-9329-287CAD2CBAE6}"/>
            </c:ext>
          </c:extLst>
        </c:ser>
        <c:ser>
          <c:idx val="5"/>
          <c:order val="5"/>
          <c:tx>
            <c:strRef>
              <c:f>PERMIT_NDC_old!$A$7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PERMIT_NDC_old!$B$7:$AG$7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1.1345147057436835</c:v>
                </c:pt>
                <c:pt idx="12">
                  <c:v>1.1345147057436835</c:v>
                </c:pt>
                <c:pt idx="13">
                  <c:v>1.1345147057436835</c:v>
                </c:pt>
                <c:pt idx="14">
                  <c:v>1.1345147057436835</c:v>
                </c:pt>
                <c:pt idx="15">
                  <c:v>1.1345147057436835</c:v>
                </c:pt>
                <c:pt idx="16">
                  <c:v>1.1345147057436835</c:v>
                </c:pt>
                <c:pt idx="17">
                  <c:v>1.1345147057436835</c:v>
                </c:pt>
                <c:pt idx="18">
                  <c:v>1.1345147057436835</c:v>
                </c:pt>
                <c:pt idx="19">
                  <c:v>1.1345147057436835</c:v>
                </c:pt>
                <c:pt idx="20">
                  <c:v>1.1345147057436835</c:v>
                </c:pt>
                <c:pt idx="21">
                  <c:v>1.1345147057436835</c:v>
                </c:pt>
                <c:pt idx="22">
                  <c:v>1.1345147057436835</c:v>
                </c:pt>
                <c:pt idx="23">
                  <c:v>1.1345147057436835</c:v>
                </c:pt>
                <c:pt idx="24">
                  <c:v>1.1345147057436835</c:v>
                </c:pt>
                <c:pt idx="25">
                  <c:v>1.1345147057436835</c:v>
                </c:pt>
                <c:pt idx="26">
                  <c:v>1.1345147057436835</c:v>
                </c:pt>
                <c:pt idx="27">
                  <c:v>1.1345147057436835</c:v>
                </c:pt>
                <c:pt idx="28">
                  <c:v>1.1345147057436835</c:v>
                </c:pt>
                <c:pt idx="29">
                  <c:v>1.1345147057436835</c:v>
                </c:pt>
                <c:pt idx="30">
                  <c:v>1.1345147057436835</c:v>
                </c:pt>
                <c:pt idx="31">
                  <c:v>1.1345147057436835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F5-439C-9329-287CAD2CBAE6}"/>
            </c:ext>
          </c:extLst>
        </c:ser>
        <c:ser>
          <c:idx val="6"/>
          <c:order val="6"/>
          <c:tx>
            <c:strRef>
              <c:f>PERMIT_NDC_old!$A$8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PERMIT_NDC_old!$B$8:$AG$8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F5-439C-9329-287CAD2CBAE6}"/>
            </c:ext>
          </c:extLst>
        </c:ser>
        <c:ser>
          <c:idx val="7"/>
          <c:order val="7"/>
          <c:tx>
            <c:strRef>
              <c:f>PERMIT_NDC_old!$A$9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PERMIT_NDC_old!$B$9:$AG$9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0.97052663224550006</c:v>
                </c:pt>
                <c:pt idx="13">
                  <c:v>0.97052663224550006</c:v>
                </c:pt>
                <c:pt idx="14">
                  <c:v>0.97052663224550006</c:v>
                </c:pt>
                <c:pt idx="15">
                  <c:v>0.97052663224550006</c:v>
                </c:pt>
                <c:pt idx="16">
                  <c:v>0.97052663224550006</c:v>
                </c:pt>
                <c:pt idx="17">
                  <c:v>0.97052663224550006</c:v>
                </c:pt>
                <c:pt idx="18">
                  <c:v>0.97052663224550006</c:v>
                </c:pt>
                <c:pt idx="19">
                  <c:v>0.97052663224550006</c:v>
                </c:pt>
                <c:pt idx="20">
                  <c:v>0.97052663224550006</c:v>
                </c:pt>
                <c:pt idx="21">
                  <c:v>0.97052663224550006</c:v>
                </c:pt>
                <c:pt idx="22">
                  <c:v>0.97052663224550006</c:v>
                </c:pt>
                <c:pt idx="23">
                  <c:v>0.97052663224550006</c:v>
                </c:pt>
                <c:pt idx="24">
                  <c:v>0.97052663224550006</c:v>
                </c:pt>
                <c:pt idx="25">
                  <c:v>0.97052663224550006</c:v>
                </c:pt>
                <c:pt idx="26">
                  <c:v>0.97052663224550006</c:v>
                </c:pt>
                <c:pt idx="27">
                  <c:v>0.97052663224550006</c:v>
                </c:pt>
                <c:pt idx="28">
                  <c:v>0.97052663224550006</c:v>
                </c:pt>
                <c:pt idx="29">
                  <c:v>0.97052663224550006</c:v>
                </c:pt>
                <c:pt idx="30">
                  <c:v>0.97052663224550006</c:v>
                </c:pt>
                <c:pt idx="31">
                  <c:v>0.97052663224550006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2F5-439C-9329-287CAD2CBAE6}"/>
            </c:ext>
          </c:extLst>
        </c:ser>
        <c:ser>
          <c:idx val="8"/>
          <c:order val="8"/>
          <c:tx>
            <c:strRef>
              <c:f>PERMIT_NDC_old!$A$10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PERMIT_NDC_old!$B$10:$AG$10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0.49999999999999989</c:v>
                </c:pt>
                <c:pt idx="12">
                  <c:v>0.49999999999999989</c:v>
                </c:pt>
                <c:pt idx="13">
                  <c:v>0.49999999999999989</c:v>
                </c:pt>
                <c:pt idx="14">
                  <c:v>0.49999999999999989</c:v>
                </c:pt>
                <c:pt idx="15">
                  <c:v>0.49999999999999989</c:v>
                </c:pt>
                <c:pt idx="16">
                  <c:v>0.49999999999999989</c:v>
                </c:pt>
                <c:pt idx="17">
                  <c:v>0.49999999999999989</c:v>
                </c:pt>
                <c:pt idx="18">
                  <c:v>0.49999999999999989</c:v>
                </c:pt>
                <c:pt idx="19">
                  <c:v>0.49999999999999989</c:v>
                </c:pt>
                <c:pt idx="20">
                  <c:v>0.49999999999999989</c:v>
                </c:pt>
                <c:pt idx="21">
                  <c:v>0.49999999999999989</c:v>
                </c:pt>
                <c:pt idx="22">
                  <c:v>0.49999999999999989</c:v>
                </c:pt>
                <c:pt idx="23">
                  <c:v>0.49999999999999989</c:v>
                </c:pt>
                <c:pt idx="24">
                  <c:v>0.49999999999999989</c:v>
                </c:pt>
                <c:pt idx="25">
                  <c:v>0.49999999999999989</c:v>
                </c:pt>
                <c:pt idx="26">
                  <c:v>0.49999999999999989</c:v>
                </c:pt>
                <c:pt idx="27">
                  <c:v>0.49999999999999989</c:v>
                </c:pt>
                <c:pt idx="28">
                  <c:v>0.49999999999999989</c:v>
                </c:pt>
                <c:pt idx="29">
                  <c:v>0.49999999999999989</c:v>
                </c:pt>
                <c:pt idx="30">
                  <c:v>0.49999999999999989</c:v>
                </c:pt>
                <c:pt idx="31">
                  <c:v>0.49999999999999989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F5-439C-9329-287CAD2CBAE6}"/>
            </c:ext>
          </c:extLst>
        </c:ser>
        <c:ser>
          <c:idx val="9"/>
          <c:order val="9"/>
          <c:tx>
            <c:strRef>
              <c:f>PERMIT_NDC_old!$A$11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PERMIT_NDC_old!$B$11:$AG$11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0.49999999999999989</c:v>
                </c:pt>
                <c:pt idx="12">
                  <c:v>0.49999999999999989</c:v>
                </c:pt>
                <c:pt idx="13">
                  <c:v>0.49999999999999989</c:v>
                </c:pt>
                <c:pt idx="14">
                  <c:v>0.49999999999999989</c:v>
                </c:pt>
                <c:pt idx="15">
                  <c:v>0.49999999999999989</c:v>
                </c:pt>
                <c:pt idx="16">
                  <c:v>0.49999999999999989</c:v>
                </c:pt>
                <c:pt idx="17">
                  <c:v>0.49999999999999989</c:v>
                </c:pt>
                <c:pt idx="18">
                  <c:v>0.49999999999999989</c:v>
                </c:pt>
                <c:pt idx="19">
                  <c:v>0.49999999999999989</c:v>
                </c:pt>
                <c:pt idx="20">
                  <c:v>0.49999999999999989</c:v>
                </c:pt>
                <c:pt idx="21">
                  <c:v>0.49999999999999989</c:v>
                </c:pt>
                <c:pt idx="22">
                  <c:v>0.49999999999999989</c:v>
                </c:pt>
                <c:pt idx="23">
                  <c:v>0.49999999999999989</c:v>
                </c:pt>
                <c:pt idx="24">
                  <c:v>0.49999999999999989</c:v>
                </c:pt>
                <c:pt idx="25">
                  <c:v>0.49999999999999989</c:v>
                </c:pt>
                <c:pt idx="26">
                  <c:v>0.49999999999999989</c:v>
                </c:pt>
                <c:pt idx="27">
                  <c:v>0.49999999999999989</c:v>
                </c:pt>
                <c:pt idx="28">
                  <c:v>0.49999999999999989</c:v>
                </c:pt>
                <c:pt idx="29">
                  <c:v>0.49999999999999989</c:v>
                </c:pt>
                <c:pt idx="30">
                  <c:v>0.49999999999999989</c:v>
                </c:pt>
                <c:pt idx="31">
                  <c:v>0.49999999999999989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2F5-439C-9329-287CAD2CBAE6}"/>
            </c:ext>
          </c:extLst>
        </c:ser>
        <c:ser>
          <c:idx val="10"/>
          <c:order val="10"/>
          <c:tx>
            <c:strRef>
              <c:f>PERMIT_NDC_old!$A$12</c:f>
              <c:strCache>
                <c:ptCount val="1"/>
                <c:pt idx="0">
                  <c:v>11_FSU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PERMIT_NDC_old!$B$12:$AG$12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0.97052663224550006</c:v>
                </c:pt>
                <c:pt idx="13">
                  <c:v>0.97052663224550006</c:v>
                </c:pt>
                <c:pt idx="14">
                  <c:v>0.97052663224550006</c:v>
                </c:pt>
                <c:pt idx="15">
                  <c:v>0.97052663224550006</c:v>
                </c:pt>
                <c:pt idx="16">
                  <c:v>0.97052663224550006</c:v>
                </c:pt>
                <c:pt idx="17">
                  <c:v>0.97052663224550006</c:v>
                </c:pt>
                <c:pt idx="18">
                  <c:v>0.97052663224550006</c:v>
                </c:pt>
                <c:pt idx="19">
                  <c:v>0.97052663224550006</c:v>
                </c:pt>
                <c:pt idx="20">
                  <c:v>0.97052663224550006</c:v>
                </c:pt>
                <c:pt idx="21">
                  <c:v>0.97052663224550006</c:v>
                </c:pt>
                <c:pt idx="22">
                  <c:v>0.97052663224550006</c:v>
                </c:pt>
                <c:pt idx="23">
                  <c:v>0.97052663224550006</c:v>
                </c:pt>
                <c:pt idx="24">
                  <c:v>0.97052663224550006</c:v>
                </c:pt>
                <c:pt idx="25">
                  <c:v>0.97052663224550006</c:v>
                </c:pt>
                <c:pt idx="26">
                  <c:v>0.97052663224550006</c:v>
                </c:pt>
                <c:pt idx="27">
                  <c:v>0.97052663224550006</c:v>
                </c:pt>
                <c:pt idx="28">
                  <c:v>0.97052663224550006</c:v>
                </c:pt>
                <c:pt idx="29">
                  <c:v>0.97052663224550006</c:v>
                </c:pt>
                <c:pt idx="30">
                  <c:v>0.97052663224550006</c:v>
                </c:pt>
                <c:pt idx="31">
                  <c:v>0.97052663224550006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2F5-439C-9329-287CAD2CBAE6}"/>
            </c:ext>
          </c:extLst>
        </c:ser>
        <c:ser>
          <c:idx val="11"/>
          <c:order val="11"/>
          <c:tx>
            <c:strRef>
              <c:f>PERMIT_NDC_old!$A$13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PERMIT_NDC_old!$B$13:$AG$13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0.97052663224549995</c:v>
                </c:pt>
                <c:pt idx="13">
                  <c:v>0.97052663224549995</c:v>
                </c:pt>
                <c:pt idx="14">
                  <c:v>0.97052663224549995</c:v>
                </c:pt>
                <c:pt idx="15">
                  <c:v>0.97052663224549995</c:v>
                </c:pt>
                <c:pt idx="16">
                  <c:v>0.97052663224549995</c:v>
                </c:pt>
                <c:pt idx="17">
                  <c:v>0.97052663224549995</c:v>
                </c:pt>
                <c:pt idx="18">
                  <c:v>0.97052663224549995</c:v>
                </c:pt>
                <c:pt idx="19">
                  <c:v>0.97052663224549995</c:v>
                </c:pt>
                <c:pt idx="20">
                  <c:v>0.97052663224549995</c:v>
                </c:pt>
                <c:pt idx="21">
                  <c:v>0.97052663224549995</c:v>
                </c:pt>
                <c:pt idx="22">
                  <c:v>0.97052663224549995</c:v>
                </c:pt>
                <c:pt idx="23">
                  <c:v>0.97052663224549995</c:v>
                </c:pt>
                <c:pt idx="24">
                  <c:v>0.97052663224549995</c:v>
                </c:pt>
                <c:pt idx="25">
                  <c:v>0.97052663224549995</c:v>
                </c:pt>
                <c:pt idx="26">
                  <c:v>0.97052663224549995</c:v>
                </c:pt>
                <c:pt idx="27">
                  <c:v>0.97052663224549995</c:v>
                </c:pt>
                <c:pt idx="28">
                  <c:v>0.97052663224549995</c:v>
                </c:pt>
                <c:pt idx="29">
                  <c:v>0.97052663224549995</c:v>
                </c:pt>
                <c:pt idx="30">
                  <c:v>0.97052663224549995</c:v>
                </c:pt>
                <c:pt idx="31">
                  <c:v>0.97052663224549995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2F5-439C-9329-287CAD2CBAE6}"/>
            </c:ext>
          </c:extLst>
        </c:ser>
        <c:ser>
          <c:idx val="12"/>
          <c:order val="12"/>
          <c:tx>
            <c:strRef>
              <c:f>PERMIT_NDC_old!$A$14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PERMIT_NDC_old!$B$14:$AG$14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0.97052663224549995</c:v>
                </c:pt>
                <c:pt idx="13">
                  <c:v>0.97052663224549995</c:v>
                </c:pt>
                <c:pt idx="14">
                  <c:v>0.97052663224549995</c:v>
                </c:pt>
                <c:pt idx="15">
                  <c:v>0.97052663224549995</c:v>
                </c:pt>
                <c:pt idx="16">
                  <c:v>0.97052663224549995</c:v>
                </c:pt>
                <c:pt idx="17">
                  <c:v>0.97052663224549995</c:v>
                </c:pt>
                <c:pt idx="18">
                  <c:v>0.97052663224549995</c:v>
                </c:pt>
                <c:pt idx="19">
                  <c:v>0.97052663224549995</c:v>
                </c:pt>
                <c:pt idx="20">
                  <c:v>0.97052663224549995</c:v>
                </c:pt>
                <c:pt idx="21">
                  <c:v>0.97052663224549995</c:v>
                </c:pt>
                <c:pt idx="22">
                  <c:v>0.97052663224549995</c:v>
                </c:pt>
                <c:pt idx="23">
                  <c:v>0.97052663224549995</c:v>
                </c:pt>
                <c:pt idx="24">
                  <c:v>0.97052663224549995</c:v>
                </c:pt>
                <c:pt idx="25">
                  <c:v>0.97052663224549995</c:v>
                </c:pt>
                <c:pt idx="26">
                  <c:v>0.97052663224549995</c:v>
                </c:pt>
                <c:pt idx="27">
                  <c:v>0.97052663224549995</c:v>
                </c:pt>
                <c:pt idx="28">
                  <c:v>0.97052663224549995</c:v>
                </c:pt>
                <c:pt idx="29">
                  <c:v>0.97052663224549995</c:v>
                </c:pt>
                <c:pt idx="30">
                  <c:v>0.97052663224549995</c:v>
                </c:pt>
                <c:pt idx="31">
                  <c:v>0.97052663224549995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2F5-439C-9329-287CAD2CBAE6}"/>
            </c:ext>
          </c:extLst>
        </c:ser>
        <c:ser>
          <c:idx val="13"/>
          <c:order val="13"/>
          <c:tx>
            <c:strRef>
              <c:f>PERMIT_NDC_old!$A$15</c:f>
              <c:strCache>
                <c:ptCount val="1"/>
                <c:pt idx="0">
                  <c:v>14_CPA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PERMIT_NDC_old!$B$15:$AG$15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0.97052663224550006</c:v>
                </c:pt>
                <c:pt idx="13">
                  <c:v>0.97052663224550006</c:v>
                </c:pt>
                <c:pt idx="14">
                  <c:v>0.97052663224550006</c:v>
                </c:pt>
                <c:pt idx="15">
                  <c:v>0.97052663224550006</c:v>
                </c:pt>
                <c:pt idx="16">
                  <c:v>0.97052663224550006</c:v>
                </c:pt>
                <c:pt idx="17">
                  <c:v>0.97052663224550006</c:v>
                </c:pt>
                <c:pt idx="18">
                  <c:v>0.97052663224550006</c:v>
                </c:pt>
                <c:pt idx="19">
                  <c:v>0.97052663224550006</c:v>
                </c:pt>
                <c:pt idx="20">
                  <c:v>0.97052663224550006</c:v>
                </c:pt>
                <c:pt idx="21">
                  <c:v>0.97052663224550006</c:v>
                </c:pt>
                <c:pt idx="22">
                  <c:v>0.97052663224550006</c:v>
                </c:pt>
                <c:pt idx="23">
                  <c:v>0.97052663224550006</c:v>
                </c:pt>
                <c:pt idx="24">
                  <c:v>0.97052663224550006</c:v>
                </c:pt>
                <c:pt idx="25">
                  <c:v>0.97052663224550006</c:v>
                </c:pt>
                <c:pt idx="26">
                  <c:v>0.97052663224550006</c:v>
                </c:pt>
                <c:pt idx="27">
                  <c:v>0.97052663224550006</c:v>
                </c:pt>
                <c:pt idx="28">
                  <c:v>0.97052663224550006</c:v>
                </c:pt>
                <c:pt idx="29">
                  <c:v>0.97052663224550006</c:v>
                </c:pt>
                <c:pt idx="30">
                  <c:v>0.97052663224550006</c:v>
                </c:pt>
                <c:pt idx="31">
                  <c:v>0.97052663224550006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2F5-439C-9329-287CAD2CBAE6}"/>
            </c:ext>
          </c:extLst>
        </c:ser>
        <c:ser>
          <c:idx val="14"/>
          <c:order val="14"/>
          <c:tx>
            <c:strRef>
              <c:f>PERMIT_NDC_old!$A$16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PERMIT_NDC_old!$B$16:$AG$16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0.97052663224550018</c:v>
                </c:pt>
                <c:pt idx="12">
                  <c:v>0.97052663224550018</c:v>
                </c:pt>
                <c:pt idx="13">
                  <c:v>0.97052663224550018</c:v>
                </c:pt>
                <c:pt idx="14">
                  <c:v>0.97052663224550018</c:v>
                </c:pt>
                <c:pt idx="15">
                  <c:v>0.97052663224550018</c:v>
                </c:pt>
                <c:pt idx="16">
                  <c:v>0.97052663224550018</c:v>
                </c:pt>
                <c:pt idx="17">
                  <c:v>0.97052663224550018</c:v>
                </c:pt>
                <c:pt idx="18">
                  <c:v>0.97052663224550018</c:v>
                </c:pt>
                <c:pt idx="19">
                  <c:v>0.97052663224550018</c:v>
                </c:pt>
                <c:pt idx="20">
                  <c:v>0.97052663224550018</c:v>
                </c:pt>
                <c:pt idx="21">
                  <c:v>0.97052663224550018</c:v>
                </c:pt>
                <c:pt idx="22">
                  <c:v>0.97052663224550018</c:v>
                </c:pt>
                <c:pt idx="23">
                  <c:v>0.97052663224550018</c:v>
                </c:pt>
                <c:pt idx="24">
                  <c:v>0.97052663224550018</c:v>
                </c:pt>
                <c:pt idx="25">
                  <c:v>0.97052663224550018</c:v>
                </c:pt>
                <c:pt idx="26">
                  <c:v>0.97052663224550018</c:v>
                </c:pt>
                <c:pt idx="27">
                  <c:v>0.97052663224550018</c:v>
                </c:pt>
                <c:pt idx="28">
                  <c:v>0.97052663224550018</c:v>
                </c:pt>
                <c:pt idx="29">
                  <c:v>0.97052663224550018</c:v>
                </c:pt>
                <c:pt idx="30">
                  <c:v>0.97052663224550018</c:v>
                </c:pt>
                <c:pt idx="31">
                  <c:v>0.97052663224550018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2F5-439C-9329-287CAD2CBAE6}"/>
            </c:ext>
          </c:extLst>
        </c:ser>
        <c:ser>
          <c:idx val="15"/>
          <c:order val="15"/>
          <c:tx>
            <c:strRef>
              <c:f>PERMIT_NDC_old!$A$17</c:f>
              <c:strCache>
                <c:ptCount val="1"/>
                <c:pt idx="0">
                  <c:v>16_PAS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PERMIT_NDC_old!$B$17:$AG$17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0.97052663224550018</c:v>
                </c:pt>
                <c:pt idx="12">
                  <c:v>0.97052663224550018</c:v>
                </c:pt>
                <c:pt idx="13">
                  <c:v>0.97052663224550018</c:v>
                </c:pt>
                <c:pt idx="14">
                  <c:v>0.97052663224550018</c:v>
                </c:pt>
                <c:pt idx="15">
                  <c:v>0.97052663224550018</c:v>
                </c:pt>
                <c:pt idx="16">
                  <c:v>0.97052663224550018</c:v>
                </c:pt>
                <c:pt idx="17">
                  <c:v>0.97052663224550018</c:v>
                </c:pt>
                <c:pt idx="18">
                  <c:v>0.97052663224550018</c:v>
                </c:pt>
                <c:pt idx="19">
                  <c:v>0.97052663224550018</c:v>
                </c:pt>
                <c:pt idx="20">
                  <c:v>0.97052663224550018</c:v>
                </c:pt>
                <c:pt idx="21">
                  <c:v>0.97052663224550018</c:v>
                </c:pt>
                <c:pt idx="22">
                  <c:v>0.97052663224550018</c:v>
                </c:pt>
                <c:pt idx="23">
                  <c:v>0.97052663224550018</c:v>
                </c:pt>
                <c:pt idx="24">
                  <c:v>0.97052663224550018</c:v>
                </c:pt>
                <c:pt idx="25">
                  <c:v>0.97052663224550018</c:v>
                </c:pt>
                <c:pt idx="26">
                  <c:v>0.97052663224550018</c:v>
                </c:pt>
                <c:pt idx="27">
                  <c:v>0.97052663224550018</c:v>
                </c:pt>
                <c:pt idx="28">
                  <c:v>0.97052663224550018</c:v>
                </c:pt>
                <c:pt idx="29">
                  <c:v>0.97052663224550018</c:v>
                </c:pt>
                <c:pt idx="30">
                  <c:v>0.97052663224550018</c:v>
                </c:pt>
                <c:pt idx="31">
                  <c:v>0.97052663224550018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2F5-439C-9329-287CAD2CBAE6}"/>
            </c:ext>
          </c:extLst>
        </c:ser>
        <c:ser>
          <c:idx val="16"/>
          <c:order val="16"/>
          <c:tx>
            <c:strRef>
              <c:f>PERMIT_NDC_old!$A$18</c:f>
              <c:strCache>
                <c:ptCount val="1"/>
                <c:pt idx="0">
                  <c:v>17_PAO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PERMIT_NDC_old!$B$18:$AG$18</c:f>
              <c:numCache>
                <c:formatCode>0.00</c:formatCode>
                <c:ptCount val="32"/>
                <c:pt idx="0">
                  <c:v>1</c:v>
                </c:pt>
                <c:pt idx="1">
                  <c:v>0.96880530280148291</c:v>
                </c:pt>
                <c:pt idx="2">
                  <c:v>0.93761060560296583</c:v>
                </c:pt>
                <c:pt idx="3">
                  <c:v>0.90641590840444874</c:v>
                </c:pt>
                <c:pt idx="4">
                  <c:v>0.87522121120593166</c:v>
                </c:pt>
                <c:pt idx="5">
                  <c:v>0.84402651400741457</c:v>
                </c:pt>
                <c:pt idx="6">
                  <c:v>0.81283181680889749</c:v>
                </c:pt>
                <c:pt idx="7">
                  <c:v>0.7816371196103804</c:v>
                </c:pt>
                <c:pt idx="8">
                  <c:v>0.75044242241186332</c:v>
                </c:pt>
                <c:pt idx="9">
                  <c:v>0.71924772521334623</c:v>
                </c:pt>
                <c:pt idx="10">
                  <c:v>0.68805302801482915</c:v>
                </c:pt>
                <c:pt idx="11">
                  <c:v>0.65685833081631206</c:v>
                </c:pt>
                <c:pt idx="12">
                  <c:v>0.65685833081631206</c:v>
                </c:pt>
                <c:pt idx="13">
                  <c:v>0.65685833081631206</c:v>
                </c:pt>
                <c:pt idx="14">
                  <c:v>0.65685833081631206</c:v>
                </c:pt>
                <c:pt idx="15">
                  <c:v>0.65685833081631206</c:v>
                </c:pt>
                <c:pt idx="16">
                  <c:v>0.65685833081631206</c:v>
                </c:pt>
                <c:pt idx="17">
                  <c:v>0.65685833081631206</c:v>
                </c:pt>
                <c:pt idx="18">
                  <c:v>0.65685833081631206</c:v>
                </c:pt>
                <c:pt idx="19">
                  <c:v>0.65685833081631206</c:v>
                </c:pt>
                <c:pt idx="20">
                  <c:v>0.65685833081631206</c:v>
                </c:pt>
                <c:pt idx="21">
                  <c:v>0.65685833081631206</c:v>
                </c:pt>
                <c:pt idx="22">
                  <c:v>0.65685833081631206</c:v>
                </c:pt>
                <c:pt idx="23">
                  <c:v>0.65685833081631206</c:v>
                </c:pt>
                <c:pt idx="24">
                  <c:v>0.65685833081631206</c:v>
                </c:pt>
                <c:pt idx="25">
                  <c:v>0.65685833081631206</c:v>
                </c:pt>
                <c:pt idx="26">
                  <c:v>0.65685833081631206</c:v>
                </c:pt>
                <c:pt idx="27">
                  <c:v>0.65685833081631206</c:v>
                </c:pt>
                <c:pt idx="28">
                  <c:v>0.65685833081631206</c:v>
                </c:pt>
                <c:pt idx="29">
                  <c:v>0.65685833081631206</c:v>
                </c:pt>
                <c:pt idx="30">
                  <c:v>0.65685833081631206</c:v>
                </c:pt>
                <c:pt idx="31">
                  <c:v>0.65685833081631206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2F5-439C-9329-287CAD2CB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442815"/>
        <c:axId val="2066678607"/>
      </c:lineChart>
      <c:catAx>
        <c:axId val="205844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678607"/>
        <c:crosses val="autoZero"/>
        <c:auto val="1"/>
        <c:lblAlgn val="ctr"/>
        <c:lblOffset val="100"/>
        <c:noMultiLvlLbl val="0"/>
      </c:catAx>
      <c:valAx>
        <c:axId val="206667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44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PERMIT_NZ!$A$2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PERMIT_NZ!$B$2:$AG$2</c:f>
              <c:numCache>
                <c:formatCode>0.00</c:formatCode>
                <c:ptCount val="32"/>
                <c:pt idx="0">
                  <c:v>1</c:v>
                </c:pt>
                <c:pt idx="1">
                  <c:v>0.96880530280148291</c:v>
                </c:pt>
                <c:pt idx="2">
                  <c:v>0.93761060560296583</c:v>
                </c:pt>
                <c:pt idx="3">
                  <c:v>0.90641590840444874</c:v>
                </c:pt>
                <c:pt idx="4">
                  <c:v>0.87522121120593166</c:v>
                </c:pt>
                <c:pt idx="5">
                  <c:v>0.84402651400741457</c:v>
                </c:pt>
                <c:pt idx="6">
                  <c:v>0.81283181680889749</c:v>
                </c:pt>
                <c:pt idx="7">
                  <c:v>0.7816371196103804</c:v>
                </c:pt>
                <c:pt idx="8">
                  <c:v>0.75044242241186332</c:v>
                </c:pt>
                <c:pt idx="9">
                  <c:v>0.71924772521334623</c:v>
                </c:pt>
                <c:pt idx="10">
                  <c:v>0.68805302801482915</c:v>
                </c:pt>
                <c:pt idx="11">
                  <c:v>0.65685833081631229</c:v>
                </c:pt>
                <c:pt idx="12">
                  <c:v>0.62811088203873577</c:v>
                </c:pt>
                <c:pt idx="13">
                  <c:v>0.59936343326115926</c:v>
                </c:pt>
                <c:pt idx="14">
                  <c:v>0.57061598448358275</c:v>
                </c:pt>
                <c:pt idx="15">
                  <c:v>0.54186853570600624</c:v>
                </c:pt>
                <c:pt idx="16">
                  <c:v>0.51312108692842973</c:v>
                </c:pt>
                <c:pt idx="17">
                  <c:v>0.48437363815085327</c:v>
                </c:pt>
                <c:pt idx="18">
                  <c:v>0.45562618937327681</c:v>
                </c:pt>
                <c:pt idx="19">
                  <c:v>0.42687874059570036</c:v>
                </c:pt>
                <c:pt idx="20">
                  <c:v>0.3981312918181239</c:v>
                </c:pt>
                <c:pt idx="21">
                  <c:v>0.36938384304054761</c:v>
                </c:pt>
                <c:pt idx="22">
                  <c:v>0.34063639426297115</c:v>
                </c:pt>
                <c:pt idx="23">
                  <c:v>0.3118889454853947</c:v>
                </c:pt>
                <c:pt idx="24">
                  <c:v>0.28314149670781824</c:v>
                </c:pt>
                <c:pt idx="25">
                  <c:v>0.25439404793024178</c:v>
                </c:pt>
                <c:pt idx="26">
                  <c:v>0.22564659915266533</c:v>
                </c:pt>
                <c:pt idx="27">
                  <c:v>0.19689915037508887</c:v>
                </c:pt>
                <c:pt idx="28">
                  <c:v>0.16815170159751242</c:v>
                </c:pt>
                <c:pt idx="29">
                  <c:v>0.13940425281993596</c:v>
                </c:pt>
                <c:pt idx="30">
                  <c:v>0.1106568040423595</c:v>
                </c:pt>
                <c:pt idx="31">
                  <c:v>8.1909355264783101E-2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4-4753-BD8B-D94140D5F29E}"/>
            </c:ext>
          </c:extLst>
        </c:ser>
        <c:ser>
          <c:idx val="1"/>
          <c:order val="1"/>
          <c:tx>
            <c:strRef>
              <c:f>PERMIT_NZ!$A$3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PERMIT_NZ!$B$3:$AG$3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0.94123083520852557</c:v>
                </c:pt>
                <c:pt idx="13">
                  <c:v>0.91193503817155119</c:v>
                </c:pt>
                <c:pt idx="14">
                  <c:v>0.88263924113457681</c:v>
                </c:pt>
                <c:pt idx="15">
                  <c:v>0.85334344409760243</c:v>
                </c:pt>
                <c:pt idx="16">
                  <c:v>0.82404764706062805</c:v>
                </c:pt>
                <c:pt idx="17">
                  <c:v>0.79475185002365367</c:v>
                </c:pt>
                <c:pt idx="18">
                  <c:v>0.76545605298667929</c:v>
                </c:pt>
                <c:pt idx="19">
                  <c:v>0.73616025594970491</c:v>
                </c:pt>
                <c:pt idx="20">
                  <c:v>0.70686445891273053</c:v>
                </c:pt>
                <c:pt idx="21">
                  <c:v>0.67756866187575593</c:v>
                </c:pt>
                <c:pt idx="22">
                  <c:v>0.64827286483878155</c:v>
                </c:pt>
                <c:pt idx="23">
                  <c:v>0.61897706780180717</c:v>
                </c:pt>
                <c:pt idx="24">
                  <c:v>0.58968127076483279</c:v>
                </c:pt>
                <c:pt idx="25">
                  <c:v>0.56038547372785841</c:v>
                </c:pt>
                <c:pt idx="26">
                  <c:v>0.53108967669088403</c:v>
                </c:pt>
                <c:pt idx="27">
                  <c:v>0.50179387965390965</c:v>
                </c:pt>
                <c:pt idx="28">
                  <c:v>0.47249808261693527</c:v>
                </c:pt>
                <c:pt idx="29">
                  <c:v>0.44320228557996089</c:v>
                </c:pt>
                <c:pt idx="30">
                  <c:v>0.41390648854298651</c:v>
                </c:pt>
                <c:pt idx="31">
                  <c:v>0.38461069150601185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34-4753-BD8B-D94140D5F29E}"/>
            </c:ext>
          </c:extLst>
        </c:ser>
        <c:ser>
          <c:idx val="2"/>
          <c:order val="2"/>
          <c:tx>
            <c:strRef>
              <c:f>PERMIT_NZ!$A$4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PERMIT_NZ!$B$4:$AG$4</c:f>
              <c:numCache>
                <c:formatCode>0.00</c:formatCode>
                <c:ptCount val="32"/>
                <c:pt idx="0">
                  <c:v>1</c:v>
                </c:pt>
                <c:pt idx="1">
                  <c:v>0.97030956186559991</c:v>
                </c:pt>
                <c:pt idx="2">
                  <c:v>0.94061912373119982</c:v>
                </c:pt>
                <c:pt idx="3">
                  <c:v>0.91092868559679974</c:v>
                </c:pt>
                <c:pt idx="4">
                  <c:v>0.88123824746239965</c:v>
                </c:pt>
                <c:pt idx="5">
                  <c:v>0.85154780932799956</c:v>
                </c:pt>
                <c:pt idx="6">
                  <c:v>0.82185737119359947</c:v>
                </c:pt>
                <c:pt idx="7">
                  <c:v>0.79216693305919939</c:v>
                </c:pt>
                <c:pt idx="8">
                  <c:v>0.7624764949247993</c:v>
                </c:pt>
                <c:pt idx="9">
                  <c:v>0.73278605679039921</c:v>
                </c:pt>
                <c:pt idx="10">
                  <c:v>0.70309561865599912</c:v>
                </c:pt>
                <c:pt idx="11">
                  <c:v>0.67340518052159881</c:v>
                </c:pt>
                <c:pt idx="12">
                  <c:v>0.64379368066983944</c:v>
                </c:pt>
                <c:pt idx="13">
                  <c:v>0.61418218081808007</c:v>
                </c:pt>
                <c:pt idx="14">
                  <c:v>0.5845706809663207</c:v>
                </c:pt>
                <c:pt idx="15">
                  <c:v>0.55495918111456133</c:v>
                </c:pt>
                <c:pt idx="16">
                  <c:v>0.52534768126280196</c:v>
                </c:pt>
                <c:pt idx="17">
                  <c:v>0.49573618141104253</c:v>
                </c:pt>
                <c:pt idx="18">
                  <c:v>0.4661246815592831</c:v>
                </c:pt>
                <c:pt idx="19">
                  <c:v>0.43651318170752368</c:v>
                </c:pt>
                <c:pt idx="20">
                  <c:v>0.40690168185576425</c:v>
                </c:pt>
                <c:pt idx="21">
                  <c:v>0.37729018200400471</c:v>
                </c:pt>
                <c:pt idx="22">
                  <c:v>0.34767868215224529</c:v>
                </c:pt>
                <c:pt idx="23">
                  <c:v>0.31806718230048586</c:v>
                </c:pt>
                <c:pt idx="24">
                  <c:v>0.28845568244872644</c:v>
                </c:pt>
                <c:pt idx="25">
                  <c:v>0.25884418259696701</c:v>
                </c:pt>
                <c:pt idx="26">
                  <c:v>0.22923268274520761</c:v>
                </c:pt>
                <c:pt idx="27">
                  <c:v>0.19962118289344821</c:v>
                </c:pt>
                <c:pt idx="28">
                  <c:v>0.17000968304168881</c:v>
                </c:pt>
                <c:pt idx="29">
                  <c:v>0.14039818318992942</c:v>
                </c:pt>
                <c:pt idx="30">
                  <c:v>0.11078668333817002</c:v>
                </c:pt>
                <c:pt idx="31">
                  <c:v>8.1175183486410674E-2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34-4753-BD8B-D94140D5F29E}"/>
            </c:ext>
          </c:extLst>
        </c:ser>
        <c:ser>
          <c:idx val="3"/>
          <c:order val="3"/>
          <c:tx>
            <c:strRef>
              <c:f>PERMIT_NZ!$A$5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PERMIT_NZ!$B$5:$AG$5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1.1345147057436835</c:v>
                </c:pt>
                <c:pt idx="12">
                  <c:v>1.1080095424954721</c:v>
                </c:pt>
                <c:pt idx="13">
                  <c:v>1.0815043792472607</c:v>
                </c:pt>
                <c:pt idx="14">
                  <c:v>1.0549992159990493</c:v>
                </c:pt>
                <c:pt idx="15">
                  <c:v>1.0284940527508379</c:v>
                </c:pt>
                <c:pt idx="16">
                  <c:v>1.0019888895026265</c:v>
                </c:pt>
                <c:pt idx="17">
                  <c:v>0.97548372625441504</c:v>
                </c:pt>
                <c:pt idx="18">
                  <c:v>0.94897856300620353</c:v>
                </c:pt>
                <c:pt idx="19">
                  <c:v>0.92247339975799203</c:v>
                </c:pt>
                <c:pt idx="20">
                  <c:v>0.89596823650978052</c:v>
                </c:pt>
                <c:pt idx="21">
                  <c:v>0.86946307326156869</c:v>
                </c:pt>
                <c:pt idx="22">
                  <c:v>0.84295791001335718</c:v>
                </c:pt>
                <c:pt idx="23">
                  <c:v>0.81645274676514568</c:v>
                </c:pt>
                <c:pt idx="24">
                  <c:v>0.78994758351693417</c:v>
                </c:pt>
                <c:pt idx="25">
                  <c:v>0.76344242026872267</c:v>
                </c:pt>
                <c:pt idx="26">
                  <c:v>0.73693725702051116</c:v>
                </c:pt>
                <c:pt idx="27">
                  <c:v>0.71043209377229966</c:v>
                </c:pt>
                <c:pt idx="28">
                  <c:v>0.68392693052408815</c:v>
                </c:pt>
                <c:pt idx="29">
                  <c:v>0.65742176727587665</c:v>
                </c:pt>
                <c:pt idx="30">
                  <c:v>0.63091660402766514</c:v>
                </c:pt>
                <c:pt idx="31">
                  <c:v>0.60441144077945386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34-4753-BD8B-D94140D5F29E}"/>
            </c:ext>
          </c:extLst>
        </c:ser>
        <c:ser>
          <c:idx val="4"/>
          <c:order val="4"/>
          <c:tx>
            <c:strRef>
              <c:f>PERMIT_NZ!$A$6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PERMIT_NZ!$B$6:$AG$6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1.1345147057436833</c:v>
                </c:pt>
                <c:pt idx="12">
                  <c:v>1.1080095424954719</c:v>
                </c:pt>
                <c:pt idx="13">
                  <c:v>1.0815043792472605</c:v>
                </c:pt>
                <c:pt idx="14">
                  <c:v>1.0549992159990491</c:v>
                </c:pt>
                <c:pt idx="15">
                  <c:v>1.0284940527508377</c:v>
                </c:pt>
                <c:pt idx="16">
                  <c:v>1.0019888895026263</c:v>
                </c:pt>
                <c:pt idx="17">
                  <c:v>0.97548372625441493</c:v>
                </c:pt>
                <c:pt idx="18">
                  <c:v>0.94897856300620353</c:v>
                </c:pt>
                <c:pt idx="19">
                  <c:v>0.92247339975799214</c:v>
                </c:pt>
                <c:pt idx="20">
                  <c:v>0.89596823650978075</c:v>
                </c:pt>
                <c:pt idx="21">
                  <c:v>0.8694630732615688</c:v>
                </c:pt>
                <c:pt idx="22">
                  <c:v>0.84295791001335729</c:v>
                </c:pt>
                <c:pt idx="23">
                  <c:v>0.81645274676514579</c:v>
                </c:pt>
                <c:pt idx="24">
                  <c:v>0.78994758351693428</c:v>
                </c:pt>
                <c:pt idx="25">
                  <c:v>0.76344242026872278</c:v>
                </c:pt>
                <c:pt idx="26">
                  <c:v>0.73693725702051127</c:v>
                </c:pt>
                <c:pt idx="27">
                  <c:v>0.71043209377229977</c:v>
                </c:pt>
                <c:pt idx="28">
                  <c:v>0.68392693052408826</c:v>
                </c:pt>
                <c:pt idx="29">
                  <c:v>0.65742176727587676</c:v>
                </c:pt>
                <c:pt idx="30">
                  <c:v>0.63091660402766525</c:v>
                </c:pt>
                <c:pt idx="31">
                  <c:v>0.60441144077945386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34-4753-BD8B-D94140D5F29E}"/>
            </c:ext>
          </c:extLst>
        </c:ser>
        <c:ser>
          <c:idx val="5"/>
          <c:order val="5"/>
          <c:tx>
            <c:strRef>
              <c:f>PERMIT_NZ!$A$7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PERMIT_NZ!$B$7:$AG$7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1.1345147057436835</c:v>
                </c:pt>
                <c:pt idx="12">
                  <c:v>1.1080095424954721</c:v>
                </c:pt>
                <c:pt idx="13">
                  <c:v>1.0815043792472607</c:v>
                </c:pt>
                <c:pt idx="14">
                  <c:v>1.0549992159990493</c:v>
                </c:pt>
                <c:pt idx="15">
                  <c:v>1.0284940527508379</c:v>
                </c:pt>
                <c:pt idx="16">
                  <c:v>1.0019888895026265</c:v>
                </c:pt>
                <c:pt idx="17">
                  <c:v>0.97548372625441504</c:v>
                </c:pt>
                <c:pt idx="18">
                  <c:v>0.94897856300620353</c:v>
                </c:pt>
                <c:pt idx="19">
                  <c:v>0.92247339975799203</c:v>
                </c:pt>
                <c:pt idx="20">
                  <c:v>0.89596823650978052</c:v>
                </c:pt>
                <c:pt idx="21">
                  <c:v>0.86946307326156858</c:v>
                </c:pt>
                <c:pt idx="22">
                  <c:v>0.84295791001335707</c:v>
                </c:pt>
                <c:pt idx="23">
                  <c:v>0.81645274676514556</c:v>
                </c:pt>
                <c:pt idx="24">
                  <c:v>0.78994758351693406</c:v>
                </c:pt>
                <c:pt idx="25">
                  <c:v>0.76344242026872255</c:v>
                </c:pt>
                <c:pt idx="26">
                  <c:v>0.73693725702051105</c:v>
                </c:pt>
                <c:pt idx="27">
                  <c:v>0.71043209377229954</c:v>
                </c:pt>
                <c:pt idx="28">
                  <c:v>0.68392693052408804</c:v>
                </c:pt>
                <c:pt idx="29">
                  <c:v>0.65742176727587653</c:v>
                </c:pt>
                <c:pt idx="30">
                  <c:v>0.63091660402766503</c:v>
                </c:pt>
                <c:pt idx="31">
                  <c:v>0.60441144077945386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34-4753-BD8B-D94140D5F29E}"/>
            </c:ext>
          </c:extLst>
        </c:ser>
        <c:ser>
          <c:idx val="6"/>
          <c:order val="6"/>
          <c:tx>
            <c:strRef>
              <c:f>PERMIT_NZ!$A$8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PERMIT_NZ!$B$8:$AG$8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0.48</c:v>
                </c:pt>
                <c:pt idx="13">
                  <c:v>0.45999999999999996</c:v>
                </c:pt>
                <c:pt idx="14">
                  <c:v>0.43999999999999995</c:v>
                </c:pt>
                <c:pt idx="15">
                  <c:v>0.41999999999999993</c:v>
                </c:pt>
                <c:pt idx="16">
                  <c:v>0.39999999999999991</c:v>
                </c:pt>
                <c:pt idx="17">
                  <c:v>0.37999999999999989</c:v>
                </c:pt>
                <c:pt idx="18">
                  <c:v>0.35999999999999988</c:v>
                </c:pt>
                <c:pt idx="19">
                  <c:v>0.33999999999999986</c:v>
                </c:pt>
                <c:pt idx="20">
                  <c:v>0.31999999999999984</c:v>
                </c:pt>
                <c:pt idx="21">
                  <c:v>0.29999999999999977</c:v>
                </c:pt>
                <c:pt idx="22">
                  <c:v>0.2749999999999998</c:v>
                </c:pt>
                <c:pt idx="23">
                  <c:v>0.24999999999999983</c:v>
                </c:pt>
                <c:pt idx="24">
                  <c:v>0.22499999999999987</c:v>
                </c:pt>
                <c:pt idx="25">
                  <c:v>0.1999999999999999</c:v>
                </c:pt>
                <c:pt idx="26">
                  <c:v>0.17499999999999993</c:v>
                </c:pt>
                <c:pt idx="27">
                  <c:v>0.14999999999999997</c:v>
                </c:pt>
                <c:pt idx="28">
                  <c:v>0.12499999999999999</c:v>
                </c:pt>
                <c:pt idx="29">
                  <c:v>0.1</c:v>
                </c:pt>
                <c:pt idx="30">
                  <c:v>7.5000000000000025E-2</c:v>
                </c:pt>
                <c:pt idx="3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34-4753-BD8B-D94140D5F29E}"/>
            </c:ext>
          </c:extLst>
        </c:ser>
        <c:ser>
          <c:idx val="7"/>
          <c:order val="7"/>
          <c:tx>
            <c:strRef>
              <c:f>PERMIT_NZ!$A$9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PERMIT_NZ!$B$9:$AG$9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0.94123083520852568</c:v>
                </c:pt>
                <c:pt idx="13">
                  <c:v>0.9119350381715513</c:v>
                </c:pt>
                <c:pt idx="14">
                  <c:v>0.88263924113457692</c:v>
                </c:pt>
                <c:pt idx="15">
                  <c:v>0.85334344409760254</c:v>
                </c:pt>
                <c:pt idx="16">
                  <c:v>0.82404764706062816</c:v>
                </c:pt>
                <c:pt idx="17">
                  <c:v>0.79475185002365378</c:v>
                </c:pt>
                <c:pt idx="18">
                  <c:v>0.7654560529866794</c:v>
                </c:pt>
                <c:pt idx="19">
                  <c:v>0.73616025594970502</c:v>
                </c:pt>
                <c:pt idx="20">
                  <c:v>0.70686445891273064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734-4753-BD8B-D94140D5F29E}"/>
            </c:ext>
          </c:extLst>
        </c:ser>
        <c:ser>
          <c:idx val="8"/>
          <c:order val="8"/>
          <c:tx>
            <c:strRef>
              <c:f>PERMIT_NZ!$A$10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PERMIT_NZ!$B$10:$AG$10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0.49999999999999989</c:v>
                </c:pt>
                <c:pt idx="12">
                  <c:v>0.47999999999999987</c:v>
                </c:pt>
                <c:pt idx="13">
                  <c:v>0.45999999999999985</c:v>
                </c:pt>
                <c:pt idx="14">
                  <c:v>0.43999999999999984</c:v>
                </c:pt>
                <c:pt idx="15">
                  <c:v>0.41999999999999982</c:v>
                </c:pt>
                <c:pt idx="16">
                  <c:v>0.3999999999999998</c:v>
                </c:pt>
                <c:pt idx="17">
                  <c:v>0.37999999999999978</c:v>
                </c:pt>
                <c:pt idx="18">
                  <c:v>0.35999999999999976</c:v>
                </c:pt>
                <c:pt idx="19">
                  <c:v>0.33999999999999975</c:v>
                </c:pt>
                <c:pt idx="20">
                  <c:v>0.31999999999999973</c:v>
                </c:pt>
                <c:pt idx="21">
                  <c:v>0.29999999999999977</c:v>
                </c:pt>
                <c:pt idx="22">
                  <c:v>0.2799999999999998</c:v>
                </c:pt>
                <c:pt idx="23">
                  <c:v>0.25999999999999984</c:v>
                </c:pt>
                <c:pt idx="24">
                  <c:v>0.23999999999999985</c:v>
                </c:pt>
                <c:pt idx="25">
                  <c:v>0.21999999999999986</c:v>
                </c:pt>
                <c:pt idx="26">
                  <c:v>0.19999999999999987</c:v>
                </c:pt>
                <c:pt idx="27">
                  <c:v>0.17999999999999988</c:v>
                </c:pt>
                <c:pt idx="28">
                  <c:v>0.15999999999999989</c:v>
                </c:pt>
                <c:pt idx="29">
                  <c:v>0.1399999999999999</c:v>
                </c:pt>
                <c:pt idx="30">
                  <c:v>0.11999999999999991</c:v>
                </c:pt>
                <c:pt idx="31">
                  <c:v>9.9999999999999922E-2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734-4753-BD8B-D94140D5F29E}"/>
            </c:ext>
          </c:extLst>
        </c:ser>
        <c:ser>
          <c:idx val="9"/>
          <c:order val="9"/>
          <c:tx>
            <c:strRef>
              <c:f>PERMIT_NZ!$A$11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PERMIT_NZ!$B$11:$AG$11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0.50000000000000011</c:v>
                </c:pt>
                <c:pt idx="12">
                  <c:v>0.48000000000000009</c:v>
                </c:pt>
                <c:pt idx="13">
                  <c:v>0.46000000000000008</c:v>
                </c:pt>
                <c:pt idx="14">
                  <c:v>0.44000000000000006</c:v>
                </c:pt>
                <c:pt idx="15">
                  <c:v>0.42000000000000004</c:v>
                </c:pt>
                <c:pt idx="16">
                  <c:v>0.4</c:v>
                </c:pt>
                <c:pt idx="17">
                  <c:v>0.38</c:v>
                </c:pt>
                <c:pt idx="18">
                  <c:v>0.36</c:v>
                </c:pt>
                <c:pt idx="19">
                  <c:v>0.33999999999999997</c:v>
                </c:pt>
                <c:pt idx="20">
                  <c:v>0.31999999999999995</c:v>
                </c:pt>
                <c:pt idx="21">
                  <c:v>0.29999999999999977</c:v>
                </c:pt>
                <c:pt idx="22">
                  <c:v>0.2799999999999998</c:v>
                </c:pt>
                <c:pt idx="23">
                  <c:v>0.25999999999999984</c:v>
                </c:pt>
                <c:pt idx="24">
                  <c:v>0.23999999999999988</c:v>
                </c:pt>
                <c:pt idx="25">
                  <c:v>0.21999999999999992</c:v>
                </c:pt>
                <c:pt idx="26">
                  <c:v>0.19999999999999996</c:v>
                </c:pt>
                <c:pt idx="27">
                  <c:v>0.18</c:v>
                </c:pt>
                <c:pt idx="28">
                  <c:v>0.16000000000000003</c:v>
                </c:pt>
                <c:pt idx="29">
                  <c:v>0.14000000000000007</c:v>
                </c:pt>
                <c:pt idx="30">
                  <c:v>0.12000000000000009</c:v>
                </c:pt>
                <c:pt idx="3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734-4753-BD8B-D94140D5F29E}"/>
            </c:ext>
          </c:extLst>
        </c:ser>
        <c:ser>
          <c:idx val="10"/>
          <c:order val="10"/>
          <c:tx>
            <c:strRef>
              <c:f>PERMIT_NZ!$A$12</c:f>
              <c:strCache>
                <c:ptCount val="1"/>
                <c:pt idx="0">
                  <c:v>11_FSU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PERMIT_NZ!$B$12:$AG$12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0.94123083520852568</c:v>
                </c:pt>
                <c:pt idx="13">
                  <c:v>0.9119350381715513</c:v>
                </c:pt>
                <c:pt idx="14">
                  <c:v>0.88263924113457692</c:v>
                </c:pt>
                <c:pt idx="15">
                  <c:v>0.85334344409760254</c:v>
                </c:pt>
                <c:pt idx="16">
                  <c:v>0.82404764706062816</c:v>
                </c:pt>
                <c:pt idx="17">
                  <c:v>0.79475185002365378</c:v>
                </c:pt>
                <c:pt idx="18">
                  <c:v>0.7654560529866794</c:v>
                </c:pt>
                <c:pt idx="19">
                  <c:v>0.73616025594970502</c:v>
                </c:pt>
                <c:pt idx="20">
                  <c:v>0.70686445891273064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734-4753-BD8B-D94140D5F29E}"/>
            </c:ext>
          </c:extLst>
        </c:ser>
        <c:ser>
          <c:idx val="11"/>
          <c:order val="11"/>
          <c:tx>
            <c:strRef>
              <c:f>PERMIT_NZ!$A$13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PERMIT_NZ!$B$13:$AG$13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0.94123083520852557</c:v>
                </c:pt>
                <c:pt idx="13">
                  <c:v>0.91193503817155119</c:v>
                </c:pt>
                <c:pt idx="14">
                  <c:v>0.88263924113457681</c:v>
                </c:pt>
                <c:pt idx="15">
                  <c:v>0.85334344409760243</c:v>
                </c:pt>
                <c:pt idx="16">
                  <c:v>0.82404764706062805</c:v>
                </c:pt>
                <c:pt idx="17">
                  <c:v>0.79475185002365367</c:v>
                </c:pt>
                <c:pt idx="18">
                  <c:v>0.76545605298667929</c:v>
                </c:pt>
                <c:pt idx="19">
                  <c:v>0.73616025594970491</c:v>
                </c:pt>
                <c:pt idx="20">
                  <c:v>0.70686445891273053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734-4753-BD8B-D94140D5F29E}"/>
            </c:ext>
          </c:extLst>
        </c:ser>
        <c:ser>
          <c:idx val="12"/>
          <c:order val="12"/>
          <c:tx>
            <c:strRef>
              <c:f>PERMIT_NZ!$A$14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PERMIT_NZ!$B$14:$AG$14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0.94123083520852557</c:v>
                </c:pt>
                <c:pt idx="13">
                  <c:v>0.91193503817155119</c:v>
                </c:pt>
                <c:pt idx="14">
                  <c:v>0.88263924113457681</c:v>
                </c:pt>
                <c:pt idx="15">
                  <c:v>0.85334344409760243</c:v>
                </c:pt>
                <c:pt idx="16">
                  <c:v>0.82404764706062805</c:v>
                </c:pt>
                <c:pt idx="17">
                  <c:v>0.79475185002365367</c:v>
                </c:pt>
                <c:pt idx="18">
                  <c:v>0.76545605298667929</c:v>
                </c:pt>
                <c:pt idx="19">
                  <c:v>0.73616025594970491</c:v>
                </c:pt>
                <c:pt idx="20">
                  <c:v>0.70686445891273053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734-4753-BD8B-D94140D5F29E}"/>
            </c:ext>
          </c:extLst>
        </c:ser>
        <c:ser>
          <c:idx val="13"/>
          <c:order val="13"/>
          <c:tx>
            <c:strRef>
              <c:f>PERMIT_NZ!$A$15</c:f>
              <c:strCache>
                <c:ptCount val="1"/>
                <c:pt idx="0">
                  <c:v>14_CPA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PERMIT_NZ!$B$15:$AG$15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0.94123083520852568</c:v>
                </c:pt>
                <c:pt idx="13">
                  <c:v>0.9119350381715513</c:v>
                </c:pt>
                <c:pt idx="14">
                  <c:v>0.88263924113457692</c:v>
                </c:pt>
                <c:pt idx="15">
                  <c:v>0.85334344409760254</c:v>
                </c:pt>
                <c:pt idx="16">
                  <c:v>0.82404764706062816</c:v>
                </c:pt>
                <c:pt idx="17">
                  <c:v>0.79475185002365378</c:v>
                </c:pt>
                <c:pt idx="18">
                  <c:v>0.7654560529866794</c:v>
                </c:pt>
                <c:pt idx="19">
                  <c:v>0.73616025594970502</c:v>
                </c:pt>
                <c:pt idx="20">
                  <c:v>0.70686445891273064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734-4753-BD8B-D94140D5F29E}"/>
            </c:ext>
          </c:extLst>
        </c:ser>
        <c:ser>
          <c:idx val="14"/>
          <c:order val="14"/>
          <c:tx>
            <c:strRef>
              <c:f>PERMIT_NZ!$A$16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PERMIT_NZ!$B$16:$AG$16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0.97052663224550018</c:v>
                </c:pt>
                <c:pt idx="12">
                  <c:v>0.9412308352085258</c:v>
                </c:pt>
                <c:pt idx="13">
                  <c:v>0.91193503817155142</c:v>
                </c:pt>
                <c:pt idx="14">
                  <c:v>0.88263924113457704</c:v>
                </c:pt>
                <c:pt idx="15">
                  <c:v>0.85334344409760265</c:v>
                </c:pt>
                <c:pt idx="16">
                  <c:v>0.82404764706062827</c:v>
                </c:pt>
                <c:pt idx="17">
                  <c:v>0.79475185002365389</c:v>
                </c:pt>
                <c:pt idx="18">
                  <c:v>0.76545605298667951</c:v>
                </c:pt>
                <c:pt idx="19">
                  <c:v>0.73616025594970513</c:v>
                </c:pt>
                <c:pt idx="20">
                  <c:v>0.70686445891273075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734-4753-BD8B-D94140D5F29E}"/>
            </c:ext>
          </c:extLst>
        </c:ser>
        <c:ser>
          <c:idx val="15"/>
          <c:order val="15"/>
          <c:tx>
            <c:strRef>
              <c:f>PERMIT_NZ!$A$17</c:f>
              <c:strCache>
                <c:ptCount val="1"/>
                <c:pt idx="0">
                  <c:v>16_PAS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PERMIT_NZ!$B$17:$AG$17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0.97052663224550018</c:v>
                </c:pt>
                <c:pt idx="12">
                  <c:v>0.9412308352085258</c:v>
                </c:pt>
                <c:pt idx="13">
                  <c:v>0.91193503817155142</c:v>
                </c:pt>
                <c:pt idx="14">
                  <c:v>0.88263924113457704</c:v>
                </c:pt>
                <c:pt idx="15">
                  <c:v>0.85334344409760265</c:v>
                </c:pt>
                <c:pt idx="16">
                  <c:v>0.82404764706062827</c:v>
                </c:pt>
                <c:pt idx="17">
                  <c:v>0.79475185002365389</c:v>
                </c:pt>
                <c:pt idx="18">
                  <c:v>0.76545605298667951</c:v>
                </c:pt>
                <c:pt idx="19">
                  <c:v>0.73616025594970513</c:v>
                </c:pt>
                <c:pt idx="20">
                  <c:v>0.70686445891273075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734-4753-BD8B-D94140D5F29E}"/>
            </c:ext>
          </c:extLst>
        </c:ser>
        <c:ser>
          <c:idx val="16"/>
          <c:order val="16"/>
          <c:tx>
            <c:strRef>
              <c:f>PERMIT_NZ!$A$18</c:f>
              <c:strCache>
                <c:ptCount val="1"/>
                <c:pt idx="0">
                  <c:v>17_PAO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PERMIT_NZ!$B$18:$AG$18</c:f>
              <c:numCache>
                <c:formatCode>0.00</c:formatCode>
                <c:ptCount val="32"/>
                <c:pt idx="0">
                  <c:v>1</c:v>
                </c:pt>
                <c:pt idx="1">
                  <c:v>0.96880530280148291</c:v>
                </c:pt>
                <c:pt idx="2">
                  <c:v>0.93761060560296583</c:v>
                </c:pt>
                <c:pt idx="3">
                  <c:v>0.90641590840444874</c:v>
                </c:pt>
                <c:pt idx="4">
                  <c:v>0.87522121120593166</c:v>
                </c:pt>
                <c:pt idx="5">
                  <c:v>0.84402651400741457</c:v>
                </c:pt>
                <c:pt idx="6">
                  <c:v>0.81283181680889749</c:v>
                </c:pt>
                <c:pt idx="7">
                  <c:v>0.7816371196103804</c:v>
                </c:pt>
                <c:pt idx="8">
                  <c:v>0.75044242241186332</c:v>
                </c:pt>
                <c:pt idx="9">
                  <c:v>0.71924772521334623</c:v>
                </c:pt>
                <c:pt idx="10">
                  <c:v>0.68805302801482915</c:v>
                </c:pt>
                <c:pt idx="11">
                  <c:v>0.65685833081631206</c:v>
                </c:pt>
                <c:pt idx="12">
                  <c:v>0.62811088203873566</c:v>
                </c:pt>
                <c:pt idx="13">
                  <c:v>0.59936343326115926</c:v>
                </c:pt>
                <c:pt idx="14">
                  <c:v>0.57061598448358286</c:v>
                </c:pt>
                <c:pt idx="15">
                  <c:v>0.54186853570600646</c:v>
                </c:pt>
                <c:pt idx="16">
                  <c:v>0.51312108692843006</c:v>
                </c:pt>
                <c:pt idx="17">
                  <c:v>0.4843736381508536</c:v>
                </c:pt>
                <c:pt idx="18">
                  <c:v>0.45562618937327715</c:v>
                </c:pt>
                <c:pt idx="19">
                  <c:v>0.42687874059570069</c:v>
                </c:pt>
                <c:pt idx="20">
                  <c:v>0.39813129181812423</c:v>
                </c:pt>
                <c:pt idx="21">
                  <c:v>0.36938384304054761</c:v>
                </c:pt>
                <c:pt idx="22">
                  <c:v>0.34063639426297115</c:v>
                </c:pt>
                <c:pt idx="23">
                  <c:v>0.3118889454853947</c:v>
                </c:pt>
                <c:pt idx="24">
                  <c:v>0.28314149670781824</c:v>
                </c:pt>
                <c:pt idx="25">
                  <c:v>0.25439404793024178</c:v>
                </c:pt>
                <c:pt idx="26">
                  <c:v>0.22564659915266533</c:v>
                </c:pt>
                <c:pt idx="27">
                  <c:v>0.19689915037508887</c:v>
                </c:pt>
                <c:pt idx="28">
                  <c:v>0.16815170159751242</c:v>
                </c:pt>
                <c:pt idx="29">
                  <c:v>0.13940425281993596</c:v>
                </c:pt>
                <c:pt idx="30">
                  <c:v>0.1106568040423595</c:v>
                </c:pt>
                <c:pt idx="31">
                  <c:v>8.1909355264783101E-2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734-4753-BD8B-D94140D5F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163935"/>
        <c:axId val="2002629231"/>
      </c:lineChart>
      <c:catAx>
        <c:axId val="177816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629231"/>
        <c:crosses val="autoZero"/>
        <c:auto val="1"/>
        <c:lblAlgn val="ctr"/>
        <c:lblOffset val="100"/>
        <c:noMultiLvlLbl val="0"/>
      </c:catAx>
      <c:valAx>
        <c:axId val="20026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16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PERMIT_NZ!$A$2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PERMIT_NZ!$B$2:$AG$2</c:f>
              <c:numCache>
                <c:formatCode>0.00</c:formatCode>
                <c:ptCount val="32"/>
                <c:pt idx="0">
                  <c:v>1</c:v>
                </c:pt>
                <c:pt idx="1">
                  <c:v>0.96880530280148291</c:v>
                </c:pt>
                <c:pt idx="2">
                  <c:v>0.93761060560296583</c:v>
                </c:pt>
                <c:pt idx="3">
                  <c:v>0.90641590840444874</c:v>
                </c:pt>
                <c:pt idx="4">
                  <c:v>0.87522121120593166</c:v>
                </c:pt>
                <c:pt idx="5">
                  <c:v>0.84402651400741457</c:v>
                </c:pt>
                <c:pt idx="6">
                  <c:v>0.81283181680889749</c:v>
                </c:pt>
                <c:pt idx="7">
                  <c:v>0.7816371196103804</c:v>
                </c:pt>
                <c:pt idx="8">
                  <c:v>0.75044242241186332</c:v>
                </c:pt>
                <c:pt idx="9">
                  <c:v>0.71924772521334623</c:v>
                </c:pt>
                <c:pt idx="10">
                  <c:v>0.68805302801482915</c:v>
                </c:pt>
                <c:pt idx="11">
                  <c:v>0.65685833081631229</c:v>
                </c:pt>
                <c:pt idx="12">
                  <c:v>0.62811088203873577</c:v>
                </c:pt>
                <c:pt idx="13">
                  <c:v>0.59936343326115926</c:v>
                </c:pt>
                <c:pt idx="14">
                  <c:v>0.57061598448358275</c:v>
                </c:pt>
                <c:pt idx="15">
                  <c:v>0.54186853570600624</c:v>
                </c:pt>
                <c:pt idx="16">
                  <c:v>0.51312108692842973</c:v>
                </c:pt>
                <c:pt idx="17">
                  <c:v>0.48437363815085327</c:v>
                </c:pt>
                <c:pt idx="18">
                  <c:v>0.45562618937327681</c:v>
                </c:pt>
                <c:pt idx="19">
                  <c:v>0.42687874059570036</c:v>
                </c:pt>
                <c:pt idx="20">
                  <c:v>0.3981312918181239</c:v>
                </c:pt>
                <c:pt idx="21">
                  <c:v>0.36938384304054761</c:v>
                </c:pt>
                <c:pt idx="22">
                  <c:v>0.34063639426297115</c:v>
                </c:pt>
                <c:pt idx="23">
                  <c:v>0.3118889454853947</c:v>
                </c:pt>
                <c:pt idx="24">
                  <c:v>0.28314149670781824</c:v>
                </c:pt>
                <c:pt idx="25">
                  <c:v>0.25439404793024178</c:v>
                </c:pt>
                <c:pt idx="26">
                  <c:v>0.22564659915266533</c:v>
                </c:pt>
                <c:pt idx="27">
                  <c:v>0.19689915037508887</c:v>
                </c:pt>
                <c:pt idx="28">
                  <c:v>0.16815170159751242</c:v>
                </c:pt>
                <c:pt idx="29">
                  <c:v>0.13940425281993596</c:v>
                </c:pt>
                <c:pt idx="30">
                  <c:v>0.1106568040423595</c:v>
                </c:pt>
                <c:pt idx="31">
                  <c:v>8.1909355264783101E-2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D0-4910-9766-E382F78D3DDB}"/>
            </c:ext>
          </c:extLst>
        </c:ser>
        <c:ser>
          <c:idx val="1"/>
          <c:order val="1"/>
          <c:tx>
            <c:strRef>
              <c:f>PERMIT_NZ!$A$3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PERMIT_NZ!$B$3:$AG$3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0.94123083520852557</c:v>
                </c:pt>
                <c:pt idx="13">
                  <c:v>0.91193503817155119</c:v>
                </c:pt>
                <c:pt idx="14">
                  <c:v>0.88263924113457681</c:v>
                </c:pt>
                <c:pt idx="15">
                  <c:v>0.85334344409760243</c:v>
                </c:pt>
                <c:pt idx="16">
                  <c:v>0.82404764706062805</c:v>
                </c:pt>
                <c:pt idx="17">
                  <c:v>0.79475185002365367</c:v>
                </c:pt>
                <c:pt idx="18">
                  <c:v>0.76545605298667929</c:v>
                </c:pt>
                <c:pt idx="19">
                  <c:v>0.73616025594970491</c:v>
                </c:pt>
                <c:pt idx="20">
                  <c:v>0.70686445891273053</c:v>
                </c:pt>
                <c:pt idx="21">
                  <c:v>0.67756866187575593</c:v>
                </c:pt>
                <c:pt idx="22">
                  <c:v>0.64827286483878155</c:v>
                </c:pt>
                <c:pt idx="23">
                  <c:v>0.61897706780180717</c:v>
                </c:pt>
                <c:pt idx="24">
                  <c:v>0.58968127076483279</c:v>
                </c:pt>
                <c:pt idx="25">
                  <c:v>0.56038547372785841</c:v>
                </c:pt>
                <c:pt idx="26">
                  <c:v>0.53108967669088403</c:v>
                </c:pt>
                <c:pt idx="27">
                  <c:v>0.50179387965390965</c:v>
                </c:pt>
                <c:pt idx="28">
                  <c:v>0.47249808261693527</c:v>
                </c:pt>
                <c:pt idx="29">
                  <c:v>0.44320228557996089</c:v>
                </c:pt>
                <c:pt idx="30">
                  <c:v>0.41390648854298651</c:v>
                </c:pt>
                <c:pt idx="31">
                  <c:v>0.38461069150601185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D0-4910-9766-E382F78D3DDB}"/>
            </c:ext>
          </c:extLst>
        </c:ser>
        <c:ser>
          <c:idx val="2"/>
          <c:order val="2"/>
          <c:tx>
            <c:strRef>
              <c:f>PERMIT_NZ!$A$4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PERMIT_NZ!$B$4:$AG$4</c:f>
              <c:numCache>
                <c:formatCode>0.00</c:formatCode>
                <c:ptCount val="32"/>
                <c:pt idx="0">
                  <c:v>1</c:v>
                </c:pt>
                <c:pt idx="1">
                  <c:v>0.97030956186559991</c:v>
                </c:pt>
                <c:pt idx="2">
                  <c:v>0.94061912373119982</c:v>
                </c:pt>
                <c:pt idx="3">
                  <c:v>0.91092868559679974</c:v>
                </c:pt>
                <c:pt idx="4">
                  <c:v>0.88123824746239965</c:v>
                </c:pt>
                <c:pt idx="5">
                  <c:v>0.85154780932799956</c:v>
                </c:pt>
                <c:pt idx="6">
                  <c:v>0.82185737119359947</c:v>
                </c:pt>
                <c:pt idx="7">
                  <c:v>0.79216693305919939</c:v>
                </c:pt>
                <c:pt idx="8">
                  <c:v>0.7624764949247993</c:v>
                </c:pt>
                <c:pt idx="9">
                  <c:v>0.73278605679039921</c:v>
                </c:pt>
                <c:pt idx="10">
                  <c:v>0.70309561865599912</c:v>
                </c:pt>
                <c:pt idx="11">
                  <c:v>0.67340518052159881</c:v>
                </c:pt>
                <c:pt idx="12">
                  <c:v>0.64379368066983944</c:v>
                </c:pt>
                <c:pt idx="13">
                  <c:v>0.61418218081808007</c:v>
                </c:pt>
                <c:pt idx="14">
                  <c:v>0.5845706809663207</c:v>
                </c:pt>
                <c:pt idx="15">
                  <c:v>0.55495918111456133</c:v>
                </c:pt>
                <c:pt idx="16">
                  <c:v>0.52534768126280196</c:v>
                </c:pt>
                <c:pt idx="17">
                  <c:v>0.49573618141104253</c:v>
                </c:pt>
                <c:pt idx="18">
                  <c:v>0.4661246815592831</c:v>
                </c:pt>
                <c:pt idx="19">
                  <c:v>0.43651318170752368</c:v>
                </c:pt>
                <c:pt idx="20">
                  <c:v>0.40690168185576425</c:v>
                </c:pt>
                <c:pt idx="21">
                  <c:v>0.37729018200400471</c:v>
                </c:pt>
                <c:pt idx="22">
                  <c:v>0.34767868215224529</c:v>
                </c:pt>
                <c:pt idx="23">
                  <c:v>0.31806718230048586</c:v>
                </c:pt>
                <c:pt idx="24">
                  <c:v>0.28845568244872644</c:v>
                </c:pt>
                <c:pt idx="25">
                  <c:v>0.25884418259696701</c:v>
                </c:pt>
                <c:pt idx="26">
                  <c:v>0.22923268274520761</c:v>
                </c:pt>
                <c:pt idx="27">
                  <c:v>0.19962118289344821</c:v>
                </c:pt>
                <c:pt idx="28">
                  <c:v>0.17000968304168881</c:v>
                </c:pt>
                <c:pt idx="29">
                  <c:v>0.14039818318992942</c:v>
                </c:pt>
                <c:pt idx="30">
                  <c:v>0.11078668333817002</c:v>
                </c:pt>
                <c:pt idx="31">
                  <c:v>8.1175183486410674E-2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D0-4910-9766-E382F78D3DDB}"/>
            </c:ext>
          </c:extLst>
        </c:ser>
        <c:ser>
          <c:idx val="3"/>
          <c:order val="3"/>
          <c:tx>
            <c:strRef>
              <c:f>PERMIT_NZ!$A$5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PERMIT_NZ!$B$5:$AG$5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1.1345147057436835</c:v>
                </c:pt>
                <c:pt idx="12">
                  <c:v>1.1080095424954721</c:v>
                </c:pt>
                <c:pt idx="13">
                  <c:v>1.0815043792472607</c:v>
                </c:pt>
                <c:pt idx="14">
                  <c:v>1.0549992159990493</c:v>
                </c:pt>
                <c:pt idx="15">
                  <c:v>1.0284940527508379</c:v>
                </c:pt>
                <c:pt idx="16">
                  <c:v>1.0019888895026265</c:v>
                </c:pt>
                <c:pt idx="17">
                  <c:v>0.97548372625441504</c:v>
                </c:pt>
                <c:pt idx="18">
                  <c:v>0.94897856300620353</c:v>
                </c:pt>
                <c:pt idx="19">
                  <c:v>0.92247339975799203</c:v>
                </c:pt>
                <c:pt idx="20">
                  <c:v>0.89596823650978052</c:v>
                </c:pt>
                <c:pt idx="21">
                  <c:v>0.86946307326156869</c:v>
                </c:pt>
                <c:pt idx="22">
                  <c:v>0.84295791001335718</c:v>
                </c:pt>
                <c:pt idx="23">
                  <c:v>0.81645274676514568</c:v>
                </c:pt>
                <c:pt idx="24">
                  <c:v>0.78994758351693417</c:v>
                </c:pt>
                <c:pt idx="25">
                  <c:v>0.76344242026872267</c:v>
                </c:pt>
                <c:pt idx="26">
                  <c:v>0.73693725702051116</c:v>
                </c:pt>
                <c:pt idx="27">
                  <c:v>0.71043209377229966</c:v>
                </c:pt>
                <c:pt idx="28">
                  <c:v>0.68392693052408815</c:v>
                </c:pt>
                <c:pt idx="29">
                  <c:v>0.65742176727587665</c:v>
                </c:pt>
                <c:pt idx="30">
                  <c:v>0.63091660402766514</c:v>
                </c:pt>
                <c:pt idx="31">
                  <c:v>0.60441144077945386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D0-4910-9766-E382F78D3DDB}"/>
            </c:ext>
          </c:extLst>
        </c:ser>
        <c:ser>
          <c:idx val="4"/>
          <c:order val="4"/>
          <c:tx>
            <c:strRef>
              <c:f>PERMIT_NZ!$A$6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PERMIT_NZ!$B$6:$AG$6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1.1345147057436833</c:v>
                </c:pt>
                <c:pt idx="12">
                  <c:v>1.1080095424954719</c:v>
                </c:pt>
                <c:pt idx="13">
                  <c:v>1.0815043792472605</c:v>
                </c:pt>
                <c:pt idx="14">
                  <c:v>1.0549992159990491</c:v>
                </c:pt>
                <c:pt idx="15">
                  <c:v>1.0284940527508377</c:v>
                </c:pt>
                <c:pt idx="16">
                  <c:v>1.0019888895026263</c:v>
                </c:pt>
                <c:pt idx="17">
                  <c:v>0.97548372625441493</c:v>
                </c:pt>
                <c:pt idx="18">
                  <c:v>0.94897856300620353</c:v>
                </c:pt>
                <c:pt idx="19">
                  <c:v>0.92247339975799214</c:v>
                </c:pt>
                <c:pt idx="20">
                  <c:v>0.89596823650978075</c:v>
                </c:pt>
                <c:pt idx="21">
                  <c:v>0.8694630732615688</c:v>
                </c:pt>
                <c:pt idx="22">
                  <c:v>0.84295791001335729</c:v>
                </c:pt>
                <c:pt idx="23">
                  <c:v>0.81645274676514579</c:v>
                </c:pt>
                <c:pt idx="24">
                  <c:v>0.78994758351693428</c:v>
                </c:pt>
                <c:pt idx="25">
                  <c:v>0.76344242026872278</c:v>
                </c:pt>
                <c:pt idx="26">
                  <c:v>0.73693725702051127</c:v>
                </c:pt>
                <c:pt idx="27">
                  <c:v>0.71043209377229977</c:v>
                </c:pt>
                <c:pt idx="28">
                  <c:v>0.68392693052408826</c:v>
                </c:pt>
                <c:pt idx="29">
                  <c:v>0.65742176727587676</c:v>
                </c:pt>
                <c:pt idx="30">
                  <c:v>0.63091660402766525</c:v>
                </c:pt>
                <c:pt idx="31">
                  <c:v>0.60441144077945386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D0-4910-9766-E382F78D3DDB}"/>
            </c:ext>
          </c:extLst>
        </c:ser>
        <c:ser>
          <c:idx val="5"/>
          <c:order val="5"/>
          <c:tx>
            <c:strRef>
              <c:f>PERMIT_NZ!$A$7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PERMIT_NZ!$B$7:$AG$7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1.1345147057436835</c:v>
                </c:pt>
                <c:pt idx="12">
                  <c:v>1.1080095424954721</c:v>
                </c:pt>
                <c:pt idx="13">
                  <c:v>1.0815043792472607</c:v>
                </c:pt>
                <c:pt idx="14">
                  <c:v>1.0549992159990493</c:v>
                </c:pt>
                <c:pt idx="15">
                  <c:v>1.0284940527508379</c:v>
                </c:pt>
                <c:pt idx="16">
                  <c:v>1.0019888895026265</c:v>
                </c:pt>
                <c:pt idx="17">
                  <c:v>0.97548372625441504</c:v>
                </c:pt>
                <c:pt idx="18">
                  <c:v>0.94897856300620353</c:v>
                </c:pt>
                <c:pt idx="19">
                  <c:v>0.92247339975799203</c:v>
                </c:pt>
                <c:pt idx="20">
                  <c:v>0.89596823650978052</c:v>
                </c:pt>
                <c:pt idx="21">
                  <c:v>0.86946307326156858</c:v>
                </c:pt>
                <c:pt idx="22">
                  <c:v>0.84295791001335707</c:v>
                </c:pt>
                <c:pt idx="23">
                  <c:v>0.81645274676514556</c:v>
                </c:pt>
                <c:pt idx="24">
                  <c:v>0.78994758351693406</c:v>
                </c:pt>
                <c:pt idx="25">
                  <c:v>0.76344242026872255</c:v>
                </c:pt>
                <c:pt idx="26">
                  <c:v>0.73693725702051105</c:v>
                </c:pt>
                <c:pt idx="27">
                  <c:v>0.71043209377229954</c:v>
                </c:pt>
                <c:pt idx="28">
                  <c:v>0.68392693052408804</c:v>
                </c:pt>
                <c:pt idx="29">
                  <c:v>0.65742176727587653</c:v>
                </c:pt>
                <c:pt idx="30">
                  <c:v>0.63091660402766503</c:v>
                </c:pt>
                <c:pt idx="31">
                  <c:v>0.60441144077945386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D0-4910-9766-E382F78D3DDB}"/>
            </c:ext>
          </c:extLst>
        </c:ser>
        <c:ser>
          <c:idx val="6"/>
          <c:order val="6"/>
          <c:tx>
            <c:strRef>
              <c:f>PERMIT_NZ!$A$8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PERMIT_NZ!$B$8:$AG$8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0.48</c:v>
                </c:pt>
                <c:pt idx="13">
                  <c:v>0.45999999999999996</c:v>
                </c:pt>
                <c:pt idx="14">
                  <c:v>0.43999999999999995</c:v>
                </c:pt>
                <c:pt idx="15">
                  <c:v>0.41999999999999993</c:v>
                </c:pt>
                <c:pt idx="16">
                  <c:v>0.39999999999999991</c:v>
                </c:pt>
                <c:pt idx="17">
                  <c:v>0.37999999999999989</c:v>
                </c:pt>
                <c:pt idx="18">
                  <c:v>0.35999999999999988</c:v>
                </c:pt>
                <c:pt idx="19">
                  <c:v>0.33999999999999986</c:v>
                </c:pt>
                <c:pt idx="20">
                  <c:v>0.31999999999999984</c:v>
                </c:pt>
                <c:pt idx="21">
                  <c:v>0.29999999999999977</c:v>
                </c:pt>
                <c:pt idx="22">
                  <c:v>0.2749999999999998</c:v>
                </c:pt>
                <c:pt idx="23">
                  <c:v>0.24999999999999983</c:v>
                </c:pt>
                <c:pt idx="24">
                  <c:v>0.22499999999999987</c:v>
                </c:pt>
                <c:pt idx="25">
                  <c:v>0.1999999999999999</c:v>
                </c:pt>
                <c:pt idx="26">
                  <c:v>0.17499999999999993</c:v>
                </c:pt>
                <c:pt idx="27">
                  <c:v>0.14999999999999997</c:v>
                </c:pt>
                <c:pt idx="28">
                  <c:v>0.12499999999999999</c:v>
                </c:pt>
                <c:pt idx="29">
                  <c:v>0.1</c:v>
                </c:pt>
                <c:pt idx="30">
                  <c:v>7.5000000000000025E-2</c:v>
                </c:pt>
                <c:pt idx="3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D0-4910-9766-E382F78D3DDB}"/>
            </c:ext>
          </c:extLst>
        </c:ser>
        <c:ser>
          <c:idx val="7"/>
          <c:order val="7"/>
          <c:tx>
            <c:strRef>
              <c:f>PERMIT_NZ!$A$9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PERMIT_NZ!$B$9:$AG$9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0.94123083520852568</c:v>
                </c:pt>
                <c:pt idx="13">
                  <c:v>0.9119350381715513</c:v>
                </c:pt>
                <c:pt idx="14">
                  <c:v>0.88263924113457692</c:v>
                </c:pt>
                <c:pt idx="15">
                  <c:v>0.85334344409760254</c:v>
                </c:pt>
                <c:pt idx="16">
                  <c:v>0.82404764706062816</c:v>
                </c:pt>
                <c:pt idx="17">
                  <c:v>0.79475185002365378</c:v>
                </c:pt>
                <c:pt idx="18">
                  <c:v>0.7654560529866794</c:v>
                </c:pt>
                <c:pt idx="19">
                  <c:v>0.73616025594970502</c:v>
                </c:pt>
                <c:pt idx="20">
                  <c:v>0.70686445891273064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BD0-4910-9766-E382F78D3DDB}"/>
            </c:ext>
          </c:extLst>
        </c:ser>
        <c:ser>
          <c:idx val="8"/>
          <c:order val="8"/>
          <c:tx>
            <c:strRef>
              <c:f>PERMIT_NZ!$A$10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PERMIT_NZ!$B$10:$AG$10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0.49999999999999989</c:v>
                </c:pt>
                <c:pt idx="12">
                  <c:v>0.47999999999999987</c:v>
                </c:pt>
                <c:pt idx="13">
                  <c:v>0.45999999999999985</c:v>
                </c:pt>
                <c:pt idx="14">
                  <c:v>0.43999999999999984</c:v>
                </c:pt>
                <c:pt idx="15">
                  <c:v>0.41999999999999982</c:v>
                </c:pt>
                <c:pt idx="16">
                  <c:v>0.3999999999999998</c:v>
                </c:pt>
                <c:pt idx="17">
                  <c:v>0.37999999999999978</c:v>
                </c:pt>
                <c:pt idx="18">
                  <c:v>0.35999999999999976</c:v>
                </c:pt>
                <c:pt idx="19">
                  <c:v>0.33999999999999975</c:v>
                </c:pt>
                <c:pt idx="20">
                  <c:v>0.31999999999999973</c:v>
                </c:pt>
                <c:pt idx="21">
                  <c:v>0.29999999999999977</c:v>
                </c:pt>
                <c:pt idx="22">
                  <c:v>0.2799999999999998</c:v>
                </c:pt>
                <c:pt idx="23">
                  <c:v>0.25999999999999984</c:v>
                </c:pt>
                <c:pt idx="24">
                  <c:v>0.23999999999999985</c:v>
                </c:pt>
                <c:pt idx="25">
                  <c:v>0.21999999999999986</c:v>
                </c:pt>
                <c:pt idx="26">
                  <c:v>0.19999999999999987</c:v>
                </c:pt>
                <c:pt idx="27">
                  <c:v>0.17999999999999988</c:v>
                </c:pt>
                <c:pt idx="28">
                  <c:v>0.15999999999999989</c:v>
                </c:pt>
                <c:pt idx="29">
                  <c:v>0.1399999999999999</c:v>
                </c:pt>
                <c:pt idx="30">
                  <c:v>0.11999999999999991</c:v>
                </c:pt>
                <c:pt idx="31">
                  <c:v>9.9999999999999922E-2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BD0-4910-9766-E382F78D3DDB}"/>
            </c:ext>
          </c:extLst>
        </c:ser>
        <c:ser>
          <c:idx val="9"/>
          <c:order val="9"/>
          <c:tx>
            <c:strRef>
              <c:f>PERMIT_NZ!$A$11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PERMIT_NZ!$B$11:$AG$11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0.50000000000000011</c:v>
                </c:pt>
                <c:pt idx="12">
                  <c:v>0.48000000000000009</c:v>
                </c:pt>
                <c:pt idx="13">
                  <c:v>0.46000000000000008</c:v>
                </c:pt>
                <c:pt idx="14">
                  <c:v>0.44000000000000006</c:v>
                </c:pt>
                <c:pt idx="15">
                  <c:v>0.42000000000000004</c:v>
                </c:pt>
                <c:pt idx="16">
                  <c:v>0.4</c:v>
                </c:pt>
                <c:pt idx="17">
                  <c:v>0.38</c:v>
                </c:pt>
                <c:pt idx="18">
                  <c:v>0.36</c:v>
                </c:pt>
                <c:pt idx="19">
                  <c:v>0.33999999999999997</c:v>
                </c:pt>
                <c:pt idx="20">
                  <c:v>0.31999999999999995</c:v>
                </c:pt>
                <c:pt idx="21">
                  <c:v>0.29999999999999977</c:v>
                </c:pt>
                <c:pt idx="22">
                  <c:v>0.2799999999999998</c:v>
                </c:pt>
                <c:pt idx="23">
                  <c:v>0.25999999999999984</c:v>
                </c:pt>
                <c:pt idx="24">
                  <c:v>0.23999999999999988</c:v>
                </c:pt>
                <c:pt idx="25">
                  <c:v>0.21999999999999992</c:v>
                </c:pt>
                <c:pt idx="26">
                  <c:v>0.19999999999999996</c:v>
                </c:pt>
                <c:pt idx="27">
                  <c:v>0.18</c:v>
                </c:pt>
                <c:pt idx="28">
                  <c:v>0.16000000000000003</c:v>
                </c:pt>
                <c:pt idx="29">
                  <c:v>0.14000000000000007</c:v>
                </c:pt>
                <c:pt idx="30">
                  <c:v>0.12000000000000009</c:v>
                </c:pt>
                <c:pt idx="3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BD0-4910-9766-E382F78D3DDB}"/>
            </c:ext>
          </c:extLst>
        </c:ser>
        <c:ser>
          <c:idx val="10"/>
          <c:order val="10"/>
          <c:tx>
            <c:strRef>
              <c:f>PERMIT_NZ!$A$12</c:f>
              <c:strCache>
                <c:ptCount val="1"/>
                <c:pt idx="0">
                  <c:v>11_FSU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PERMIT_NZ!$B$12:$AG$12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0.94123083520852568</c:v>
                </c:pt>
                <c:pt idx="13">
                  <c:v>0.9119350381715513</c:v>
                </c:pt>
                <c:pt idx="14">
                  <c:v>0.88263924113457692</c:v>
                </c:pt>
                <c:pt idx="15">
                  <c:v>0.85334344409760254</c:v>
                </c:pt>
                <c:pt idx="16">
                  <c:v>0.82404764706062816</c:v>
                </c:pt>
                <c:pt idx="17">
                  <c:v>0.79475185002365378</c:v>
                </c:pt>
                <c:pt idx="18">
                  <c:v>0.7654560529866794</c:v>
                </c:pt>
                <c:pt idx="19">
                  <c:v>0.73616025594970502</c:v>
                </c:pt>
                <c:pt idx="20">
                  <c:v>0.70686445891273064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BD0-4910-9766-E382F78D3DDB}"/>
            </c:ext>
          </c:extLst>
        </c:ser>
        <c:ser>
          <c:idx val="11"/>
          <c:order val="11"/>
          <c:tx>
            <c:strRef>
              <c:f>PERMIT_NZ!$A$13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PERMIT_NZ!$B$13:$AG$13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0.94123083520852557</c:v>
                </c:pt>
                <c:pt idx="13">
                  <c:v>0.91193503817155119</c:v>
                </c:pt>
                <c:pt idx="14">
                  <c:v>0.88263924113457681</c:v>
                </c:pt>
                <c:pt idx="15">
                  <c:v>0.85334344409760243</c:v>
                </c:pt>
                <c:pt idx="16">
                  <c:v>0.82404764706062805</c:v>
                </c:pt>
                <c:pt idx="17">
                  <c:v>0.79475185002365367</c:v>
                </c:pt>
                <c:pt idx="18">
                  <c:v>0.76545605298667929</c:v>
                </c:pt>
                <c:pt idx="19">
                  <c:v>0.73616025594970491</c:v>
                </c:pt>
                <c:pt idx="20">
                  <c:v>0.70686445891273053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BD0-4910-9766-E382F78D3DDB}"/>
            </c:ext>
          </c:extLst>
        </c:ser>
        <c:ser>
          <c:idx val="12"/>
          <c:order val="12"/>
          <c:tx>
            <c:strRef>
              <c:f>PERMIT_NZ!$A$14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PERMIT_NZ!$B$14:$AG$14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0.94123083520852557</c:v>
                </c:pt>
                <c:pt idx="13">
                  <c:v>0.91193503817155119</c:v>
                </c:pt>
                <c:pt idx="14">
                  <c:v>0.88263924113457681</c:v>
                </c:pt>
                <c:pt idx="15">
                  <c:v>0.85334344409760243</c:v>
                </c:pt>
                <c:pt idx="16">
                  <c:v>0.82404764706062805</c:v>
                </c:pt>
                <c:pt idx="17">
                  <c:v>0.79475185002365367</c:v>
                </c:pt>
                <c:pt idx="18">
                  <c:v>0.76545605298667929</c:v>
                </c:pt>
                <c:pt idx="19">
                  <c:v>0.73616025594970491</c:v>
                </c:pt>
                <c:pt idx="20">
                  <c:v>0.70686445891273053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BD0-4910-9766-E382F78D3DDB}"/>
            </c:ext>
          </c:extLst>
        </c:ser>
        <c:ser>
          <c:idx val="13"/>
          <c:order val="13"/>
          <c:tx>
            <c:strRef>
              <c:f>PERMIT_NZ!$A$15</c:f>
              <c:strCache>
                <c:ptCount val="1"/>
                <c:pt idx="0">
                  <c:v>14_CPA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PERMIT_NZ!$B$15:$AG$15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0.94123083520852568</c:v>
                </c:pt>
                <c:pt idx="13">
                  <c:v>0.9119350381715513</c:v>
                </c:pt>
                <c:pt idx="14">
                  <c:v>0.88263924113457692</c:v>
                </c:pt>
                <c:pt idx="15">
                  <c:v>0.85334344409760254</c:v>
                </c:pt>
                <c:pt idx="16">
                  <c:v>0.82404764706062816</c:v>
                </c:pt>
                <c:pt idx="17">
                  <c:v>0.79475185002365378</c:v>
                </c:pt>
                <c:pt idx="18">
                  <c:v>0.7654560529866794</c:v>
                </c:pt>
                <c:pt idx="19">
                  <c:v>0.73616025594970502</c:v>
                </c:pt>
                <c:pt idx="20">
                  <c:v>0.70686445891273064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BD0-4910-9766-E382F78D3DDB}"/>
            </c:ext>
          </c:extLst>
        </c:ser>
        <c:ser>
          <c:idx val="14"/>
          <c:order val="14"/>
          <c:tx>
            <c:strRef>
              <c:f>PERMIT_NZ!$A$16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PERMIT_NZ!$B$16:$AG$16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0.97052663224550018</c:v>
                </c:pt>
                <c:pt idx="12">
                  <c:v>0.9412308352085258</c:v>
                </c:pt>
                <c:pt idx="13">
                  <c:v>0.91193503817155142</c:v>
                </c:pt>
                <c:pt idx="14">
                  <c:v>0.88263924113457704</c:v>
                </c:pt>
                <c:pt idx="15">
                  <c:v>0.85334344409760265</c:v>
                </c:pt>
                <c:pt idx="16">
                  <c:v>0.82404764706062827</c:v>
                </c:pt>
                <c:pt idx="17">
                  <c:v>0.79475185002365389</c:v>
                </c:pt>
                <c:pt idx="18">
                  <c:v>0.76545605298667951</c:v>
                </c:pt>
                <c:pt idx="19">
                  <c:v>0.73616025594970513</c:v>
                </c:pt>
                <c:pt idx="20">
                  <c:v>0.70686445891273075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BD0-4910-9766-E382F78D3DDB}"/>
            </c:ext>
          </c:extLst>
        </c:ser>
        <c:ser>
          <c:idx val="15"/>
          <c:order val="15"/>
          <c:tx>
            <c:strRef>
              <c:f>PERMIT_NZ!$A$17</c:f>
              <c:strCache>
                <c:ptCount val="1"/>
                <c:pt idx="0">
                  <c:v>16_PAS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PERMIT_NZ!$B$17:$AG$17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0.97052663224550018</c:v>
                </c:pt>
                <c:pt idx="12">
                  <c:v>0.9412308352085258</c:v>
                </c:pt>
                <c:pt idx="13">
                  <c:v>0.91193503817155142</c:v>
                </c:pt>
                <c:pt idx="14">
                  <c:v>0.88263924113457704</c:v>
                </c:pt>
                <c:pt idx="15">
                  <c:v>0.85334344409760265</c:v>
                </c:pt>
                <c:pt idx="16">
                  <c:v>0.82404764706062827</c:v>
                </c:pt>
                <c:pt idx="17">
                  <c:v>0.79475185002365389</c:v>
                </c:pt>
                <c:pt idx="18">
                  <c:v>0.76545605298667951</c:v>
                </c:pt>
                <c:pt idx="19">
                  <c:v>0.73616025594970513</c:v>
                </c:pt>
                <c:pt idx="20">
                  <c:v>0.70686445891273075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BD0-4910-9766-E382F78D3DDB}"/>
            </c:ext>
          </c:extLst>
        </c:ser>
        <c:ser>
          <c:idx val="16"/>
          <c:order val="16"/>
          <c:tx>
            <c:strRef>
              <c:f>PERMIT_NZ!$A$18</c:f>
              <c:strCache>
                <c:ptCount val="1"/>
                <c:pt idx="0">
                  <c:v>17_PAO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PERMIT_NZ!$B$18:$AG$18</c:f>
              <c:numCache>
                <c:formatCode>0.00</c:formatCode>
                <c:ptCount val="32"/>
                <c:pt idx="0">
                  <c:v>1</c:v>
                </c:pt>
                <c:pt idx="1">
                  <c:v>0.96880530280148291</c:v>
                </c:pt>
                <c:pt idx="2">
                  <c:v>0.93761060560296583</c:v>
                </c:pt>
                <c:pt idx="3">
                  <c:v>0.90641590840444874</c:v>
                </c:pt>
                <c:pt idx="4">
                  <c:v>0.87522121120593166</c:v>
                </c:pt>
                <c:pt idx="5">
                  <c:v>0.84402651400741457</c:v>
                </c:pt>
                <c:pt idx="6">
                  <c:v>0.81283181680889749</c:v>
                </c:pt>
                <c:pt idx="7">
                  <c:v>0.7816371196103804</c:v>
                </c:pt>
                <c:pt idx="8">
                  <c:v>0.75044242241186332</c:v>
                </c:pt>
                <c:pt idx="9">
                  <c:v>0.71924772521334623</c:v>
                </c:pt>
                <c:pt idx="10">
                  <c:v>0.68805302801482915</c:v>
                </c:pt>
                <c:pt idx="11">
                  <c:v>0.65685833081631206</c:v>
                </c:pt>
                <c:pt idx="12">
                  <c:v>0.62811088203873566</c:v>
                </c:pt>
                <c:pt idx="13">
                  <c:v>0.59936343326115926</c:v>
                </c:pt>
                <c:pt idx="14">
                  <c:v>0.57061598448358286</c:v>
                </c:pt>
                <c:pt idx="15">
                  <c:v>0.54186853570600646</c:v>
                </c:pt>
                <c:pt idx="16">
                  <c:v>0.51312108692843006</c:v>
                </c:pt>
                <c:pt idx="17">
                  <c:v>0.4843736381508536</c:v>
                </c:pt>
                <c:pt idx="18">
                  <c:v>0.45562618937327715</c:v>
                </c:pt>
                <c:pt idx="19">
                  <c:v>0.42687874059570069</c:v>
                </c:pt>
                <c:pt idx="20">
                  <c:v>0.39813129181812423</c:v>
                </c:pt>
                <c:pt idx="21">
                  <c:v>0.36938384304054761</c:v>
                </c:pt>
                <c:pt idx="22">
                  <c:v>0.34063639426297115</c:v>
                </c:pt>
                <c:pt idx="23">
                  <c:v>0.3118889454853947</c:v>
                </c:pt>
                <c:pt idx="24">
                  <c:v>0.28314149670781824</c:v>
                </c:pt>
                <c:pt idx="25">
                  <c:v>0.25439404793024178</c:v>
                </c:pt>
                <c:pt idx="26">
                  <c:v>0.22564659915266533</c:v>
                </c:pt>
                <c:pt idx="27">
                  <c:v>0.19689915037508887</c:v>
                </c:pt>
                <c:pt idx="28">
                  <c:v>0.16815170159751242</c:v>
                </c:pt>
                <c:pt idx="29">
                  <c:v>0.13940425281993596</c:v>
                </c:pt>
                <c:pt idx="30">
                  <c:v>0.1106568040423595</c:v>
                </c:pt>
                <c:pt idx="31">
                  <c:v>8.1909355264783101E-2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BD0-4910-9766-E382F78D3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163935"/>
        <c:axId val="2002629231"/>
      </c:lineChart>
      <c:catAx>
        <c:axId val="177816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629231"/>
        <c:crosses val="autoZero"/>
        <c:auto val="1"/>
        <c:lblAlgn val="ctr"/>
        <c:lblOffset val="100"/>
        <c:noMultiLvlLbl val="0"/>
      </c:catAx>
      <c:valAx>
        <c:axId val="20026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16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PERMIT_NZ!$A$23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PERMIT_NZ!$B$23:$AG$23</c:f>
              <c:numCache>
                <c:formatCode>0.00</c:formatCode>
                <c:ptCount val="32"/>
                <c:pt idx="0">
                  <c:v>1</c:v>
                </c:pt>
                <c:pt idx="1">
                  <c:v>1.0156526606978629</c:v>
                </c:pt>
                <c:pt idx="2">
                  <c:v>1.0603986957327778</c:v>
                </c:pt>
                <c:pt idx="3">
                  <c:v>1.0933325336154156</c:v>
                </c:pt>
                <c:pt idx="4">
                  <c:v>1.1130001417681763</c:v>
                </c:pt>
                <c:pt idx="5">
                  <c:v>1.159587345554477</c:v>
                </c:pt>
                <c:pt idx="6">
                  <c:v>1.219257207457733</c:v>
                </c:pt>
                <c:pt idx="7">
                  <c:v>1.2430379102643794</c:v>
                </c:pt>
                <c:pt idx="8">
                  <c:v>1.2622293227479759</c:v>
                </c:pt>
                <c:pt idx="9">
                  <c:v>1.2892925040985543</c:v>
                </c:pt>
                <c:pt idx="10">
                  <c:v>1.3152288102014924</c:v>
                </c:pt>
                <c:pt idx="11">
                  <c:v>1.3476373788154723</c:v>
                </c:pt>
                <c:pt idx="12">
                  <c:v>1.3680792593158049</c:v>
                </c:pt>
                <c:pt idx="13">
                  <c:v>1.4051080164451084</c:v>
                </c:pt>
                <c:pt idx="14">
                  <c:v>1.4275201110880888</c:v>
                </c:pt>
                <c:pt idx="15">
                  <c:v>1.4695998138838298</c:v>
                </c:pt>
                <c:pt idx="16">
                  <c:v>1.4890638574757267</c:v>
                </c:pt>
                <c:pt idx="17">
                  <c:v>1.5160270740865947</c:v>
                </c:pt>
                <c:pt idx="18">
                  <c:v>1.5288207432287517</c:v>
                </c:pt>
                <c:pt idx="19">
                  <c:v>1.5544335270831744</c:v>
                </c:pt>
                <c:pt idx="20">
                  <c:v>1.5680541772538414</c:v>
                </c:pt>
                <c:pt idx="21">
                  <c:v>1.5947265873491894</c:v>
                </c:pt>
                <c:pt idx="22">
                  <c:v>1.6065151564720808</c:v>
                </c:pt>
                <c:pt idx="23">
                  <c:v>1.6312809663500512</c:v>
                </c:pt>
                <c:pt idx="24">
                  <c:v>1.6426678589733803</c:v>
                </c:pt>
                <c:pt idx="25">
                  <c:v>1.6652726129328925</c:v>
                </c:pt>
                <c:pt idx="26">
                  <c:v>1.6762905447896559</c:v>
                </c:pt>
                <c:pt idx="27">
                  <c:v>1.6951602525654585</c:v>
                </c:pt>
                <c:pt idx="28">
                  <c:v>1.7052821368462761</c:v>
                </c:pt>
                <c:pt idx="29">
                  <c:v>1.7221725427758208</c:v>
                </c:pt>
                <c:pt idx="30">
                  <c:v>1.7325016266989464</c:v>
                </c:pt>
                <c:pt idx="31">
                  <c:v>1.7474236360265649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ED-4385-8309-B4E2D27D8BE0}"/>
            </c:ext>
          </c:extLst>
        </c:ser>
        <c:ser>
          <c:idx val="1"/>
          <c:order val="1"/>
          <c:tx>
            <c:strRef>
              <c:f>PERMIT_NZ!$A$24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PERMIT_NZ!$B$24:$AG$24</c:f>
              <c:numCache>
                <c:formatCode>0.00</c:formatCode>
                <c:ptCount val="32"/>
                <c:pt idx="0">
                  <c:v>1</c:v>
                </c:pt>
                <c:pt idx="1">
                  <c:v>1.0418874581950412</c:v>
                </c:pt>
                <c:pt idx="2">
                  <c:v>1.1284112952186338</c:v>
                </c:pt>
                <c:pt idx="3">
                  <c:v>1.2026395561111922</c:v>
                </c:pt>
                <c:pt idx="4">
                  <c:v>1.2700034480497364</c:v>
                </c:pt>
                <c:pt idx="5">
                  <c:v>1.3296462470199755</c:v>
                </c:pt>
                <c:pt idx="6">
                  <c:v>1.3869727180997229</c:v>
                </c:pt>
                <c:pt idx="7">
                  <c:v>1.4390424998572129</c:v>
                </c:pt>
                <c:pt idx="8">
                  <c:v>1.488637301128972</c:v>
                </c:pt>
                <c:pt idx="9">
                  <c:v>1.5352705872896002</c:v>
                </c:pt>
                <c:pt idx="10">
                  <c:v>1.5803596548565675</c:v>
                </c:pt>
                <c:pt idx="11">
                  <c:v>1.6235131607616173</c:v>
                </c:pt>
                <c:pt idx="12">
                  <c:v>1.6621292024428269</c:v>
                </c:pt>
                <c:pt idx="13">
                  <c:v>1.6983337246764016</c:v>
                </c:pt>
                <c:pt idx="14">
                  <c:v>1.7336074850179066</c:v>
                </c:pt>
                <c:pt idx="15">
                  <c:v>1.7668610689800333</c:v>
                </c:pt>
                <c:pt idx="16">
                  <c:v>1.7998396551104117</c:v>
                </c:pt>
                <c:pt idx="17">
                  <c:v>1.8236692749153323</c:v>
                </c:pt>
                <c:pt idx="18">
                  <c:v>1.8460604445234183</c:v>
                </c:pt>
                <c:pt idx="19">
                  <c:v>1.8668016271410168</c:v>
                </c:pt>
                <c:pt idx="20">
                  <c:v>1.8869716604157545</c:v>
                </c:pt>
                <c:pt idx="21">
                  <c:v>1.9060734328825484</c:v>
                </c:pt>
                <c:pt idx="22">
                  <c:v>1.9238107930302859</c:v>
                </c:pt>
                <c:pt idx="23">
                  <c:v>1.9404904692097622</c:v>
                </c:pt>
                <c:pt idx="24">
                  <c:v>1.9566730339241558</c:v>
                </c:pt>
                <c:pt idx="25">
                  <c:v>1.9718719525480664</c:v>
                </c:pt>
                <c:pt idx="26">
                  <c:v>1.9866795281037208</c:v>
                </c:pt>
                <c:pt idx="27">
                  <c:v>1.9990861610514226</c:v>
                </c:pt>
                <c:pt idx="28">
                  <c:v>2.0109956825340416</c:v>
                </c:pt>
                <c:pt idx="29">
                  <c:v>2.0220061726436387</c:v>
                </c:pt>
                <c:pt idx="30">
                  <c:v>2.0325301281278358</c:v>
                </c:pt>
                <c:pt idx="31">
                  <c:v>2.0423877427120285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ED-4385-8309-B4E2D27D8BE0}"/>
            </c:ext>
          </c:extLst>
        </c:ser>
        <c:ser>
          <c:idx val="2"/>
          <c:order val="2"/>
          <c:tx>
            <c:strRef>
              <c:f>PERMIT_NZ!$A$25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PERMIT_NZ!$B$25:$AG$25</c:f>
              <c:numCache>
                <c:formatCode>0.00</c:formatCode>
                <c:ptCount val="32"/>
                <c:pt idx="0">
                  <c:v>1</c:v>
                </c:pt>
                <c:pt idx="1">
                  <c:v>0.98175956490666538</c:v>
                </c:pt>
                <c:pt idx="2">
                  <c:v>1.0018864319411882</c:v>
                </c:pt>
                <c:pt idx="3">
                  <c:v>1.0272893968168175</c:v>
                </c:pt>
                <c:pt idx="4">
                  <c:v>1.0558001712251039</c:v>
                </c:pt>
                <c:pt idx="5">
                  <c:v>1.0776730698380961</c:v>
                </c:pt>
                <c:pt idx="6">
                  <c:v>1.1005066025117942</c:v>
                </c:pt>
                <c:pt idx="7">
                  <c:v>1.1200043070186458</c:v>
                </c:pt>
                <c:pt idx="8">
                  <c:v>1.1395442371984954</c:v>
                </c:pt>
                <c:pt idx="9">
                  <c:v>1.1569517708919435</c:v>
                </c:pt>
                <c:pt idx="10">
                  <c:v>1.1739264914371612</c:v>
                </c:pt>
                <c:pt idx="11">
                  <c:v>1.189602772537689</c:v>
                </c:pt>
                <c:pt idx="12">
                  <c:v>1.207875932527597</c:v>
                </c:pt>
                <c:pt idx="13">
                  <c:v>1.2246711939625732</c:v>
                </c:pt>
                <c:pt idx="14">
                  <c:v>1.2415825759982939</c:v>
                </c:pt>
                <c:pt idx="15">
                  <c:v>1.2568577132053402</c:v>
                </c:pt>
                <c:pt idx="16">
                  <c:v>1.2727134534161098</c:v>
                </c:pt>
                <c:pt idx="17">
                  <c:v>1.288073041969152</c:v>
                </c:pt>
                <c:pt idx="18">
                  <c:v>1.3033692920126971</c:v>
                </c:pt>
                <c:pt idx="19">
                  <c:v>1.3174515539575484</c:v>
                </c:pt>
                <c:pt idx="20">
                  <c:v>1.3313965824651557</c:v>
                </c:pt>
                <c:pt idx="21">
                  <c:v>1.3443387512390594</c:v>
                </c:pt>
                <c:pt idx="22">
                  <c:v>1.3586110287124018</c:v>
                </c:pt>
                <c:pt idx="23">
                  <c:v>1.3720176798892842</c:v>
                </c:pt>
                <c:pt idx="24">
                  <c:v>1.385477113157414</c:v>
                </c:pt>
                <c:pt idx="25">
                  <c:v>1.3980181380378363</c:v>
                </c:pt>
                <c:pt idx="26">
                  <c:v>1.4105486065000088</c:v>
                </c:pt>
                <c:pt idx="27">
                  <c:v>1.4236807908024038</c:v>
                </c:pt>
                <c:pt idx="28">
                  <c:v>1.4367813058500503</c:v>
                </c:pt>
                <c:pt idx="29">
                  <c:v>1.4492062101297276</c:v>
                </c:pt>
                <c:pt idx="30">
                  <c:v>1.4614094296261655</c:v>
                </c:pt>
                <c:pt idx="31">
                  <c:v>1.4730426025371295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ED-4385-8309-B4E2D27D8BE0}"/>
            </c:ext>
          </c:extLst>
        </c:ser>
        <c:ser>
          <c:idx val="3"/>
          <c:order val="3"/>
          <c:tx>
            <c:strRef>
              <c:f>PERMIT_NZ!$A$26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PERMIT_NZ!$B$26:$AG$26</c:f>
              <c:numCache>
                <c:formatCode>0.00</c:formatCode>
                <c:ptCount val="32"/>
                <c:pt idx="0">
                  <c:v>1</c:v>
                </c:pt>
                <c:pt idx="1">
                  <c:v>0.98121058792432869</c:v>
                </c:pt>
                <c:pt idx="2">
                  <c:v>1.0285994789109996</c:v>
                </c:pt>
                <c:pt idx="3">
                  <c:v>1.0193482611486613</c:v>
                </c:pt>
                <c:pt idx="4">
                  <c:v>1.0072801419778725</c:v>
                </c:pt>
                <c:pt idx="5">
                  <c:v>0.99051466978816594</c:v>
                </c:pt>
                <c:pt idx="6">
                  <c:v>0.97393799796095604</c:v>
                </c:pt>
                <c:pt idx="7">
                  <c:v>0.98195823735981569</c:v>
                </c:pt>
                <c:pt idx="8">
                  <c:v>0.99200241664463995</c:v>
                </c:pt>
                <c:pt idx="9">
                  <c:v>1.0018577955669674</c:v>
                </c:pt>
                <c:pt idx="10">
                  <c:v>1.0116603103877959</c:v>
                </c:pt>
                <c:pt idx="11">
                  <c:v>1.0209946003096326</c:v>
                </c:pt>
                <c:pt idx="12">
                  <c:v>1.0360231091643697</c:v>
                </c:pt>
                <c:pt idx="13">
                  <c:v>1.0509156817581089</c:v>
                </c:pt>
                <c:pt idx="14">
                  <c:v>1.0657553902503492</c:v>
                </c:pt>
                <c:pt idx="15">
                  <c:v>1.0800438016840992</c:v>
                </c:pt>
                <c:pt idx="16">
                  <c:v>1.0943095570743495</c:v>
                </c:pt>
                <c:pt idx="17">
                  <c:v>1.1090812974360911</c:v>
                </c:pt>
                <c:pt idx="18">
                  <c:v>1.1237624136238342</c:v>
                </c:pt>
                <c:pt idx="19">
                  <c:v>1.1379979609560851</c:v>
                </c:pt>
                <c:pt idx="20">
                  <c:v>1.1520749159838386</c:v>
                </c:pt>
                <c:pt idx="21">
                  <c:v>1.1657818223010987</c:v>
                </c:pt>
                <c:pt idx="22">
                  <c:v>1.1797001850243554</c:v>
                </c:pt>
                <c:pt idx="23">
                  <c:v>1.1932787070951176</c:v>
                </c:pt>
                <c:pt idx="24">
                  <c:v>1.206743948948382</c:v>
                </c:pt>
                <c:pt idx="25">
                  <c:v>1.2198920061926517</c:v>
                </c:pt>
                <c:pt idx="26">
                  <c:v>1.2329267832194237</c:v>
                </c:pt>
                <c:pt idx="27">
                  <c:v>1.245938904202696</c:v>
                </c:pt>
                <c:pt idx="28">
                  <c:v>1.2588301929539705</c:v>
                </c:pt>
                <c:pt idx="29">
                  <c:v>1.2714798172412491</c:v>
                </c:pt>
                <c:pt idx="30">
                  <c:v>1.2839859532530302</c:v>
                </c:pt>
                <c:pt idx="31">
                  <c:v>1.296280632858815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ED-4385-8309-B4E2D27D8BE0}"/>
            </c:ext>
          </c:extLst>
        </c:ser>
        <c:ser>
          <c:idx val="4"/>
          <c:order val="4"/>
          <c:tx>
            <c:strRef>
              <c:f>PERMIT_NZ!$A$27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PERMIT_NZ!$B$27:$AG$27</c:f>
              <c:numCache>
                <c:formatCode>0.00</c:formatCode>
                <c:ptCount val="32"/>
                <c:pt idx="0">
                  <c:v>1</c:v>
                </c:pt>
                <c:pt idx="1">
                  <c:v>0.95948963936845788</c:v>
                </c:pt>
                <c:pt idx="2">
                  <c:v>0.97808439982133499</c:v>
                </c:pt>
                <c:pt idx="3">
                  <c:v>1.0141524090653098</c:v>
                </c:pt>
                <c:pt idx="4">
                  <c:v>1.0599159109005107</c:v>
                </c:pt>
                <c:pt idx="5">
                  <c:v>1.0983386091313383</c:v>
                </c:pt>
                <c:pt idx="6">
                  <c:v>1.1401986677800866</c:v>
                </c:pt>
                <c:pt idx="7">
                  <c:v>1.1800584545472201</c:v>
                </c:pt>
                <c:pt idx="8">
                  <c:v>1.2218505427922242</c:v>
                </c:pt>
                <c:pt idx="9">
                  <c:v>1.2626230749810654</c:v>
                </c:pt>
                <c:pt idx="10">
                  <c:v>1.3037742994193384</c:v>
                </c:pt>
                <c:pt idx="11">
                  <c:v>1.344575961781213</c:v>
                </c:pt>
                <c:pt idx="12">
                  <c:v>1.394296312120094</c:v>
                </c:pt>
                <c:pt idx="13">
                  <c:v>1.4444681801409902</c:v>
                </c:pt>
                <c:pt idx="14">
                  <c:v>1.4947517138251802</c:v>
                </c:pt>
                <c:pt idx="15">
                  <c:v>1.5450158273940149</c:v>
                </c:pt>
                <c:pt idx="16">
                  <c:v>1.5960470355193912</c:v>
                </c:pt>
                <c:pt idx="17">
                  <c:v>1.6510011069465753</c:v>
                </c:pt>
                <c:pt idx="18">
                  <c:v>1.7071640805546386</c:v>
                </c:pt>
                <c:pt idx="19">
                  <c:v>1.7639145126522053</c:v>
                </c:pt>
                <c:pt idx="20">
                  <c:v>1.8220146427669781</c:v>
                </c:pt>
                <c:pt idx="21">
                  <c:v>1.8815664265045735</c:v>
                </c:pt>
                <c:pt idx="22">
                  <c:v>1.9481531470296933</c:v>
                </c:pt>
                <c:pt idx="23">
                  <c:v>2.016910065445789</c:v>
                </c:pt>
                <c:pt idx="24">
                  <c:v>2.0882595692618415</c:v>
                </c:pt>
                <c:pt idx="25">
                  <c:v>2.1623861495737287</c:v>
                </c:pt>
                <c:pt idx="26">
                  <c:v>2.2400617559668308</c:v>
                </c:pt>
                <c:pt idx="27">
                  <c:v>2.3293068960829628</c:v>
                </c:pt>
                <c:pt idx="28">
                  <c:v>2.4231351834229895</c:v>
                </c:pt>
                <c:pt idx="29">
                  <c:v>2.5216728487367219</c:v>
                </c:pt>
                <c:pt idx="30">
                  <c:v>2.6257598120132837</c:v>
                </c:pt>
                <c:pt idx="31">
                  <c:v>2.7360417920882454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ED-4385-8309-B4E2D27D8BE0}"/>
            </c:ext>
          </c:extLst>
        </c:ser>
        <c:ser>
          <c:idx val="5"/>
          <c:order val="5"/>
          <c:tx>
            <c:strRef>
              <c:f>PERMIT_NZ!$A$28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PERMIT_NZ!$B$28:$AG$28</c:f>
              <c:numCache>
                <c:formatCode>0.00</c:formatCode>
                <c:ptCount val="32"/>
                <c:pt idx="0">
                  <c:v>1</c:v>
                </c:pt>
                <c:pt idx="1">
                  <c:v>0.98437968010543342</c:v>
                </c:pt>
                <c:pt idx="2">
                  <c:v>1.0321891411569721</c:v>
                </c:pt>
                <c:pt idx="3">
                  <c:v>1.0884003274825775</c:v>
                </c:pt>
                <c:pt idx="4">
                  <c:v>1.1495537051458695</c:v>
                </c:pt>
                <c:pt idx="5">
                  <c:v>1.199295113720322</c:v>
                </c:pt>
                <c:pt idx="6">
                  <c:v>1.2528105593162804</c:v>
                </c:pt>
                <c:pt idx="7">
                  <c:v>1.3236186824816789</c:v>
                </c:pt>
                <c:pt idx="8">
                  <c:v>1.3963936979572278</c:v>
                </c:pt>
                <c:pt idx="9">
                  <c:v>1.465973761456898</c:v>
                </c:pt>
                <c:pt idx="10">
                  <c:v>1.5358932886040058</c:v>
                </c:pt>
                <c:pt idx="11">
                  <c:v>1.6041853870884004</c:v>
                </c:pt>
                <c:pt idx="12">
                  <c:v>1.6940134587351983</c:v>
                </c:pt>
                <c:pt idx="13">
                  <c:v>1.783122666187424</c:v>
                </c:pt>
                <c:pt idx="14">
                  <c:v>1.8729507378342221</c:v>
                </c:pt>
                <c:pt idx="15">
                  <c:v>1.961261207292478</c:v>
                </c:pt>
                <c:pt idx="16">
                  <c:v>2.051059326264502</c:v>
                </c:pt>
                <c:pt idx="17">
                  <c:v>2.1646897901315922</c:v>
                </c:pt>
                <c:pt idx="18">
                  <c:v>2.2795483136644101</c:v>
                </c:pt>
                <c:pt idx="19">
                  <c:v>2.3936080992032589</c:v>
                </c:pt>
                <c:pt idx="20">
                  <c:v>2.5085265280856248</c:v>
                </c:pt>
                <c:pt idx="21">
                  <c:v>2.6231653986701011</c:v>
                </c:pt>
                <c:pt idx="22">
                  <c:v>2.7638630963078334</c:v>
                </c:pt>
                <c:pt idx="23">
                  <c:v>2.9054493899638572</c:v>
                </c:pt>
                <c:pt idx="24">
                  <c:v>3.0486032069330458</c:v>
                </c:pt>
                <c:pt idx="25">
                  <c:v>3.191667165877913</c:v>
                </c:pt>
                <c:pt idx="26">
                  <c:v>3.3359292318137341</c:v>
                </c:pt>
                <c:pt idx="27">
                  <c:v>3.5067293675991933</c:v>
                </c:pt>
                <c:pt idx="28">
                  <c:v>3.6796661275185207</c:v>
                </c:pt>
                <c:pt idx="29">
                  <c:v>3.8527426665867925</c:v>
                </c:pt>
                <c:pt idx="30">
                  <c:v>4.026578006749336</c:v>
                </c:pt>
                <c:pt idx="31">
                  <c:v>4.200203678188462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ED-4385-8309-B4E2D27D8BE0}"/>
            </c:ext>
          </c:extLst>
        </c:ser>
        <c:ser>
          <c:idx val="6"/>
          <c:order val="6"/>
          <c:tx>
            <c:strRef>
              <c:f>PERMIT_NZ!$A$29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PERMIT_NZ!$B$29:$AG$29</c:f>
              <c:numCache>
                <c:formatCode>0.00</c:formatCode>
                <c:ptCount val="32"/>
                <c:pt idx="0">
                  <c:v>1</c:v>
                </c:pt>
                <c:pt idx="1">
                  <c:v>0.98915092406671312</c:v>
                </c:pt>
                <c:pt idx="2">
                  <c:v>1.0403434004015899</c:v>
                </c:pt>
                <c:pt idx="3">
                  <c:v>1.069159529566037</c:v>
                </c:pt>
                <c:pt idx="4">
                  <c:v>1.0946461500635167</c:v>
                </c:pt>
                <c:pt idx="5">
                  <c:v>1.1162828340777773</c:v>
                </c:pt>
                <c:pt idx="6">
                  <c:v>1.1362004671556776</c:v>
                </c:pt>
                <c:pt idx="7">
                  <c:v>1.1613039380404049</c:v>
                </c:pt>
                <c:pt idx="8">
                  <c:v>1.1860836782362825</c:v>
                </c:pt>
                <c:pt idx="9">
                  <c:v>1.2098758349383274</c:v>
                </c:pt>
                <c:pt idx="10">
                  <c:v>1.2329221816989715</c:v>
                </c:pt>
                <c:pt idx="11">
                  <c:v>1.2551325656681558</c:v>
                </c:pt>
                <c:pt idx="12">
                  <c:v>1.2762426750809328</c:v>
                </c:pt>
                <c:pt idx="13">
                  <c:v>1.296266852436176</c:v>
                </c:pt>
                <c:pt idx="14">
                  <c:v>1.3157644551899359</c:v>
                </c:pt>
                <c:pt idx="15">
                  <c:v>1.334516248002295</c:v>
                </c:pt>
                <c:pt idx="16">
                  <c:v>1.3529135761996476</c:v>
                </c:pt>
                <c:pt idx="17">
                  <c:v>1.3709031676433225</c:v>
                </c:pt>
                <c:pt idx="18">
                  <c:v>1.3883231569888947</c:v>
                </c:pt>
                <c:pt idx="19">
                  <c:v>1.4051141253124617</c:v>
                </c:pt>
                <c:pt idx="20">
                  <c:v>1.4215035036675818</c:v>
                </c:pt>
                <c:pt idx="21">
                  <c:v>1.4373642584928084</c:v>
                </c:pt>
                <c:pt idx="22">
                  <c:v>1.4532823833135271</c:v>
                </c:pt>
                <c:pt idx="23">
                  <c:v>1.4686985206736876</c:v>
                </c:pt>
                <c:pt idx="24">
                  <c:v>1.4838851780518789</c:v>
                </c:pt>
                <c:pt idx="25">
                  <c:v>1.4985821415399745</c:v>
                </c:pt>
                <c:pt idx="26">
                  <c:v>1.5130414293324592</c:v>
                </c:pt>
                <c:pt idx="27">
                  <c:v>1.5275662828340779</c:v>
                </c:pt>
                <c:pt idx="28">
                  <c:v>1.5418124820718766</c:v>
                </c:pt>
                <c:pt idx="29">
                  <c:v>1.5556980699094376</c:v>
                </c:pt>
                <c:pt idx="30">
                  <c:v>1.5692783674138426</c:v>
                </c:pt>
                <c:pt idx="31">
                  <c:v>1.5825164938737042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ED-4385-8309-B4E2D27D8BE0}"/>
            </c:ext>
          </c:extLst>
        </c:ser>
        <c:ser>
          <c:idx val="7"/>
          <c:order val="7"/>
          <c:tx>
            <c:strRef>
              <c:f>PERMIT_NZ!$A$30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PERMIT_NZ!$B$30:$AG$30</c:f>
              <c:numCache>
                <c:formatCode>0.00</c:formatCode>
                <c:ptCount val="32"/>
                <c:pt idx="0">
                  <c:v>1</c:v>
                </c:pt>
                <c:pt idx="1">
                  <c:v>0.95316591990552602</c:v>
                </c:pt>
                <c:pt idx="2">
                  <c:v>1.0075370775589594</c:v>
                </c:pt>
                <c:pt idx="3">
                  <c:v>1.0317460317460316</c:v>
                </c:pt>
                <c:pt idx="4">
                  <c:v>1.0550936056406515</c:v>
                </c:pt>
                <c:pt idx="5">
                  <c:v>1.0745510749887117</c:v>
                </c:pt>
                <c:pt idx="6">
                  <c:v>1.093814039109444</c:v>
                </c:pt>
                <c:pt idx="7">
                  <c:v>1.1221979090688061</c:v>
                </c:pt>
                <c:pt idx="8">
                  <c:v>1.1509777360980862</c:v>
                </c:pt>
                <c:pt idx="9">
                  <c:v>1.1789378625264839</c:v>
                </c:pt>
                <c:pt idx="10">
                  <c:v>1.206453405578132</c:v>
                </c:pt>
                <c:pt idx="11">
                  <c:v>1.233267340488347</c:v>
                </c:pt>
                <c:pt idx="12">
                  <c:v>1.2674307943454552</c:v>
                </c:pt>
                <c:pt idx="13">
                  <c:v>1.3012399708242159</c:v>
                </c:pt>
                <c:pt idx="14">
                  <c:v>1.3348615886909103</c:v>
                </c:pt>
                <c:pt idx="15">
                  <c:v>1.3677190788788163</c:v>
                </c:pt>
                <c:pt idx="16">
                  <c:v>1.4004167969157029</c:v>
                </c:pt>
                <c:pt idx="17">
                  <c:v>1.4390747108471398</c:v>
                </c:pt>
                <c:pt idx="18">
                  <c:v>1.4777395713938384</c:v>
                </c:pt>
                <c:pt idx="19">
                  <c:v>1.515869542565385</c:v>
                </c:pt>
                <c:pt idx="20">
                  <c:v>1.5536313431280608</c:v>
                </c:pt>
                <c:pt idx="21">
                  <c:v>1.5908235212392763</c:v>
                </c:pt>
                <c:pt idx="22">
                  <c:v>1.6334410058698898</c:v>
                </c:pt>
                <c:pt idx="23">
                  <c:v>1.6759126115800076</c:v>
                </c:pt>
                <c:pt idx="24">
                  <c:v>1.7182939112917233</c:v>
                </c:pt>
                <c:pt idx="25">
                  <c:v>1.7601125351672398</c:v>
                </c:pt>
                <c:pt idx="26">
                  <c:v>1.8017019207391198</c:v>
                </c:pt>
                <c:pt idx="27">
                  <c:v>1.8476398874648328</c:v>
                </c:pt>
                <c:pt idx="28">
                  <c:v>1.8936125872668541</c:v>
                </c:pt>
                <c:pt idx="29">
                  <c:v>1.9392310096905283</c:v>
                </c:pt>
                <c:pt idx="30">
                  <c:v>1.9844951547358549</c:v>
                </c:pt>
                <c:pt idx="31">
                  <c:v>2.0293216630196937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0ED-4385-8309-B4E2D27D8BE0}"/>
            </c:ext>
          </c:extLst>
        </c:ser>
        <c:ser>
          <c:idx val="8"/>
          <c:order val="8"/>
          <c:tx>
            <c:strRef>
              <c:f>PERMIT_NZ!$A$31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PERMIT_NZ!$B$31:$AG$31</c:f>
              <c:numCache>
                <c:formatCode>0.00</c:formatCode>
                <c:ptCount val="32"/>
                <c:pt idx="0">
                  <c:v>1</c:v>
                </c:pt>
                <c:pt idx="1">
                  <c:v>0.97016191402839103</c:v>
                </c:pt>
                <c:pt idx="2">
                  <c:v>1.0221748205806285</c:v>
                </c:pt>
                <c:pt idx="3">
                  <c:v>1.0396053189631516</c:v>
                </c:pt>
                <c:pt idx="4">
                  <c:v>1.053721860472852</c:v>
                </c:pt>
                <c:pt idx="5">
                  <c:v>1.0643456494440702</c:v>
                </c:pt>
                <c:pt idx="6">
                  <c:v>1.0736056017097855</c:v>
                </c:pt>
                <c:pt idx="7">
                  <c:v>1.0977014361865796</c:v>
                </c:pt>
                <c:pt idx="8">
                  <c:v>1.1221548619946944</c:v>
                </c:pt>
                <c:pt idx="9">
                  <c:v>1.1458639988690134</c:v>
                </c:pt>
                <c:pt idx="10">
                  <c:v>1.1689577460103617</c:v>
                </c:pt>
                <c:pt idx="11">
                  <c:v>1.1912365175593975</c:v>
                </c:pt>
                <c:pt idx="12">
                  <c:v>1.2159560578466349</c:v>
                </c:pt>
                <c:pt idx="13">
                  <c:v>1.2397608296118885</c:v>
                </c:pt>
                <c:pt idx="14">
                  <c:v>1.2632495904331844</c:v>
                </c:pt>
                <c:pt idx="15">
                  <c:v>1.2857653701901886</c:v>
                </c:pt>
                <c:pt idx="16">
                  <c:v>1.3081023542815324</c:v>
                </c:pt>
                <c:pt idx="17">
                  <c:v>1.3320859217124466</c:v>
                </c:pt>
                <c:pt idx="18">
                  <c:v>1.3556162629211053</c:v>
                </c:pt>
                <c:pt idx="19">
                  <c:v>1.3783066803050339</c:v>
                </c:pt>
                <c:pt idx="20">
                  <c:v>1.4005563455829155</c:v>
                </c:pt>
                <c:pt idx="21">
                  <c:v>1.4220575638882653</c:v>
                </c:pt>
                <c:pt idx="22">
                  <c:v>1.4450099377125798</c:v>
                </c:pt>
                <c:pt idx="23">
                  <c:v>1.4672762351454065</c:v>
                </c:pt>
                <c:pt idx="24">
                  <c:v>1.4892805761378471</c:v>
                </c:pt>
                <c:pt idx="25">
                  <c:v>1.5105406281964924</c:v>
                </c:pt>
                <c:pt idx="26">
                  <c:v>1.5314971434273881</c:v>
                </c:pt>
                <c:pt idx="27">
                  <c:v>1.5531771573983983</c:v>
                </c:pt>
                <c:pt idx="28">
                  <c:v>1.5745286863092416</c:v>
                </c:pt>
                <c:pt idx="29">
                  <c:v>1.595306405874477</c:v>
                </c:pt>
                <c:pt idx="30">
                  <c:v>1.6156433733336659</c:v>
                </c:pt>
                <c:pt idx="31">
                  <c:v>1.6354148475247194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0ED-4385-8309-B4E2D27D8BE0}"/>
            </c:ext>
          </c:extLst>
        </c:ser>
        <c:ser>
          <c:idx val="9"/>
          <c:order val="9"/>
          <c:tx>
            <c:strRef>
              <c:f>PERMIT_NZ!$A$32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PERMIT_NZ!$B$32:$AG$32</c:f>
              <c:numCache>
                <c:formatCode>0.00</c:formatCode>
                <c:ptCount val="32"/>
                <c:pt idx="0">
                  <c:v>1</c:v>
                </c:pt>
                <c:pt idx="1">
                  <c:v>0.98257263122488192</c:v>
                </c:pt>
                <c:pt idx="2">
                  <c:v>1.037482170424562</c:v>
                </c:pt>
                <c:pt idx="3">
                  <c:v>1.0594662947643323</c:v>
                </c:pt>
                <c:pt idx="4">
                  <c:v>1.0776060532499407</c:v>
                </c:pt>
                <c:pt idx="5">
                  <c:v>1.0916634537732062</c:v>
                </c:pt>
                <c:pt idx="6">
                  <c:v>1.1046514764237083</c:v>
                </c:pt>
                <c:pt idx="7">
                  <c:v>1.1331423050011662</c:v>
                </c:pt>
                <c:pt idx="8">
                  <c:v>1.1623074445518053</c:v>
                </c:pt>
                <c:pt idx="9">
                  <c:v>1.1907300487249175</c:v>
                </c:pt>
                <c:pt idx="10">
                  <c:v>1.2184418498015939</c:v>
                </c:pt>
                <c:pt idx="11">
                  <c:v>1.2452429344109615</c:v>
                </c:pt>
                <c:pt idx="12">
                  <c:v>1.2682139326926585</c:v>
                </c:pt>
                <c:pt idx="13">
                  <c:v>1.2899489586258652</c:v>
                </c:pt>
                <c:pt idx="14">
                  <c:v>1.3110556853934723</c:v>
                </c:pt>
                <c:pt idx="15">
                  <c:v>1.3311628453067164</c:v>
                </c:pt>
                <c:pt idx="16">
                  <c:v>1.3509003241452513</c:v>
                </c:pt>
                <c:pt idx="17">
                  <c:v>1.3668838741307336</c:v>
                </c:pt>
                <c:pt idx="18">
                  <c:v>1.3821058493700349</c:v>
                </c:pt>
                <c:pt idx="19">
                  <c:v>1.3965123049852999</c:v>
                </c:pt>
                <c:pt idx="20">
                  <c:v>1.4104427763842016</c:v>
                </c:pt>
                <c:pt idx="21">
                  <c:v>1.4237465352315584</c:v>
                </c:pt>
                <c:pt idx="22">
                  <c:v>1.4330694794160623</c:v>
                </c:pt>
                <c:pt idx="23">
                  <c:v>1.4416292622403306</c:v>
                </c:pt>
                <c:pt idx="24">
                  <c:v>1.4498542694990899</c:v>
                </c:pt>
                <c:pt idx="25">
                  <c:v>1.4575588673479587</c:v>
                </c:pt>
                <c:pt idx="26">
                  <c:v>1.4650064337199911</c:v>
                </c:pt>
                <c:pt idx="27">
                  <c:v>1.4703580829259701</c:v>
                </c:pt>
                <c:pt idx="28">
                  <c:v>1.4753400510572401</c:v>
                </c:pt>
                <c:pt idx="29">
                  <c:v>1.4799412318154195</c:v>
                </c:pt>
                <c:pt idx="30">
                  <c:v>1.4842742747983808</c:v>
                </c:pt>
                <c:pt idx="31">
                  <c:v>1.4882995146547606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0ED-4385-8309-B4E2D27D8BE0}"/>
            </c:ext>
          </c:extLst>
        </c:ser>
        <c:ser>
          <c:idx val="10"/>
          <c:order val="10"/>
          <c:tx>
            <c:strRef>
              <c:f>PERMIT_NZ!$A$33</c:f>
              <c:strCache>
                <c:ptCount val="1"/>
                <c:pt idx="0">
                  <c:v>11_FSU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PERMIT_NZ!$B$33:$AG$33</c:f>
              <c:numCache>
                <c:formatCode>0.00</c:formatCode>
                <c:ptCount val="32"/>
                <c:pt idx="0">
                  <c:v>1</c:v>
                </c:pt>
                <c:pt idx="1">
                  <c:v>0.99148881504573327</c:v>
                </c:pt>
                <c:pt idx="2">
                  <c:v>1.0352694323592888</c:v>
                </c:pt>
                <c:pt idx="3">
                  <c:v>1.0634322222602857</c:v>
                </c:pt>
                <c:pt idx="4">
                  <c:v>1.0872049604330103</c:v>
                </c:pt>
                <c:pt idx="5">
                  <c:v>1.1057671885170086</c:v>
                </c:pt>
                <c:pt idx="6">
                  <c:v>1.1236459867767463</c:v>
                </c:pt>
                <c:pt idx="7">
                  <c:v>1.1604484258846905</c:v>
                </c:pt>
                <c:pt idx="8">
                  <c:v>1.1981980747490666</c:v>
                </c:pt>
                <c:pt idx="9">
                  <c:v>1.2352608680757768</c:v>
                </c:pt>
                <c:pt idx="10">
                  <c:v>1.2721438114487342</c:v>
                </c:pt>
                <c:pt idx="11">
                  <c:v>1.3083039292932754</c:v>
                </c:pt>
                <c:pt idx="12">
                  <c:v>1.3496848343667571</c:v>
                </c:pt>
                <c:pt idx="13">
                  <c:v>1.3905210510088728</c:v>
                </c:pt>
                <c:pt idx="14">
                  <c:v>1.4312527833921416</c:v>
                </c:pt>
                <c:pt idx="15">
                  <c:v>1.4708848617724641</c:v>
                </c:pt>
                <c:pt idx="16">
                  <c:v>1.5105786029940738</c:v>
                </c:pt>
                <c:pt idx="17">
                  <c:v>1.5498407043266762</c:v>
                </c:pt>
                <c:pt idx="18">
                  <c:v>1.5888116200198692</c:v>
                </c:pt>
                <c:pt idx="19">
                  <c:v>1.6268164845329043</c:v>
                </c:pt>
                <c:pt idx="20">
                  <c:v>1.6645078962693982</c:v>
                </c:pt>
                <c:pt idx="21">
                  <c:v>1.7014319482032132</c:v>
                </c:pt>
                <c:pt idx="22">
                  <c:v>1.7376074817580764</c:v>
                </c:pt>
                <c:pt idx="23">
                  <c:v>1.7730464869309035</c:v>
                </c:pt>
                <c:pt idx="24">
                  <c:v>1.8082285635983697</c:v>
                </c:pt>
                <c:pt idx="25">
                  <c:v>1.8427426261518962</c:v>
                </c:pt>
                <c:pt idx="26">
                  <c:v>1.8770682744681582</c:v>
                </c:pt>
                <c:pt idx="27">
                  <c:v>1.9117022369908534</c:v>
                </c:pt>
                <c:pt idx="28">
                  <c:v>1.9462162995443801</c:v>
                </c:pt>
                <c:pt idx="29">
                  <c:v>1.9801993765201604</c:v>
                </c:pt>
                <c:pt idx="30">
                  <c:v>2.0139255249905794</c:v>
                </c:pt>
                <c:pt idx="31">
                  <c:v>2.0472405878524205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0ED-4385-8309-B4E2D27D8BE0}"/>
            </c:ext>
          </c:extLst>
        </c:ser>
        <c:ser>
          <c:idx val="11"/>
          <c:order val="11"/>
          <c:tx>
            <c:strRef>
              <c:f>PERMIT_NZ!$A$34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PERMIT_NZ!$B$34:$AG$34</c:f>
              <c:numCache>
                <c:formatCode>0.00</c:formatCode>
                <c:ptCount val="32"/>
                <c:pt idx="0">
                  <c:v>1</c:v>
                </c:pt>
                <c:pt idx="1">
                  <c:v>0.98411173438290944</c:v>
                </c:pt>
                <c:pt idx="2">
                  <c:v>1.0199223148521193</c:v>
                </c:pt>
                <c:pt idx="3">
                  <c:v>1.0616419251867233</c:v>
                </c:pt>
                <c:pt idx="4">
                  <c:v>1.1029896385367919</c:v>
                </c:pt>
                <c:pt idx="5">
                  <c:v>1.1432836437640108</c:v>
                </c:pt>
                <c:pt idx="6">
                  <c:v>1.1819609301556802</c:v>
                </c:pt>
                <c:pt idx="7">
                  <c:v>1.2303901819196084</c:v>
                </c:pt>
                <c:pt idx="8">
                  <c:v>1.2790260431193894</c:v>
                </c:pt>
                <c:pt idx="9">
                  <c:v>1.3270575717193005</c:v>
                </c:pt>
                <c:pt idx="10">
                  <c:v>1.3745932376731647</c:v>
                </c:pt>
                <c:pt idx="11">
                  <c:v>1.4212818049400318</c:v>
                </c:pt>
                <c:pt idx="12">
                  <c:v>1.4744734042003698</c:v>
                </c:pt>
                <c:pt idx="13">
                  <c:v>1.5272517845890023</c:v>
                </c:pt>
                <c:pt idx="14">
                  <c:v>1.5797305812956479</c:v>
                </c:pt>
                <c:pt idx="15">
                  <c:v>1.6313674445511928</c:v>
                </c:pt>
                <c:pt idx="16">
                  <c:v>1.682529106104276</c:v>
                </c:pt>
                <c:pt idx="17">
                  <c:v>1.7397909112509167</c:v>
                </c:pt>
                <c:pt idx="18">
                  <c:v>1.7969855683309057</c:v>
                </c:pt>
                <c:pt idx="19">
                  <c:v>1.8532866396008307</c:v>
                </c:pt>
                <c:pt idx="20">
                  <c:v>1.9090401958657455</c:v>
                </c:pt>
                <c:pt idx="21">
                  <c:v>1.9637607049513952</c:v>
                </c:pt>
                <c:pt idx="22">
                  <c:v>2.0237394241795026</c:v>
                </c:pt>
                <c:pt idx="23">
                  <c:v>2.0831861241102883</c:v>
                </c:pt>
                <c:pt idx="24">
                  <c:v>2.1421421266309233</c:v>
                </c:pt>
                <c:pt idx="25">
                  <c:v>2.2000702472081901</c:v>
                </c:pt>
                <c:pt idx="26">
                  <c:v>2.2573268871189347</c:v>
                </c:pt>
                <c:pt idx="27">
                  <c:v>2.3198159109926553</c:v>
                </c:pt>
                <c:pt idx="28">
                  <c:v>2.3821241516100042</c:v>
                </c:pt>
                <c:pt idx="29">
                  <c:v>2.4434613278788446</c:v>
                </c:pt>
                <c:pt idx="30">
                  <c:v>2.5039927273478582</c:v>
                </c:pt>
                <c:pt idx="31">
                  <c:v>2.5634394272786443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0ED-4385-8309-B4E2D27D8BE0}"/>
            </c:ext>
          </c:extLst>
        </c:ser>
        <c:ser>
          <c:idx val="12"/>
          <c:order val="12"/>
          <c:tx>
            <c:strRef>
              <c:f>PERMIT_NZ!$A$35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PERMIT_NZ!$B$35:$AG$35</c:f>
              <c:numCache>
                <c:formatCode>0.00</c:formatCode>
                <c:ptCount val="32"/>
                <c:pt idx="0">
                  <c:v>1</c:v>
                </c:pt>
                <c:pt idx="1">
                  <c:v>1.0075713798681853</c:v>
                </c:pt>
                <c:pt idx="2">
                  <c:v>1.0484610433287744</c:v>
                </c:pt>
                <c:pt idx="3">
                  <c:v>1.0941762767818477</c:v>
                </c:pt>
                <c:pt idx="4">
                  <c:v>1.1407944946906885</c:v>
                </c:pt>
                <c:pt idx="5">
                  <c:v>1.1844668245353778</c:v>
                </c:pt>
                <c:pt idx="6">
                  <c:v>1.2280588598439126</c:v>
                </c:pt>
                <c:pt idx="7">
                  <c:v>1.2863553256996483</c:v>
                </c:pt>
                <c:pt idx="8">
                  <c:v>1.3457890781002575</c:v>
                </c:pt>
                <c:pt idx="9">
                  <c:v>1.4044830677251505</c:v>
                </c:pt>
                <c:pt idx="10">
                  <c:v>1.4627163509950598</c:v>
                </c:pt>
                <c:pt idx="11">
                  <c:v>1.5199887324388608</c:v>
                </c:pt>
                <c:pt idx="12">
                  <c:v>1.6007439749481047</c:v>
                </c:pt>
                <c:pt idx="13">
                  <c:v>1.6824469562447428</c:v>
                </c:pt>
                <c:pt idx="14">
                  <c:v>1.7643342200833747</c:v>
                </c:pt>
                <c:pt idx="15">
                  <c:v>1.8448920170119112</c:v>
                </c:pt>
                <c:pt idx="16">
                  <c:v>1.9251470640500301</c:v>
                </c:pt>
                <c:pt idx="17">
                  <c:v>2.0228036482678098</c:v>
                </c:pt>
                <c:pt idx="18">
                  <c:v>2.1211710365761354</c:v>
                </c:pt>
                <c:pt idx="19">
                  <c:v>2.2183932405163596</c:v>
                </c:pt>
                <c:pt idx="20">
                  <c:v>2.3146940317466167</c:v>
                </c:pt>
                <c:pt idx="21">
                  <c:v>2.4094020952925024</c:v>
                </c:pt>
                <c:pt idx="22">
                  <c:v>2.526513650729298</c:v>
                </c:pt>
                <c:pt idx="23">
                  <c:v>2.643980608211367</c:v>
                </c:pt>
                <c:pt idx="24">
                  <c:v>2.7609473702223108</c:v>
                </c:pt>
                <c:pt idx="25">
                  <c:v>2.8761502850456035</c:v>
                </c:pt>
                <c:pt idx="26">
                  <c:v>2.9901027111910841</c:v>
                </c:pt>
                <c:pt idx="27">
                  <c:v>3.130117953989914</c:v>
                </c:pt>
                <c:pt idx="28">
                  <c:v>3.2710151203825708</c:v>
                </c:pt>
                <c:pt idx="29">
                  <c:v>3.4105564937877038</c:v>
                </c:pt>
                <c:pt idx="30">
                  <c:v>3.5484393243148964</c:v>
                </c:pt>
                <c:pt idx="31">
                  <c:v>3.6842160686478795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0ED-4385-8309-B4E2D27D8BE0}"/>
            </c:ext>
          </c:extLst>
        </c:ser>
        <c:ser>
          <c:idx val="13"/>
          <c:order val="13"/>
          <c:tx>
            <c:strRef>
              <c:f>PERMIT_NZ!$A$36</c:f>
              <c:strCache>
                <c:ptCount val="1"/>
                <c:pt idx="0">
                  <c:v>14_CPA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PERMIT_NZ!$B$36:$AG$36</c:f>
              <c:numCache>
                <c:formatCode>0.00</c:formatCode>
                <c:ptCount val="32"/>
                <c:pt idx="0">
                  <c:v>1</c:v>
                </c:pt>
                <c:pt idx="1">
                  <c:v>1.0461171438507766</c:v>
                </c:pt>
                <c:pt idx="2">
                  <c:v>1.0818368852645504</c:v>
                </c:pt>
                <c:pt idx="3">
                  <c:v>1.1573196218062685</c:v>
                </c:pt>
                <c:pt idx="4">
                  <c:v>1.2313137649387498</c:v>
                </c:pt>
                <c:pt idx="5">
                  <c:v>1.299912569513737</c:v>
                </c:pt>
                <c:pt idx="6">
                  <c:v>1.3663012354025215</c:v>
                </c:pt>
                <c:pt idx="7">
                  <c:v>1.4534652049416101</c:v>
                </c:pt>
                <c:pt idx="8">
                  <c:v>1.5378762517347964</c:v>
                </c:pt>
                <c:pt idx="9">
                  <c:v>1.6175907538198022</c:v>
                </c:pt>
                <c:pt idx="10">
                  <c:v>1.6944808286719992</c:v>
                </c:pt>
                <c:pt idx="11">
                  <c:v>1.7675681649023476</c:v>
                </c:pt>
                <c:pt idx="12">
                  <c:v>1.8486575032583297</c:v>
                </c:pt>
                <c:pt idx="13">
                  <c:v>1.9257880932028486</c:v>
                </c:pt>
                <c:pt idx="14">
                  <c:v>2.0006240391584571</c:v>
                </c:pt>
                <c:pt idx="15">
                  <c:v>2.0715792415974104</c:v>
                </c:pt>
                <c:pt idx="16">
                  <c:v>2.1409255930809659</c:v>
                </c:pt>
                <c:pt idx="17">
                  <c:v>2.2050651178361442</c:v>
                </c:pt>
                <c:pt idx="18">
                  <c:v>2.2671277622670822</c:v>
                </c:pt>
                <c:pt idx="19">
                  <c:v>2.3264537349718695</c:v>
                </c:pt>
                <c:pt idx="20">
                  <c:v>2.3841026024383027</c:v>
                </c:pt>
                <c:pt idx="21">
                  <c:v>2.4396713393765461</c:v>
                </c:pt>
                <c:pt idx="22">
                  <c:v>2.4924286498977808</c:v>
                </c:pt>
                <c:pt idx="23">
                  <c:v>2.5434341004898058</c:v>
                </c:pt>
                <c:pt idx="24">
                  <c:v>2.5933994858177352</c:v>
                </c:pt>
                <c:pt idx="25">
                  <c:v>2.6417235181507639</c:v>
                </c:pt>
                <c:pt idx="26">
                  <c:v>2.689163495009312</c:v>
                </c:pt>
                <c:pt idx="27">
                  <c:v>2.7343965833856076</c:v>
                </c:pt>
                <c:pt idx="28">
                  <c:v>2.7787651175111239</c:v>
                </c:pt>
                <c:pt idx="29">
                  <c:v>2.8218920737276263</c:v>
                </c:pt>
                <c:pt idx="30">
                  <c:v>2.8641024724301452</c:v>
                </c:pt>
                <c:pt idx="31">
                  <c:v>2.9052630552567176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0ED-4385-8309-B4E2D27D8BE0}"/>
            </c:ext>
          </c:extLst>
        </c:ser>
        <c:ser>
          <c:idx val="14"/>
          <c:order val="14"/>
          <c:tx>
            <c:strRef>
              <c:f>PERMIT_NZ!$A$37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PERMIT_NZ!$B$37:$AG$37</c:f>
              <c:numCache>
                <c:formatCode>0.00</c:formatCode>
                <c:ptCount val="32"/>
                <c:pt idx="0">
                  <c:v>1</c:v>
                </c:pt>
                <c:pt idx="1">
                  <c:v>0.98311584295387799</c:v>
                </c:pt>
                <c:pt idx="2">
                  <c:v>1.0474932649445419</c:v>
                </c:pt>
                <c:pt idx="3">
                  <c:v>1.1152564175168074</c:v>
                </c:pt>
                <c:pt idx="4">
                  <c:v>1.1834604836295679</c:v>
                </c:pt>
                <c:pt idx="5">
                  <c:v>1.2462077390439052</c:v>
                </c:pt>
                <c:pt idx="6">
                  <c:v>1.3094848997225077</c:v>
                </c:pt>
                <c:pt idx="7">
                  <c:v>1.3876964896810051</c:v>
                </c:pt>
                <c:pt idx="8">
                  <c:v>1.4669314844628543</c:v>
                </c:pt>
                <c:pt idx="9">
                  <c:v>1.5437798830163341</c:v>
                </c:pt>
                <c:pt idx="10">
                  <c:v>1.6197140938619983</c:v>
                </c:pt>
                <c:pt idx="11">
                  <c:v>1.6936298106094314</c:v>
                </c:pt>
                <c:pt idx="12">
                  <c:v>1.7750612829370505</c:v>
                </c:pt>
                <c:pt idx="13">
                  <c:v>1.854955625490466</c:v>
                </c:pt>
                <c:pt idx="14">
                  <c:v>1.9341178088619579</c:v>
                </c:pt>
                <c:pt idx="15">
                  <c:v>2.0104079866027007</c:v>
                </c:pt>
                <c:pt idx="16">
                  <c:v>2.0866334430897928</c:v>
                </c:pt>
                <c:pt idx="17">
                  <c:v>2.1692258529047708</c:v>
                </c:pt>
                <c:pt idx="18">
                  <c:v>2.2517697217795107</c:v>
                </c:pt>
                <c:pt idx="19">
                  <c:v>2.3315184415122121</c:v>
                </c:pt>
                <c:pt idx="20">
                  <c:v>2.4102235310297959</c:v>
                </c:pt>
                <c:pt idx="21">
                  <c:v>2.4865056186138328</c:v>
                </c:pt>
                <c:pt idx="22">
                  <c:v>2.5710760717435099</c:v>
                </c:pt>
                <c:pt idx="23">
                  <c:v>2.6542024319011062</c:v>
                </c:pt>
                <c:pt idx="24">
                  <c:v>2.7361031333176924</c:v>
                </c:pt>
                <c:pt idx="25">
                  <c:v>2.8156091483492038</c:v>
                </c:pt>
                <c:pt idx="26">
                  <c:v>2.8938530989345264</c:v>
                </c:pt>
                <c:pt idx="27">
                  <c:v>2.9795076330628527</c:v>
                </c:pt>
                <c:pt idx="28">
                  <c:v>3.0647536142775085</c:v>
                </c:pt>
                <c:pt idx="29">
                  <c:v>3.1475240075400261</c:v>
                </c:pt>
                <c:pt idx="30">
                  <c:v>3.2287572710283401</c:v>
                </c:pt>
                <c:pt idx="31">
                  <c:v>3.3077455160306455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0ED-4385-8309-B4E2D27D8BE0}"/>
            </c:ext>
          </c:extLst>
        </c:ser>
        <c:ser>
          <c:idx val="15"/>
          <c:order val="15"/>
          <c:tx>
            <c:strRef>
              <c:f>PERMIT_NZ!$A$38</c:f>
              <c:strCache>
                <c:ptCount val="1"/>
                <c:pt idx="0">
                  <c:v>16_PAS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PERMIT_NZ!$B$38:$AG$38</c:f>
              <c:numCache>
                <c:formatCode>0.00</c:formatCode>
                <c:ptCount val="32"/>
                <c:pt idx="0">
                  <c:v>1</c:v>
                </c:pt>
                <c:pt idx="1">
                  <c:v>0.97541684042138654</c:v>
                </c:pt>
                <c:pt idx="2">
                  <c:v>1.0071028650729086</c:v>
                </c:pt>
                <c:pt idx="3">
                  <c:v>1.1019831964943705</c:v>
                </c:pt>
                <c:pt idx="4">
                  <c:v>1.2009037524183239</c:v>
                </c:pt>
                <c:pt idx="5">
                  <c:v>1.2974658016530054</c:v>
                </c:pt>
                <c:pt idx="6">
                  <c:v>1.3916419991933222</c:v>
                </c:pt>
                <c:pt idx="7">
                  <c:v>1.4584458466355388</c:v>
                </c:pt>
                <c:pt idx="8">
                  <c:v>1.521086417052345</c:v>
                </c:pt>
                <c:pt idx="9">
                  <c:v>1.5836244437000526</c:v>
                </c:pt>
                <c:pt idx="10">
                  <c:v>1.6424845671627506</c:v>
                </c:pt>
                <c:pt idx="11">
                  <c:v>1.7026982683775524</c:v>
                </c:pt>
                <c:pt idx="12">
                  <c:v>1.76187285939882</c:v>
                </c:pt>
                <c:pt idx="13">
                  <c:v>1.8217926018088721</c:v>
                </c:pt>
                <c:pt idx="14">
                  <c:v>1.8787385749150596</c:v>
                </c:pt>
                <c:pt idx="15">
                  <c:v>1.9354179342215903</c:v>
                </c:pt>
                <c:pt idx="16">
                  <c:v>1.9904976107301799</c:v>
                </c:pt>
                <c:pt idx="17">
                  <c:v>2.045522597228584</c:v>
                </c:pt>
                <c:pt idx="18">
                  <c:v>2.0989479009290464</c:v>
                </c:pt>
                <c:pt idx="19">
                  <c:v>2.1509854456210391</c:v>
                </c:pt>
                <c:pt idx="20">
                  <c:v>2.2018745000991253</c:v>
                </c:pt>
                <c:pt idx="21">
                  <c:v>2.2512527430458236</c:v>
                </c:pt>
                <c:pt idx="22">
                  <c:v>2.3002823371775851</c:v>
                </c:pt>
                <c:pt idx="23">
                  <c:v>2.3478216285317783</c:v>
                </c:pt>
                <c:pt idx="24">
                  <c:v>2.3947730022764717</c:v>
                </c:pt>
                <c:pt idx="25">
                  <c:v>2.4400836757155844</c:v>
                </c:pt>
                <c:pt idx="26">
                  <c:v>2.4847722502888319</c:v>
                </c:pt>
                <c:pt idx="27">
                  <c:v>2.5287430184783872</c:v>
                </c:pt>
                <c:pt idx="28">
                  <c:v>2.5720848515508035</c:v>
                </c:pt>
                <c:pt idx="29">
                  <c:v>2.6140457618660231</c:v>
                </c:pt>
                <c:pt idx="30">
                  <c:v>2.6551042870131734</c:v>
                </c:pt>
                <c:pt idx="31">
                  <c:v>2.6948912694234988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0ED-4385-8309-B4E2D27D8BE0}"/>
            </c:ext>
          </c:extLst>
        </c:ser>
        <c:ser>
          <c:idx val="16"/>
          <c:order val="16"/>
          <c:tx>
            <c:strRef>
              <c:f>PERMIT_NZ!$A$39</c:f>
              <c:strCache>
                <c:ptCount val="1"/>
                <c:pt idx="0">
                  <c:v>17_PAO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PERMIT_NZ!$B$39:$AG$39</c:f>
              <c:numCache>
                <c:formatCode>0.00</c:formatCode>
                <c:ptCount val="32"/>
                <c:pt idx="0">
                  <c:v>1</c:v>
                </c:pt>
                <c:pt idx="1">
                  <c:v>1.0139614003731403</c:v>
                </c:pt>
                <c:pt idx="2">
                  <c:v>1.042743886824598</c:v>
                </c:pt>
                <c:pt idx="3">
                  <c:v>1.0729347945377294</c:v>
                </c:pt>
                <c:pt idx="4">
                  <c:v>1.1026841007792045</c:v>
                </c:pt>
                <c:pt idx="5">
                  <c:v>1.130504993493564</c:v>
                </c:pt>
                <c:pt idx="6">
                  <c:v>1.1575524303759099</c:v>
                </c:pt>
                <c:pt idx="7">
                  <c:v>1.1959586932777282</c:v>
                </c:pt>
                <c:pt idx="8">
                  <c:v>1.2369936607978094</c:v>
                </c:pt>
                <c:pt idx="9">
                  <c:v>1.2738739162472761</c:v>
                </c:pt>
                <c:pt idx="10">
                  <c:v>1.314448991110484</c:v>
                </c:pt>
                <c:pt idx="11">
                  <c:v>1.3486613465447952</c:v>
                </c:pt>
                <c:pt idx="12">
                  <c:v>1.3914862371896379</c:v>
                </c:pt>
                <c:pt idx="13">
                  <c:v>1.4273029908700856</c:v>
                </c:pt>
                <c:pt idx="14">
                  <c:v>1.4680348473208642</c:v>
                </c:pt>
                <c:pt idx="15">
                  <c:v>1.5025111184275852</c:v>
                </c:pt>
                <c:pt idx="16">
                  <c:v>1.5410114502819456</c:v>
                </c:pt>
                <c:pt idx="17">
                  <c:v>1.5786181270871549</c:v>
                </c:pt>
                <c:pt idx="18">
                  <c:v>1.6189109950927365</c:v>
                </c:pt>
                <c:pt idx="19">
                  <c:v>1.6553679402557633</c:v>
                </c:pt>
                <c:pt idx="20">
                  <c:v>1.6935886782789562</c:v>
                </c:pt>
                <c:pt idx="21">
                  <c:v>1.728903730879179</c:v>
                </c:pt>
                <c:pt idx="22">
                  <c:v>1.7687680625454014</c:v>
                </c:pt>
                <c:pt idx="23">
                  <c:v>1.8067928235841317</c:v>
                </c:pt>
                <c:pt idx="24">
                  <c:v>1.8453610941264393</c:v>
                </c:pt>
                <c:pt idx="25">
                  <c:v>1.8824347135339092</c:v>
                </c:pt>
                <c:pt idx="26">
                  <c:v>1.919584110708705</c:v>
                </c:pt>
                <c:pt idx="27">
                  <c:v>1.9579198218961165</c:v>
                </c:pt>
                <c:pt idx="28">
                  <c:v>1.996101364522417</c:v>
                </c:pt>
                <c:pt idx="29">
                  <c:v>2.0334153823641619</c:v>
                </c:pt>
                <c:pt idx="30">
                  <c:v>2.0703217680782235</c:v>
                </c:pt>
                <c:pt idx="31">
                  <c:v>2.1065069584894616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0ED-4385-8309-B4E2D27D8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136175"/>
        <c:axId val="2067833887"/>
      </c:lineChart>
      <c:catAx>
        <c:axId val="207013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833887"/>
        <c:crosses val="autoZero"/>
        <c:auto val="1"/>
        <c:lblAlgn val="ctr"/>
        <c:lblOffset val="100"/>
        <c:noMultiLvlLbl val="0"/>
      </c:catAx>
      <c:valAx>
        <c:axId val="206783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13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526472</xdr:colOff>
      <xdr:row>19</xdr:row>
      <xdr:rowOff>6927</xdr:rowOff>
    </xdr:from>
    <xdr:to>
      <xdr:col>21</xdr:col>
      <xdr:colOff>55417</xdr:colOff>
      <xdr:row>48</xdr:row>
      <xdr:rowOff>55418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46B97D-E072-4DBA-AEEC-E29922CBA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180108</xdr:colOff>
      <xdr:row>19</xdr:row>
      <xdr:rowOff>41562</xdr:rowOff>
    </xdr:from>
    <xdr:to>
      <xdr:col>28</xdr:col>
      <xdr:colOff>512617</xdr:colOff>
      <xdr:row>48</xdr:row>
      <xdr:rowOff>110836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B595A1-4C9D-40F9-95EB-449133D61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166254</xdr:colOff>
      <xdr:row>16</xdr:row>
      <xdr:rowOff>38100</xdr:rowOff>
    </xdr:from>
    <xdr:to>
      <xdr:col>54</xdr:col>
      <xdr:colOff>471054</xdr:colOff>
      <xdr:row>31</xdr:row>
      <xdr:rowOff>79664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8B0DA8-6891-45E6-8ED7-F98036E08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34634</xdr:colOff>
      <xdr:row>23</xdr:row>
      <xdr:rowOff>20780</xdr:rowOff>
    </xdr:from>
    <xdr:to>
      <xdr:col>44</xdr:col>
      <xdr:colOff>38099</xdr:colOff>
      <xdr:row>57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D0F985-5301-4271-9EB2-97B50952D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E1E0-911A-44E2-8748-53ECFFC7C0C9}">
  <dimension ref="A1:R27"/>
  <sheetViews>
    <sheetView zoomScale="85" zoomScaleNormal="85" workbookViewId="0">
      <selection activeCell="C29" sqref="C29"/>
    </sheetView>
  </sheetViews>
  <sheetFormatPr defaultRowHeight="14.4" x14ac:dyDescent="0.3"/>
  <cols>
    <col min="2" max="6" width="12" bestFit="1" customWidth="1"/>
    <col min="7" max="7" width="10" bestFit="1" customWidth="1"/>
    <col min="8" max="18" width="12" bestFit="1" customWidth="1"/>
  </cols>
  <sheetData>
    <row r="1" spans="1:18" x14ac:dyDescent="0.3">
      <c r="A1" s="25" t="s">
        <v>37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32</v>
      </c>
      <c r="M2" s="1" t="s">
        <v>11</v>
      </c>
      <c r="N2" s="1" t="s">
        <v>12</v>
      </c>
      <c r="O2" s="1" t="s">
        <v>33</v>
      </c>
      <c r="P2" s="1" t="s">
        <v>14</v>
      </c>
      <c r="Q2" s="1" t="s">
        <v>34</v>
      </c>
      <c r="R2" s="1" t="s">
        <v>35</v>
      </c>
    </row>
    <row r="3" spans="1:18" x14ac:dyDescent="0.3">
      <c r="A3" s="24">
        <v>2018</v>
      </c>
      <c r="B3">
        <v>2164812897274.323</v>
      </c>
      <c r="C3">
        <v>21684384643520.461</v>
      </c>
      <c r="D3">
        <v>5296111837550.7285</v>
      </c>
      <c r="E3">
        <v>3913975940445.1621</v>
      </c>
      <c r="F3">
        <v>38133349152.167152</v>
      </c>
      <c r="G3">
        <v>0</v>
      </c>
      <c r="H3">
        <v>21975104005454.27</v>
      </c>
      <c r="I3">
        <v>9585629091251.9707</v>
      </c>
      <c r="J3">
        <v>22625326956452.48</v>
      </c>
      <c r="K3">
        <v>3472990086320.7939</v>
      </c>
      <c r="L3">
        <v>1784727873271.1279</v>
      </c>
      <c r="M3">
        <v>7693589583199.7012</v>
      </c>
      <c r="N3">
        <v>3973803088020.7959</v>
      </c>
      <c r="O3">
        <v>1035800880297.756</v>
      </c>
      <c r="P3">
        <v>11196511439113.529</v>
      </c>
      <c r="Q3">
        <v>7058798125502.8525</v>
      </c>
      <c r="R3">
        <v>1435663231150.448</v>
      </c>
    </row>
    <row r="4" spans="1:18" x14ac:dyDescent="0.3">
      <c r="A4" s="24">
        <v>2019</v>
      </c>
      <c r="B4">
        <v>2213390819401.9678</v>
      </c>
      <c r="C4">
        <v>22940028175853.219</v>
      </c>
      <c r="D4">
        <v>5274812506894.3018</v>
      </c>
      <c r="E4">
        <v>4000008095018.4521</v>
      </c>
      <c r="F4">
        <v>40269672501.181877</v>
      </c>
      <c r="G4">
        <v>0</v>
      </c>
      <c r="H4">
        <v>22471260492484.41</v>
      </c>
      <c r="I4">
        <v>9657572967850.8516</v>
      </c>
      <c r="J4">
        <v>22959583984287.32</v>
      </c>
      <c r="K4">
        <v>3609144061286.1689</v>
      </c>
      <c r="L4">
        <v>1857013276648.9609</v>
      </c>
      <c r="M4">
        <v>7766434582298.6484</v>
      </c>
      <c r="N4">
        <v>4092086779709.8052</v>
      </c>
      <c r="O4">
        <v>1110802400950.979</v>
      </c>
      <c r="P4">
        <v>11639449121047.5</v>
      </c>
      <c r="Q4">
        <v>7357983493581.8438</v>
      </c>
      <c r="R4">
        <v>1467533691512.467</v>
      </c>
    </row>
    <row r="5" spans="1:18" x14ac:dyDescent="0.3">
      <c r="A5" s="24">
        <v>2020</v>
      </c>
      <c r="B5">
        <v>2197688684965.6321</v>
      </c>
      <c r="C5">
        <v>23414274377106.5</v>
      </c>
      <c r="D5">
        <v>5049124184458.2451</v>
      </c>
      <c r="E5">
        <v>3893861700163.522</v>
      </c>
      <c r="F5">
        <v>38434280707.09726</v>
      </c>
      <c r="G5">
        <v>0</v>
      </c>
      <c r="H5">
        <v>21805056121635.75</v>
      </c>
      <c r="I5">
        <v>9010866994689.2227</v>
      </c>
      <c r="J5">
        <v>21647744706924.77</v>
      </c>
      <c r="K5">
        <v>3487346714782.4282</v>
      </c>
      <c r="L5">
        <v>1810968937790.313</v>
      </c>
      <c r="M5">
        <v>7518620195463.4307</v>
      </c>
      <c r="N5">
        <v>4019662454415.1099</v>
      </c>
      <c r="O5">
        <v>1136982264142.4629</v>
      </c>
      <c r="P5">
        <v>11101407320752.279</v>
      </c>
      <c r="Q5">
        <v>6980105278584.2051</v>
      </c>
      <c r="R5">
        <v>1461934223711.772</v>
      </c>
    </row>
    <row r="6" spans="1:18" x14ac:dyDescent="0.3">
      <c r="A6" s="24">
        <v>2021</v>
      </c>
      <c r="B6">
        <v>2292293355002.103</v>
      </c>
      <c r="C6">
        <v>25384031403995.309</v>
      </c>
      <c r="D6">
        <v>5157301032356.7676</v>
      </c>
      <c r="E6">
        <v>4112474402842.1201</v>
      </c>
      <c r="F6">
        <v>39063361320.990723</v>
      </c>
      <c r="G6">
        <v>0</v>
      </c>
      <c r="H6">
        <v>23079215786517.871</v>
      </c>
      <c r="I6">
        <v>9674214461196.2637</v>
      </c>
      <c r="J6">
        <v>23137908041591.68</v>
      </c>
      <c r="K6">
        <v>3716723373660.5288</v>
      </c>
      <c r="L6">
        <v>1899480347250.635</v>
      </c>
      <c r="M6">
        <v>7839315035647.6641</v>
      </c>
      <c r="N6">
        <v>4202545623986.4888</v>
      </c>
      <c r="O6">
        <v>1166413836438.6741</v>
      </c>
      <c r="P6">
        <v>12038787881931.35</v>
      </c>
      <c r="Q6">
        <v>7217631960655.2441</v>
      </c>
      <c r="R6">
        <v>1499349321854.2229</v>
      </c>
    </row>
    <row r="7" spans="1:18" x14ac:dyDescent="0.3">
      <c r="A7" s="24">
        <v>2022</v>
      </c>
      <c r="B7">
        <v>2352183466044.3779</v>
      </c>
      <c r="C7">
        <v>26114006243646.07</v>
      </c>
      <c r="D7">
        <v>5210350313212.8301</v>
      </c>
      <c r="E7">
        <v>4027358046152.418</v>
      </c>
      <c r="F7">
        <v>41029306870.592682</v>
      </c>
      <c r="G7">
        <v>0</v>
      </c>
      <c r="H7">
        <v>23555160228980.828</v>
      </c>
      <c r="I7">
        <v>10060457567173.391</v>
      </c>
      <c r="J7">
        <v>24011131636169.602</v>
      </c>
      <c r="K7">
        <v>3871078721227.271</v>
      </c>
      <c r="L7">
        <v>1786760485279.396</v>
      </c>
      <c r="M7">
        <v>8215224892818.3779</v>
      </c>
      <c r="N7">
        <v>4364560064332.8862</v>
      </c>
      <c r="O7">
        <v>1254854391960.9189</v>
      </c>
      <c r="P7">
        <v>12823150081971.891</v>
      </c>
      <c r="Q7">
        <v>7589988866590.458</v>
      </c>
      <c r="R7">
        <v>1560163946538.624</v>
      </c>
    </row>
    <row r="9" spans="1:18" x14ac:dyDescent="0.3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9</v>
      </c>
      <c r="L9" s="1" t="s">
        <v>32</v>
      </c>
      <c r="M9" s="1" t="s">
        <v>11</v>
      </c>
      <c r="N9" s="1" t="s">
        <v>12</v>
      </c>
      <c r="O9" s="1" t="s">
        <v>33</v>
      </c>
      <c r="P9" s="1" t="s">
        <v>14</v>
      </c>
      <c r="Q9" s="1" t="s">
        <v>34</v>
      </c>
      <c r="R9" s="1" t="s">
        <v>35</v>
      </c>
    </row>
    <row r="10" spans="1:18" x14ac:dyDescent="0.3">
      <c r="A10" s="24">
        <v>2018</v>
      </c>
      <c r="B10">
        <f t="shared" ref="B10:R10" si="0">B3/10^9</f>
        <v>2164.8128972743229</v>
      </c>
      <c r="C10">
        <f t="shared" si="0"/>
        <v>21684.384643520461</v>
      </c>
      <c r="D10">
        <f t="shared" si="0"/>
        <v>5296.1118375507285</v>
      </c>
      <c r="E10">
        <f t="shared" si="0"/>
        <v>3913.975940445162</v>
      </c>
      <c r="F10">
        <f t="shared" si="0"/>
        <v>38.133349152167149</v>
      </c>
      <c r="G10">
        <f t="shared" si="0"/>
        <v>0</v>
      </c>
      <c r="H10">
        <f t="shared" si="0"/>
        <v>21975.104005454268</v>
      </c>
      <c r="I10">
        <f t="shared" si="0"/>
        <v>9585.6290912519707</v>
      </c>
      <c r="J10">
        <f t="shared" si="0"/>
        <v>22625.326956452482</v>
      </c>
      <c r="K10">
        <f t="shared" si="0"/>
        <v>3472.990086320794</v>
      </c>
      <c r="L10">
        <f t="shared" si="0"/>
        <v>1784.7278732711279</v>
      </c>
      <c r="M10">
        <f t="shared" si="0"/>
        <v>7693.5895831997013</v>
      </c>
      <c r="N10">
        <f t="shared" si="0"/>
        <v>3973.8030880207957</v>
      </c>
      <c r="O10">
        <f t="shared" si="0"/>
        <v>1035.8008802977561</v>
      </c>
      <c r="P10">
        <f t="shared" si="0"/>
        <v>11196.511439113528</v>
      </c>
      <c r="Q10">
        <f t="shared" si="0"/>
        <v>7058.7981255028526</v>
      </c>
      <c r="R10">
        <f t="shared" si="0"/>
        <v>1435.6632311504479</v>
      </c>
    </row>
    <row r="11" spans="1:18" x14ac:dyDescent="0.3">
      <c r="A11" s="24">
        <v>2019</v>
      </c>
      <c r="B11">
        <f t="shared" ref="B11:R11" si="1">B4/10^9</f>
        <v>2213.3908194019677</v>
      </c>
      <c r="C11">
        <f t="shared" si="1"/>
        <v>22940.028175853218</v>
      </c>
      <c r="D11">
        <f t="shared" si="1"/>
        <v>5274.8125068943018</v>
      </c>
      <c r="E11">
        <f t="shared" si="1"/>
        <v>4000.008095018452</v>
      </c>
      <c r="F11">
        <f t="shared" si="1"/>
        <v>40.26967250118188</v>
      </c>
      <c r="G11">
        <f t="shared" si="1"/>
        <v>0</v>
      </c>
      <c r="H11">
        <f t="shared" si="1"/>
        <v>22471.260492484409</v>
      </c>
      <c r="I11">
        <f t="shared" si="1"/>
        <v>9657.5729678508524</v>
      </c>
      <c r="J11">
        <f t="shared" si="1"/>
        <v>22959.583984287321</v>
      </c>
      <c r="K11">
        <f t="shared" si="1"/>
        <v>3609.1440612861688</v>
      </c>
      <c r="L11">
        <f t="shared" si="1"/>
        <v>1857.013276648961</v>
      </c>
      <c r="M11">
        <f t="shared" si="1"/>
        <v>7766.4345822986488</v>
      </c>
      <c r="N11">
        <f t="shared" si="1"/>
        <v>4092.0867797098053</v>
      </c>
      <c r="O11">
        <f t="shared" si="1"/>
        <v>1110.8024009509791</v>
      </c>
      <c r="P11">
        <f t="shared" si="1"/>
        <v>11639.449121047501</v>
      </c>
      <c r="Q11">
        <f t="shared" si="1"/>
        <v>7357.9834935818435</v>
      </c>
      <c r="R11">
        <f t="shared" si="1"/>
        <v>1467.5336915124669</v>
      </c>
    </row>
    <row r="12" spans="1:18" x14ac:dyDescent="0.3">
      <c r="A12" s="24">
        <v>2020</v>
      </c>
      <c r="B12">
        <f t="shared" ref="B12:R12" si="2">B5/10^9</f>
        <v>2197.6886849656321</v>
      </c>
      <c r="C12">
        <f t="shared" si="2"/>
        <v>23414.2743771065</v>
      </c>
      <c r="D12">
        <f t="shared" si="2"/>
        <v>5049.1241844582455</v>
      </c>
      <c r="E12">
        <f t="shared" si="2"/>
        <v>3893.8617001635221</v>
      </c>
      <c r="F12">
        <f t="shared" si="2"/>
        <v>38.434280707097258</v>
      </c>
      <c r="G12">
        <f t="shared" si="2"/>
        <v>0</v>
      </c>
      <c r="H12">
        <f t="shared" si="2"/>
        <v>21805.056121635749</v>
      </c>
      <c r="I12">
        <f t="shared" si="2"/>
        <v>9010.8669946892223</v>
      </c>
      <c r="J12">
        <f t="shared" si="2"/>
        <v>21647.744706924768</v>
      </c>
      <c r="K12">
        <f t="shared" si="2"/>
        <v>3487.3467147824281</v>
      </c>
      <c r="L12">
        <f t="shared" si="2"/>
        <v>1810.968937790313</v>
      </c>
      <c r="M12">
        <f t="shared" si="2"/>
        <v>7518.6201954634307</v>
      </c>
      <c r="N12">
        <f t="shared" si="2"/>
        <v>4019.66245441511</v>
      </c>
      <c r="O12">
        <f t="shared" si="2"/>
        <v>1136.9822641424628</v>
      </c>
      <c r="P12">
        <f t="shared" si="2"/>
        <v>11101.40732075228</v>
      </c>
      <c r="Q12">
        <f t="shared" si="2"/>
        <v>6980.1052785842048</v>
      </c>
      <c r="R12">
        <f t="shared" si="2"/>
        <v>1461.9342237117719</v>
      </c>
    </row>
    <row r="13" spans="1:18" x14ac:dyDescent="0.3">
      <c r="A13" s="24">
        <v>2021</v>
      </c>
      <c r="B13">
        <f t="shared" ref="B13:R13" si="3">B6/10^9</f>
        <v>2292.293355002103</v>
      </c>
      <c r="C13">
        <f t="shared" si="3"/>
        <v>25384.031403995308</v>
      </c>
      <c r="D13">
        <f t="shared" si="3"/>
        <v>5157.3010323567678</v>
      </c>
      <c r="E13">
        <f t="shared" si="3"/>
        <v>4112.4744028421201</v>
      </c>
      <c r="F13">
        <f t="shared" si="3"/>
        <v>39.063361320990722</v>
      </c>
      <c r="G13">
        <f t="shared" si="3"/>
        <v>0</v>
      </c>
      <c r="H13">
        <f t="shared" si="3"/>
        <v>23079.215786517871</v>
      </c>
      <c r="I13">
        <f t="shared" si="3"/>
        <v>9674.2144611962631</v>
      </c>
      <c r="J13">
        <f t="shared" si="3"/>
        <v>23137.90804159168</v>
      </c>
      <c r="K13">
        <f t="shared" si="3"/>
        <v>3716.723373660529</v>
      </c>
      <c r="L13">
        <f t="shared" si="3"/>
        <v>1899.4803472506351</v>
      </c>
      <c r="M13">
        <f t="shared" si="3"/>
        <v>7839.3150356476644</v>
      </c>
      <c r="N13">
        <f t="shared" si="3"/>
        <v>4202.5456239864889</v>
      </c>
      <c r="O13">
        <f t="shared" si="3"/>
        <v>1166.413836438674</v>
      </c>
      <c r="P13">
        <f t="shared" si="3"/>
        <v>12038.78788193135</v>
      </c>
      <c r="Q13">
        <f t="shared" si="3"/>
        <v>7217.6319606552443</v>
      </c>
      <c r="R13">
        <f t="shared" si="3"/>
        <v>1499.3493218542228</v>
      </c>
    </row>
    <row r="14" spans="1:18" x14ac:dyDescent="0.3">
      <c r="A14" s="24">
        <v>2022</v>
      </c>
      <c r="B14">
        <f t="shared" ref="B14:R14" si="4">B7/10^9</f>
        <v>2352.1834660443778</v>
      </c>
      <c r="C14">
        <f t="shared" si="4"/>
        <v>26114.006243646072</v>
      </c>
      <c r="D14">
        <f t="shared" si="4"/>
        <v>5210.3503132128299</v>
      </c>
      <c r="E14">
        <f t="shared" si="4"/>
        <v>4027.358046152418</v>
      </c>
      <c r="F14">
        <f t="shared" si="4"/>
        <v>41.029306870592684</v>
      </c>
      <c r="G14">
        <f t="shared" si="4"/>
        <v>0</v>
      </c>
      <c r="H14">
        <f t="shared" si="4"/>
        <v>23555.160228980829</v>
      </c>
      <c r="I14">
        <f t="shared" si="4"/>
        <v>10060.457567173391</v>
      </c>
      <c r="J14">
        <f t="shared" si="4"/>
        <v>24011.131636169601</v>
      </c>
      <c r="K14">
        <f t="shared" si="4"/>
        <v>3871.0787212272712</v>
      </c>
      <c r="L14">
        <f t="shared" si="4"/>
        <v>1786.7604852793961</v>
      </c>
      <c r="M14">
        <f t="shared" si="4"/>
        <v>8215.2248928183781</v>
      </c>
      <c r="N14">
        <f t="shared" si="4"/>
        <v>4364.5600643328862</v>
      </c>
      <c r="O14">
        <f t="shared" si="4"/>
        <v>1254.854391960919</v>
      </c>
      <c r="P14">
        <f t="shared" si="4"/>
        <v>12823.150081971891</v>
      </c>
      <c r="Q14">
        <f t="shared" si="4"/>
        <v>7589.9888665904582</v>
      </c>
      <c r="R14">
        <f t="shared" si="4"/>
        <v>1560.163946538624</v>
      </c>
    </row>
    <row r="16" spans="1:18" x14ac:dyDescent="0.3">
      <c r="A16" s="25" t="s">
        <v>36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x14ac:dyDescent="0.3"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  <c r="K17" s="1" t="s">
        <v>9</v>
      </c>
      <c r="L17" s="1" t="s">
        <v>32</v>
      </c>
      <c r="M17" s="1" t="s">
        <v>11</v>
      </c>
      <c r="N17" s="1" t="s">
        <v>12</v>
      </c>
      <c r="O17" s="1" t="s">
        <v>33</v>
      </c>
      <c r="P17" s="1" t="s">
        <v>14</v>
      </c>
      <c r="Q17" s="1" t="s">
        <v>34</v>
      </c>
      <c r="R17" s="1" t="s">
        <v>35</v>
      </c>
    </row>
    <row r="18" spans="1:18" x14ac:dyDescent="0.3">
      <c r="A18" s="24">
        <v>2018</v>
      </c>
      <c r="B18">
        <v>51585058</v>
      </c>
      <c r="C18">
        <v>1410212600</v>
      </c>
      <c r="D18">
        <v>126811000</v>
      </c>
      <c r="E18">
        <v>144477859</v>
      </c>
      <c r="F18">
        <v>3163991</v>
      </c>
      <c r="G18">
        <v>25638149</v>
      </c>
      <c r="H18">
        <v>367372316</v>
      </c>
      <c r="I18">
        <v>606012845</v>
      </c>
      <c r="J18">
        <v>506509163</v>
      </c>
      <c r="K18">
        <v>118486004</v>
      </c>
      <c r="L18">
        <v>139697133</v>
      </c>
      <c r="M18">
        <v>492023500</v>
      </c>
      <c r="N18">
        <v>1041066783</v>
      </c>
      <c r="O18">
        <v>118044574</v>
      </c>
      <c r="P18">
        <v>1803847309</v>
      </c>
      <c r="Q18">
        <v>552136139</v>
      </c>
      <c r="R18">
        <v>29863858</v>
      </c>
    </row>
    <row r="19" spans="1:18" x14ac:dyDescent="0.3">
      <c r="A19" s="24">
        <v>2019</v>
      </c>
      <c r="B19">
        <v>51764822</v>
      </c>
      <c r="C19">
        <v>1415252900</v>
      </c>
      <c r="D19">
        <v>126633000</v>
      </c>
      <c r="E19">
        <v>144406261</v>
      </c>
      <c r="F19">
        <v>3232430</v>
      </c>
      <c r="G19">
        <v>25755441</v>
      </c>
      <c r="H19">
        <v>369400170</v>
      </c>
      <c r="I19">
        <v>612532624</v>
      </c>
      <c r="J19">
        <v>508668160</v>
      </c>
      <c r="K19">
        <v>118257396</v>
      </c>
      <c r="L19">
        <v>140624677</v>
      </c>
      <c r="M19">
        <v>500519921</v>
      </c>
      <c r="N19">
        <v>1068943284</v>
      </c>
      <c r="O19">
        <v>119196515</v>
      </c>
      <c r="P19">
        <v>1823829015</v>
      </c>
      <c r="Q19">
        <v>557765166</v>
      </c>
      <c r="R19">
        <v>30314026</v>
      </c>
    </row>
    <row r="20" spans="1:18" x14ac:dyDescent="0.3">
      <c r="A20" s="24">
        <v>2020</v>
      </c>
      <c r="B20">
        <v>51836239</v>
      </c>
      <c r="C20">
        <v>1418581000</v>
      </c>
      <c r="D20">
        <v>126261000</v>
      </c>
      <c r="E20">
        <v>144073139</v>
      </c>
      <c r="F20">
        <v>3294335</v>
      </c>
      <c r="G20">
        <v>25867467</v>
      </c>
      <c r="H20">
        <v>373075756</v>
      </c>
      <c r="I20">
        <v>618164742</v>
      </c>
      <c r="J20">
        <v>510362210</v>
      </c>
      <c r="K20">
        <v>117929343</v>
      </c>
      <c r="L20">
        <v>141549937</v>
      </c>
      <c r="M20">
        <v>507832010</v>
      </c>
      <c r="N20">
        <v>1097345524</v>
      </c>
      <c r="O20">
        <v>120364944</v>
      </c>
      <c r="P20">
        <v>1843559390</v>
      </c>
      <c r="Q20">
        <v>563056302</v>
      </c>
      <c r="R20">
        <v>30739448</v>
      </c>
    </row>
    <row r="21" spans="1:18" x14ac:dyDescent="0.3">
      <c r="A21" s="24">
        <v>2021</v>
      </c>
      <c r="B21">
        <v>51744876</v>
      </c>
      <c r="C21">
        <v>1419773100</v>
      </c>
      <c r="D21">
        <v>125681593</v>
      </c>
      <c r="E21">
        <v>144130482</v>
      </c>
      <c r="F21">
        <v>3347782</v>
      </c>
      <c r="G21">
        <v>25971909</v>
      </c>
      <c r="H21">
        <v>373797149</v>
      </c>
      <c r="I21">
        <v>622920825</v>
      </c>
      <c r="J21">
        <v>511423932</v>
      </c>
      <c r="K21">
        <v>117014414</v>
      </c>
      <c r="L21">
        <v>142366636</v>
      </c>
      <c r="M21">
        <v>514709028</v>
      </c>
      <c r="N21">
        <v>1125863096</v>
      </c>
      <c r="O21">
        <v>121482109</v>
      </c>
      <c r="P21">
        <v>1861812142</v>
      </c>
      <c r="Q21">
        <v>567555311</v>
      </c>
      <c r="R21">
        <v>30796812</v>
      </c>
    </row>
    <row r="23" spans="1:18" x14ac:dyDescent="0.3"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  <c r="J23" s="1" t="s">
        <v>8</v>
      </c>
      <c r="K23" s="1" t="s">
        <v>9</v>
      </c>
      <c r="L23" s="1" t="s">
        <v>32</v>
      </c>
      <c r="M23" s="1" t="s">
        <v>11</v>
      </c>
      <c r="N23" s="1" t="s">
        <v>12</v>
      </c>
      <c r="O23" s="1" t="s">
        <v>33</v>
      </c>
      <c r="P23" s="1" t="s">
        <v>14</v>
      </c>
      <c r="Q23" s="1" t="s">
        <v>34</v>
      </c>
      <c r="R23" s="1" t="s">
        <v>35</v>
      </c>
    </row>
    <row r="24" spans="1:18" x14ac:dyDescent="0.3">
      <c r="A24" s="24">
        <v>2018</v>
      </c>
      <c r="B24">
        <f>B18/1000000</f>
        <v>51.585057999999997</v>
      </c>
      <c r="C24">
        <f t="shared" ref="C24:R27" si="5">C18/1000000</f>
        <v>1410.2126000000001</v>
      </c>
      <c r="D24">
        <f t="shared" si="5"/>
        <v>126.81100000000001</v>
      </c>
      <c r="E24">
        <f t="shared" si="5"/>
        <v>144.477859</v>
      </c>
      <c r="F24">
        <f t="shared" si="5"/>
        <v>3.1639910000000002</v>
      </c>
      <c r="G24">
        <f t="shared" si="5"/>
        <v>25.638148999999999</v>
      </c>
      <c r="H24">
        <f t="shared" si="5"/>
        <v>367.37231600000001</v>
      </c>
      <c r="I24">
        <f t="shared" si="5"/>
        <v>606.01284499999997</v>
      </c>
      <c r="J24">
        <f t="shared" si="5"/>
        <v>506.509163</v>
      </c>
      <c r="K24">
        <f t="shared" si="5"/>
        <v>118.48600399999999</v>
      </c>
      <c r="L24">
        <f t="shared" si="5"/>
        <v>139.69713300000001</v>
      </c>
      <c r="M24">
        <f t="shared" si="5"/>
        <v>492.02350000000001</v>
      </c>
      <c r="N24">
        <f t="shared" si="5"/>
        <v>1041.066783</v>
      </c>
      <c r="O24">
        <f t="shared" si="5"/>
        <v>118.044574</v>
      </c>
      <c r="P24">
        <f t="shared" si="5"/>
        <v>1803.847309</v>
      </c>
      <c r="Q24">
        <f t="shared" si="5"/>
        <v>552.13613899999996</v>
      </c>
      <c r="R24">
        <f t="shared" si="5"/>
        <v>29.863858</v>
      </c>
    </row>
    <row r="25" spans="1:18" x14ac:dyDescent="0.3">
      <c r="A25" s="24">
        <v>2019</v>
      </c>
      <c r="B25">
        <f>B19/1000000</f>
        <v>51.764822000000002</v>
      </c>
      <c r="C25">
        <f t="shared" si="5"/>
        <v>1415.2529</v>
      </c>
      <c r="D25">
        <f t="shared" si="5"/>
        <v>126.633</v>
      </c>
      <c r="E25">
        <f t="shared" si="5"/>
        <v>144.406261</v>
      </c>
      <c r="F25">
        <f t="shared" si="5"/>
        <v>3.2324299999999999</v>
      </c>
      <c r="G25">
        <f t="shared" si="5"/>
        <v>25.755441000000001</v>
      </c>
      <c r="H25">
        <f t="shared" si="5"/>
        <v>369.40017</v>
      </c>
      <c r="I25">
        <f t="shared" si="5"/>
        <v>612.53262400000006</v>
      </c>
      <c r="J25">
        <f t="shared" si="5"/>
        <v>508.66816</v>
      </c>
      <c r="K25">
        <f t="shared" si="5"/>
        <v>118.257396</v>
      </c>
      <c r="L25">
        <f t="shared" si="5"/>
        <v>140.62467699999999</v>
      </c>
      <c r="M25">
        <f t="shared" si="5"/>
        <v>500.51992100000001</v>
      </c>
      <c r="N25">
        <f t="shared" si="5"/>
        <v>1068.9432839999999</v>
      </c>
      <c r="O25">
        <f t="shared" si="5"/>
        <v>119.19651500000001</v>
      </c>
      <c r="P25">
        <f t="shared" si="5"/>
        <v>1823.829015</v>
      </c>
      <c r="Q25">
        <f t="shared" si="5"/>
        <v>557.76516600000002</v>
      </c>
      <c r="R25">
        <f t="shared" si="5"/>
        <v>30.314025999999998</v>
      </c>
    </row>
    <row r="26" spans="1:18" x14ac:dyDescent="0.3">
      <c r="A26" s="24">
        <v>2020</v>
      </c>
      <c r="B26">
        <f t="shared" ref="B26:Q27" si="6">B20/1000000</f>
        <v>51.836238999999999</v>
      </c>
      <c r="C26">
        <f t="shared" si="6"/>
        <v>1418.5809999999999</v>
      </c>
      <c r="D26">
        <f t="shared" si="6"/>
        <v>126.261</v>
      </c>
      <c r="E26">
        <f t="shared" si="6"/>
        <v>144.073139</v>
      </c>
      <c r="F26">
        <f t="shared" si="6"/>
        <v>3.2943349999999998</v>
      </c>
      <c r="G26">
        <f t="shared" si="6"/>
        <v>25.867467000000001</v>
      </c>
      <c r="H26">
        <f t="shared" si="6"/>
        <v>373.07575600000001</v>
      </c>
      <c r="I26">
        <f t="shared" si="6"/>
        <v>618.16474200000005</v>
      </c>
      <c r="J26">
        <f t="shared" si="6"/>
        <v>510.36221</v>
      </c>
      <c r="K26">
        <f t="shared" si="6"/>
        <v>117.929343</v>
      </c>
      <c r="L26">
        <f t="shared" si="6"/>
        <v>141.549937</v>
      </c>
      <c r="M26">
        <f t="shared" si="6"/>
        <v>507.83201000000003</v>
      </c>
      <c r="N26">
        <f t="shared" si="6"/>
        <v>1097.3455240000001</v>
      </c>
      <c r="O26">
        <f t="shared" si="6"/>
        <v>120.36494399999999</v>
      </c>
      <c r="P26">
        <f t="shared" si="6"/>
        <v>1843.5593899999999</v>
      </c>
      <c r="Q26">
        <f t="shared" si="6"/>
        <v>563.05630199999996</v>
      </c>
      <c r="R26">
        <f t="shared" si="5"/>
        <v>30.739447999999999</v>
      </c>
    </row>
    <row r="27" spans="1:18" x14ac:dyDescent="0.3">
      <c r="A27" s="24">
        <v>2021</v>
      </c>
      <c r="B27">
        <f t="shared" si="6"/>
        <v>51.744875999999998</v>
      </c>
      <c r="C27">
        <f t="shared" si="5"/>
        <v>1419.7731000000001</v>
      </c>
      <c r="D27">
        <f t="shared" si="5"/>
        <v>125.68159300000001</v>
      </c>
      <c r="E27">
        <f t="shared" si="5"/>
        <v>144.130482</v>
      </c>
      <c r="F27">
        <f t="shared" si="5"/>
        <v>3.347782</v>
      </c>
      <c r="G27">
        <f t="shared" si="5"/>
        <v>25.971909</v>
      </c>
      <c r="H27">
        <f t="shared" si="5"/>
        <v>373.79714899999999</v>
      </c>
      <c r="I27">
        <f t="shared" si="5"/>
        <v>622.92082500000004</v>
      </c>
      <c r="J27">
        <f t="shared" si="5"/>
        <v>511.42393199999998</v>
      </c>
      <c r="K27">
        <f t="shared" si="5"/>
        <v>117.014414</v>
      </c>
      <c r="L27">
        <f t="shared" si="5"/>
        <v>142.366636</v>
      </c>
      <c r="M27">
        <f t="shared" si="5"/>
        <v>514.70902799999999</v>
      </c>
      <c r="N27">
        <f t="shared" si="5"/>
        <v>1125.863096</v>
      </c>
      <c r="O27">
        <f t="shared" si="5"/>
        <v>121.48210899999999</v>
      </c>
      <c r="P27">
        <f t="shared" si="5"/>
        <v>1861.812142</v>
      </c>
      <c r="Q27">
        <f t="shared" si="5"/>
        <v>567.55531099999996</v>
      </c>
      <c r="R27">
        <f t="shared" si="5"/>
        <v>30.796811999999999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7BF9-68EF-4E22-96B6-AD75678CC8E4}">
  <dimension ref="A1:U84"/>
  <sheetViews>
    <sheetView zoomScale="85" zoomScaleNormal="85" workbookViewId="0">
      <selection activeCell="T4" sqref="T4"/>
    </sheetView>
  </sheetViews>
  <sheetFormatPr defaultRowHeight="14.4" x14ac:dyDescent="0.3"/>
  <cols>
    <col min="1" max="1" width="5" bestFit="1" customWidth="1"/>
    <col min="2" max="2" width="8.44140625" bestFit="1" customWidth="1"/>
    <col min="3" max="3" width="10.5546875" bestFit="1" customWidth="1"/>
    <col min="4" max="4" width="8.44140625" bestFit="1" customWidth="1"/>
    <col min="5" max="5" width="9" bestFit="1" customWidth="1"/>
    <col min="6" max="6" width="8.5546875" bestFit="1" customWidth="1"/>
    <col min="7" max="7" width="8.44140625" bestFit="1" customWidth="1"/>
    <col min="8" max="9" width="12.77734375" bestFit="1" customWidth="1"/>
    <col min="10" max="10" width="11.6640625" bestFit="1" customWidth="1"/>
    <col min="11" max="12" width="10.5546875" bestFit="1" customWidth="1"/>
    <col min="13" max="14" width="12.77734375" bestFit="1" customWidth="1"/>
    <col min="15" max="15" width="10.5546875" bestFit="1" customWidth="1"/>
    <col min="16" max="17" width="12.77734375" bestFit="1" customWidth="1"/>
    <col min="18" max="18" width="9.5546875" bestFit="1" customWidth="1"/>
    <col min="20" max="20" width="14.21875" style="27" bestFit="1" customWidth="1"/>
    <col min="21" max="21" width="12.44140625" bestFit="1" customWidth="1"/>
  </cols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21" x14ac:dyDescent="0.3">
      <c r="A2" s="1">
        <v>2018</v>
      </c>
      <c r="B2" s="4">
        <f>Baseyear!B10</f>
        <v>2164.8128972743229</v>
      </c>
      <c r="C2" s="4">
        <f>Baseyear!C10</f>
        <v>21684.384643520461</v>
      </c>
      <c r="D2" s="4">
        <f>Baseyear!D10</f>
        <v>5296.1118375507285</v>
      </c>
      <c r="E2" s="4">
        <f>Baseyear!E10</f>
        <v>3913.975940445162</v>
      </c>
      <c r="F2" s="4">
        <f>Baseyear!F10</f>
        <v>38.133349152167149</v>
      </c>
      <c r="G2" s="22">
        <f>G3+G3*U2</f>
        <v>49.164943368621707</v>
      </c>
      <c r="H2" s="4">
        <f>Baseyear!H10</f>
        <v>21975.104005454268</v>
      </c>
      <c r="I2" s="4">
        <f>Baseyear!I10</f>
        <v>9585.6290912519707</v>
      </c>
      <c r="J2" s="4">
        <f>Baseyear!J10</f>
        <v>22625.326956452482</v>
      </c>
      <c r="K2" s="4">
        <f>Baseyear!K10</f>
        <v>3472.990086320794</v>
      </c>
      <c r="L2" s="4">
        <f>Baseyear!L10</f>
        <v>1784.7278732711279</v>
      </c>
      <c r="M2" s="4">
        <f>Baseyear!M10</f>
        <v>7693.5895831997013</v>
      </c>
      <c r="N2" s="4">
        <f>Baseyear!N10</f>
        <v>3973.8030880207957</v>
      </c>
      <c r="O2" s="4">
        <f>Baseyear!O10</f>
        <v>1035.8008802977561</v>
      </c>
      <c r="P2" s="4">
        <f>Baseyear!P10</f>
        <v>11196.511439113528</v>
      </c>
      <c r="Q2" s="4">
        <f>Baseyear!Q10</f>
        <v>7058.7981255028526</v>
      </c>
      <c r="R2" s="4">
        <f>Baseyear!R10</f>
        <v>1435.6632311504479</v>
      </c>
      <c r="S2" s="28"/>
      <c r="T2" s="29">
        <v>1682880015376</v>
      </c>
      <c r="U2">
        <f>(T2-T3)/T2</f>
        <v>-3.5332134255997519E-3</v>
      </c>
    </row>
    <row r="3" spans="1:21" x14ac:dyDescent="0.3">
      <c r="A3" s="1">
        <v>2019</v>
      </c>
      <c r="B3" s="4">
        <f>Baseyear!B11</f>
        <v>2213.3908194019677</v>
      </c>
      <c r="C3" s="4">
        <f>Baseyear!C11</f>
        <v>22940.028175853218</v>
      </c>
      <c r="D3" s="4">
        <f>Baseyear!D11</f>
        <v>5274.8125068943018</v>
      </c>
      <c r="E3" s="4">
        <f>Baseyear!E11</f>
        <v>4000.008095018452</v>
      </c>
      <c r="F3" s="4">
        <f>Baseyear!F11</f>
        <v>40.26967250118188</v>
      </c>
      <c r="G3" s="22">
        <f>G4+G4*U3</f>
        <v>49.339269538163229</v>
      </c>
      <c r="H3" s="4">
        <f>Baseyear!H11</f>
        <v>22471.260492484409</v>
      </c>
      <c r="I3" s="4">
        <f>Baseyear!I11</f>
        <v>9657.5729678508524</v>
      </c>
      <c r="J3" s="4">
        <f>Baseyear!J11</f>
        <v>22959.583984287321</v>
      </c>
      <c r="K3" s="4">
        <f>Baseyear!K11</f>
        <v>3609.1440612861688</v>
      </c>
      <c r="L3" s="4">
        <f>Baseyear!L11</f>
        <v>1857.013276648961</v>
      </c>
      <c r="M3" s="4">
        <f>Baseyear!M11</f>
        <v>7766.4345822986488</v>
      </c>
      <c r="N3" s="4">
        <f>Baseyear!N11</f>
        <v>4092.0867797098053</v>
      </c>
      <c r="O3" s="4">
        <f>Baseyear!O11</f>
        <v>1110.8024009509791</v>
      </c>
      <c r="P3" s="4">
        <f>Baseyear!P11</f>
        <v>11639.449121047501</v>
      </c>
      <c r="Q3" s="4">
        <f>Baseyear!Q11</f>
        <v>7357.9834935818435</v>
      </c>
      <c r="R3" s="4">
        <f>Baseyear!R11</f>
        <v>1467.5336915124669</v>
      </c>
      <c r="S3" s="28"/>
      <c r="T3" s="29">
        <v>1688825989640</v>
      </c>
      <c r="U3">
        <f>(T3-T4)/T3</f>
        <v>4.5323507164474926E-2</v>
      </c>
    </row>
    <row r="4" spans="1:21" x14ac:dyDescent="0.3">
      <c r="A4" s="1">
        <v>2020</v>
      </c>
      <c r="B4" s="4">
        <f>Baseyear!B12</f>
        <v>2197.6886849656321</v>
      </c>
      <c r="C4" s="4">
        <f>Baseyear!C12</f>
        <v>23414.2743771065</v>
      </c>
      <c r="D4" s="4">
        <f>Baseyear!D12</f>
        <v>5049.1241844582455</v>
      </c>
      <c r="E4" s="4">
        <f>Baseyear!E12</f>
        <v>3893.8617001635221</v>
      </c>
      <c r="F4" s="4">
        <f>Baseyear!F12</f>
        <v>38.434280707097258</v>
      </c>
      <c r="G4" s="22">
        <v>47.20000000000001</v>
      </c>
      <c r="H4" s="4">
        <f>Baseyear!H12</f>
        <v>21805.056121635749</v>
      </c>
      <c r="I4" s="4">
        <f>Baseyear!I12</f>
        <v>9010.8669946892223</v>
      </c>
      <c r="J4" s="4">
        <f>Baseyear!J12</f>
        <v>21647.744706924768</v>
      </c>
      <c r="K4" s="4">
        <f>Baseyear!K12</f>
        <v>3487.3467147824281</v>
      </c>
      <c r="L4" s="4">
        <f>Baseyear!L12</f>
        <v>1810.968937790313</v>
      </c>
      <c r="M4" s="4">
        <f>Baseyear!M12</f>
        <v>7518.6201954634307</v>
      </c>
      <c r="N4" s="4">
        <f>Baseyear!N12</f>
        <v>4019.66245441511</v>
      </c>
      <c r="O4" s="4">
        <f>Baseyear!O12</f>
        <v>1136.9822641424628</v>
      </c>
      <c r="P4" s="4">
        <f>Baseyear!P12</f>
        <v>11101.40732075228</v>
      </c>
      <c r="Q4" s="4">
        <f>Baseyear!Q12</f>
        <v>6980.1052785842048</v>
      </c>
      <c r="R4" s="4">
        <f>Baseyear!R12</f>
        <v>1461.9342237117719</v>
      </c>
      <c r="S4" s="28"/>
      <c r="T4" s="29">
        <v>1612282472799</v>
      </c>
    </row>
    <row r="5" spans="1:21" x14ac:dyDescent="0.3">
      <c r="A5" s="1">
        <v>2021</v>
      </c>
      <c r="B5" s="4">
        <f>Baseyear!B13</f>
        <v>2292.293355002103</v>
      </c>
      <c r="C5" s="4">
        <f>Baseyear!C13</f>
        <v>25384.031403995308</v>
      </c>
      <c r="D5" s="4">
        <f>Baseyear!D13</f>
        <v>5157.3010323567678</v>
      </c>
      <c r="E5" s="4">
        <f>Baseyear!E13</f>
        <v>4112.4744028421201</v>
      </c>
      <c r="F5" s="4">
        <f>Baseyear!F13</f>
        <v>39.063361320990722</v>
      </c>
      <c r="G5" s="22">
        <v>49.522280000000009</v>
      </c>
      <c r="H5" s="4">
        <f>Baseyear!H13</f>
        <v>23079.215786517871</v>
      </c>
      <c r="I5" s="4">
        <f>Baseyear!I13</f>
        <v>9674.2144611962631</v>
      </c>
      <c r="J5" s="4">
        <f>Baseyear!J13</f>
        <v>23137.90804159168</v>
      </c>
      <c r="K5" s="4">
        <f>Baseyear!K13</f>
        <v>3716.723373660529</v>
      </c>
      <c r="L5" s="4">
        <f>Baseyear!L13</f>
        <v>1899.4803472506351</v>
      </c>
      <c r="M5" s="4">
        <f>Baseyear!M13</f>
        <v>7839.3150356476644</v>
      </c>
      <c r="N5" s="4">
        <f>Baseyear!N13</f>
        <v>4202.5456239864889</v>
      </c>
      <c r="O5" s="4">
        <f>Baseyear!O13</f>
        <v>1166.413836438674</v>
      </c>
      <c r="P5" s="4">
        <f>Baseyear!P13</f>
        <v>12038.78788193135</v>
      </c>
      <c r="Q5" s="4">
        <f>Baseyear!Q13</f>
        <v>7217.6319606552443</v>
      </c>
      <c r="R5" s="4">
        <f>Baseyear!R13</f>
        <v>1499.3493218542228</v>
      </c>
      <c r="S5" s="28"/>
    </row>
    <row r="6" spans="1:21" x14ac:dyDescent="0.3">
      <c r="A6" s="1">
        <v>2022</v>
      </c>
      <c r="B6" s="4">
        <f>(B9-B5)/4+B5</f>
        <v>2326.8750162515771</v>
      </c>
      <c r="C6" s="4">
        <f t="shared" ref="C6:R6" si="0">(C9-C5)/4+C5</f>
        <v>26693.289552996481</v>
      </c>
      <c r="D6" s="4">
        <f t="shared" si="0"/>
        <v>5239.3932742675761</v>
      </c>
      <c r="E6" s="4">
        <f t="shared" si="0"/>
        <v>4066.9158021315898</v>
      </c>
      <c r="F6" s="4">
        <f t="shared" si="0"/>
        <v>41.001670990743044</v>
      </c>
      <c r="G6" s="22">
        <v>51.844560000000001</v>
      </c>
      <c r="H6" s="4">
        <f t="shared" si="0"/>
        <v>23418.653069888402</v>
      </c>
      <c r="I6" s="4">
        <f t="shared" si="0"/>
        <v>9849.2317683971978</v>
      </c>
      <c r="J6" s="4">
        <f t="shared" si="0"/>
        <v>23256.56180619376</v>
      </c>
      <c r="K6" s="4">
        <f t="shared" si="0"/>
        <v>3775.4881802453965</v>
      </c>
      <c r="L6" s="4">
        <f t="shared" si="0"/>
        <v>1938.2091354379763</v>
      </c>
      <c r="M6" s="4">
        <f t="shared" si="0"/>
        <v>8141.1630342357485</v>
      </c>
      <c r="N6" s="4">
        <f t="shared" si="0"/>
        <v>4377.0314627398666</v>
      </c>
      <c r="O6" s="4">
        <f t="shared" si="0"/>
        <v>1245.2883773290055</v>
      </c>
      <c r="P6" s="4">
        <f t="shared" si="0"/>
        <v>12783.486153948514</v>
      </c>
      <c r="Q6" s="4">
        <f t="shared" si="0"/>
        <v>7955.0798962414337</v>
      </c>
      <c r="R6" s="4">
        <f t="shared" si="0"/>
        <v>1526.177491390667</v>
      </c>
      <c r="S6" s="28"/>
    </row>
    <row r="7" spans="1:21" x14ac:dyDescent="0.3">
      <c r="A7" s="1">
        <v>2023</v>
      </c>
      <c r="B7" s="3">
        <f>(B9-B5)/4+B6</f>
        <v>2361.4566775010512</v>
      </c>
      <c r="C7" s="3">
        <f t="shared" ref="C7:R7" si="1">(C9-C5)/4+C6</f>
        <v>28002.547701997653</v>
      </c>
      <c r="D7" s="3">
        <f t="shared" si="1"/>
        <v>5321.4855161783844</v>
      </c>
      <c r="E7" s="3">
        <f t="shared" si="1"/>
        <v>4021.3572014210595</v>
      </c>
      <c r="F7" s="3">
        <f t="shared" si="1"/>
        <v>42.939980660495365</v>
      </c>
      <c r="G7" s="22">
        <v>54.166840000000001</v>
      </c>
      <c r="H7" s="3">
        <f t="shared" si="1"/>
        <v>23758.090353258933</v>
      </c>
      <c r="I7" s="3">
        <f t="shared" si="1"/>
        <v>10024.249075598133</v>
      </c>
      <c r="J7" s="3">
        <f t="shared" si="1"/>
        <v>23375.215570795841</v>
      </c>
      <c r="K7" s="3">
        <f t="shared" si="1"/>
        <v>3834.2529868302645</v>
      </c>
      <c r="L7" s="3">
        <f t="shared" si="1"/>
        <v>1976.9379236253176</v>
      </c>
      <c r="M7" s="3">
        <f t="shared" si="1"/>
        <v>8443.0110328238316</v>
      </c>
      <c r="N7" s="3">
        <f t="shared" si="1"/>
        <v>4551.5173014932443</v>
      </c>
      <c r="O7" s="3">
        <f t="shared" si="1"/>
        <v>1324.1629182193369</v>
      </c>
      <c r="P7" s="3">
        <f t="shared" si="1"/>
        <v>13528.184425965675</v>
      </c>
      <c r="Q7" s="3">
        <f t="shared" si="1"/>
        <v>8692.5278318276232</v>
      </c>
      <c r="R7" s="3">
        <f t="shared" si="1"/>
        <v>1553.0056609271114</v>
      </c>
    </row>
    <row r="8" spans="1:21" x14ac:dyDescent="0.3">
      <c r="A8" s="1">
        <v>2024</v>
      </c>
      <c r="B8" s="3">
        <f>(B9-B5)/4+B7</f>
        <v>2396.0383387505253</v>
      </c>
      <c r="C8" s="3">
        <f t="shared" ref="C8:R8" si="2">(C9-C5)/4+C7</f>
        <v>29311.805850998826</v>
      </c>
      <c r="D8" s="3">
        <f t="shared" si="2"/>
        <v>5403.5777580891927</v>
      </c>
      <c r="E8" s="3">
        <f t="shared" si="2"/>
        <v>3975.7986007105292</v>
      </c>
      <c r="F8" s="3">
        <f t="shared" si="2"/>
        <v>44.878290330247687</v>
      </c>
      <c r="G8" s="22">
        <v>56.48912</v>
      </c>
      <c r="H8" s="3">
        <f t="shared" si="2"/>
        <v>24097.527636629464</v>
      </c>
      <c r="I8" s="3">
        <f t="shared" si="2"/>
        <v>10199.266382799067</v>
      </c>
      <c r="J8" s="3">
        <f t="shared" si="2"/>
        <v>23493.869335397922</v>
      </c>
      <c r="K8" s="3">
        <f t="shared" si="2"/>
        <v>3893.0177934151325</v>
      </c>
      <c r="L8" s="3">
        <f t="shared" si="2"/>
        <v>2015.6667118126588</v>
      </c>
      <c r="M8" s="3">
        <f t="shared" si="2"/>
        <v>8744.8590314119156</v>
      </c>
      <c r="N8" s="3">
        <f t="shared" si="2"/>
        <v>4726.003140246622</v>
      </c>
      <c r="O8" s="3">
        <f t="shared" si="2"/>
        <v>1403.0374591096684</v>
      </c>
      <c r="P8" s="3">
        <f t="shared" si="2"/>
        <v>14272.882697982837</v>
      </c>
      <c r="Q8" s="3">
        <f t="shared" si="2"/>
        <v>9429.9757674138127</v>
      </c>
      <c r="R8" s="3">
        <f t="shared" si="2"/>
        <v>1579.8338304635558</v>
      </c>
    </row>
    <row r="9" spans="1:21" x14ac:dyDescent="0.3">
      <c r="A9" s="1">
        <v>2025</v>
      </c>
      <c r="B9">
        <v>2430.62</v>
      </c>
      <c r="C9">
        <v>30621.063999999998</v>
      </c>
      <c r="D9">
        <v>5485.67</v>
      </c>
      <c r="E9">
        <v>3930.24</v>
      </c>
      <c r="F9">
        <v>46.816600000000001</v>
      </c>
      <c r="G9" s="22">
        <v>58.811399999999999</v>
      </c>
      <c r="H9">
        <v>24436.964919999999</v>
      </c>
      <c r="I9">
        <v>10374.28369</v>
      </c>
      <c r="J9">
        <v>23612.523099999999</v>
      </c>
      <c r="K9">
        <v>3951.7826</v>
      </c>
      <c r="L9">
        <v>2054.3955000000001</v>
      </c>
      <c r="M9">
        <v>9046.7070299999996</v>
      </c>
      <c r="N9">
        <v>4900.4889789999997</v>
      </c>
      <c r="O9">
        <v>1481.912</v>
      </c>
      <c r="P9">
        <v>15017.580970000001</v>
      </c>
      <c r="Q9">
        <v>10167.423703</v>
      </c>
      <c r="R9">
        <v>1606.662</v>
      </c>
    </row>
    <row r="10" spans="1:21" x14ac:dyDescent="0.3">
      <c r="A10" s="1">
        <v>2026</v>
      </c>
      <c r="B10" s="4">
        <f>(B14-B9)/5+B9</f>
        <v>2478.518</v>
      </c>
      <c r="C10" s="4">
        <f t="shared" ref="C10:R10" si="3">(C14-C9)/5+C9</f>
        <v>31849.823799999998</v>
      </c>
      <c r="D10" s="4">
        <f t="shared" si="3"/>
        <v>5529.576</v>
      </c>
      <c r="E10" s="4">
        <f t="shared" si="3"/>
        <v>3989.154</v>
      </c>
      <c r="F10" s="4">
        <f t="shared" si="3"/>
        <v>48.720120000000001</v>
      </c>
      <c r="G10" s="22">
        <v>62.38402</v>
      </c>
      <c r="H10" s="4">
        <f t="shared" si="3"/>
        <v>24914.996756</v>
      </c>
      <c r="I10" s="4">
        <f t="shared" si="3"/>
        <v>10651.89345</v>
      </c>
      <c r="J10" s="4">
        <f t="shared" si="3"/>
        <v>24056.213479999999</v>
      </c>
      <c r="K10" s="4">
        <f t="shared" si="3"/>
        <v>4068.44022</v>
      </c>
      <c r="L10" s="4">
        <f t="shared" si="3"/>
        <v>2134.8368</v>
      </c>
      <c r="M10" s="4">
        <f t="shared" si="3"/>
        <v>9421.6885259999999</v>
      </c>
      <c r="N10" s="4">
        <f t="shared" si="3"/>
        <v>5142.2429943999996</v>
      </c>
      <c r="O10" s="4">
        <f t="shared" si="3"/>
        <v>1595.2162600000001</v>
      </c>
      <c r="P10" s="4">
        <f t="shared" si="3"/>
        <v>15991.775996</v>
      </c>
      <c r="Q10" s="4">
        <f t="shared" si="3"/>
        <v>10607.013887200001</v>
      </c>
      <c r="R10" s="4">
        <f t="shared" si="3"/>
        <v>1650.9870000000001</v>
      </c>
    </row>
    <row r="11" spans="1:21" x14ac:dyDescent="0.3">
      <c r="A11" s="1">
        <v>2027</v>
      </c>
      <c r="B11" s="3">
        <f>(B14-B9)/5+B10</f>
        <v>2526.4160000000002</v>
      </c>
      <c r="C11" s="3">
        <f t="shared" ref="C11:R11" si="4">(C14-C9)/5+C10</f>
        <v>33078.583599999998</v>
      </c>
      <c r="D11" s="3">
        <f t="shared" si="4"/>
        <v>5573.482</v>
      </c>
      <c r="E11" s="3">
        <f t="shared" si="4"/>
        <v>4048.0680000000002</v>
      </c>
      <c r="F11" s="3">
        <f t="shared" si="4"/>
        <v>50.623640000000002</v>
      </c>
      <c r="G11" s="22">
        <v>65.956639999999993</v>
      </c>
      <c r="H11" s="3">
        <f t="shared" si="4"/>
        <v>25393.028592000002</v>
      </c>
      <c r="I11" s="3">
        <f t="shared" si="4"/>
        <v>10929.503209999999</v>
      </c>
      <c r="J11" s="3">
        <f t="shared" si="4"/>
        <v>24499.903859999999</v>
      </c>
      <c r="K11" s="3">
        <f t="shared" si="4"/>
        <v>4185.0978400000004</v>
      </c>
      <c r="L11" s="3">
        <f t="shared" si="4"/>
        <v>2215.2781</v>
      </c>
      <c r="M11" s="3">
        <f t="shared" si="4"/>
        <v>9796.6700220000002</v>
      </c>
      <c r="N11" s="3">
        <f t="shared" si="4"/>
        <v>5383.9970097999994</v>
      </c>
      <c r="O11" s="3">
        <f t="shared" si="4"/>
        <v>1708.5205200000003</v>
      </c>
      <c r="P11" s="3">
        <f t="shared" si="4"/>
        <v>16965.971022000002</v>
      </c>
      <c r="Q11" s="3">
        <f t="shared" si="4"/>
        <v>11046.604071400001</v>
      </c>
      <c r="R11" s="3">
        <f t="shared" si="4"/>
        <v>1695.3120000000001</v>
      </c>
    </row>
    <row r="12" spans="1:21" x14ac:dyDescent="0.3">
      <c r="A12" s="1">
        <v>2028</v>
      </c>
      <c r="B12" s="3">
        <f>(B14-B9)/5+B11</f>
        <v>2574.3140000000003</v>
      </c>
      <c r="C12" s="3">
        <f t="shared" ref="C12:R12" si="5">(C14-C9)/5+C11</f>
        <v>34307.343399999998</v>
      </c>
      <c r="D12" s="3">
        <f t="shared" si="5"/>
        <v>5617.3879999999999</v>
      </c>
      <c r="E12" s="3">
        <f t="shared" si="5"/>
        <v>4106.982</v>
      </c>
      <c r="F12" s="3">
        <f t="shared" si="5"/>
        <v>52.527160000000002</v>
      </c>
      <c r="G12" s="22">
        <v>69.529259999999994</v>
      </c>
      <c r="H12" s="3">
        <f t="shared" si="5"/>
        <v>25871.060428000004</v>
      </c>
      <c r="I12" s="3">
        <f t="shared" si="5"/>
        <v>11207.112969999998</v>
      </c>
      <c r="J12" s="3">
        <f t="shared" si="5"/>
        <v>24943.594239999999</v>
      </c>
      <c r="K12" s="3">
        <f t="shared" si="5"/>
        <v>4301.7554600000003</v>
      </c>
      <c r="L12" s="3">
        <f t="shared" si="5"/>
        <v>2295.7194</v>
      </c>
      <c r="M12" s="3">
        <f t="shared" si="5"/>
        <v>10171.651518000001</v>
      </c>
      <c r="N12" s="3">
        <f t="shared" si="5"/>
        <v>5625.7510251999993</v>
      </c>
      <c r="O12" s="3">
        <f t="shared" si="5"/>
        <v>1821.8247800000004</v>
      </c>
      <c r="P12" s="3">
        <f t="shared" si="5"/>
        <v>17940.166048000003</v>
      </c>
      <c r="Q12" s="3">
        <f t="shared" si="5"/>
        <v>11486.194255600001</v>
      </c>
      <c r="R12" s="3">
        <f t="shared" si="5"/>
        <v>1739.6370000000002</v>
      </c>
    </row>
    <row r="13" spans="1:21" x14ac:dyDescent="0.3">
      <c r="A13" s="1">
        <v>2029</v>
      </c>
      <c r="B13" s="3">
        <f>(B14-B9)/5+B12</f>
        <v>2622.2120000000004</v>
      </c>
      <c r="C13" s="3">
        <f t="shared" ref="C13:R13" si="6">(C14-C9)/5+C12</f>
        <v>35536.103199999998</v>
      </c>
      <c r="D13" s="3">
        <f t="shared" si="6"/>
        <v>5661.2939999999999</v>
      </c>
      <c r="E13" s="3">
        <f t="shared" si="6"/>
        <v>4165.8959999999997</v>
      </c>
      <c r="F13" s="3">
        <f t="shared" si="6"/>
        <v>54.430680000000002</v>
      </c>
      <c r="G13" s="22">
        <v>73.101879999999994</v>
      </c>
      <c r="H13" s="3">
        <f t="shared" si="6"/>
        <v>26349.092264000006</v>
      </c>
      <c r="I13" s="3">
        <f t="shared" si="6"/>
        <v>11484.722729999998</v>
      </c>
      <c r="J13" s="3">
        <f t="shared" si="6"/>
        <v>25387.284619999999</v>
      </c>
      <c r="K13" s="3">
        <f t="shared" si="6"/>
        <v>4418.4130800000003</v>
      </c>
      <c r="L13" s="3">
        <f t="shared" si="6"/>
        <v>2376.1606999999999</v>
      </c>
      <c r="M13" s="3">
        <f t="shared" si="6"/>
        <v>10546.633014000001</v>
      </c>
      <c r="N13" s="3">
        <f t="shared" si="6"/>
        <v>5867.5050405999991</v>
      </c>
      <c r="O13" s="3">
        <f t="shared" si="6"/>
        <v>1935.1290400000005</v>
      </c>
      <c r="P13" s="3">
        <f t="shared" si="6"/>
        <v>18914.361074000004</v>
      </c>
      <c r="Q13" s="3">
        <f t="shared" si="6"/>
        <v>11925.784439800002</v>
      </c>
      <c r="R13" s="3">
        <f t="shared" si="6"/>
        <v>1783.9620000000002</v>
      </c>
    </row>
    <row r="14" spans="1:21" x14ac:dyDescent="0.3">
      <c r="A14" s="1">
        <v>2030</v>
      </c>
      <c r="B14">
        <v>2670.11</v>
      </c>
      <c r="C14">
        <v>36764.862999999998</v>
      </c>
      <c r="D14">
        <v>5705.2</v>
      </c>
      <c r="E14">
        <v>4224.8100000000004</v>
      </c>
      <c r="F14">
        <v>56.334200000000003</v>
      </c>
      <c r="G14" s="22">
        <v>76.674499999999995</v>
      </c>
      <c r="H14">
        <v>26827.124100000001</v>
      </c>
      <c r="I14">
        <v>11762.332490000001</v>
      </c>
      <c r="J14">
        <v>25830.974999999999</v>
      </c>
      <c r="K14">
        <v>4535.0707000000002</v>
      </c>
      <c r="L14">
        <v>2456.6019999999999</v>
      </c>
      <c r="M14">
        <v>10921.614509999999</v>
      </c>
      <c r="N14">
        <v>6109.2590559999999</v>
      </c>
      <c r="O14">
        <v>2048.4333000000001</v>
      </c>
      <c r="P14">
        <v>19888.556100000002</v>
      </c>
      <c r="Q14">
        <v>12365.374624</v>
      </c>
      <c r="R14">
        <v>1828.287</v>
      </c>
    </row>
    <row r="15" spans="1:21" x14ac:dyDescent="0.3">
      <c r="A15" s="1">
        <v>2031</v>
      </c>
      <c r="B15" s="4">
        <f>(B19-B14)/5+B14</f>
        <v>2705.06</v>
      </c>
      <c r="C15" s="4">
        <f t="shared" ref="C15" si="7">(C19-C14)/5+C14</f>
        <v>37877.7984</v>
      </c>
      <c r="D15" s="4">
        <f t="shared" ref="D15" si="8">(D19-D14)/5+D14</f>
        <v>5753.91</v>
      </c>
      <c r="E15" s="4">
        <f t="shared" ref="E15" si="9">(E19-E14)/5+E14</f>
        <v>4306.92</v>
      </c>
      <c r="F15" s="4">
        <f t="shared" ref="F15" si="10">(F19-F14)/5+F14</f>
        <v>58.669139999999999</v>
      </c>
      <c r="G15" s="22">
        <v>81.419399999999996</v>
      </c>
      <c r="H15" s="4">
        <f t="shared" ref="H15" si="11">(H19-H14)/5+H14</f>
        <v>27266.257734000003</v>
      </c>
      <c r="I15" s="4">
        <f t="shared" ref="I15" si="12">(I19-I14)/5+I14</f>
        <v>12120.366682</v>
      </c>
      <c r="J15" s="4">
        <f t="shared" ref="J15" si="13">(J19-J14)/5+J14</f>
        <v>26283.4421</v>
      </c>
      <c r="K15" s="4">
        <f t="shared" ref="K15" si="14">(K19-K14)/5+K14</f>
        <v>4630.3486600000006</v>
      </c>
      <c r="L15" s="4">
        <f t="shared" ref="L15" si="15">(L19-L14)/5+L14</f>
        <v>2546.2138</v>
      </c>
      <c r="M15" s="4">
        <f t="shared" ref="M15" si="16">(M19-M14)/5+M14</f>
        <v>11346.631454</v>
      </c>
      <c r="N15" s="4">
        <f t="shared" ref="N15" si="17">(N19-N14)/5+N14</f>
        <v>6457.7654788</v>
      </c>
      <c r="O15" s="4">
        <f t="shared" ref="O15" si="18">(O19-O14)/5+O14</f>
        <v>2175.7444399999999</v>
      </c>
      <c r="P15" s="4">
        <f t="shared" ref="P15" si="19">(P19-P14)/5+P14</f>
        <v>20952.16948</v>
      </c>
      <c r="Q15" s="4">
        <f t="shared" ref="Q15" si="20">(Q19-Q14)/5+Q14</f>
        <v>12803.841502200001</v>
      </c>
      <c r="R15" s="4">
        <f t="shared" ref="R15" si="21">(R19-R14)/5+R14</f>
        <v>1875.4674</v>
      </c>
    </row>
    <row r="16" spans="1:21" x14ac:dyDescent="0.3">
      <c r="A16" s="1">
        <v>2032</v>
      </c>
      <c r="B16" s="3">
        <f>(B19-B14)/5+B15</f>
        <v>2740.0099999999998</v>
      </c>
      <c r="C16" s="3">
        <f t="shared" ref="C16" si="22">(C19-C14)/5+C15</f>
        <v>38990.733800000002</v>
      </c>
      <c r="D16" s="3">
        <f t="shared" ref="D16" si="23">(D19-D14)/5+D15</f>
        <v>5802.62</v>
      </c>
      <c r="E16" s="3">
        <f t="shared" ref="E16" si="24">(E19-E14)/5+E15</f>
        <v>4389.03</v>
      </c>
      <c r="F16" s="3">
        <f t="shared" ref="F16" si="25">(F19-F14)/5+F15</f>
        <v>61.004079999999995</v>
      </c>
      <c r="G16" s="22">
        <v>86.164299999999997</v>
      </c>
      <c r="H16" s="3">
        <f t="shared" ref="H16" si="26">(H19-H14)/5+H15</f>
        <v>27705.391368000004</v>
      </c>
      <c r="I16" s="3">
        <f t="shared" ref="I16" si="27">(I19-I14)/5+I15</f>
        <v>12478.400873999999</v>
      </c>
      <c r="J16" s="3">
        <f t="shared" ref="J16" si="28">(J19-J14)/5+J15</f>
        <v>26735.909200000002</v>
      </c>
      <c r="K16" s="3">
        <f t="shared" ref="K16" si="29">(K19-K14)/5+K15</f>
        <v>4725.6266200000009</v>
      </c>
      <c r="L16" s="3">
        <f t="shared" ref="L16" si="30">(L19-L14)/5+L15</f>
        <v>2635.8256000000001</v>
      </c>
      <c r="M16" s="3">
        <f t="shared" ref="M16" si="31">(M19-M14)/5+M15</f>
        <v>11771.648398000001</v>
      </c>
      <c r="N16" s="3">
        <f t="shared" ref="N16" si="32">(N19-N14)/5+N15</f>
        <v>6806.2719016000001</v>
      </c>
      <c r="O16" s="3">
        <f t="shared" ref="O16" si="33">(O19-O14)/5+O15</f>
        <v>2303.0555799999997</v>
      </c>
      <c r="P16" s="3">
        <f t="shared" ref="P16" si="34">(P19-P14)/5+P15</f>
        <v>22015.782859999999</v>
      </c>
      <c r="Q16" s="3">
        <f t="shared" ref="Q16" si="35">(Q19-Q14)/5+Q15</f>
        <v>13242.308380400002</v>
      </c>
      <c r="R16" s="3">
        <f t="shared" ref="R16" si="36">(R19-R14)/5+R15</f>
        <v>1922.6478</v>
      </c>
    </row>
    <row r="17" spans="1:18" x14ac:dyDescent="0.3">
      <c r="A17" s="1">
        <v>2033</v>
      </c>
      <c r="B17" s="3">
        <f>(B19-B14)/5+B16</f>
        <v>2774.9599999999996</v>
      </c>
      <c r="C17" s="3">
        <f t="shared" ref="C17" si="37">(C19-C14)/5+C16</f>
        <v>40103.669200000004</v>
      </c>
      <c r="D17" s="3">
        <f t="shared" ref="D17" si="38">(D19-D14)/5+D16</f>
        <v>5851.33</v>
      </c>
      <c r="E17" s="3">
        <f t="shared" ref="E17" si="39">(E19-E14)/5+E16</f>
        <v>4471.1399999999994</v>
      </c>
      <c r="F17" s="3">
        <f t="shared" ref="F17" si="40">(F19-F14)/5+F16</f>
        <v>63.339019999999991</v>
      </c>
      <c r="G17" s="22">
        <v>90.909199999999998</v>
      </c>
      <c r="H17" s="3">
        <f t="shared" ref="H17" si="41">(H19-H14)/5+H16</f>
        <v>28144.525002000006</v>
      </c>
      <c r="I17" s="3">
        <f t="shared" ref="I17" si="42">(I19-I14)/5+I16</f>
        <v>12836.435065999998</v>
      </c>
      <c r="J17" s="3">
        <f t="shared" ref="J17" si="43">(J19-J14)/5+J16</f>
        <v>27188.376300000004</v>
      </c>
      <c r="K17" s="3">
        <f t="shared" ref="K17" si="44">(K19-K14)/5+K16</f>
        <v>4820.9045800000013</v>
      </c>
      <c r="L17" s="3">
        <f t="shared" ref="L17" si="45">(L19-L14)/5+L16</f>
        <v>2725.4374000000003</v>
      </c>
      <c r="M17" s="3">
        <f t="shared" ref="M17" si="46">(M19-M14)/5+M16</f>
        <v>12196.665342000002</v>
      </c>
      <c r="N17" s="3">
        <f t="shared" ref="N17" si="47">(N19-N14)/5+N16</f>
        <v>7154.7783244000002</v>
      </c>
      <c r="O17" s="3">
        <f t="shared" ref="O17" si="48">(O19-O14)/5+O16</f>
        <v>2430.3667199999995</v>
      </c>
      <c r="P17" s="3">
        <f t="shared" ref="P17" si="49">(P19-P14)/5+P16</f>
        <v>23079.396239999998</v>
      </c>
      <c r="Q17" s="3">
        <f t="shared" ref="Q17" si="50">(Q19-Q14)/5+Q16</f>
        <v>13680.775258600002</v>
      </c>
      <c r="R17" s="3">
        <f t="shared" ref="R17" si="51">(R19-R14)/5+R16</f>
        <v>1969.8281999999999</v>
      </c>
    </row>
    <row r="18" spans="1:18" x14ac:dyDescent="0.3">
      <c r="A18" s="1">
        <v>2034</v>
      </c>
      <c r="B18" s="3">
        <f>(B19-B14)/5+B17</f>
        <v>2809.9099999999994</v>
      </c>
      <c r="C18" s="3">
        <f t="shared" ref="C18" si="52">(C19-C14)/5+C17</f>
        <v>41216.604600000006</v>
      </c>
      <c r="D18" s="3">
        <f t="shared" ref="D18" si="53">(D19-D14)/5+D17</f>
        <v>5900.04</v>
      </c>
      <c r="E18" s="3">
        <f t="shared" ref="E18" si="54">(E19-E14)/5+E17</f>
        <v>4553.2499999999991</v>
      </c>
      <c r="F18" s="3">
        <f t="shared" ref="F18" si="55">(F19-F14)/5+F17</f>
        <v>65.673959999999994</v>
      </c>
      <c r="G18" s="22">
        <v>95.6541</v>
      </c>
      <c r="H18" s="3">
        <f t="shared" ref="H18" si="56">(H19-H14)/5+H17</f>
        <v>28583.658636000007</v>
      </c>
      <c r="I18" s="3">
        <f t="shared" ref="I18" si="57">(I19-I14)/5+I17</f>
        <v>13194.469257999997</v>
      </c>
      <c r="J18" s="3">
        <f t="shared" ref="J18" si="58">(J19-J14)/5+J17</f>
        <v>27640.843400000005</v>
      </c>
      <c r="K18" s="3">
        <f t="shared" ref="K18" si="59">(K19-K14)/5+K17</f>
        <v>4916.1825400000016</v>
      </c>
      <c r="L18" s="3">
        <f t="shared" ref="L18" si="60">(L19-L14)/5+L17</f>
        <v>2815.0492000000004</v>
      </c>
      <c r="M18" s="3">
        <f t="shared" ref="M18" si="61">(M19-M14)/5+M17</f>
        <v>12621.682286000003</v>
      </c>
      <c r="N18" s="3">
        <f t="shared" ref="N18" si="62">(N19-N14)/5+N17</f>
        <v>7503.2847472000003</v>
      </c>
      <c r="O18" s="3">
        <f t="shared" ref="O18" si="63">(O19-O14)/5+O17</f>
        <v>2557.6778599999993</v>
      </c>
      <c r="P18" s="3">
        <f t="shared" ref="P18" si="64">(P19-P14)/5+P17</f>
        <v>24143.009619999997</v>
      </c>
      <c r="Q18" s="3">
        <f t="shared" ref="Q18" si="65">(Q19-Q14)/5+Q17</f>
        <v>14119.242136800003</v>
      </c>
      <c r="R18" s="3">
        <f t="shared" ref="R18" si="66">(R19-R14)/5+R17</f>
        <v>2017.0085999999999</v>
      </c>
    </row>
    <row r="19" spans="1:18" x14ac:dyDescent="0.3">
      <c r="A19" s="1">
        <v>2035</v>
      </c>
      <c r="B19">
        <v>2844.86</v>
      </c>
      <c r="C19">
        <v>42329.54</v>
      </c>
      <c r="D19">
        <v>5948.75</v>
      </c>
      <c r="E19">
        <v>4635.3599999999997</v>
      </c>
      <c r="F19">
        <v>68.008899999999997</v>
      </c>
      <c r="G19" s="22">
        <v>100.399</v>
      </c>
      <c r="H19">
        <v>29022.792270000002</v>
      </c>
      <c r="I19">
        <v>13552.50345</v>
      </c>
      <c r="J19">
        <v>28093.3105</v>
      </c>
      <c r="K19">
        <v>5011.4605000000001</v>
      </c>
      <c r="L19">
        <v>2904.6610000000001</v>
      </c>
      <c r="M19">
        <v>13046.69923</v>
      </c>
      <c r="N19">
        <v>7851.7911700000004</v>
      </c>
      <c r="O19">
        <v>2684.989</v>
      </c>
      <c r="P19">
        <v>25206.623</v>
      </c>
      <c r="Q19">
        <v>14557.709015</v>
      </c>
      <c r="R19">
        <v>2064.1889999999999</v>
      </c>
    </row>
    <row r="20" spans="1:18" x14ac:dyDescent="0.3">
      <c r="A20" s="1">
        <v>2036</v>
      </c>
      <c r="B20" s="4">
        <f>(B24-B19)/5+B19</f>
        <v>2869.73</v>
      </c>
      <c r="C20" s="4">
        <f t="shared" ref="C20" si="67">(C24-C19)/5+C19</f>
        <v>43218.370199999998</v>
      </c>
      <c r="D20" s="4">
        <f t="shared" ref="D20" si="68">(D24-D19)/5+D19</f>
        <v>5990.4120000000003</v>
      </c>
      <c r="E20" s="4">
        <f t="shared" ref="E20" si="69">(E24-E19)/5+E19</f>
        <v>4720.4459999999999</v>
      </c>
      <c r="F20" s="4">
        <f t="shared" ref="F20" si="70">(F24-F19)/5+F19</f>
        <v>70.547600000000003</v>
      </c>
      <c r="G20" s="22">
        <v>106.5598</v>
      </c>
      <c r="H20" s="4">
        <f t="shared" ref="H20" si="71">(H24-H19)/5+H19</f>
        <v>29443.005194000001</v>
      </c>
      <c r="I20" s="4">
        <f t="shared" ref="I20" si="72">(I24-I19)/5+I19</f>
        <v>13976.933376000001</v>
      </c>
      <c r="J20" s="4">
        <f t="shared" ref="J20" si="73">(J24-J19)/5+J19</f>
        <v>28563.244459999998</v>
      </c>
      <c r="K20" s="4">
        <f t="shared" ref="K20" si="74">(K24-K19)/5+K19</f>
        <v>5090.0270200000004</v>
      </c>
      <c r="L20" s="4">
        <f t="shared" ref="L20" si="75">(L24-L19)/5+L19</f>
        <v>2993.9790000000003</v>
      </c>
      <c r="M20" s="4">
        <f t="shared" ref="M20" si="76">(M24-M19)/5+M19</f>
        <v>13522.139356</v>
      </c>
      <c r="N20" s="4">
        <f t="shared" ref="N20" si="77">(N24-N19)/5+N19</f>
        <v>8283.5034379999997</v>
      </c>
      <c r="O20" s="4">
        <f t="shared" ref="O20" si="78">(O24-O19)/5+O19</f>
        <v>2806.9882000000002</v>
      </c>
      <c r="P20" s="4">
        <f t="shared" ref="P20" si="79">(P24-P19)/5+P19</f>
        <v>26373.007440000001</v>
      </c>
      <c r="Q20" s="4">
        <f t="shared" ref="Q20" si="80">(Q24-Q19)/5+Q19</f>
        <v>14975.813914</v>
      </c>
      <c r="R20" s="4">
        <f t="shared" ref="R20" si="81">(R24-R19)/5+R19</f>
        <v>2114.3575999999998</v>
      </c>
    </row>
    <row r="21" spans="1:18" x14ac:dyDescent="0.3">
      <c r="A21" s="1">
        <v>2037</v>
      </c>
      <c r="B21" s="3">
        <f>(B24-B19)/5+B20</f>
        <v>2894.6</v>
      </c>
      <c r="C21" s="3">
        <f t="shared" ref="C21" si="82">(C24-C19)/5+C20</f>
        <v>44107.200399999994</v>
      </c>
      <c r="D21" s="3">
        <f t="shared" ref="D21" si="83">(D24-D19)/5+D20</f>
        <v>6032.0740000000005</v>
      </c>
      <c r="E21" s="3">
        <f t="shared" ref="E21" si="84">(E24-E19)/5+E20</f>
        <v>4805.5320000000002</v>
      </c>
      <c r="F21" s="3">
        <f t="shared" ref="F21" si="85">(F24-F19)/5+F20</f>
        <v>73.086300000000008</v>
      </c>
      <c r="G21" s="22">
        <v>112.72059999999999</v>
      </c>
      <c r="H21" s="3">
        <f t="shared" ref="H21" si="86">(H24-H19)/5+H20</f>
        <v>29863.218118000001</v>
      </c>
      <c r="I21" s="3">
        <f t="shared" ref="I21" si="87">(I24-I19)/5+I20</f>
        <v>14401.363302000002</v>
      </c>
      <c r="J21" s="3">
        <f t="shared" ref="J21" si="88">(J24-J19)/5+J20</f>
        <v>29033.178419999997</v>
      </c>
      <c r="K21" s="3">
        <f t="shared" ref="K21" si="89">(K24-K19)/5+K20</f>
        <v>5168.5935400000008</v>
      </c>
      <c r="L21" s="3">
        <f t="shared" ref="L21" si="90">(L24-L19)/5+L20</f>
        <v>3083.2970000000005</v>
      </c>
      <c r="M21" s="3">
        <f t="shared" ref="M21" si="91">(M24-M19)/5+M20</f>
        <v>13997.579481999999</v>
      </c>
      <c r="N21" s="3">
        <f t="shared" ref="N21" si="92">(N24-N19)/5+N20</f>
        <v>8715.215705999999</v>
      </c>
      <c r="O21" s="3">
        <f t="shared" ref="O21" si="93">(O24-O19)/5+O20</f>
        <v>2928.9874000000004</v>
      </c>
      <c r="P21" s="3">
        <f t="shared" ref="P21" si="94">(P24-P19)/5+P20</f>
        <v>27539.391880000003</v>
      </c>
      <c r="Q21" s="3">
        <f t="shared" ref="Q21" si="95">(Q24-Q19)/5+Q20</f>
        <v>15393.918813</v>
      </c>
      <c r="R21" s="3">
        <f t="shared" ref="R21" si="96">(R24-R19)/5+R20</f>
        <v>2164.5261999999998</v>
      </c>
    </row>
    <row r="22" spans="1:18" x14ac:dyDescent="0.3">
      <c r="A22" s="1">
        <v>2038</v>
      </c>
      <c r="B22" s="3">
        <f>(B24-B19)/5+B21</f>
        <v>2919.47</v>
      </c>
      <c r="C22" s="3">
        <f t="shared" ref="C22" si="97">(C24-C19)/5+C21</f>
        <v>44996.030599999991</v>
      </c>
      <c r="D22" s="3">
        <f t="shared" ref="D22" si="98">(D24-D19)/5+D21</f>
        <v>6073.7360000000008</v>
      </c>
      <c r="E22" s="3">
        <f t="shared" ref="E22" si="99">(E24-E19)/5+E21</f>
        <v>4890.6180000000004</v>
      </c>
      <c r="F22" s="3">
        <f t="shared" ref="F22" si="100">(F24-F19)/5+F21</f>
        <v>75.625000000000014</v>
      </c>
      <c r="G22" s="22">
        <v>118.88139999999999</v>
      </c>
      <c r="H22" s="3">
        <f t="shared" ref="H22" si="101">(H24-H19)/5+H21</f>
        <v>30283.431042</v>
      </c>
      <c r="I22" s="3">
        <f t="shared" ref="I22" si="102">(I24-I19)/5+I21</f>
        <v>14825.793228000002</v>
      </c>
      <c r="J22" s="3">
        <f t="shared" ref="J22" si="103">(J24-J19)/5+J21</f>
        <v>29503.112379999995</v>
      </c>
      <c r="K22" s="3">
        <f t="shared" ref="K22" si="104">(K24-K19)/5+K21</f>
        <v>5247.1600600000011</v>
      </c>
      <c r="L22" s="3">
        <f t="shared" ref="L22" si="105">(L24-L19)/5+L21</f>
        <v>3172.6150000000007</v>
      </c>
      <c r="M22" s="3">
        <f t="shared" ref="M22" si="106">(M24-M19)/5+M21</f>
        <v>14473.019607999999</v>
      </c>
      <c r="N22" s="3">
        <f t="shared" ref="N22" si="107">(N24-N19)/5+N21</f>
        <v>9146.9279739999984</v>
      </c>
      <c r="O22" s="3">
        <f t="shared" ref="O22" si="108">(O24-O19)/5+O21</f>
        <v>3050.9866000000006</v>
      </c>
      <c r="P22" s="3">
        <f t="shared" ref="P22" si="109">(P24-P19)/5+P21</f>
        <v>28705.776320000004</v>
      </c>
      <c r="Q22" s="3">
        <f t="shared" ref="Q22" si="110">(Q24-Q19)/5+Q21</f>
        <v>15812.023712</v>
      </c>
      <c r="R22" s="3">
        <f t="shared" ref="R22" si="111">(R24-R19)/5+R21</f>
        <v>2214.6947999999998</v>
      </c>
    </row>
    <row r="23" spans="1:18" x14ac:dyDescent="0.3">
      <c r="A23" s="1">
        <v>2039</v>
      </c>
      <c r="B23" s="3">
        <f>(B24-B19)/5+B22</f>
        <v>2944.3399999999997</v>
      </c>
      <c r="C23" s="3">
        <f t="shared" ref="C23" si="112">(C24-C19)/5+C22</f>
        <v>45884.860799999988</v>
      </c>
      <c r="D23" s="3">
        <f t="shared" ref="D23" si="113">(D24-D19)/5+D22</f>
        <v>6115.398000000001</v>
      </c>
      <c r="E23" s="3">
        <f t="shared" ref="E23" si="114">(E24-E19)/5+E22</f>
        <v>4975.7040000000006</v>
      </c>
      <c r="F23" s="3">
        <f t="shared" ref="F23" si="115">(F24-F19)/5+F22</f>
        <v>78.16370000000002</v>
      </c>
      <c r="G23" s="22">
        <v>125.04219999999998</v>
      </c>
      <c r="H23" s="3">
        <f t="shared" ref="H23" si="116">(H24-H19)/5+H22</f>
        <v>30703.643966</v>
      </c>
      <c r="I23" s="3">
        <f t="shared" ref="I23" si="117">(I24-I19)/5+I22</f>
        <v>15250.223154000003</v>
      </c>
      <c r="J23" s="3">
        <f t="shared" ref="J23" si="118">(J24-J19)/5+J22</f>
        <v>29973.046339999994</v>
      </c>
      <c r="K23" s="3">
        <f t="shared" ref="K23" si="119">(K24-K19)/5+K22</f>
        <v>5325.7265800000014</v>
      </c>
      <c r="L23" s="3">
        <f t="shared" ref="L23" si="120">(L24-L19)/5+L22</f>
        <v>3261.9330000000009</v>
      </c>
      <c r="M23" s="3">
        <f t="shared" ref="M23" si="121">(M24-M19)/5+M22</f>
        <v>14948.459733999998</v>
      </c>
      <c r="N23" s="3">
        <f t="shared" ref="N23" si="122">(N24-N19)/5+N22</f>
        <v>9578.6402419999977</v>
      </c>
      <c r="O23" s="3">
        <f t="shared" ref="O23" si="123">(O24-O19)/5+O22</f>
        <v>3172.9858000000008</v>
      </c>
      <c r="P23" s="3">
        <f t="shared" ref="P23" si="124">(P24-P19)/5+P22</f>
        <v>29872.160760000006</v>
      </c>
      <c r="Q23" s="3">
        <f t="shared" ref="Q23" si="125">(Q24-Q19)/5+Q22</f>
        <v>16230.128611</v>
      </c>
      <c r="R23" s="3">
        <f t="shared" ref="R23" si="126">(R24-R19)/5+R22</f>
        <v>2264.8633999999997</v>
      </c>
    </row>
    <row r="24" spans="1:18" x14ac:dyDescent="0.3">
      <c r="A24" s="1">
        <v>2040</v>
      </c>
      <c r="B24">
        <v>2969.21</v>
      </c>
      <c r="C24">
        <v>46773.690999999999</v>
      </c>
      <c r="D24">
        <v>6157.06</v>
      </c>
      <c r="E24">
        <v>5060.79</v>
      </c>
      <c r="F24">
        <v>80.702399999999997</v>
      </c>
      <c r="G24" s="22">
        <v>131.203</v>
      </c>
      <c r="H24">
        <v>31123.856889999999</v>
      </c>
      <c r="I24">
        <v>15674.65308</v>
      </c>
      <c r="J24">
        <v>30442.980299999999</v>
      </c>
      <c r="K24">
        <v>5404.2930999999999</v>
      </c>
      <c r="L24">
        <v>3351.2510000000002</v>
      </c>
      <c r="M24">
        <v>15423.89986</v>
      </c>
      <c r="N24">
        <v>10010.352510000001</v>
      </c>
      <c r="O24">
        <v>3294.9850000000001</v>
      </c>
      <c r="P24">
        <v>31038.5452</v>
      </c>
      <c r="Q24">
        <v>16648.233509999998</v>
      </c>
      <c r="R24">
        <v>2315.0320000000002</v>
      </c>
    </row>
    <row r="25" spans="1:18" x14ac:dyDescent="0.3">
      <c r="A25" s="1">
        <v>2041</v>
      </c>
      <c r="B25" s="4">
        <f>(B29-B24)/5+B24</f>
        <v>2987.1120000000001</v>
      </c>
      <c r="C25" s="4">
        <f t="shared" ref="C25" si="127">(C29-C24)/5+C24</f>
        <v>47622.001199999999</v>
      </c>
      <c r="D25" s="4">
        <f t="shared" ref="D25" si="128">(D29-D24)/5+D24</f>
        <v>6199.9320000000007</v>
      </c>
      <c r="E25" s="4">
        <f t="shared" ref="E25" si="129">(E29-E24)/5+E24</f>
        <v>5147.0959999999995</v>
      </c>
      <c r="F25" s="4">
        <f t="shared" ref="F25" si="130">(F29-F24)/5+F24</f>
        <v>83.496780000000001</v>
      </c>
      <c r="G25" s="22">
        <v>138.798</v>
      </c>
      <c r="H25" s="4">
        <f t="shared" ref="H25" si="131">(H29-H24)/5+H24</f>
        <v>31536.281638</v>
      </c>
      <c r="I25" s="4">
        <f t="shared" ref="I25" si="132">(I29-I24)/5+I24</f>
        <v>16158.704806</v>
      </c>
      <c r="J25" s="4">
        <f t="shared" ref="J25" si="133">(J29-J24)/5+J24</f>
        <v>30926.463299999999</v>
      </c>
      <c r="K25" s="4">
        <f t="shared" ref="K25" si="134">(K29-K24)/5+K24</f>
        <v>5463.7973199999997</v>
      </c>
      <c r="L25" s="4">
        <f t="shared" ref="L25" si="135">(L29-L24)/5+L24</f>
        <v>3438.4934800000001</v>
      </c>
      <c r="M25" s="4">
        <f t="shared" ref="M25" si="136">(M29-M24)/5+M24</f>
        <v>15943.351848</v>
      </c>
      <c r="N25" s="4">
        <f t="shared" ref="N25" si="137">(N29-N24)/5+N24</f>
        <v>10549.574280000001</v>
      </c>
      <c r="O25" s="4">
        <f t="shared" ref="O25" si="138">(O29-O24)/5+O24</f>
        <v>3412.5282000000002</v>
      </c>
      <c r="P25" s="4">
        <f t="shared" ref="P25" si="139">(P29-P24)/5+P24</f>
        <v>32320.066940000001</v>
      </c>
      <c r="Q25" s="4">
        <f t="shared" ref="Q25" si="140">(Q29-Q24)/5+Q24</f>
        <v>17051.3340164</v>
      </c>
      <c r="R25" s="4">
        <f t="shared" ref="R25" si="141">(R29-R24)/5+R24</f>
        <v>2369.0262000000002</v>
      </c>
    </row>
    <row r="26" spans="1:18" x14ac:dyDescent="0.3">
      <c r="A26" s="1">
        <v>2042</v>
      </c>
      <c r="B26" s="3">
        <f>(B29-B24)/5+B25</f>
        <v>3005.0140000000001</v>
      </c>
      <c r="C26" s="3">
        <f t="shared" ref="C26" si="142">(C29-C24)/5+C25</f>
        <v>48470.311399999999</v>
      </c>
      <c r="D26" s="3">
        <f t="shared" ref="D26" si="143">(D29-D24)/5+D25</f>
        <v>6242.804000000001</v>
      </c>
      <c r="E26" s="3">
        <f t="shared" ref="E26" si="144">(E29-E24)/5+E25</f>
        <v>5233.4019999999991</v>
      </c>
      <c r="F26" s="3">
        <f t="shared" ref="F26" si="145">(F29-F24)/5+F25</f>
        <v>86.291160000000005</v>
      </c>
      <c r="G26" s="22">
        <v>146.393</v>
      </c>
      <c r="H26" s="3">
        <f t="shared" ref="H26" si="146">(H29-H24)/5+H25</f>
        <v>31948.706386000002</v>
      </c>
      <c r="I26" s="3">
        <f t="shared" ref="I26" si="147">(I29-I24)/5+I25</f>
        <v>16642.756531999999</v>
      </c>
      <c r="J26" s="3">
        <f t="shared" ref="J26" si="148">(J29-J24)/5+J25</f>
        <v>31409.9463</v>
      </c>
      <c r="K26" s="3">
        <f t="shared" ref="K26" si="149">(K29-K24)/5+K25</f>
        <v>5523.3015399999995</v>
      </c>
      <c r="L26" s="3">
        <f t="shared" ref="L26" si="150">(L29-L24)/5+L25</f>
        <v>3525.73596</v>
      </c>
      <c r="M26" s="3">
        <f t="shared" ref="M26" si="151">(M29-M24)/5+M25</f>
        <v>16462.803835999999</v>
      </c>
      <c r="N26" s="3">
        <f t="shared" ref="N26" si="152">(N29-N24)/5+N25</f>
        <v>11088.796050000001</v>
      </c>
      <c r="O26" s="3">
        <f t="shared" ref="O26" si="153">(O29-O24)/5+O25</f>
        <v>3530.0714000000003</v>
      </c>
      <c r="P26" s="3">
        <f t="shared" ref="P26" si="154">(P29-P24)/5+P25</f>
        <v>33601.588680000001</v>
      </c>
      <c r="Q26" s="3">
        <f t="shared" ref="Q26" si="155">(Q29-Q24)/5+Q25</f>
        <v>17454.434522800002</v>
      </c>
      <c r="R26" s="3">
        <f t="shared" ref="R26" si="156">(R29-R24)/5+R25</f>
        <v>2423.0204000000003</v>
      </c>
    </row>
    <row r="27" spans="1:18" x14ac:dyDescent="0.3">
      <c r="A27" s="1">
        <v>2043</v>
      </c>
      <c r="B27" s="3">
        <f>(B29-B24)/5+B26</f>
        <v>3022.9160000000002</v>
      </c>
      <c r="C27" s="3">
        <f t="shared" ref="C27" si="157">(C29-C24)/5+C26</f>
        <v>49318.621599999999</v>
      </c>
      <c r="D27" s="3">
        <f t="shared" ref="D27" si="158">(D29-D24)/5+D26</f>
        <v>6285.6760000000013</v>
      </c>
      <c r="E27" s="3">
        <f t="shared" ref="E27" si="159">(E29-E24)/5+E26</f>
        <v>5319.7079999999987</v>
      </c>
      <c r="F27" s="3">
        <f t="shared" ref="F27" si="160">(F29-F24)/5+F26</f>
        <v>89.085540000000009</v>
      </c>
      <c r="G27" s="22">
        <v>153.988</v>
      </c>
      <c r="H27" s="3">
        <f t="shared" ref="H27" si="161">(H29-H24)/5+H26</f>
        <v>32361.131134000003</v>
      </c>
      <c r="I27" s="3">
        <f t="shared" ref="I27" si="162">(I29-I24)/5+I26</f>
        <v>17126.808258000001</v>
      </c>
      <c r="J27" s="3">
        <f t="shared" ref="J27" si="163">(J29-J24)/5+J26</f>
        <v>31893.4293</v>
      </c>
      <c r="K27" s="3">
        <f t="shared" ref="K27" si="164">(K29-K24)/5+K26</f>
        <v>5582.8057599999993</v>
      </c>
      <c r="L27" s="3">
        <f t="shared" ref="L27" si="165">(L29-L24)/5+L26</f>
        <v>3612.9784399999999</v>
      </c>
      <c r="M27" s="3">
        <f t="shared" ref="M27" si="166">(M29-M24)/5+M26</f>
        <v>16982.255824</v>
      </c>
      <c r="N27" s="3">
        <f t="shared" ref="N27" si="167">(N29-N24)/5+N26</f>
        <v>11628.017820000001</v>
      </c>
      <c r="O27" s="3">
        <f t="shared" ref="O27" si="168">(O29-O24)/5+O26</f>
        <v>3647.6146000000003</v>
      </c>
      <c r="P27" s="3">
        <f t="shared" ref="P27" si="169">(P29-P24)/5+P26</f>
        <v>34883.110419999997</v>
      </c>
      <c r="Q27" s="3">
        <f t="shared" ref="Q27" si="170">(Q29-Q24)/5+Q26</f>
        <v>17857.535029200004</v>
      </c>
      <c r="R27" s="3">
        <f t="shared" ref="R27" si="171">(R29-R24)/5+R26</f>
        <v>2477.0146000000004</v>
      </c>
    </row>
    <row r="28" spans="1:18" x14ac:dyDescent="0.3">
      <c r="A28" s="1">
        <v>2044</v>
      </c>
      <c r="B28" s="3">
        <f>(B29-B24)/5+B27</f>
        <v>3040.8180000000002</v>
      </c>
      <c r="C28" s="3">
        <f t="shared" ref="C28" si="172">(C29-C24)/5+C27</f>
        <v>50166.931799999998</v>
      </c>
      <c r="D28" s="3">
        <f t="shared" ref="D28" si="173">(D29-D24)/5+D27</f>
        <v>6328.5480000000016</v>
      </c>
      <c r="E28" s="3">
        <f t="shared" ref="E28" si="174">(E29-E24)/5+E27</f>
        <v>5406.0139999999983</v>
      </c>
      <c r="F28" s="3">
        <f t="shared" ref="F28" si="175">(F29-F24)/5+F27</f>
        <v>91.879920000000013</v>
      </c>
      <c r="G28" s="22">
        <v>161.583</v>
      </c>
      <c r="H28" s="3">
        <f t="shared" ref="H28" si="176">(H29-H24)/5+H27</f>
        <v>32773.555882000008</v>
      </c>
      <c r="I28" s="3">
        <f t="shared" ref="I28" si="177">(I29-I24)/5+I27</f>
        <v>17610.859984000002</v>
      </c>
      <c r="J28" s="3">
        <f t="shared" ref="J28" si="178">(J29-J24)/5+J27</f>
        <v>32376.9123</v>
      </c>
      <c r="K28" s="3">
        <f t="shared" ref="K28" si="179">(K29-K24)/5+K27</f>
        <v>5642.3099799999991</v>
      </c>
      <c r="L28" s="3">
        <f t="shared" ref="L28" si="180">(L29-L24)/5+L27</f>
        <v>3700.2209199999998</v>
      </c>
      <c r="M28" s="3">
        <f t="shared" ref="M28" si="181">(M29-M24)/5+M27</f>
        <v>17501.707812000001</v>
      </c>
      <c r="N28" s="3">
        <f t="shared" ref="N28" si="182">(N29-N24)/5+N27</f>
        <v>12167.239590000001</v>
      </c>
      <c r="O28" s="3">
        <f t="shared" ref="O28" si="183">(O29-O24)/5+O27</f>
        <v>3765.1578000000004</v>
      </c>
      <c r="P28" s="3">
        <f t="shared" ref="P28" si="184">(P29-P24)/5+P27</f>
        <v>36164.632159999994</v>
      </c>
      <c r="Q28" s="3">
        <f t="shared" ref="Q28" si="185">(Q29-Q24)/5+Q27</f>
        <v>18260.635535600006</v>
      </c>
      <c r="R28" s="3">
        <f t="shared" ref="R28" si="186">(R29-R24)/5+R27</f>
        <v>2531.0088000000005</v>
      </c>
    </row>
    <row r="29" spans="1:18" x14ac:dyDescent="0.3">
      <c r="A29" s="1">
        <v>2045</v>
      </c>
      <c r="B29">
        <v>3058.72</v>
      </c>
      <c r="C29">
        <v>51015.241999999998</v>
      </c>
      <c r="D29">
        <v>6371.42</v>
      </c>
      <c r="E29">
        <v>5492.32</v>
      </c>
      <c r="F29">
        <v>94.674300000000002</v>
      </c>
      <c r="G29" s="22">
        <v>169.178</v>
      </c>
      <c r="H29">
        <v>33185.980630000013</v>
      </c>
      <c r="I29">
        <v>18094.91171</v>
      </c>
      <c r="J29">
        <v>32860.395299999996</v>
      </c>
      <c r="K29">
        <v>5701.8142000000007</v>
      </c>
      <c r="L29">
        <v>3787.4634000000001</v>
      </c>
      <c r="M29">
        <v>18021.159800000001</v>
      </c>
      <c r="N29">
        <v>12706.461359999999</v>
      </c>
      <c r="O29">
        <v>3882.701</v>
      </c>
      <c r="P29">
        <v>37446.153899999998</v>
      </c>
      <c r="Q29">
        <v>18663.736042</v>
      </c>
      <c r="R29">
        <v>2585.0030000000002</v>
      </c>
    </row>
    <row r="30" spans="1:18" x14ac:dyDescent="0.3">
      <c r="A30" s="1">
        <v>2046</v>
      </c>
      <c r="B30" s="4">
        <f>(B34-B29)/5+B29</f>
        <v>3071.018</v>
      </c>
      <c r="C30" s="4">
        <f t="shared" ref="C30" si="187">(C34-C29)/5+C29</f>
        <v>51805.8122</v>
      </c>
      <c r="D30" s="4">
        <f t="shared" ref="D30" si="188">(D34-D29)/5+D29</f>
        <v>6416.8559999999998</v>
      </c>
      <c r="E30" s="4">
        <f t="shared" ref="E30" si="189">(E34-E29)/5+E29</f>
        <v>5579.152</v>
      </c>
      <c r="F30" s="4">
        <f t="shared" ref="F30" si="190">(F34-F29)/5+F29</f>
        <v>97.852040000000002</v>
      </c>
      <c r="G30" s="22">
        <v>178.2884</v>
      </c>
      <c r="H30" s="4">
        <f t="shared" ref="H30" si="191">(H34-H29)/5+H29</f>
        <v>33594.990798000013</v>
      </c>
      <c r="I30" s="4">
        <f t="shared" ref="I30" si="192">(I34-I29)/5+I29</f>
        <v>18627.560175999999</v>
      </c>
      <c r="J30" s="4">
        <f t="shared" ref="J30" si="193">(J34-J29)/5+J29</f>
        <v>33342.218679999998</v>
      </c>
      <c r="K30" s="4">
        <f t="shared" ref="K30" si="194">(K34-K29)/5+K29</f>
        <v>5751.5446600000005</v>
      </c>
      <c r="L30" s="4">
        <f t="shared" ref="L30" si="195">(L34-L29)/5+L29</f>
        <v>3875.72532</v>
      </c>
      <c r="M30" s="4">
        <f t="shared" ref="M30" si="196">(M34-M29)/5+M29</f>
        <v>18588.184982000002</v>
      </c>
      <c r="N30" s="4">
        <f t="shared" ref="N30" si="197">(N34-N29)/5+N29</f>
        <v>13375.645278</v>
      </c>
      <c r="O30" s="4">
        <f t="shared" ref="O30" si="198">(O34-O29)/5+O29</f>
        <v>3997.011</v>
      </c>
      <c r="P30" s="4">
        <f t="shared" ref="P30" si="199">(P34-P29)/5+P29</f>
        <v>38851.405999999995</v>
      </c>
      <c r="Q30" s="4">
        <f t="shared" ref="Q30" si="200">(Q34-Q29)/5+Q29</f>
        <v>19055.6466826</v>
      </c>
      <c r="R30" s="4">
        <f t="shared" ref="R30" si="201">(R34-R29)/5+R29</f>
        <v>2641.0050000000001</v>
      </c>
    </row>
    <row r="31" spans="1:18" x14ac:dyDescent="0.3">
      <c r="A31" s="1">
        <v>2047</v>
      </c>
      <c r="B31" s="3">
        <f>(B34-B29)/5+B30</f>
        <v>3083.3160000000003</v>
      </c>
      <c r="C31" s="3">
        <f t="shared" ref="C31" si="202">(C34-C29)/5+C30</f>
        <v>52596.382400000002</v>
      </c>
      <c r="D31" s="3">
        <f t="shared" ref="D31" si="203">(D34-D29)/5+D30</f>
        <v>6462.2919999999995</v>
      </c>
      <c r="E31" s="3">
        <f t="shared" ref="E31" si="204">(E34-E29)/5+E30</f>
        <v>5665.9840000000004</v>
      </c>
      <c r="F31" s="3">
        <f t="shared" ref="F31" si="205">(F34-F29)/5+F30</f>
        <v>101.02978</v>
      </c>
      <c r="G31" s="22">
        <v>187.39879999999999</v>
      </c>
      <c r="H31" s="3">
        <f t="shared" ref="H31" si="206">(H34-H29)/5+H30</f>
        <v>34004.000966000014</v>
      </c>
      <c r="I31" s="3">
        <f t="shared" ref="I31" si="207">(I34-I29)/5+I30</f>
        <v>19160.208641999998</v>
      </c>
      <c r="J31" s="3">
        <f t="shared" ref="J31" si="208">(J34-J29)/5+J30</f>
        <v>33824.04206</v>
      </c>
      <c r="K31" s="3">
        <f t="shared" ref="K31" si="209">(K34-K29)/5+K30</f>
        <v>5801.2751200000002</v>
      </c>
      <c r="L31" s="3">
        <f t="shared" ref="L31" si="210">(L34-L29)/5+L30</f>
        <v>3963.9872399999999</v>
      </c>
      <c r="M31" s="3">
        <f t="shared" ref="M31" si="211">(M34-M29)/5+M30</f>
        <v>19155.210164000004</v>
      </c>
      <c r="N31" s="3">
        <f t="shared" ref="N31" si="212">(N34-N29)/5+N30</f>
        <v>14044.829196000001</v>
      </c>
      <c r="O31" s="3">
        <f t="shared" ref="O31" si="213">(O34-O29)/5+O30</f>
        <v>4111.3209999999999</v>
      </c>
      <c r="P31" s="3">
        <f t="shared" ref="P31" si="214">(P34-P29)/5+P30</f>
        <v>40256.658099999993</v>
      </c>
      <c r="Q31" s="3">
        <f t="shared" ref="Q31" si="215">(Q34-Q29)/5+Q30</f>
        <v>19447.557323199999</v>
      </c>
      <c r="R31" s="3">
        <f t="shared" ref="R31" si="216">(R34-R29)/5+R30</f>
        <v>2697.0070000000001</v>
      </c>
    </row>
    <row r="32" spans="1:18" x14ac:dyDescent="0.3">
      <c r="A32" s="1">
        <v>2048</v>
      </c>
      <c r="B32" s="3">
        <f>(B34-B29)/5+B31</f>
        <v>3095.6140000000005</v>
      </c>
      <c r="C32" s="3">
        <f t="shared" ref="C32" si="217">(C34-C29)/5+C31</f>
        <v>53386.952600000004</v>
      </c>
      <c r="D32" s="3">
        <f t="shared" ref="D32" si="218">(D34-D29)/5+D31</f>
        <v>6507.7279999999992</v>
      </c>
      <c r="E32" s="3">
        <f t="shared" ref="E32" si="219">(E34-E29)/5+E31</f>
        <v>5752.8160000000007</v>
      </c>
      <c r="F32" s="3">
        <f t="shared" ref="F32" si="220">(F34-F29)/5+F31</f>
        <v>104.20752</v>
      </c>
      <c r="G32" s="22">
        <v>196.50919999999999</v>
      </c>
      <c r="H32" s="3">
        <f t="shared" ref="H32" si="221">(H34-H29)/5+H31</f>
        <v>34413.011134000015</v>
      </c>
      <c r="I32" s="3">
        <f t="shared" ref="I32" si="222">(I34-I29)/5+I31</f>
        <v>19692.857107999997</v>
      </c>
      <c r="J32" s="3">
        <f t="shared" ref="J32" si="223">(J34-J29)/5+J31</f>
        <v>34305.865440000001</v>
      </c>
      <c r="K32" s="3">
        <f t="shared" ref="K32" si="224">(K34-K29)/5+K31</f>
        <v>5851.00558</v>
      </c>
      <c r="L32" s="3">
        <f t="shared" ref="L32" si="225">(L34-L29)/5+L31</f>
        <v>4052.2491599999998</v>
      </c>
      <c r="M32" s="3">
        <f t="shared" ref="M32" si="226">(M34-M29)/5+M31</f>
        <v>19722.235346000005</v>
      </c>
      <c r="N32" s="3">
        <f t="shared" ref="N32" si="227">(N34-N29)/5+N31</f>
        <v>14714.013114000001</v>
      </c>
      <c r="O32" s="3">
        <f t="shared" ref="O32" si="228">(O34-O29)/5+O31</f>
        <v>4225.6310000000003</v>
      </c>
      <c r="P32" s="3">
        <f t="shared" ref="P32" si="229">(P34-P29)/5+P31</f>
        <v>41661.910199999991</v>
      </c>
      <c r="Q32" s="3">
        <f t="shared" ref="Q32" si="230">(Q34-Q29)/5+Q31</f>
        <v>19839.467963799998</v>
      </c>
      <c r="R32" s="3">
        <f t="shared" ref="R32" si="231">(R34-R29)/5+R31</f>
        <v>2753.009</v>
      </c>
    </row>
    <row r="33" spans="1:18" x14ac:dyDescent="0.3">
      <c r="A33" s="1">
        <v>2049</v>
      </c>
      <c r="B33" s="3">
        <f>(B34-B29)/5+B32</f>
        <v>3107.9120000000007</v>
      </c>
      <c r="C33" s="3">
        <f t="shared" ref="C33" si="232">(C34-C29)/5+C32</f>
        <v>54177.522800000006</v>
      </c>
      <c r="D33" s="3">
        <f t="shared" ref="D33" si="233">(D34-D29)/5+D32</f>
        <v>6553.1639999999989</v>
      </c>
      <c r="E33" s="3">
        <f t="shared" ref="E33" si="234">(E34-E29)/5+E32</f>
        <v>5839.648000000001</v>
      </c>
      <c r="F33" s="3">
        <f t="shared" ref="F33" si="235">(F34-F29)/5+F32</f>
        <v>107.38526</v>
      </c>
      <c r="G33" s="22">
        <v>205.61959999999999</v>
      </c>
      <c r="H33" s="3">
        <f t="shared" ref="H33" si="236">(H34-H29)/5+H32</f>
        <v>34822.021302000016</v>
      </c>
      <c r="I33" s="3">
        <f t="shared" ref="I33" si="237">(I34-I29)/5+I32</f>
        <v>20225.505573999995</v>
      </c>
      <c r="J33" s="3">
        <f t="shared" ref="J33" si="238">(J34-J29)/5+J32</f>
        <v>34787.688820000003</v>
      </c>
      <c r="K33" s="3">
        <f t="shared" ref="K33" si="239">(K34-K29)/5+K32</f>
        <v>5900.7360399999998</v>
      </c>
      <c r="L33" s="3">
        <f t="shared" ref="L33" si="240">(L34-L29)/5+L32</f>
        <v>4140.5110800000002</v>
      </c>
      <c r="M33" s="3">
        <f t="shared" ref="M33" si="241">(M34-M29)/5+M32</f>
        <v>20289.260528000006</v>
      </c>
      <c r="N33" s="3">
        <f t="shared" ref="N33" si="242">(N34-N29)/5+N32</f>
        <v>15383.197032000002</v>
      </c>
      <c r="O33" s="3">
        <f t="shared" ref="O33" si="243">(O34-O29)/5+O32</f>
        <v>4339.9410000000007</v>
      </c>
      <c r="P33" s="3">
        <f t="shared" ref="P33" si="244">(P34-P29)/5+P32</f>
        <v>43067.162299999989</v>
      </c>
      <c r="Q33" s="3">
        <f t="shared" ref="Q33" si="245">(Q34-Q29)/5+Q32</f>
        <v>20231.378604399997</v>
      </c>
      <c r="R33" s="3">
        <f t="shared" ref="R33" si="246">(R34-R29)/5+R32</f>
        <v>2809.011</v>
      </c>
    </row>
    <row r="34" spans="1:18" x14ac:dyDescent="0.3">
      <c r="A34" s="1">
        <v>2050</v>
      </c>
      <c r="B34">
        <v>3120.21</v>
      </c>
      <c r="C34">
        <v>54968.092999999993</v>
      </c>
      <c r="D34">
        <v>6598.6</v>
      </c>
      <c r="E34">
        <v>5926.48</v>
      </c>
      <c r="F34">
        <v>110.563</v>
      </c>
      <c r="G34" s="22">
        <v>214.73</v>
      </c>
      <c r="H34">
        <v>35231.031470000002</v>
      </c>
      <c r="I34">
        <v>20758.154040000001</v>
      </c>
      <c r="J34">
        <v>35269.512199999997</v>
      </c>
      <c r="K34">
        <v>5950.4665000000005</v>
      </c>
      <c r="L34">
        <v>4228.7730000000001</v>
      </c>
      <c r="M34">
        <v>20856.28571</v>
      </c>
      <c r="N34">
        <v>16052.380950000001</v>
      </c>
      <c r="O34">
        <v>4454.2510000000002</v>
      </c>
      <c r="P34">
        <v>44472.414400000001</v>
      </c>
      <c r="Q34">
        <v>20623.289245</v>
      </c>
      <c r="R34">
        <v>2865.0129999999999</v>
      </c>
    </row>
    <row r="35" spans="1:18" x14ac:dyDescent="0.3">
      <c r="A35" s="1">
        <v>2051</v>
      </c>
      <c r="B35" s="4">
        <f>(B39-B34)/5+B34</f>
        <v>3125.8360000000002</v>
      </c>
      <c r="C35" s="4">
        <f t="shared" ref="C35" si="247">(C39-C34)/5+C34</f>
        <v>55653.318399999989</v>
      </c>
      <c r="D35" s="4">
        <f t="shared" ref="D35" si="248">(D39-D34)/5+D34</f>
        <v>6642.0020000000004</v>
      </c>
      <c r="E35" s="4">
        <f t="shared" ref="E35" si="249">(E39-E34)/5+E34</f>
        <v>6021.7559999999994</v>
      </c>
      <c r="F35" s="4">
        <f t="shared" ref="F35" si="250">(F39-F34)/5+F34</f>
        <v>114.2586</v>
      </c>
      <c r="G35" s="22">
        <f t="shared" ref="G35:G70" si="251">G34-G34*0.007</f>
        <v>213.22689</v>
      </c>
      <c r="H35" s="4">
        <f t="shared" ref="H35" si="252">(H39-H34)/5+H34</f>
        <v>35646.203895999999</v>
      </c>
      <c r="I35" s="4">
        <f t="shared" ref="I35" si="253">(I39-I34)/5+I34</f>
        <v>21332.940164</v>
      </c>
      <c r="J35" s="4">
        <f t="shared" ref="J35" si="254">(J39-J34)/5+J34</f>
        <v>35747.529119999999</v>
      </c>
      <c r="K35" s="4">
        <f t="shared" ref="K35" si="255">(K39-K34)/5+K34</f>
        <v>5994.5823600000003</v>
      </c>
      <c r="L35" s="4">
        <f t="shared" ref="L35" si="256">(L39-L34)/5+L34</f>
        <v>4322.4436800000003</v>
      </c>
      <c r="M35" s="4">
        <f t="shared" ref="M35" si="257">(M39-M34)/5+M34</f>
        <v>21483.535717999999</v>
      </c>
      <c r="N35" s="4">
        <f t="shared" ref="N35" si="258">(N39-N34)/5+N34</f>
        <v>16877.119350000001</v>
      </c>
      <c r="O35" s="4">
        <f t="shared" ref="O35" si="259">(O39-O34)/5+O34</f>
        <v>4568.3928000000005</v>
      </c>
      <c r="P35" s="4">
        <f t="shared" ref="P35" si="260">(P39-P34)/5+P34</f>
        <v>46014.082260000003</v>
      </c>
      <c r="Q35" s="4">
        <f t="shared" ref="Q35" si="261">(Q39-Q34)/5+Q34</f>
        <v>21019.496383999998</v>
      </c>
      <c r="R35" s="4">
        <f t="shared" ref="R35" si="262">(R39-R34)/5+R34</f>
        <v>2921.8669999999997</v>
      </c>
    </row>
    <row r="36" spans="1:18" x14ac:dyDescent="0.3">
      <c r="A36" s="1">
        <v>2052</v>
      </c>
      <c r="B36" s="3">
        <f>(B39-B34)/5+B35</f>
        <v>3131.4620000000004</v>
      </c>
      <c r="C36" s="3">
        <f t="shared" ref="C36" si="263">(C39-C34)/5+C35</f>
        <v>56338.543799999985</v>
      </c>
      <c r="D36" s="3">
        <f t="shared" ref="D36" si="264">(D39-D34)/5+D35</f>
        <v>6685.4040000000005</v>
      </c>
      <c r="E36" s="3">
        <f t="shared" ref="E36" si="265">(E39-E34)/5+E35</f>
        <v>6117.0319999999992</v>
      </c>
      <c r="F36" s="3">
        <f t="shared" ref="F36" si="266">(F39-F34)/5+F35</f>
        <v>117.9542</v>
      </c>
      <c r="G36" s="22">
        <f t="shared" si="251"/>
        <v>211.73430177</v>
      </c>
      <c r="H36" s="3">
        <f t="shared" ref="H36" si="267">(H39-H34)/5+H35</f>
        <v>36061.376321999996</v>
      </c>
      <c r="I36" s="3">
        <f t="shared" ref="I36" si="268">(I39-I34)/5+I35</f>
        <v>21907.726287999998</v>
      </c>
      <c r="J36" s="3">
        <f t="shared" ref="J36" si="269">(J39-J34)/5+J35</f>
        <v>36225.546040000001</v>
      </c>
      <c r="K36" s="3">
        <f t="shared" ref="K36" si="270">(K39-K34)/5+K35</f>
        <v>6038.6982200000002</v>
      </c>
      <c r="L36" s="3">
        <f t="shared" ref="L36" si="271">(L39-L34)/5+L35</f>
        <v>4416.1143600000005</v>
      </c>
      <c r="M36" s="3">
        <f t="shared" ref="M36" si="272">(M39-M34)/5+M35</f>
        <v>22110.785725999998</v>
      </c>
      <c r="N36" s="3">
        <f t="shared" ref="N36" si="273">(N39-N34)/5+N35</f>
        <v>17701.857750000003</v>
      </c>
      <c r="O36" s="3">
        <f t="shared" ref="O36" si="274">(O39-O34)/5+O35</f>
        <v>4682.5346000000009</v>
      </c>
      <c r="P36" s="3">
        <f t="shared" ref="P36" si="275">(P39-P34)/5+P35</f>
        <v>47555.750120000004</v>
      </c>
      <c r="Q36" s="3">
        <f t="shared" ref="Q36" si="276">(Q39-Q34)/5+Q35</f>
        <v>21415.703522999996</v>
      </c>
      <c r="R36" s="3">
        <f t="shared" ref="R36" si="277">(R39-R34)/5+R35</f>
        <v>2978.7209999999995</v>
      </c>
    </row>
    <row r="37" spans="1:18" x14ac:dyDescent="0.3">
      <c r="A37" s="1">
        <v>2053</v>
      </c>
      <c r="B37" s="3">
        <f>(B39-B34)/5+B36</f>
        <v>3137.0880000000006</v>
      </c>
      <c r="C37" s="3">
        <f t="shared" ref="C37" si="278">(C39-C34)/5+C36</f>
        <v>57023.769199999981</v>
      </c>
      <c r="D37" s="3">
        <f t="shared" ref="D37" si="279">(D39-D34)/5+D36</f>
        <v>6728.8060000000005</v>
      </c>
      <c r="E37" s="3">
        <f t="shared" ref="E37" si="280">(E39-E34)/5+E36</f>
        <v>6212.3079999999991</v>
      </c>
      <c r="F37" s="3">
        <f t="shared" ref="F37" si="281">(F39-F34)/5+F36</f>
        <v>121.6498</v>
      </c>
      <c r="G37" s="22">
        <f t="shared" si="251"/>
        <v>210.25216165761</v>
      </c>
      <c r="H37" s="3">
        <f t="shared" ref="H37" si="282">(H39-H34)/5+H36</f>
        <v>36476.548747999994</v>
      </c>
      <c r="I37" s="3">
        <f t="shared" ref="I37" si="283">(I39-I34)/5+I36</f>
        <v>22482.512411999996</v>
      </c>
      <c r="J37" s="3">
        <f t="shared" ref="J37" si="284">(J39-J34)/5+J36</f>
        <v>36703.562960000003</v>
      </c>
      <c r="K37" s="3">
        <f t="shared" ref="K37" si="285">(K39-K34)/5+K36</f>
        <v>6082.8140800000001</v>
      </c>
      <c r="L37" s="3">
        <f t="shared" ref="L37" si="286">(L39-L34)/5+L36</f>
        <v>4509.7850400000007</v>
      </c>
      <c r="M37" s="3">
        <f t="shared" ref="M37" si="287">(M39-M34)/5+M36</f>
        <v>22738.035733999997</v>
      </c>
      <c r="N37" s="3">
        <f t="shared" ref="N37" si="288">(N39-N34)/5+N36</f>
        <v>18526.596150000005</v>
      </c>
      <c r="O37" s="3">
        <f t="shared" ref="O37" si="289">(O39-O34)/5+O36</f>
        <v>4796.6764000000012</v>
      </c>
      <c r="P37" s="3">
        <f t="shared" ref="P37" si="290">(P39-P34)/5+P36</f>
        <v>49097.417980000006</v>
      </c>
      <c r="Q37" s="3">
        <f t="shared" ref="Q37" si="291">(Q39-Q34)/5+Q36</f>
        <v>21811.910661999995</v>
      </c>
      <c r="R37" s="3">
        <f t="shared" ref="R37" si="292">(R39-R34)/5+R36</f>
        <v>3035.5749999999994</v>
      </c>
    </row>
    <row r="38" spans="1:18" x14ac:dyDescent="0.3">
      <c r="A38" s="1">
        <v>2054</v>
      </c>
      <c r="B38" s="3">
        <f>(B39-B34)/5+B37</f>
        <v>3142.7140000000009</v>
      </c>
      <c r="C38" s="3">
        <f t="shared" ref="C38" si="293">(C39-C34)/5+C37</f>
        <v>57708.994599999976</v>
      </c>
      <c r="D38" s="3">
        <f t="shared" ref="D38" si="294">(D39-D34)/5+D37</f>
        <v>6772.2080000000005</v>
      </c>
      <c r="E38" s="3">
        <f t="shared" ref="E38" si="295">(E39-E34)/5+E37</f>
        <v>6307.5839999999989</v>
      </c>
      <c r="F38" s="3">
        <f t="shared" ref="F38" si="296">(F39-F34)/5+F37</f>
        <v>125.3454</v>
      </c>
      <c r="G38" s="22">
        <f t="shared" si="251"/>
        <v>208.78039652600674</v>
      </c>
      <c r="H38" s="3">
        <f t="shared" ref="H38" si="297">(H39-H34)/5+H37</f>
        <v>36891.721173999991</v>
      </c>
      <c r="I38" s="3">
        <f t="shared" ref="I38" si="298">(I39-I34)/5+I37</f>
        <v>23057.298535999995</v>
      </c>
      <c r="J38" s="3">
        <f t="shared" ref="J38" si="299">(J39-J34)/5+J37</f>
        <v>37181.579880000005</v>
      </c>
      <c r="K38" s="3">
        <f t="shared" ref="K38" si="300">(K39-K34)/5+K37</f>
        <v>6126.92994</v>
      </c>
      <c r="L38" s="3">
        <f t="shared" ref="L38" si="301">(L39-L34)/5+L37</f>
        <v>4603.4557200000008</v>
      </c>
      <c r="M38" s="3">
        <f t="shared" ref="M38" si="302">(M39-M34)/5+M37</f>
        <v>23365.285741999996</v>
      </c>
      <c r="N38" s="3">
        <f t="shared" ref="N38" si="303">(N39-N34)/5+N37</f>
        <v>19351.334550000007</v>
      </c>
      <c r="O38" s="3">
        <f t="shared" ref="O38" si="304">(O39-O34)/5+O37</f>
        <v>4910.8182000000015</v>
      </c>
      <c r="P38" s="3">
        <f t="shared" ref="P38" si="305">(P39-P34)/5+P37</f>
        <v>50639.085840000007</v>
      </c>
      <c r="Q38" s="3">
        <f t="shared" ref="Q38" si="306">(Q39-Q34)/5+Q37</f>
        <v>22208.117800999993</v>
      </c>
      <c r="R38" s="3">
        <f t="shared" ref="R38" si="307">(R39-R34)/5+R37</f>
        <v>3092.4289999999992</v>
      </c>
    </row>
    <row r="39" spans="1:18" x14ac:dyDescent="0.3">
      <c r="A39" s="1">
        <v>2055</v>
      </c>
      <c r="B39">
        <v>3148.34</v>
      </c>
      <c r="C39">
        <v>58394.219999999987</v>
      </c>
      <c r="D39">
        <v>6815.61</v>
      </c>
      <c r="E39">
        <v>6402.86</v>
      </c>
      <c r="F39">
        <v>129.041</v>
      </c>
      <c r="G39" s="22">
        <f t="shared" si="251"/>
        <v>207.3189337503247</v>
      </c>
      <c r="H39">
        <v>37306.893600000003</v>
      </c>
      <c r="I39">
        <v>23632.08466</v>
      </c>
      <c r="J39">
        <v>37659.596799999999</v>
      </c>
      <c r="K39">
        <v>6171.0457999999999</v>
      </c>
      <c r="L39">
        <v>4697.1264000000001</v>
      </c>
      <c r="M39">
        <v>23992.535749999999</v>
      </c>
      <c r="N39">
        <v>20176.072950000002</v>
      </c>
      <c r="O39">
        <v>5024.96</v>
      </c>
      <c r="P39">
        <v>52180.753700000001</v>
      </c>
      <c r="Q39">
        <v>22604.324939999999</v>
      </c>
      <c r="R39">
        <v>3149.2829999999999</v>
      </c>
    </row>
    <row r="40" spans="1:18" x14ac:dyDescent="0.3">
      <c r="A40" s="1">
        <v>2056</v>
      </c>
      <c r="B40" s="4">
        <f>(B44-B39)/5+B39</f>
        <v>3148.0940000000001</v>
      </c>
      <c r="C40" s="4">
        <f t="shared" ref="C40" si="308">(C44-C39)/5+C39</f>
        <v>59054.77659999999</v>
      </c>
      <c r="D40" s="4">
        <f t="shared" ref="D40" si="309">(D44-D39)/5+D39</f>
        <v>6854.0639999999994</v>
      </c>
      <c r="E40" s="4">
        <f t="shared" ref="E40" si="310">(E44-E39)/5+E39</f>
        <v>6512.924</v>
      </c>
      <c r="F40" s="4">
        <f t="shared" ref="F40" si="311">(F44-F39)/5+F39</f>
        <v>133.334</v>
      </c>
      <c r="G40" s="22">
        <f t="shared" si="251"/>
        <v>205.86770121407244</v>
      </c>
      <c r="H40" s="4">
        <f t="shared" ref="H40" si="312">(H44-H39)/5+H39</f>
        <v>37733.159478000001</v>
      </c>
      <c r="I40" s="4">
        <f t="shared" ref="I40" si="313">(I44-I39)/5+I39</f>
        <v>24240.384512000001</v>
      </c>
      <c r="J40" s="4">
        <f t="shared" ref="J40" si="314">(J44-J39)/5+J39</f>
        <v>38136.56162</v>
      </c>
      <c r="K40" s="4">
        <f t="shared" ref="K40" si="315">(K44-K39)/5+K39</f>
        <v>6212.4034000000001</v>
      </c>
      <c r="L40" s="4">
        <f t="shared" ref="L40" si="316">(L44-L39)/5+L39</f>
        <v>4799.75198</v>
      </c>
      <c r="M40" s="4">
        <f t="shared" ref="M40" si="317">(M44-M39)/5+M39</f>
        <v>24685.544355999999</v>
      </c>
      <c r="N40" s="4">
        <f t="shared" ref="N40" si="318">(N44-N39)/5+N39</f>
        <v>21181.827412000002</v>
      </c>
      <c r="O40" s="4">
        <f t="shared" ref="O40" si="319">(O44-O39)/5+O39</f>
        <v>5139.3432000000003</v>
      </c>
      <c r="P40" s="4">
        <f t="shared" ref="P40" si="320">(P44-P39)/5+P39</f>
        <v>53855.116600000001</v>
      </c>
      <c r="Q40" s="4">
        <f t="shared" ref="Q40" si="321">(Q44-Q39)/5+Q39</f>
        <v>23007.638177999997</v>
      </c>
      <c r="R40" s="4">
        <f t="shared" ref="R40" si="322">(R44-R39)/5+R39</f>
        <v>3208.3141999999998</v>
      </c>
    </row>
    <row r="41" spans="1:18" x14ac:dyDescent="0.3">
      <c r="A41" s="1">
        <v>2057</v>
      </c>
      <c r="B41" s="3">
        <f>(B44-B39)/5+B40</f>
        <v>3147.848</v>
      </c>
      <c r="C41" s="3">
        <f t="shared" ref="C41" si="323">(C44-C39)/5+C40</f>
        <v>59715.333199999994</v>
      </c>
      <c r="D41" s="3">
        <f t="shared" ref="D41" si="324">(D44-D39)/5+D40</f>
        <v>6892.5179999999991</v>
      </c>
      <c r="E41" s="3">
        <f t="shared" ref="E41" si="325">(E44-E39)/5+E40</f>
        <v>6622.9880000000003</v>
      </c>
      <c r="F41" s="3">
        <f t="shared" ref="F41" si="326">(F44-F39)/5+F40</f>
        <v>137.62700000000001</v>
      </c>
      <c r="G41" s="22">
        <f t="shared" si="251"/>
        <v>204.42662730557393</v>
      </c>
      <c r="H41" s="3">
        <f t="shared" ref="H41" si="327">(H44-H39)/5+H40</f>
        <v>38159.425356</v>
      </c>
      <c r="I41" s="3">
        <f t="shared" ref="I41" si="328">(I44-I39)/5+I40</f>
        <v>24848.684364000001</v>
      </c>
      <c r="J41" s="3">
        <f t="shared" ref="J41" si="329">(J44-J39)/5+J40</f>
        <v>38613.526440000001</v>
      </c>
      <c r="K41" s="3">
        <f t="shared" ref="K41" si="330">(K44-K39)/5+K40</f>
        <v>6253.7610000000004</v>
      </c>
      <c r="L41" s="3">
        <f t="shared" ref="L41" si="331">(L44-L39)/5+L40</f>
        <v>4902.3775599999999</v>
      </c>
      <c r="M41" s="3">
        <f t="shared" ref="M41" si="332">(M44-M39)/5+M40</f>
        <v>25378.552961999998</v>
      </c>
      <c r="N41" s="3">
        <f t="shared" ref="N41" si="333">(N44-N39)/5+N40</f>
        <v>22187.581874000003</v>
      </c>
      <c r="O41" s="3">
        <f t="shared" ref="O41" si="334">(O44-O39)/5+O40</f>
        <v>5253.7264000000005</v>
      </c>
      <c r="P41" s="3">
        <f t="shared" ref="P41" si="335">(P44-P39)/5+P40</f>
        <v>55529.479500000001</v>
      </c>
      <c r="Q41" s="3">
        <f t="shared" ref="Q41" si="336">(Q44-Q39)/5+Q40</f>
        <v>23410.951415999996</v>
      </c>
      <c r="R41" s="3">
        <f t="shared" ref="R41" si="337">(R44-R39)/5+R40</f>
        <v>3267.3453999999997</v>
      </c>
    </row>
    <row r="42" spans="1:18" x14ac:dyDescent="0.3">
      <c r="A42" s="1">
        <v>2058</v>
      </c>
      <c r="B42" s="3">
        <f>(B44-B39)/5+B41</f>
        <v>3147.6019999999999</v>
      </c>
      <c r="C42" s="3">
        <f t="shared" ref="C42" si="338">(C44-C39)/5+C41</f>
        <v>60375.889799999997</v>
      </c>
      <c r="D42" s="3">
        <f t="shared" ref="D42" si="339">(D44-D39)/5+D41</f>
        <v>6930.9719999999988</v>
      </c>
      <c r="E42" s="3">
        <f t="shared" ref="E42" si="340">(E44-E39)/5+E41</f>
        <v>6733.0520000000006</v>
      </c>
      <c r="F42" s="3">
        <f t="shared" ref="F42" si="341">(F44-F39)/5+F41</f>
        <v>141.92000000000002</v>
      </c>
      <c r="G42" s="22">
        <f t="shared" si="251"/>
        <v>202.99564091443492</v>
      </c>
      <c r="H42" s="3">
        <f t="shared" ref="H42" si="342">(H44-H39)/5+H41</f>
        <v>38585.691233999998</v>
      </c>
      <c r="I42" s="3">
        <f t="shared" ref="I42" si="343">(I44-I39)/5+I41</f>
        <v>25456.984216000001</v>
      </c>
      <c r="J42" s="3">
        <f t="shared" ref="J42" si="344">(J44-J39)/5+J41</f>
        <v>39090.491260000003</v>
      </c>
      <c r="K42" s="3">
        <f t="shared" ref="K42" si="345">(K44-K39)/5+K41</f>
        <v>6295.1186000000007</v>
      </c>
      <c r="L42" s="3">
        <f t="shared" ref="L42" si="346">(L44-L39)/5+L41</f>
        <v>5005.0031399999998</v>
      </c>
      <c r="M42" s="3">
        <f t="shared" ref="M42" si="347">(M44-M39)/5+M41</f>
        <v>26071.561567999997</v>
      </c>
      <c r="N42" s="3">
        <f t="shared" ref="N42" si="348">(N44-N39)/5+N41</f>
        <v>23193.336336000004</v>
      </c>
      <c r="O42" s="3">
        <f t="shared" ref="O42" si="349">(O44-O39)/5+O41</f>
        <v>5368.1096000000007</v>
      </c>
      <c r="P42" s="3">
        <f t="shared" ref="P42" si="350">(P44-P39)/5+P41</f>
        <v>57203.842400000001</v>
      </c>
      <c r="Q42" s="3">
        <f t="shared" ref="Q42" si="351">(Q44-Q39)/5+Q41</f>
        <v>23814.264653999995</v>
      </c>
      <c r="R42" s="3">
        <f t="shared" ref="R42" si="352">(R44-R39)/5+R41</f>
        <v>3326.3765999999996</v>
      </c>
    </row>
    <row r="43" spans="1:18" x14ac:dyDescent="0.3">
      <c r="A43" s="1">
        <v>2059</v>
      </c>
      <c r="B43" s="3">
        <f>(B44-B39)/5+B42</f>
        <v>3147.3559999999998</v>
      </c>
      <c r="C43" s="3">
        <f t="shared" ref="C43" si="353">(C44-C39)/5+C42</f>
        <v>61036.446400000001</v>
      </c>
      <c r="D43" s="3">
        <f t="shared" ref="D43" si="354">(D44-D39)/5+D42</f>
        <v>6969.4259999999986</v>
      </c>
      <c r="E43" s="3">
        <f t="shared" ref="E43" si="355">(E44-E39)/5+E42</f>
        <v>6843.1160000000009</v>
      </c>
      <c r="F43" s="3">
        <f t="shared" ref="F43" si="356">(F44-F39)/5+F42</f>
        <v>146.21300000000002</v>
      </c>
      <c r="G43" s="22">
        <f t="shared" si="251"/>
        <v>201.57467142803387</v>
      </c>
      <c r="H43" s="3">
        <f t="shared" ref="H43" si="357">(H44-H39)/5+H42</f>
        <v>39011.957111999996</v>
      </c>
      <c r="I43" s="3">
        <f t="shared" ref="I43" si="358">(I44-I39)/5+I42</f>
        <v>26065.284068000001</v>
      </c>
      <c r="J43" s="3">
        <f t="shared" ref="J43" si="359">(J44-J39)/5+J42</f>
        <v>39567.456080000004</v>
      </c>
      <c r="K43" s="3">
        <f t="shared" ref="K43" si="360">(K44-K39)/5+K42</f>
        <v>6336.476200000001</v>
      </c>
      <c r="L43" s="3">
        <f t="shared" ref="L43" si="361">(L44-L39)/5+L42</f>
        <v>5107.6287199999997</v>
      </c>
      <c r="M43" s="3">
        <f t="shared" ref="M43" si="362">(M44-M39)/5+M42</f>
        <v>26764.570173999997</v>
      </c>
      <c r="N43" s="3">
        <f t="shared" ref="N43" si="363">(N44-N39)/5+N42</f>
        <v>24199.090798000005</v>
      </c>
      <c r="O43" s="3">
        <f t="shared" ref="O43" si="364">(O44-O39)/5+O42</f>
        <v>5482.4928000000009</v>
      </c>
      <c r="P43" s="3">
        <f t="shared" ref="P43" si="365">(P44-P39)/5+P42</f>
        <v>58878.205300000001</v>
      </c>
      <c r="Q43" s="3">
        <f t="shared" ref="Q43" si="366">(Q44-Q39)/5+Q42</f>
        <v>24217.577891999994</v>
      </c>
      <c r="R43" s="3">
        <f t="shared" ref="R43" si="367">(R44-R39)/5+R42</f>
        <v>3385.4077999999995</v>
      </c>
    </row>
    <row r="44" spans="1:18" x14ac:dyDescent="0.3">
      <c r="A44" s="1">
        <v>2060</v>
      </c>
      <c r="B44">
        <v>3147.11</v>
      </c>
      <c r="C44">
        <v>61697.002999999997</v>
      </c>
      <c r="D44">
        <v>7007.88</v>
      </c>
      <c r="E44">
        <v>6953.18</v>
      </c>
      <c r="F44">
        <v>150.506</v>
      </c>
      <c r="G44" s="22">
        <f t="shared" si="251"/>
        <v>200.16364872803763</v>
      </c>
      <c r="H44">
        <v>39438.222990000002</v>
      </c>
      <c r="I44">
        <v>26673.583920000001</v>
      </c>
      <c r="J44">
        <v>40044.420899999997</v>
      </c>
      <c r="K44">
        <v>6377.8338000000003</v>
      </c>
      <c r="L44">
        <v>5210.2542999999996</v>
      </c>
      <c r="M44">
        <v>27457.57878</v>
      </c>
      <c r="N44">
        <v>25204.845259999998</v>
      </c>
      <c r="O44">
        <v>5596.8760000000002</v>
      </c>
      <c r="P44">
        <v>60552.568199999987</v>
      </c>
      <c r="Q44">
        <v>24620.89113</v>
      </c>
      <c r="R44">
        <v>3444.4389999999999</v>
      </c>
    </row>
    <row r="45" spans="1:18" x14ac:dyDescent="0.3">
      <c r="A45" s="1">
        <v>2061</v>
      </c>
      <c r="B45" s="4">
        <f>(B49-B44)/5+B44</f>
        <v>3144.3679999999999</v>
      </c>
      <c r="C45" s="4">
        <f t="shared" ref="C45" si="368">(C49-C44)/5+C44</f>
        <v>62322.84</v>
      </c>
      <c r="D45" s="4">
        <f t="shared" ref="D45" si="369">(D49-D44)/5+D44</f>
        <v>7041.0240000000003</v>
      </c>
      <c r="E45" s="4">
        <f t="shared" ref="E45" si="370">(E49-E44)/5+E44</f>
        <v>7069.9140000000007</v>
      </c>
      <c r="F45" s="4">
        <f t="shared" ref="F45" si="371">(F49-F44)/5+F44</f>
        <v>155.4462</v>
      </c>
      <c r="G45" s="22">
        <f t="shared" si="251"/>
        <v>198.76250318694136</v>
      </c>
      <c r="H45" s="4">
        <f t="shared" ref="H45" si="372">(H49-H44)/5+H44</f>
        <v>39876.915574000006</v>
      </c>
      <c r="I45" s="4">
        <f t="shared" ref="I45" si="373">(I49-I44)/5+I44</f>
        <v>27318.845670000002</v>
      </c>
      <c r="J45" s="4">
        <f t="shared" ref="J45" si="374">(J49-J44)/5+J44</f>
        <v>40512.958679999996</v>
      </c>
      <c r="K45" s="4">
        <f t="shared" ref="K45" si="375">(K49-K44)/5+K44</f>
        <v>6417.26746</v>
      </c>
      <c r="L45" s="4">
        <f t="shared" ref="L45" si="376">(L49-L44)/5+L44</f>
        <v>5322.1086999999998</v>
      </c>
      <c r="M45" s="4">
        <f t="shared" ref="M45" si="377">(M49-M44)/5+M44</f>
        <v>28211.438303999999</v>
      </c>
      <c r="N45" s="4">
        <f t="shared" ref="N45" si="378">(N49-N44)/5+N44</f>
        <v>26417.704497999999</v>
      </c>
      <c r="O45" s="4">
        <f t="shared" ref="O45" si="379">(O49-O44)/5+O44</f>
        <v>5711.4768000000004</v>
      </c>
      <c r="P45" s="4">
        <f t="shared" ref="P45" si="380">(P49-P44)/5+P44</f>
        <v>62347.467779999992</v>
      </c>
      <c r="Q45" s="4">
        <f t="shared" ref="Q45" si="381">(Q49-Q44)/5+Q44</f>
        <v>25029.608307999999</v>
      </c>
      <c r="R45" s="4">
        <f t="shared" ref="R45" si="382">(R49-R44)/5+R44</f>
        <v>3505.4856</v>
      </c>
    </row>
    <row r="46" spans="1:18" x14ac:dyDescent="0.3">
      <c r="A46" s="1">
        <v>2062</v>
      </c>
      <c r="B46" s="3">
        <f>(B49-B44)/5+B45</f>
        <v>3141.6259999999997</v>
      </c>
      <c r="C46" s="3">
        <f t="shared" ref="C46" si="383">(C49-C44)/5+C45</f>
        <v>62948.676999999996</v>
      </c>
      <c r="D46" s="3">
        <f t="shared" ref="D46" si="384">(D49-D44)/5+D45</f>
        <v>7074.1680000000006</v>
      </c>
      <c r="E46" s="3">
        <f t="shared" ref="E46" si="385">(E49-E44)/5+E45</f>
        <v>7186.648000000001</v>
      </c>
      <c r="F46" s="3">
        <f t="shared" ref="F46" si="386">(F49-F44)/5+F45</f>
        <v>160.38640000000001</v>
      </c>
      <c r="G46" s="22">
        <f t="shared" si="251"/>
        <v>197.37116566463277</v>
      </c>
      <c r="H46" s="3">
        <f t="shared" ref="H46" si="387">(H49-H44)/5+H45</f>
        <v>40315.60815800001</v>
      </c>
      <c r="I46" s="3">
        <f t="shared" ref="I46" si="388">(I49-I44)/5+I45</f>
        <v>27964.107420000004</v>
      </c>
      <c r="J46" s="3">
        <f t="shared" ref="J46" si="389">(J49-J44)/5+J45</f>
        <v>40981.496459999995</v>
      </c>
      <c r="K46" s="3">
        <f t="shared" ref="K46" si="390">(K49-K44)/5+K45</f>
        <v>6456.7011199999997</v>
      </c>
      <c r="L46" s="3">
        <f t="shared" ref="L46" si="391">(L49-L44)/5+L45</f>
        <v>5433.9630999999999</v>
      </c>
      <c r="M46" s="3">
        <f t="shared" ref="M46" si="392">(M49-M44)/5+M45</f>
        <v>28965.297827999999</v>
      </c>
      <c r="N46" s="3">
        <f t="shared" ref="N46" si="393">(N49-N44)/5+N45</f>
        <v>27630.563736</v>
      </c>
      <c r="O46" s="3">
        <f t="shared" ref="O46" si="394">(O49-O44)/5+O45</f>
        <v>5826.0776000000005</v>
      </c>
      <c r="P46" s="3">
        <f t="shared" ref="P46" si="395">(P49-P44)/5+P45</f>
        <v>64142.367359999997</v>
      </c>
      <c r="Q46" s="3">
        <f t="shared" ref="Q46" si="396">(Q49-Q44)/5+Q45</f>
        <v>25438.325485999998</v>
      </c>
      <c r="R46" s="3">
        <f t="shared" ref="R46" si="397">(R49-R44)/5+R45</f>
        <v>3566.5322000000001</v>
      </c>
    </row>
    <row r="47" spans="1:18" x14ac:dyDescent="0.3">
      <c r="A47" s="1">
        <v>2063</v>
      </c>
      <c r="B47" s="3">
        <f>(B49-B44)/5+B46</f>
        <v>3138.8839999999996</v>
      </c>
      <c r="C47" s="3">
        <f t="shared" ref="C47" si="398">(C49-C44)/5+C46</f>
        <v>63574.513999999996</v>
      </c>
      <c r="D47" s="3">
        <f t="shared" ref="D47" si="399">(D49-D44)/5+D46</f>
        <v>7107.3120000000008</v>
      </c>
      <c r="E47" s="3">
        <f t="shared" ref="E47" si="400">(E49-E44)/5+E46</f>
        <v>7303.3820000000014</v>
      </c>
      <c r="F47" s="3">
        <f t="shared" ref="F47" si="401">(F49-F44)/5+F46</f>
        <v>165.32660000000001</v>
      </c>
      <c r="G47" s="22">
        <f t="shared" si="251"/>
        <v>195.98956750498033</v>
      </c>
      <c r="H47" s="3">
        <f t="shared" ref="H47" si="402">(H49-H44)/5+H46</f>
        <v>40754.300742000014</v>
      </c>
      <c r="I47" s="3">
        <f t="shared" ref="I47" si="403">(I49-I44)/5+I46</f>
        <v>28609.369170000005</v>
      </c>
      <c r="J47" s="3">
        <f t="shared" ref="J47" si="404">(J49-J44)/5+J46</f>
        <v>41450.034239999994</v>
      </c>
      <c r="K47" s="3">
        <f t="shared" ref="K47" si="405">(K49-K44)/5+K46</f>
        <v>6496.1347799999994</v>
      </c>
      <c r="L47" s="3">
        <f t="shared" ref="L47" si="406">(L49-L44)/5+L46</f>
        <v>5545.8175000000001</v>
      </c>
      <c r="M47" s="3">
        <f t="shared" ref="M47" si="407">(M49-M44)/5+M46</f>
        <v>29719.157351999998</v>
      </c>
      <c r="N47" s="3">
        <f t="shared" ref="N47" si="408">(N49-N44)/5+N46</f>
        <v>28843.422974000001</v>
      </c>
      <c r="O47" s="3">
        <f t="shared" ref="O47" si="409">(O49-O44)/5+O46</f>
        <v>5940.6784000000007</v>
      </c>
      <c r="P47" s="3">
        <f t="shared" ref="P47" si="410">(P49-P44)/5+P46</f>
        <v>65937.266940000001</v>
      </c>
      <c r="Q47" s="3">
        <f t="shared" ref="Q47" si="411">(Q49-Q44)/5+Q46</f>
        <v>25847.042663999997</v>
      </c>
      <c r="R47" s="3">
        <f t="shared" ref="R47" si="412">(R49-R44)/5+R46</f>
        <v>3627.5788000000002</v>
      </c>
    </row>
    <row r="48" spans="1:18" x14ac:dyDescent="0.3">
      <c r="A48" s="1">
        <v>2064</v>
      </c>
      <c r="B48" s="3">
        <f>(B49-B44)/5+B47</f>
        <v>3136.1419999999994</v>
      </c>
      <c r="C48" s="3">
        <f t="shared" ref="C48" si="413">(C49-C44)/5+C47</f>
        <v>64200.350999999995</v>
      </c>
      <c r="D48" s="3">
        <f t="shared" ref="D48" si="414">(D49-D44)/5+D47</f>
        <v>7140.456000000001</v>
      </c>
      <c r="E48" s="3">
        <f t="shared" ref="E48" si="415">(E49-E44)/5+E47</f>
        <v>7420.1160000000018</v>
      </c>
      <c r="F48" s="3">
        <f t="shared" ref="F48" si="416">(F49-F44)/5+F47</f>
        <v>170.26680000000002</v>
      </c>
      <c r="G48" s="22">
        <f t="shared" si="251"/>
        <v>194.61764053244548</v>
      </c>
      <c r="H48" s="3">
        <f t="shared" ref="H48" si="417">(H49-H44)/5+H47</f>
        <v>41192.993326000018</v>
      </c>
      <c r="I48" s="3">
        <f t="shared" ref="I48" si="418">(I49-I44)/5+I47</f>
        <v>29254.630920000007</v>
      </c>
      <c r="J48" s="3">
        <f t="shared" ref="J48" si="419">(J49-J44)/5+J47</f>
        <v>41918.572019999992</v>
      </c>
      <c r="K48" s="3">
        <f t="shared" ref="K48" si="420">(K49-K44)/5+K47</f>
        <v>6535.5684399999991</v>
      </c>
      <c r="L48" s="3">
        <f t="shared" ref="L48" si="421">(L49-L44)/5+L47</f>
        <v>5657.6719000000003</v>
      </c>
      <c r="M48" s="3">
        <f t="shared" ref="M48" si="422">(M49-M44)/5+M47</f>
        <v>30473.016875999998</v>
      </c>
      <c r="N48" s="3">
        <f t="shared" ref="N48" si="423">(N49-N44)/5+N47</f>
        <v>30056.282212000002</v>
      </c>
      <c r="O48" s="3">
        <f t="shared" ref="O48" si="424">(O49-O44)/5+O47</f>
        <v>6055.2792000000009</v>
      </c>
      <c r="P48" s="3">
        <f t="shared" ref="P48" si="425">(P49-P44)/5+P47</f>
        <v>67732.166519999999</v>
      </c>
      <c r="Q48" s="3">
        <f t="shared" ref="Q48" si="426">(Q49-Q44)/5+Q47</f>
        <v>26255.759841999996</v>
      </c>
      <c r="R48" s="3">
        <f t="shared" ref="R48" si="427">(R49-R44)/5+R47</f>
        <v>3688.6254000000004</v>
      </c>
    </row>
    <row r="49" spans="1:18" x14ac:dyDescent="0.3">
      <c r="A49" s="1">
        <v>2065</v>
      </c>
      <c r="B49">
        <v>3133.4</v>
      </c>
      <c r="C49">
        <v>64826.188000000002</v>
      </c>
      <c r="D49">
        <v>7173.6</v>
      </c>
      <c r="E49">
        <v>7536.85</v>
      </c>
      <c r="F49">
        <v>175.20699999999999</v>
      </c>
      <c r="G49" s="22">
        <f t="shared" si="251"/>
        <v>193.25531704871835</v>
      </c>
      <c r="H49">
        <v>41631.685910000007</v>
      </c>
      <c r="I49">
        <v>29899.892670000001</v>
      </c>
      <c r="J49">
        <v>42387.109799999998</v>
      </c>
      <c r="K49">
        <v>6575.0020999999997</v>
      </c>
      <c r="L49">
        <v>5769.5263000000004</v>
      </c>
      <c r="M49">
        <v>31226.876400000001</v>
      </c>
      <c r="N49">
        <v>31269.141449999999</v>
      </c>
      <c r="O49">
        <v>6169.8799999999992</v>
      </c>
      <c r="P49">
        <v>69527.066099999996</v>
      </c>
      <c r="Q49">
        <v>26664.477019999998</v>
      </c>
      <c r="R49">
        <v>3749.672</v>
      </c>
    </row>
    <row r="50" spans="1:18" x14ac:dyDescent="0.3">
      <c r="A50" s="1">
        <v>2066</v>
      </c>
      <c r="B50" s="4">
        <f>(B54-B49)/5+B49</f>
        <v>3127.558</v>
      </c>
      <c r="C50" s="4">
        <f t="shared" ref="C50" si="428">(C54-C49)/5+C49</f>
        <v>65329.606</v>
      </c>
      <c r="D50" s="4">
        <f t="shared" ref="D50" si="429">(D54-D49)/5+D49</f>
        <v>7200.2400000000007</v>
      </c>
      <c r="E50" s="4">
        <f t="shared" ref="E50" si="430">(E54-E49)/5+E49</f>
        <v>7658.5300000000007</v>
      </c>
      <c r="F50" s="4">
        <f t="shared" ref="F50" si="431">(F54-F49)/5+F49</f>
        <v>180.63339999999999</v>
      </c>
      <c r="G50" s="22">
        <f t="shared" si="251"/>
        <v>191.90252982937733</v>
      </c>
      <c r="H50" s="4">
        <f t="shared" ref="H50" si="432">(H54-H49)/5+H49</f>
        <v>42066.690824000005</v>
      </c>
      <c r="I50" s="4">
        <f t="shared" ref="I50" si="433">(I54-I49)/5+I49</f>
        <v>30567.527312000002</v>
      </c>
      <c r="J50" s="4">
        <f t="shared" ref="J50" si="434">(J54-J49)/5+J49</f>
        <v>42826.903480000001</v>
      </c>
      <c r="K50" s="4">
        <f t="shared" ref="K50" si="435">(K54-K49)/5+K49</f>
        <v>6609.6416199999994</v>
      </c>
      <c r="L50" s="4">
        <f t="shared" ref="L50" si="436">(L54-L49)/5+L49</f>
        <v>5887.5141400000002</v>
      </c>
      <c r="M50" s="4">
        <f t="shared" ref="M50" si="437">(M54-M49)/5+M49</f>
        <v>32014.023983999999</v>
      </c>
      <c r="N50" s="4">
        <f t="shared" ref="N50" si="438">(N54-N49)/5+N49</f>
        <v>32700.140414000001</v>
      </c>
      <c r="O50" s="4">
        <f t="shared" ref="O50" si="439">(O54-O49)/5+O49</f>
        <v>6281.8271999999997</v>
      </c>
      <c r="P50" s="4">
        <f t="shared" ref="P50" si="440">(P54-P49)/5+P49</f>
        <v>71387.577619999996</v>
      </c>
      <c r="Q50" s="4">
        <f t="shared" ref="Q50" si="441">(Q54-Q49)/5+Q49</f>
        <v>27070.129161999997</v>
      </c>
      <c r="R50" s="4">
        <f t="shared" ref="R50" si="442">(R54-R49)/5+R49</f>
        <v>3810.8249999999998</v>
      </c>
    </row>
    <row r="51" spans="1:18" x14ac:dyDescent="0.3">
      <c r="A51" s="1">
        <v>2067</v>
      </c>
      <c r="B51" s="3">
        <f>(B54-B49)/5+B50</f>
        <v>3121.7159999999999</v>
      </c>
      <c r="C51" s="3">
        <f t="shared" ref="C51" si="443">(C54-C49)/5+C50</f>
        <v>65833.024000000005</v>
      </c>
      <c r="D51" s="3">
        <f t="shared" ref="D51" si="444">(D54-D49)/5+D50</f>
        <v>7226.880000000001</v>
      </c>
      <c r="E51" s="3">
        <f t="shared" ref="E51" si="445">(E54-E49)/5+E50</f>
        <v>7780.2100000000009</v>
      </c>
      <c r="F51" s="3">
        <f t="shared" ref="F51" si="446">(F54-F49)/5+F50</f>
        <v>186.0598</v>
      </c>
      <c r="G51" s="22">
        <f t="shared" si="251"/>
        <v>190.55921212057169</v>
      </c>
      <c r="H51" s="3">
        <f t="shared" ref="H51" si="447">(H54-H49)/5+H50</f>
        <v>42501.695738000002</v>
      </c>
      <c r="I51" s="3">
        <f t="shared" ref="I51" si="448">(I54-I49)/5+I50</f>
        <v>31235.161954000003</v>
      </c>
      <c r="J51" s="3">
        <f t="shared" ref="J51" si="449">(J54-J49)/5+J50</f>
        <v>43266.697160000003</v>
      </c>
      <c r="K51" s="3">
        <f t="shared" ref="K51" si="450">(K54-K49)/5+K50</f>
        <v>6644.2811399999991</v>
      </c>
      <c r="L51" s="3">
        <f t="shared" ref="L51" si="451">(L54-L49)/5+L50</f>
        <v>6005.50198</v>
      </c>
      <c r="M51" s="3">
        <f t="shared" ref="M51" si="452">(M54-M49)/5+M50</f>
        <v>32801.171567999998</v>
      </c>
      <c r="N51" s="3">
        <f t="shared" ref="N51" si="453">(N54-N49)/5+N50</f>
        <v>34131.139378</v>
      </c>
      <c r="O51" s="3">
        <f t="shared" ref="O51" si="454">(O54-O49)/5+O50</f>
        <v>6393.7744000000002</v>
      </c>
      <c r="P51" s="3">
        <f t="shared" ref="P51" si="455">(P54-P49)/5+P50</f>
        <v>73248.089139999996</v>
      </c>
      <c r="Q51" s="3">
        <f t="shared" ref="Q51" si="456">(Q54-Q49)/5+Q50</f>
        <v>27475.781303999996</v>
      </c>
      <c r="R51" s="3">
        <f t="shared" ref="R51" si="457">(R54-R49)/5+R50</f>
        <v>3871.9779999999996</v>
      </c>
    </row>
    <row r="52" spans="1:18" x14ac:dyDescent="0.3">
      <c r="A52" s="1">
        <v>2068</v>
      </c>
      <c r="B52" s="3">
        <f>(B54-B49)/5+B51</f>
        <v>3115.8739999999998</v>
      </c>
      <c r="C52" s="3">
        <f t="shared" ref="C52" si="458">(C54-C49)/5+C51</f>
        <v>66336.44200000001</v>
      </c>
      <c r="D52" s="3">
        <f t="shared" ref="D52" si="459">(D54-D49)/5+D51</f>
        <v>7253.5200000000013</v>
      </c>
      <c r="E52" s="3">
        <f t="shared" ref="E52" si="460">(E54-E49)/5+E51</f>
        <v>7901.8900000000012</v>
      </c>
      <c r="F52" s="3">
        <f t="shared" ref="F52" si="461">(F54-F49)/5+F51</f>
        <v>191.4862</v>
      </c>
      <c r="G52" s="22">
        <f t="shared" si="251"/>
        <v>189.22529763572769</v>
      </c>
      <c r="H52" s="3">
        <f t="shared" ref="H52" si="462">(H54-H49)/5+H51</f>
        <v>42936.700652</v>
      </c>
      <c r="I52" s="3">
        <f t="shared" ref="I52" si="463">(I54-I49)/5+I51</f>
        <v>31902.796596000004</v>
      </c>
      <c r="J52" s="3">
        <f t="shared" ref="J52" si="464">(J54-J49)/5+J51</f>
        <v>43706.490840000006</v>
      </c>
      <c r="K52" s="3">
        <f t="shared" ref="K52" si="465">(K54-K49)/5+K51</f>
        <v>6678.9206599999989</v>
      </c>
      <c r="L52" s="3">
        <f t="shared" ref="L52" si="466">(L54-L49)/5+L51</f>
        <v>6123.4898199999998</v>
      </c>
      <c r="M52" s="3">
        <f t="shared" ref="M52" si="467">(M54-M49)/5+M51</f>
        <v>33588.319151999996</v>
      </c>
      <c r="N52" s="3">
        <f t="shared" ref="N52" si="468">(N54-N49)/5+N51</f>
        <v>35562.138341999998</v>
      </c>
      <c r="O52" s="3">
        <f t="shared" ref="O52" si="469">(O54-O49)/5+O51</f>
        <v>6505.7216000000008</v>
      </c>
      <c r="P52" s="3">
        <f t="shared" ref="P52" si="470">(P54-P49)/5+P51</f>
        <v>75108.600659999996</v>
      </c>
      <c r="Q52" s="3">
        <f t="shared" ref="Q52" si="471">(Q54-Q49)/5+Q51</f>
        <v>27881.433445999995</v>
      </c>
      <c r="R52" s="3">
        <f t="shared" ref="R52" si="472">(R54-R49)/5+R51</f>
        <v>3933.1309999999994</v>
      </c>
    </row>
    <row r="53" spans="1:18" x14ac:dyDescent="0.3">
      <c r="A53" s="1">
        <v>2069</v>
      </c>
      <c r="B53" s="3">
        <f>(B54-B49)/5+B52</f>
        <v>3110.0319999999997</v>
      </c>
      <c r="C53" s="3">
        <f t="shared" ref="C53" si="473">(C54-C49)/5+C52</f>
        <v>66839.860000000015</v>
      </c>
      <c r="D53" s="3">
        <f t="shared" ref="D53" si="474">(D54-D49)/5+D52</f>
        <v>7280.1600000000017</v>
      </c>
      <c r="E53" s="3">
        <f t="shared" ref="E53" si="475">(E54-E49)/5+E52</f>
        <v>8023.5700000000015</v>
      </c>
      <c r="F53" s="3">
        <f t="shared" ref="F53" si="476">(F54-F49)/5+F52</f>
        <v>196.9126</v>
      </c>
      <c r="G53" s="22">
        <f t="shared" si="251"/>
        <v>187.90072055227759</v>
      </c>
      <c r="H53" s="3">
        <f t="shared" ref="H53" si="477">(H54-H49)/5+H52</f>
        <v>43371.705565999997</v>
      </c>
      <c r="I53" s="3">
        <f t="shared" ref="I53" si="478">(I54-I49)/5+I52</f>
        <v>32570.431238000005</v>
      </c>
      <c r="J53" s="3">
        <f t="shared" ref="J53" si="479">(J54-J49)/5+J52</f>
        <v>44146.284520000008</v>
      </c>
      <c r="K53" s="3">
        <f t="shared" ref="K53" si="480">(K54-K49)/5+K52</f>
        <v>6713.5601799999986</v>
      </c>
      <c r="L53" s="3">
        <f t="shared" ref="L53" si="481">(L54-L49)/5+L52</f>
        <v>6241.4776599999996</v>
      </c>
      <c r="M53" s="3">
        <f t="shared" ref="M53" si="482">(M54-M49)/5+M52</f>
        <v>34375.466735999995</v>
      </c>
      <c r="N53" s="3">
        <f t="shared" ref="N53" si="483">(N54-N49)/5+N52</f>
        <v>36993.137305999997</v>
      </c>
      <c r="O53" s="3">
        <f t="shared" ref="O53" si="484">(O54-O49)/5+O52</f>
        <v>6617.6688000000013</v>
      </c>
      <c r="P53" s="3">
        <f t="shared" ref="P53" si="485">(P54-P49)/5+P52</f>
        <v>76969.112179999996</v>
      </c>
      <c r="Q53" s="3">
        <f t="shared" ref="Q53" si="486">(Q54-Q49)/5+Q52</f>
        <v>28287.085587999994</v>
      </c>
      <c r="R53" s="3">
        <f t="shared" ref="R53" si="487">(R54-R49)/5+R52</f>
        <v>3994.2839999999992</v>
      </c>
    </row>
    <row r="54" spans="1:18" x14ac:dyDescent="0.3">
      <c r="A54" s="1">
        <v>2070</v>
      </c>
      <c r="B54">
        <v>3104.19</v>
      </c>
      <c r="C54">
        <v>67343.277999999991</v>
      </c>
      <c r="D54">
        <v>7306.8</v>
      </c>
      <c r="E54">
        <v>8145.25</v>
      </c>
      <c r="F54">
        <v>202.339</v>
      </c>
      <c r="G54" s="22">
        <f t="shared" si="251"/>
        <v>186.58541550841164</v>
      </c>
      <c r="H54">
        <v>43806.710480000002</v>
      </c>
      <c r="I54">
        <v>33238.065880000002</v>
      </c>
      <c r="J54">
        <v>44586.078200000004</v>
      </c>
      <c r="K54">
        <v>6748.1997000000001</v>
      </c>
      <c r="L54">
        <v>6359.4655000000002</v>
      </c>
      <c r="M54">
        <v>35162.614320000001</v>
      </c>
      <c r="N54">
        <v>38424.136270000003</v>
      </c>
      <c r="O54">
        <v>6729.616</v>
      </c>
      <c r="P54">
        <v>78829.623699999996</v>
      </c>
      <c r="Q54">
        <v>28692.737730000001</v>
      </c>
      <c r="R54">
        <v>4055.4369999999999</v>
      </c>
    </row>
    <row r="55" spans="1:18" x14ac:dyDescent="0.3">
      <c r="A55" s="1">
        <v>2071</v>
      </c>
      <c r="B55" s="4">
        <f>(B59-B54)/5+B54</f>
        <v>3095.18</v>
      </c>
      <c r="C55" s="4">
        <f t="shared" ref="C55" si="488">(C59-C54)/5+C54</f>
        <v>67717.769</v>
      </c>
      <c r="D55" s="4">
        <f t="shared" ref="D55" si="489">(D59-D54)/5+D54</f>
        <v>7328.06</v>
      </c>
      <c r="E55" s="4">
        <f t="shared" ref="E55" si="490">(E59-E54)/5+E54</f>
        <v>8268.4699999999993</v>
      </c>
      <c r="F55" s="4">
        <f t="shared" ref="F55" si="491">(F59-F54)/5+F54</f>
        <v>208.17599999999999</v>
      </c>
      <c r="G55" s="22">
        <f t="shared" si="251"/>
        <v>185.27931759985276</v>
      </c>
      <c r="H55" s="4">
        <f t="shared" ref="H55" si="492">(H59-H54)/5+H54</f>
        <v>44232.836614</v>
      </c>
      <c r="I55" s="4">
        <f t="shared" ref="I55" si="493">(I59-I54)/5+I54</f>
        <v>33919.444007999999</v>
      </c>
      <c r="J55" s="4">
        <f t="shared" ref="J55" si="494">(J59-J54)/5+J54</f>
        <v>44994.813480000004</v>
      </c>
      <c r="K55" s="4">
        <f t="shared" ref="K55" si="495">(K59-K54)/5+K54</f>
        <v>6777.3133399999997</v>
      </c>
      <c r="L55" s="4">
        <f t="shared" ref="L55" si="496">(L59-L54)/5+L54</f>
        <v>6481.2070000000003</v>
      </c>
      <c r="M55" s="4">
        <f t="shared" ref="M55" si="497">(M59-M54)/5+M54</f>
        <v>35982.545923999998</v>
      </c>
      <c r="N55" s="4">
        <f t="shared" ref="N55" si="498">(N59-N54)/5+N54</f>
        <v>40094.010898</v>
      </c>
      <c r="O55" s="4">
        <f t="shared" ref="O55" si="499">(O59-O54)/5+O54</f>
        <v>6834.2695999999996</v>
      </c>
      <c r="P55" s="4">
        <f t="shared" ref="P55" si="500">(P59-P54)/5+P54</f>
        <v>80749.214540000001</v>
      </c>
      <c r="Q55" s="4">
        <f t="shared" ref="Q55" si="501">(Q59-Q54)/5+Q54</f>
        <v>29093.015943999999</v>
      </c>
      <c r="R55" s="4">
        <f t="shared" ref="R55" si="502">(R59-R54)/5+R54</f>
        <v>4115.4156000000003</v>
      </c>
    </row>
    <row r="56" spans="1:18" x14ac:dyDescent="0.3">
      <c r="A56" s="1">
        <v>2072</v>
      </c>
      <c r="B56" s="3">
        <f>(B59-B54)/5+B55</f>
        <v>3086.1699999999996</v>
      </c>
      <c r="C56" s="3">
        <f t="shared" ref="C56" si="503">(C59-C54)/5+C55</f>
        <v>68092.260000000009</v>
      </c>
      <c r="D56" s="3">
        <f t="shared" ref="D56" si="504">(D59-D54)/5+D55</f>
        <v>7349.3200000000006</v>
      </c>
      <c r="E56" s="3">
        <f t="shared" ref="E56" si="505">(E59-E54)/5+E55</f>
        <v>8391.6899999999987</v>
      </c>
      <c r="F56" s="3">
        <f t="shared" ref="F56" si="506">(F59-F54)/5+F55</f>
        <v>214.01299999999998</v>
      </c>
      <c r="G56" s="22">
        <f t="shared" si="251"/>
        <v>183.98236237665378</v>
      </c>
      <c r="H56" s="3">
        <f t="shared" ref="H56" si="507">(H59-H54)/5+H55</f>
        <v>44658.962747999998</v>
      </c>
      <c r="I56" s="3">
        <f t="shared" ref="I56" si="508">(I59-I54)/5+I55</f>
        <v>34600.822135999995</v>
      </c>
      <c r="J56" s="3">
        <f t="shared" ref="J56" si="509">(J59-J54)/5+J55</f>
        <v>45403.548760000005</v>
      </c>
      <c r="K56" s="3">
        <f t="shared" ref="K56" si="510">(K59-K54)/5+K55</f>
        <v>6806.4269799999993</v>
      </c>
      <c r="L56" s="3">
        <f t="shared" ref="L56" si="511">(L59-L54)/5+L55</f>
        <v>6602.9485000000004</v>
      </c>
      <c r="M56" s="3">
        <f t="shared" ref="M56" si="512">(M59-M54)/5+M55</f>
        <v>36802.477527999996</v>
      </c>
      <c r="N56" s="3">
        <f t="shared" ref="N56" si="513">(N59-N54)/5+N55</f>
        <v>41763.885525999998</v>
      </c>
      <c r="O56" s="3">
        <f t="shared" ref="O56" si="514">(O59-O54)/5+O55</f>
        <v>6938.9231999999993</v>
      </c>
      <c r="P56" s="3">
        <f t="shared" ref="P56" si="515">(P59-P54)/5+P55</f>
        <v>82668.805380000005</v>
      </c>
      <c r="Q56" s="3">
        <f t="shared" ref="Q56" si="516">(Q59-Q54)/5+Q55</f>
        <v>29493.294157999997</v>
      </c>
      <c r="R56" s="3">
        <f t="shared" ref="R56" si="517">(R59-R54)/5+R55</f>
        <v>4175.3942000000006</v>
      </c>
    </row>
    <row r="57" spans="1:18" x14ac:dyDescent="0.3">
      <c r="A57" s="1">
        <v>2073</v>
      </c>
      <c r="B57" s="3">
        <f>(B59-B54)/5+B56</f>
        <v>3077.1599999999994</v>
      </c>
      <c r="C57" s="3">
        <f t="shared" ref="C57" si="518">(C59-C54)/5+C56</f>
        <v>68466.751000000018</v>
      </c>
      <c r="D57" s="3">
        <f t="shared" ref="D57" si="519">(D59-D54)/5+D56</f>
        <v>7370.5800000000008</v>
      </c>
      <c r="E57" s="3">
        <f t="shared" ref="E57" si="520">(E59-E54)/5+E56</f>
        <v>8514.909999999998</v>
      </c>
      <c r="F57" s="3">
        <f t="shared" ref="F57" si="521">(F59-F54)/5+F56</f>
        <v>219.84999999999997</v>
      </c>
      <c r="G57" s="22">
        <f t="shared" si="251"/>
        <v>182.69448584001719</v>
      </c>
      <c r="H57" s="3">
        <f t="shared" ref="H57" si="522">(H59-H54)/5+H56</f>
        <v>45085.088881999996</v>
      </c>
      <c r="I57" s="3">
        <f t="shared" ref="I57" si="523">(I59-I54)/5+I56</f>
        <v>35282.200263999992</v>
      </c>
      <c r="J57" s="3">
        <f t="shared" ref="J57" si="524">(J59-J54)/5+J56</f>
        <v>45812.284040000006</v>
      </c>
      <c r="K57" s="3">
        <f t="shared" ref="K57" si="525">(K59-K54)/5+K56</f>
        <v>6835.5406199999989</v>
      </c>
      <c r="L57" s="3">
        <f t="shared" ref="L57" si="526">(L59-L54)/5+L56</f>
        <v>6724.6900000000005</v>
      </c>
      <c r="M57" s="3">
        <f t="shared" ref="M57" si="527">(M59-M54)/5+M56</f>
        <v>37622.409131999993</v>
      </c>
      <c r="N57" s="3">
        <f t="shared" ref="N57" si="528">(N59-N54)/5+N56</f>
        <v>43433.760153999996</v>
      </c>
      <c r="O57" s="3">
        <f t="shared" ref="O57" si="529">(O59-O54)/5+O56</f>
        <v>7043.5767999999989</v>
      </c>
      <c r="P57" s="3">
        <f t="shared" ref="P57" si="530">(P59-P54)/5+P56</f>
        <v>84588.39622000001</v>
      </c>
      <c r="Q57" s="3">
        <f t="shared" ref="Q57" si="531">(Q59-Q54)/5+Q56</f>
        <v>29893.572371999995</v>
      </c>
      <c r="R57" s="3">
        <f t="shared" ref="R57" si="532">(R59-R54)/5+R56</f>
        <v>4235.372800000001</v>
      </c>
    </row>
    <row r="58" spans="1:18" x14ac:dyDescent="0.3">
      <c r="A58" s="1">
        <v>2074</v>
      </c>
      <c r="B58" s="3">
        <f>(B59-B54)/5+B57</f>
        <v>3068.1499999999992</v>
      </c>
      <c r="C58" s="3">
        <f t="shared" ref="C58" si="533">(C59-C54)/5+C57</f>
        <v>68841.242000000027</v>
      </c>
      <c r="D58" s="3">
        <f t="shared" ref="D58" si="534">(D59-D54)/5+D57</f>
        <v>7391.8400000000011</v>
      </c>
      <c r="E58" s="3">
        <f t="shared" ref="E58" si="535">(E59-E54)/5+E57</f>
        <v>8638.1299999999974</v>
      </c>
      <c r="F58" s="3">
        <f t="shared" ref="F58" si="536">(F59-F54)/5+F57</f>
        <v>225.68699999999995</v>
      </c>
      <c r="G58" s="22">
        <f t="shared" si="251"/>
        <v>181.41562443913708</v>
      </c>
      <c r="H58" s="3">
        <f t="shared" ref="H58" si="537">(H59-H54)/5+H57</f>
        <v>45511.215015999995</v>
      </c>
      <c r="I58" s="3">
        <f t="shared" ref="I58" si="538">(I59-I54)/5+I57</f>
        <v>35963.578391999989</v>
      </c>
      <c r="J58" s="3">
        <f t="shared" ref="J58" si="539">(J59-J54)/5+J57</f>
        <v>46221.019320000007</v>
      </c>
      <c r="K58" s="3">
        <f t="shared" ref="K58" si="540">(K59-K54)/5+K57</f>
        <v>6864.6542599999984</v>
      </c>
      <c r="L58" s="3">
        <f t="shared" ref="L58" si="541">(L59-L54)/5+L57</f>
        <v>6846.4315000000006</v>
      </c>
      <c r="M58" s="3">
        <f t="shared" ref="M58" si="542">(M59-M54)/5+M57</f>
        <v>38442.340735999991</v>
      </c>
      <c r="N58" s="3">
        <f t="shared" ref="N58" si="543">(N59-N54)/5+N57</f>
        <v>45103.634781999994</v>
      </c>
      <c r="O58" s="3">
        <f t="shared" ref="O58" si="544">(O59-O54)/5+O57</f>
        <v>7148.2303999999986</v>
      </c>
      <c r="P58" s="3">
        <f t="shared" ref="P58" si="545">(P59-P54)/5+P57</f>
        <v>86507.987060000014</v>
      </c>
      <c r="Q58" s="3">
        <f t="shared" ref="Q58" si="546">(Q59-Q54)/5+Q57</f>
        <v>30293.850585999993</v>
      </c>
      <c r="R58" s="3">
        <f t="shared" ref="R58" si="547">(R59-R54)/5+R57</f>
        <v>4295.3514000000014</v>
      </c>
    </row>
    <row r="59" spans="1:18" x14ac:dyDescent="0.3">
      <c r="A59" s="1">
        <v>2075</v>
      </c>
      <c r="B59">
        <v>3059.14</v>
      </c>
      <c r="C59">
        <v>69215.733000000007</v>
      </c>
      <c r="D59">
        <v>7413.1</v>
      </c>
      <c r="E59">
        <v>8761.35</v>
      </c>
      <c r="F59">
        <v>231.524</v>
      </c>
      <c r="G59" s="22">
        <f t="shared" si="251"/>
        <v>180.14571506806311</v>
      </c>
      <c r="H59">
        <v>45937.34115</v>
      </c>
      <c r="I59">
        <v>36644.95652</v>
      </c>
      <c r="J59">
        <v>46629.7546</v>
      </c>
      <c r="K59">
        <v>6893.7678999999998</v>
      </c>
      <c r="L59">
        <v>6968.1729999999998</v>
      </c>
      <c r="M59">
        <v>39262.272340000003</v>
      </c>
      <c r="N59">
        <v>46773.509409999999</v>
      </c>
      <c r="O59">
        <v>7252.884</v>
      </c>
      <c r="P59">
        <v>88427.577900000004</v>
      </c>
      <c r="Q59">
        <v>30694.128799999999</v>
      </c>
      <c r="R59">
        <v>4355.33</v>
      </c>
    </row>
    <row r="60" spans="1:18" x14ac:dyDescent="0.3">
      <c r="A60" s="1">
        <v>2076</v>
      </c>
      <c r="B60" s="4">
        <f>(B64-B59)/5+B59</f>
        <v>3047.1659999999997</v>
      </c>
      <c r="C60" s="4">
        <f t="shared" ref="C60" si="548">(C64-C59)/5+C59</f>
        <v>69490.551200000002</v>
      </c>
      <c r="D60" s="4">
        <f t="shared" ref="D60" si="549">(D64-D59)/5+D59</f>
        <v>7432.1940000000004</v>
      </c>
      <c r="E60" s="4">
        <f t="shared" ref="E60" si="550">(E64-E59)/5+E59</f>
        <v>8886.5879999999997</v>
      </c>
      <c r="F60" s="4">
        <f t="shared" ref="F60" si="551">(F64-F59)/5+F59</f>
        <v>237.7938</v>
      </c>
      <c r="G60" s="22">
        <f t="shared" si="251"/>
        <v>178.88469506258667</v>
      </c>
      <c r="H60" s="4">
        <f t="shared" ref="H60" si="552">(H64-H59)/5+H59</f>
        <v>46351.629827999997</v>
      </c>
      <c r="I60" s="4">
        <f t="shared" ref="I60" si="553">(I64-I59)/5+I59</f>
        <v>37324.181213999997</v>
      </c>
      <c r="J60" s="4">
        <f t="shared" ref="J60" si="554">(J64-J59)/5+J59</f>
        <v>47005.413099999998</v>
      </c>
      <c r="K60" s="4">
        <f t="shared" ref="K60" si="555">(K64-K59)/5+K59</f>
        <v>6918.4346599999999</v>
      </c>
      <c r="L60" s="4">
        <f t="shared" ref="L60" si="556">(L64-L59)/5+L59</f>
        <v>7094.5455999999995</v>
      </c>
      <c r="M60" s="4">
        <f t="shared" ref="M60" si="557">(M64-M59)/5+M59</f>
        <v>40114.778792000005</v>
      </c>
      <c r="N60" s="4">
        <f t="shared" ref="N60" si="558">(N64-N59)/5+N59</f>
        <v>48690.982087999997</v>
      </c>
      <c r="O60" s="4">
        <f t="shared" ref="O60" si="559">(O64-O59)/5+O59</f>
        <v>7349.9179999999997</v>
      </c>
      <c r="P60" s="4">
        <f t="shared" ref="P60" si="560">(P64-P59)/5+P59</f>
        <v>90357.012119999999</v>
      </c>
      <c r="Q60" s="4">
        <f t="shared" ref="Q60" si="561">(Q64-Q59)/5+Q59</f>
        <v>31084.229987999999</v>
      </c>
      <c r="R60" s="4">
        <f t="shared" ref="R60" si="562">(R64-R59)/5+R59</f>
        <v>4413.1728000000003</v>
      </c>
    </row>
    <row r="61" spans="1:18" x14ac:dyDescent="0.3">
      <c r="A61" s="1">
        <v>2077</v>
      </c>
      <c r="B61" s="3">
        <f>(B64-B59)/5+B60</f>
        <v>3035.1919999999996</v>
      </c>
      <c r="C61" s="3">
        <f t="shared" ref="C61" si="563">(C64-C59)/5+C60</f>
        <v>69765.369399999996</v>
      </c>
      <c r="D61" s="3">
        <f t="shared" ref="D61" si="564">(D64-D59)/5+D60</f>
        <v>7451.2880000000005</v>
      </c>
      <c r="E61" s="3">
        <f t="shared" ref="E61" si="565">(E64-E59)/5+E60</f>
        <v>9011.8259999999991</v>
      </c>
      <c r="F61" s="3">
        <f t="shared" ref="F61" si="566">(F64-F59)/5+F60</f>
        <v>244.06360000000001</v>
      </c>
      <c r="G61" s="22">
        <f t="shared" si="251"/>
        <v>177.63250219714857</v>
      </c>
      <c r="H61" s="3">
        <f t="shared" ref="H61" si="567">(H64-H59)/5+H60</f>
        <v>46765.918505999995</v>
      </c>
      <c r="I61" s="3">
        <f t="shared" ref="I61" si="568">(I64-I59)/5+I60</f>
        <v>38003.405907999993</v>
      </c>
      <c r="J61" s="3">
        <f t="shared" ref="J61" si="569">(J64-J59)/5+J60</f>
        <v>47381.071599999996</v>
      </c>
      <c r="K61" s="3">
        <f t="shared" ref="K61" si="570">(K64-K59)/5+K60</f>
        <v>6943.10142</v>
      </c>
      <c r="L61" s="3">
        <f t="shared" ref="L61" si="571">(L64-L59)/5+L60</f>
        <v>7220.9181999999992</v>
      </c>
      <c r="M61" s="3">
        <f t="shared" ref="M61" si="572">(M64-M59)/5+M60</f>
        <v>40967.285244000006</v>
      </c>
      <c r="N61" s="3">
        <f t="shared" ref="N61" si="573">(N64-N59)/5+N60</f>
        <v>50608.454765999995</v>
      </c>
      <c r="O61" s="3">
        <f t="shared" ref="O61" si="574">(O64-O59)/5+O60</f>
        <v>7446.9519999999993</v>
      </c>
      <c r="P61" s="3">
        <f t="shared" ref="P61" si="575">(P64-P59)/5+P60</f>
        <v>92286.446339999995</v>
      </c>
      <c r="Q61" s="3">
        <f t="shared" ref="Q61" si="576">(Q64-Q59)/5+Q60</f>
        <v>31474.331176</v>
      </c>
      <c r="R61" s="3">
        <f t="shared" ref="R61" si="577">(R64-R59)/5+R60</f>
        <v>4471.0156000000006</v>
      </c>
    </row>
    <row r="62" spans="1:18" x14ac:dyDescent="0.3">
      <c r="A62" s="1">
        <v>2078</v>
      </c>
      <c r="B62" s="3">
        <f>(B64-B59)/5+B61</f>
        <v>3023.2179999999994</v>
      </c>
      <c r="C62" s="3">
        <f t="shared" ref="C62" si="578">(C64-C59)/5+C61</f>
        <v>70040.18759999999</v>
      </c>
      <c r="D62" s="3">
        <f t="shared" ref="D62" si="579">(D64-D59)/5+D61</f>
        <v>7470.3820000000005</v>
      </c>
      <c r="E62" s="3">
        <f t="shared" ref="E62" si="580">(E64-E59)/5+E61</f>
        <v>9137.0639999999985</v>
      </c>
      <c r="F62" s="3">
        <f t="shared" ref="F62" si="581">(F64-F59)/5+F61</f>
        <v>250.33340000000001</v>
      </c>
      <c r="G62" s="22">
        <f t="shared" si="251"/>
        <v>176.38907468176853</v>
      </c>
      <c r="H62" s="3">
        <f t="shared" ref="H62" si="582">(H64-H59)/5+H61</f>
        <v>47180.207183999992</v>
      </c>
      <c r="I62" s="3">
        <f t="shared" ref="I62" si="583">(I64-I59)/5+I61</f>
        <v>38682.63060199999</v>
      </c>
      <c r="J62" s="3">
        <f t="shared" ref="J62" si="584">(J64-J59)/5+J61</f>
        <v>47756.730099999993</v>
      </c>
      <c r="K62" s="3">
        <f t="shared" ref="K62" si="585">(K64-K59)/5+K61</f>
        <v>6967.76818</v>
      </c>
      <c r="L62" s="3">
        <f t="shared" ref="L62" si="586">(L64-L59)/5+L61</f>
        <v>7347.2907999999989</v>
      </c>
      <c r="M62" s="3">
        <f t="shared" ref="M62" si="587">(M64-M59)/5+M61</f>
        <v>41819.791696000008</v>
      </c>
      <c r="N62" s="3">
        <f t="shared" ref="N62" si="588">(N64-N59)/5+N61</f>
        <v>52525.927443999994</v>
      </c>
      <c r="O62" s="3">
        <f t="shared" ref="O62" si="589">(O64-O59)/5+O61</f>
        <v>7543.985999999999</v>
      </c>
      <c r="P62" s="3">
        <f t="shared" ref="P62" si="590">(P64-P59)/5+P61</f>
        <v>94215.880559999991</v>
      </c>
      <c r="Q62" s="3">
        <f t="shared" ref="Q62" si="591">(Q64-Q59)/5+Q61</f>
        <v>31864.432364</v>
      </c>
      <c r="R62" s="3">
        <f t="shared" ref="R62" si="592">(R64-R59)/5+R61</f>
        <v>4528.858400000001</v>
      </c>
    </row>
    <row r="63" spans="1:18" x14ac:dyDescent="0.3">
      <c r="A63" s="1">
        <v>2079</v>
      </c>
      <c r="B63" s="3">
        <f>(B64-B59)/5+B62</f>
        <v>3011.2439999999992</v>
      </c>
      <c r="C63" s="3">
        <f t="shared" ref="C63" si="593">(C64-C59)/5+C62</f>
        <v>70315.005799999984</v>
      </c>
      <c r="D63" s="3">
        <f t="shared" ref="D63" si="594">(D64-D59)/5+D62</f>
        <v>7489.4760000000006</v>
      </c>
      <c r="E63" s="3">
        <f t="shared" ref="E63" si="595">(E64-E59)/5+E62</f>
        <v>9262.3019999999979</v>
      </c>
      <c r="F63" s="3">
        <f t="shared" ref="F63" si="596">(F64-F59)/5+F62</f>
        <v>256.60320000000002</v>
      </c>
      <c r="G63" s="22">
        <f t="shared" si="251"/>
        <v>175.15435115899615</v>
      </c>
      <c r="H63" s="3">
        <f t="shared" ref="H63" si="597">(H64-H59)/5+H62</f>
        <v>47594.495861999989</v>
      </c>
      <c r="I63" s="3">
        <f t="shared" ref="I63" si="598">(I64-I59)/5+I62</f>
        <v>39361.855295999987</v>
      </c>
      <c r="J63" s="3">
        <f t="shared" ref="J63" si="599">(J64-J59)/5+J62</f>
        <v>48132.388599999991</v>
      </c>
      <c r="K63" s="3">
        <f t="shared" ref="K63" si="600">(K64-K59)/5+K62</f>
        <v>6992.4349400000001</v>
      </c>
      <c r="L63" s="3">
        <f t="shared" ref="L63" si="601">(L64-L59)/5+L62</f>
        <v>7473.6633999999985</v>
      </c>
      <c r="M63" s="3">
        <f t="shared" ref="M63" si="602">(M64-M59)/5+M62</f>
        <v>42672.298148000009</v>
      </c>
      <c r="N63" s="3">
        <f t="shared" ref="N63" si="603">(N64-N59)/5+N62</f>
        <v>54443.400121999992</v>
      </c>
      <c r="O63" s="3">
        <f t="shared" ref="O63" si="604">(O64-O59)/5+O62</f>
        <v>7641.0199999999986</v>
      </c>
      <c r="P63" s="3">
        <f t="shared" ref="P63" si="605">(P64-P59)/5+P62</f>
        <v>96145.314779999986</v>
      </c>
      <c r="Q63" s="3">
        <f t="shared" ref="Q63" si="606">(Q64-Q59)/5+Q62</f>
        <v>32254.533552000001</v>
      </c>
      <c r="R63" s="3">
        <f t="shared" ref="R63" si="607">(R64-R59)/5+R62</f>
        <v>4586.7012000000013</v>
      </c>
    </row>
    <row r="64" spans="1:18" x14ac:dyDescent="0.3">
      <c r="A64" s="1">
        <v>2080</v>
      </c>
      <c r="B64">
        <v>2999.27</v>
      </c>
      <c r="C64">
        <v>70589.824000000008</v>
      </c>
      <c r="D64">
        <v>7508.57</v>
      </c>
      <c r="E64">
        <v>9387.5400000000009</v>
      </c>
      <c r="F64">
        <v>262.87299999999999</v>
      </c>
      <c r="G64" s="22">
        <f t="shared" si="251"/>
        <v>173.92827070088319</v>
      </c>
      <c r="H64">
        <v>48008.784540000001</v>
      </c>
      <c r="I64">
        <v>40041.079989999998</v>
      </c>
      <c r="J64">
        <v>48508.047100000003</v>
      </c>
      <c r="K64">
        <v>7017.1017000000002</v>
      </c>
      <c r="L64">
        <v>7600.0360000000001</v>
      </c>
      <c r="M64">
        <v>43524.804600000003</v>
      </c>
      <c r="N64">
        <v>56360.872799999997</v>
      </c>
      <c r="O64">
        <v>7738.0540000000001</v>
      </c>
      <c r="P64">
        <v>98074.749000000011</v>
      </c>
      <c r="Q64">
        <v>32644.634740000001</v>
      </c>
      <c r="R64">
        <v>4644.5439999999999</v>
      </c>
    </row>
    <row r="65" spans="1:18" x14ac:dyDescent="0.3">
      <c r="A65" s="1">
        <v>2081</v>
      </c>
      <c r="B65" s="4">
        <f>(B69-B64)/5+B64</f>
        <v>2985.19</v>
      </c>
      <c r="C65" s="4">
        <f t="shared" ref="C65" si="608">(C69-C64)/5+C64</f>
        <v>70791.722800000003</v>
      </c>
      <c r="D65" s="4">
        <f t="shared" ref="D65" si="609">(D69-D64)/5+D64</f>
        <v>7527.2219999999998</v>
      </c>
      <c r="E65" s="4">
        <f t="shared" ref="E65" si="610">(E69-E64)/5+E64</f>
        <v>9518.7520000000004</v>
      </c>
      <c r="F65" s="4">
        <f t="shared" ref="F65" si="611">(F69-F64)/5+F64</f>
        <v>269.60899999999998</v>
      </c>
      <c r="G65" s="22">
        <f t="shared" si="251"/>
        <v>172.710772805977</v>
      </c>
      <c r="H65" s="4">
        <f t="shared" ref="H65" si="612">(H69-H64)/5+H64</f>
        <v>48411.809792</v>
      </c>
      <c r="I65" s="4">
        <f t="shared" ref="I65" si="613">(I69-I64)/5+I64</f>
        <v>40715.44427</v>
      </c>
      <c r="J65" s="4">
        <f t="shared" ref="J65" si="614">(J69-J64)/5+J64</f>
        <v>48852.361720000001</v>
      </c>
      <c r="K65" s="4">
        <f t="shared" ref="K65" si="615">(K69-K64)/5+K64</f>
        <v>7039.7509</v>
      </c>
      <c r="L65" s="4">
        <f t="shared" ref="L65" si="616">(L69-L64)/5+L64</f>
        <v>7733.9542000000001</v>
      </c>
      <c r="M65" s="4">
        <f t="shared" ref="M65" si="617">(M69-M64)/5+M64</f>
        <v>44412.80212</v>
      </c>
      <c r="N65" s="4">
        <f t="shared" ref="N65" si="618">(N69-N64)/5+N64</f>
        <v>58537.933239999998</v>
      </c>
      <c r="O65" s="4">
        <f t="shared" ref="O65" si="619">(O69-O64)/5+O64</f>
        <v>7830.0652</v>
      </c>
      <c r="P65" s="4">
        <f t="shared" ref="P65" si="620">(P69-P64)/5+P64</f>
        <v>99997.000140000004</v>
      </c>
      <c r="Q65" s="4">
        <f t="shared" ref="Q65" si="621">(Q69-Q64)/5+Q64</f>
        <v>33025.296225999999</v>
      </c>
      <c r="R65" s="4">
        <f t="shared" ref="R65" si="622">(R69-R64)/5+R64</f>
        <v>4699.4838</v>
      </c>
    </row>
    <row r="66" spans="1:18" x14ac:dyDescent="0.3">
      <c r="A66" s="1">
        <v>2082</v>
      </c>
      <c r="B66" s="3">
        <f>(B69-B64)/5+B65</f>
        <v>2971.11</v>
      </c>
      <c r="C66" s="3">
        <f t="shared" ref="C66" si="623">(C69-C64)/5+C65</f>
        <v>70993.621599999999</v>
      </c>
      <c r="D66" s="3">
        <f t="shared" ref="D66" si="624">(D69-D64)/5+D65</f>
        <v>7545.8739999999998</v>
      </c>
      <c r="E66" s="3">
        <f t="shared" ref="E66" si="625">(E69-E64)/5+E65</f>
        <v>9649.9639999999999</v>
      </c>
      <c r="F66" s="3">
        <f t="shared" ref="F66" si="626">(F69-F64)/5+F65</f>
        <v>276.34499999999997</v>
      </c>
      <c r="G66" s="22">
        <f t="shared" si="251"/>
        <v>171.50179739633515</v>
      </c>
      <c r="H66" s="3">
        <f t="shared" ref="H66" si="627">(H69-H64)/5+H65</f>
        <v>48814.835043999999</v>
      </c>
      <c r="I66" s="3">
        <f t="shared" ref="I66" si="628">(I69-I64)/5+I65</f>
        <v>41389.808550000002</v>
      </c>
      <c r="J66" s="3">
        <f t="shared" ref="J66" si="629">(J69-J64)/5+J65</f>
        <v>49196.676339999998</v>
      </c>
      <c r="K66" s="3">
        <f t="shared" ref="K66" si="630">(K69-K64)/5+K65</f>
        <v>7062.4000999999998</v>
      </c>
      <c r="L66" s="3">
        <f t="shared" ref="L66" si="631">(L69-L64)/5+L65</f>
        <v>7867.8724000000002</v>
      </c>
      <c r="M66" s="3">
        <f t="shared" ref="M66" si="632">(M69-M64)/5+M65</f>
        <v>45300.799639999997</v>
      </c>
      <c r="N66" s="3">
        <f t="shared" ref="N66" si="633">(N69-N64)/5+N65</f>
        <v>60714.99368</v>
      </c>
      <c r="O66" s="3">
        <f t="shared" ref="O66" si="634">(O69-O64)/5+O65</f>
        <v>7922.0763999999999</v>
      </c>
      <c r="P66" s="3">
        <f t="shared" ref="P66" si="635">(P69-P64)/5+P65</f>
        <v>101919.25128</v>
      </c>
      <c r="Q66" s="3">
        <f t="shared" ref="Q66" si="636">(Q69-Q64)/5+Q65</f>
        <v>33405.957711999996</v>
      </c>
      <c r="R66" s="3">
        <f t="shared" ref="R66" si="637">(R69-R64)/5+R65</f>
        <v>4754.4236000000001</v>
      </c>
    </row>
    <row r="67" spans="1:18" x14ac:dyDescent="0.3">
      <c r="A67" s="1">
        <v>2083</v>
      </c>
      <c r="B67" s="3">
        <f>(B69-B64)/5+B66</f>
        <v>2957.03</v>
      </c>
      <c r="C67" s="3">
        <f t="shared" ref="C67" si="638">(C69-C64)/5+C66</f>
        <v>71195.520399999994</v>
      </c>
      <c r="D67" s="3">
        <f t="shared" ref="D67" si="639">(D69-D64)/5+D66</f>
        <v>7564.5259999999998</v>
      </c>
      <c r="E67" s="3">
        <f t="shared" ref="E67" si="640">(E69-E64)/5+E66</f>
        <v>9781.1759999999995</v>
      </c>
      <c r="F67" s="3">
        <f t="shared" ref="F67" si="641">(F69-F64)/5+F66</f>
        <v>283.08099999999996</v>
      </c>
      <c r="G67" s="22">
        <f t="shared" si="251"/>
        <v>170.3012848145608</v>
      </c>
      <c r="H67" s="3">
        <f t="shared" ref="H67" si="642">(H69-H64)/5+H66</f>
        <v>49217.860295999999</v>
      </c>
      <c r="I67" s="3">
        <f t="shared" ref="I67" si="643">(I69-I64)/5+I66</f>
        <v>42064.172830000003</v>
      </c>
      <c r="J67" s="3">
        <f t="shared" ref="J67" si="644">(J69-J64)/5+J66</f>
        <v>49540.990959999996</v>
      </c>
      <c r="K67" s="3">
        <f t="shared" ref="K67" si="645">(K69-K64)/5+K66</f>
        <v>7085.0492999999997</v>
      </c>
      <c r="L67" s="3">
        <f t="shared" ref="L67" si="646">(L69-L64)/5+L66</f>
        <v>8001.7906000000003</v>
      </c>
      <c r="M67" s="3">
        <f t="shared" ref="M67" si="647">(M69-M64)/5+M66</f>
        <v>46188.797159999995</v>
      </c>
      <c r="N67" s="3">
        <f t="shared" ref="N67" si="648">(N69-N64)/5+N66</f>
        <v>62892.054120000001</v>
      </c>
      <c r="O67" s="3">
        <f t="shared" ref="O67" si="649">(O69-O64)/5+O66</f>
        <v>8014.0875999999998</v>
      </c>
      <c r="P67" s="3">
        <f t="shared" ref="P67" si="650">(P69-P64)/5+P66</f>
        <v>103841.50241999999</v>
      </c>
      <c r="Q67" s="3">
        <f t="shared" ref="Q67" si="651">(Q69-Q64)/5+Q66</f>
        <v>33786.619197999993</v>
      </c>
      <c r="R67" s="3">
        <f t="shared" ref="R67" si="652">(R69-R64)/5+R66</f>
        <v>4809.3634000000002</v>
      </c>
    </row>
    <row r="68" spans="1:18" x14ac:dyDescent="0.3">
      <c r="A68" s="1">
        <v>2084</v>
      </c>
      <c r="B68" s="3">
        <f>(B69-B64)/5+B67</f>
        <v>2942.9500000000003</v>
      </c>
      <c r="C68" s="3">
        <f t="shared" ref="C68" si="653">(C69-C64)/5+C67</f>
        <v>71397.419199999989</v>
      </c>
      <c r="D68" s="3">
        <f t="shared" ref="D68" si="654">(D69-D64)/5+D67</f>
        <v>7583.1779999999999</v>
      </c>
      <c r="E68" s="3">
        <f t="shared" ref="E68" si="655">(E69-E64)/5+E67</f>
        <v>9912.387999999999</v>
      </c>
      <c r="F68" s="3">
        <f t="shared" ref="F68" si="656">(F69-F64)/5+F67</f>
        <v>289.81699999999995</v>
      </c>
      <c r="G68" s="22">
        <f t="shared" si="251"/>
        <v>169.10917582085887</v>
      </c>
      <c r="H68" s="3">
        <f t="shared" ref="H68" si="657">(H69-H64)/5+H67</f>
        <v>49620.885547999998</v>
      </c>
      <c r="I68" s="3">
        <f t="shared" ref="I68" si="658">(I69-I64)/5+I67</f>
        <v>42738.537110000005</v>
      </c>
      <c r="J68" s="3">
        <f t="shared" ref="J68" si="659">(J69-J64)/5+J67</f>
        <v>49885.305579999993</v>
      </c>
      <c r="K68" s="3">
        <f t="shared" ref="K68" si="660">(K69-K64)/5+K67</f>
        <v>7107.6984999999995</v>
      </c>
      <c r="L68" s="3">
        <f t="shared" ref="L68" si="661">(L69-L64)/5+L67</f>
        <v>8135.7088000000003</v>
      </c>
      <c r="M68" s="3">
        <f t="shared" ref="M68" si="662">(M69-M64)/5+M67</f>
        <v>47076.794679999992</v>
      </c>
      <c r="N68" s="3">
        <f t="shared" ref="N68" si="663">(N69-N64)/5+N67</f>
        <v>65069.114560000002</v>
      </c>
      <c r="O68" s="3">
        <f t="shared" ref="O68" si="664">(O69-O64)/5+O67</f>
        <v>8106.0987999999998</v>
      </c>
      <c r="P68" s="3">
        <f t="shared" ref="P68" si="665">(P69-P64)/5+P67</f>
        <v>105763.75355999998</v>
      </c>
      <c r="Q68" s="3">
        <f t="shared" ref="Q68" si="666">(Q69-Q64)/5+Q67</f>
        <v>34167.28068399999</v>
      </c>
      <c r="R68" s="3">
        <f t="shared" ref="R68" si="667">(R69-R64)/5+R67</f>
        <v>4864.3032000000003</v>
      </c>
    </row>
    <row r="69" spans="1:18" x14ac:dyDescent="0.3">
      <c r="A69" s="1">
        <v>2085</v>
      </c>
      <c r="B69">
        <v>2928.87</v>
      </c>
      <c r="C69">
        <v>71599.317999999999</v>
      </c>
      <c r="D69">
        <v>7601.83</v>
      </c>
      <c r="E69">
        <v>10043.6</v>
      </c>
      <c r="F69">
        <v>296.553</v>
      </c>
      <c r="G69" s="22">
        <f t="shared" si="251"/>
        <v>167.92541159011284</v>
      </c>
      <c r="H69">
        <v>50023.910799999998</v>
      </c>
      <c r="I69">
        <v>43412.901389999999</v>
      </c>
      <c r="J69">
        <v>50229.620199999998</v>
      </c>
      <c r="K69">
        <v>7130.3476999999993</v>
      </c>
      <c r="L69">
        <v>8269.6270000000004</v>
      </c>
      <c r="M69">
        <v>47964.792200000004</v>
      </c>
      <c r="N69">
        <v>67246.175000000003</v>
      </c>
      <c r="O69">
        <v>8198.11</v>
      </c>
      <c r="P69">
        <v>107686.0047</v>
      </c>
      <c r="Q69">
        <v>34547.942170000002</v>
      </c>
      <c r="R69">
        <v>4919.2429999999986</v>
      </c>
    </row>
    <row r="70" spans="1:18" x14ac:dyDescent="0.3">
      <c r="A70" s="1">
        <v>2086</v>
      </c>
      <c r="B70" s="4">
        <f>(B74-B69)/5+B69</f>
        <v>2913.096</v>
      </c>
      <c r="C70" s="4">
        <f t="shared" ref="C70" si="668">(C74-C69)/5+C69</f>
        <v>71762.502399999998</v>
      </c>
      <c r="D70" s="4">
        <f t="shared" ref="D70" si="669">(D74-D69)/5+D69</f>
        <v>7618.8819999999996</v>
      </c>
      <c r="E70" s="4">
        <f t="shared" ref="E70" si="670">(E74-E69)/5+E69</f>
        <v>10184.32</v>
      </c>
      <c r="F70" s="4">
        <f t="shared" ref="F70" si="671">(F74-F69)/5+F69</f>
        <v>303.79680000000002</v>
      </c>
      <c r="G70" s="22">
        <f t="shared" si="251"/>
        <v>166.74993370898204</v>
      </c>
      <c r="H70" s="4">
        <f t="shared" ref="H70" si="672">(H74-H69)/5+H69</f>
        <v>50417.186326000003</v>
      </c>
      <c r="I70" s="4">
        <f t="shared" ref="I70" si="673">(I74-I69)/5+I69</f>
        <v>44081.031234000002</v>
      </c>
      <c r="J70" s="4">
        <f t="shared" ref="J70" si="674">(J74-J69)/5+J69</f>
        <v>50545.098399999995</v>
      </c>
      <c r="K70" s="4">
        <f t="shared" ref="K70" si="675">(K74-K69)/5+K69</f>
        <v>7153.2662599999994</v>
      </c>
      <c r="L70" s="4">
        <f t="shared" ref="L70" si="676">(L74-L69)/5+L69</f>
        <v>8413.2242000000006</v>
      </c>
      <c r="M70" s="4">
        <f t="shared" ref="M70" si="677">(M74-M69)/5+M69</f>
        <v>48895.882980000002</v>
      </c>
      <c r="N70" s="4">
        <f t="shared" ref="N70" si="678">(N74-N69)/5+N69</f>
        <v>69696.558418000001</v>
      </c>
      <c r="O70" s="4">
        <f t="shared" ref="O70" si="679">(O74-O69)/5+O69</f>
        <v>8287.9704000000002</v>
      </c>
      <c r="P70" s="4">
        <f t="shared" ref="P70" si="680">(P74-P69)/5+P69</f>
        <v>109600.54126</v>
      </c>
      <c r="Q70" s="4">
        <f t="shared" ref="Q70" si="681">(Q74-Q69)/5+Q69</f>
        <v>34918.762174000003</v>
      </c>
      <c r="R70" s="4">
        <f t="shared" ref="R70" si="682">(R74-R69)/5+R69</f>
        <v>4970.9731999999985</v>
      </c>
    </row>
    <row r="71" spans="1:18" x14ac:dyDescent="0.3">
      <c r="A71" s="1">
        <v>2087</v>
      </c>
      <c r="B71" s="3">
        <f>(B74-B69)/5+B70</f>
        <v>2897.3220000000001</v>
      </c>
      <c r="C71" s="3">
        <f t="shared" ref="C71" si="683">(C74-C69)/5+C70</f>
        <v>71925.686799999996</v>
      </c>
      <c r="D71" s="3">
        <f t="shared" ref="D71" si="684">(D74-D69)/5+D70</f>
        <v>7635.9339999999993</v>
      </c>
      <c r="E71" s="3">
        <f t="shared" ref="E71" si="685">(E74-E69)/5+E70</f>
        <v>10325.039999999999</v>
      </c>
      <c r="F71" s="3">
        <f t="shared" ref="F71" si="686">(F74-F69)/5+F70</f>
        <v>311.04060000000004</v>
      </c>
      <c r="G71" s="22">
        <f t="shared" ref="G71:G84" si="687">G70-G70*0.007</f>
        <v>165.58268417301917</v>
      </c>
      <c r="H71" s="3">
        <f t="shared" ref="H71" si="688">(H74-H69)/5+H70</f>
        <v>50810.461852000008</v>
      </c>
      <c r="I71" s="3">
        <f t="shared" ref="I71" si="689">(I74-I69)/5+I70</f>
        <v>44749.161078000005</v>
      </c>
      <c r="J71" s="3">
        <f t="shared" ref="J71" si="690">(J74-J69)/5+J70</f>
        <v>50860.576599999993</v>
      </c>
      <c r="K71" s="3">
        <f t="shared" ref="K71" si="691">(K74-K69)/5+K70</f>
        <v>7176.1848199999995</v>
      </c>
      <c r="L71" s="3">
        <f t="shared" ref="L71" si="692">(L74-L69)/5+L70</f>
        <v>8556.8214000000007</v>
      </c>
      <c r="M71" s="3">
        <f t="shared" ref="M71" si="693">(M74-M69)/5+M70</f>
        <v>49826.973760000001</v>
      </c>
      <c r="N71" s="3">
        <f t="shared" ref="N71" si="694">(N74-N69)/5+N70</f>
        <v>72146.941835999998</v>
      </c>
      <c r="O71" s="3">
        <f t="shared" ref="O71" si="695">(O74-O69)/5+O70</f>
        <v>8377.8307999999997</v>
      </c>
      <c r="P71" s="3">
        <f t="shared" ref="P71" si="696">(P74-P69)/5+P70</f>
        <v>111515.07781999999</v>
      </c>
      <c r="Q71" s="3">
        <f t="shared" ref="Q71" si="697">(Q74-Q69)/5+Q70</f>
        <v>35289.582178000004</v>
      </c>
      <c r="R71" s="3">
        <f t="shared" ref="R71" si="698">(R74-R69)/5+R70</f>
        <v>5022.7033999999985</v>
      </c>
    </row>
    <row r="72" spans="1:18" x14ac:dyDescent="0.3">
      <c r="A72" s="1">
        <v>2088</v>
      </c>
      <c r="B72" s="3">
        <f>(B74-B69)/5+B71</f>
        <v>2881.5480000000002</v>
      </c>
      <c r="C72" s="3">
        <f t="shared" ref="C72" si="699">(C74-C69)/5+C71</f>
        <v>72088.871199999994</v>
      </c>
      <c r="D72" s="3">
        <f t="shared" ref="D72" si="700">(D74-D69)/5+D71</f>
        <v>7652.985999999999</v>
      </c>
      <c r="E72" s="3">
        <f t="shared" ref="E72" si="701">(E74-E69)/5+E71</f>
        <v>10465.759999999998</v>
      </c>
      <c r="F72" s="3">
        <f t="shared" ref="F72" si="702">(F74-F69)/5+F71</f>
        <v>318.28440000000006</v>
      </c>
      <c r="G72" s="22">
        <f t="shared" si="687"/>
        <v>164.42360538380805</v>
      </c>
      <c r="H72" s="3">
        <f t="shared" ref="H72" si="703">(H74-H69)/5+H71</f>
        <v>51203.737378000013</v>
      </c>
      <c r="I72" s="3">
        <f t="shared" ref="I72" si="704">(I74-I69)/5+I71</f>
        <v>45417.290922000007</v>
      </c>
      <c r="J72" s="3">
        <f t="shared" ref="J72" si="705">(J74-J69)/5+J71</f>
        <v>51176.054799999991</v>
      </c>
      <c r="K72" s="3">
        <f t="shared" ref="K72" si="706">(K74-K69)/5+K71</f>
        <v>7199.1033799999996</v>
      </c>
      <c r="L72" s="3">
        <f t="shared" ref="L72" si="707">(L74-L69)/5+L71</f>
        <v>8700.4186000000009</v>
      </c>
      <c r="M72" s="3">
        <f t="shared" ref="M72" si="708">(M74-M69)/5+M71</f>
        <v>50758.064539999999</v>
      </c>
      <c r="N72" s="3">
        <f t="shared" ref="N72" si="709">(N74-N69)/5+N71</f>
        <v>74597.325253999996</v>
      </c>
      <c r="O72" s="3">
        <f t="shared" ref="O72" si="710">(O74-O69)/5+O71</f>
        <v>8467.6911999999993</v>
      </c>
      <c r="P72" s="3">
        <f t="shared" ref="P72" si="711">(P74-P69)/5+P71</f>
        <v>113429.61437999998</v>
      </c>
      <c r="Q72" s="3">
        <f t="shared" ref="Q72" si="712">(Q74-Q69)/5+Q71</f>
        <v>35660.402182000005</v>
      </c>
      <c r="R72" s="3">
        <f t="shared" ref="R72" si="713">(R74-R69)/5+R71</f>
        <v>5074.4335999999985</v>
      </c>
    </row>
    <row r="73" spans="1:18" x14ac:dyDescent="0.3">
      <c r="A73" s="1">
        <v>2089</v>
      </c>
      <c r="B73" s="3">
        <f>(B74-B69)/5+B72</f>
        <v>2865.7740000000003</v>
      </c>
      <c r="C73" s="3">
        <f t="shared" ref="C73" si="714">(C74-C69)/5+C72</f>
        <v>72252.055599999992</v>
      </c>
      <c r="D73" s="3">
        <f t="shared" ref="D73" si="715">(D74-D69)/5+D72</f>
        <v>7670.0379999999986</v>
      </c>
      <c r="E73" s="3">
        <f t="shared" ref="E73" si="716">(E74-E69)/5+E72</f>
        <v>10606.479999999998</v>
      </c>
      <c r="F73" s="3">
        <f t="shared" ref="F73" si="717">(F74-F69)/5+F72</f>
        <v>325.52820000000008</v>
      </c>
      <c r="G73" s="22">
        <f t="shared" si="687"/>
        <v>163.2726401461214</v>
      </c>
      <c r="H73" s="3">
        <f t="shared" ref="H73" si="718">(H74-H69)/5+H72</f>
        <v>51597.012904000017</v>
      </c>
      <c r="I73" s="3">
        <f t="shared" ref="I73" si="719">(I74-I69)/5+I72</f>
        <v>46085.42076600001</v>
      </c>
      <c r="J73" s="3">
        <f t="shared" ref="J73" si="720">(J74-J69)/5+J72</f>
        <v>51491.532999999989</v>
      </c>
      <c r="K73" s="3">
        <f t="shared" ref="K73" si="721">(K74-K69)/5+K72</f>
        <v>7222.0219399999996</v>
      </c>
      <c r="L73" s="3">
        <f t="shared" ref="L73" si="722">(L74-L69)/5+L72</f>
        <v>8844.015800000001</v>
      </c>
      <c r="M73" s="3">
        <f t="shared" ref="M73" si="723">(M74-M69)/5+M72</f>
        <v>51689.155319999998</v>
      </c>
      <c r="N73" s="3">
        <f t="shared" ref="N73" si="724">(N74-N69)/5+N72</f>
        <v>77047.708671999993</v>
      </c>
      <c r="O73" s="3">
        <f t="shared" ref="O73" si="725">(O74-O69)/5+O72</f>
        <v>8557.5515999999989</v>
      </c>
      <c r="P73" s="3">
        <f t="shared" ref="P73" si="726">(P74-P69)/5+P72</f>
        <v>115344.15093999998</v>
      </c>
      <c r="Q73" s="3">
        <f t="shared" ref="Q73" si="727">(Q74-Q69)/5+Q72</f>
        <v>36031.222186000006</v>
      </c>
      <c r="R73" s="3">
        <f t="shared" ref="R73" si="728">(R74-R69)/5+R72</f>
        <v>5126.1637999999984</v>
      </c>
    </row>
    <row r="74" spans="1:18" x14ac:dyDescent="0.3">
      <c r="A74" s="1">
        <v>2090</v>
      </c>
      <c r="B74">
        <v>2850</v>
      </c>
      <c r="C74">
        <v>72415.240000000005</v>
      </c>
      <c r="D74">
        <v>7687.09</v>
      </c>
      <c r="E74">
        <v>10747.2</v>
      </c>
      <c r="F74">
        <v>332.77199999999999</v>
      </c>
      <c r="G74" s="22">
        <f t="shared" si="687"/>
        <v>162.12973166509855</v>
      </c>
      <c r="H74">
        <v>51990.288430000008</v>
      </c>
      <c r="I74">
        <v>46753.550609999998</v>
      </c>
      <c r="J74">
        <v>51807.011200000001</v>
      </c>
      <c r="K74">
        <v>7244.9405000000006</v>
      </c>
      <c r="L74">
        <v>8987.6130000000012</v>
      </c>
      <c r="M74">
        <v>52620.246099999997</v>
      </c>
      <c r="N74">
        <v>79498.092090000006</v>
      </c>
      <c r="O74">
        <v>8647.4120000000003</v>
      </c>
      <c r="P74">
        <v>117258.6875</v>
      </c>
      <c r="Q74">
        <v>36402.04219</v>
      </c>
      <c r="R74">
        <v>5177.8940000000002</v>
      </c>
    </row>
    <row r="75" spans="1:18" x14ac:dyDescent="0.3">
      <c r="A75" s="1">
        <v>2091</v>
      </c>
      <c r="B75" s="4">
        <f>(B79-B74)/5+B74</f>
        <v>2832.902</v>
      </c>
      <c r="C75" s="4">
        <f t="shared" ref="C75" si="729">(C79-C74)/5+C74</f>
        <v>72547.917000000001</v>
      </c>
      <c r="D75" s="4">
        <f t="shared" ref="D75" si="730">(D79-D74)/5+D74</f>
        <v>7700.0659999999998</v>
      </c>
      <c r="E75" s="4">
        <f t="shared" ref="E75" si="731">(E79-E74)/5+E74</f>
        <v>10896.44</v>
      </c>
      <c r="F75" s="4">
        <f t="shared" ref="F75" si="732">(F79-F74)/5+F74</f>
        <v>340.5136</v>
      </c>
      <c r="G75" s="22">
        <f t="shared" si="687"/>
        <v>160.99482354344286</v>
      </c>
      <c r="H75" s="4">
        <f t="shared" ref="H75" si="733">(H79-H74)/5+H74</f>
        <v>52374.408198000005</v>
      </c>
      <c r="I75" s="4">
        <f t="shared" ref="I75" si="734">(I79-I74)/5+I74</f>
        <v>47414.346537999998</v>
      </c>
      <c r="J75" s="4">
        <f t="shared" ref="J75" si="735">(J79-J74)/5+J74</f>
        <v>52092.875599999999</v>
      </c>
      <c r="K75" s="4">
        <f t="shared" ref="K75" si="736">(K79-K74)/5+K74</f>
        <v>7268.9374200000002</v>
      </c>
      <c r="L75" s="4">
        <f t="shared" ref="L75" si="737">(L79-L74)/5+L74</f>
        <v>9140.4244000000017</v>
      </c>
      <c r="M75" s="4">
        <f t="shared" ref="M75" si="738">(M79-M74)/5+M74</f>
        <v>53596.033159999999</v>
      </c>
      <c r="N75" s="4">
        <f t="shared" ref="N75" si="739">(N79-N74)/5+N74</f>
        <v>82230.469852000009</v>
      </c>
      <c r="O75" s="4">
        <f t="shared" ref="O75" si="740">(O79-O74)/5+O74</f>
        <v>8737.2766000000011</v>
      </c>
      <c r="P75" s="4">
        <f t="shared" ref="P75" si="741">(P79-P74)/5+P74</f>
        <v>119167.07670000001</v>
      </c>
      <c r="Q75" s="4">
        <f t="shared" ref="Q75" si="742">(Q79-Q74)/5+Q74</f>
        <v>36763.437932000001</v>
      </c>
      <c r="R75" s="4">
        <f t="shared" ref="R75" si="743">(R79-R74)/5+R74</f>
        <v>5226.4153999999999</v>
      </c>
    </row>
    <row r="76" spans="1:18" x14ac:dyDescent="0.3">
      <c r="A76" s="1">
        <v>2092</v>
      </c>
      <c r="B76" s="3">
        <f>(B79-B74)/5+B75</f>
        <v>2815.8040000000001</v>
      </c>
      <c r="C76" s="3">
        <f t="shared" ref="C76" si="744">(C79-C74)/5+C75</f>
        <v>72680.593999999997</v>
      </c>
      <c r="D76" s="3">
        <f t="shared" ref="D76" si="745">(D79-D74)/5+D75</f>
        <v>7713.0419999999995</v>
      </c>
      <c r="E76" s="3">
        <f t="shared" ref="E76" si="746">(E79-E74)/5+E75</f>
        <v>11045.68</v>
      </c>
      <c r="F76" s="3">
        <f t="shared" ref="F76" si="747">(F79-F74)/5+F75</f>
        <v>348.2552</v>
      </c>
      <c r="G76" s="22">
        <f t="shared" si="687"/>
        <v>159.86785977863877</v>
      </c>
      <c r="H76" s="3">
        <f t="shared" ref="H76" si="748">(H79-H74)/5+H75</f>
        <v>52758.527966000001</v>
      </c>
      <c r="I76" s="3">
        <f t="shared" ref="I76" si="749">(I79-I74)/5+I75</f>
        <v>48075.142465999998</v>
      </c>
      <c r="J76" s="3">
        <f t="shared" ref="J76" si="750">(J79-J74)/5+J75</f>
        <v>52378.74</v>
      </c>
      <c r="K76" s="3">
        <f t="shared" ref="K76" si="751">(K79-K74)/5+K75</f>
        <v>7292.9343399999998</v>
      </c>
      <c r="L76" s="3">
        <f t="shared" ref="L76" si="752">(L79-L74)/5+L75</f>
        <v>9293.2358000000022</v>
      </c>
      <c r="M76" s="3">
        <f t="shared" ref="M76" si="753">(M79-M74)/5+M75</f>
        <v>54571.820220000001</v>
      </c>
      <c r="N76" s="3">
        <f t="shared" ref="N76" si="754">(N79-N74)/5+N75</f>
        <v>84962.847614000013</v>
      </c>
      <c r="O76" s="3">
        <f t="shared" ref="O76" si="755">(O79-O74)/5+O75</f>
        <v>8827.1412000000018</v>
      </c>
      <c r="P76" s="3">
        <f t="shared" ref="P76" si="756">(P79-P74)/5+P75</f>
        <v>121075.46590000001</v>
      </c>
      <c r="Q76" s="3">
        <f t="shared" ref="Q76" si="757">(Q79-Q74)/5+Q75</f>
        <v>37124.833674000001</v>
      </c>
      <c r="R76" s="3">
        <f t="shared" ref="R76" si="758">(R79-R74)/5+R75</f>
        <v>5274.9367999999995</v>
      </c>
    </row>
    <row r="77" spans="1:18" x14ac:dyDescent="0.3">
      <c r="A77" s="1">
        <v>2093</v>
      </c>
      <c r="B77" s="3">
        <f>(B79-B74)/5+B76</f>
        <v>2798.7060000000001</v>
      </c>
      <c r="C77" s="3">
        <f t="shared" ref="C77" si="759">(C79-C74)/5+C76</f>
        <v>72813.270999999993</v>
      </c>
      <c r="D77" s="3">
        <f t="shared" ref="D77" si="760">(D79-D74)/5+D76</f>
        <v>7726.0179999999991</v>
      </c>
      <c r="E77" s="3">
        <f t="shared" ref="E77" si="761">(E79-E74)/5+E76</f>
        <v>11194.92</v>
      </c>
      <c r="F77" s="3">
        <f t="shared" ref="F77" si="762">(F79-F74)/5+F76</f>
        <v>355.99680000000001</v>
      </c>
      <c r="G77" s="22">
        <f t="shared" si="687"/>
        <v>158.7487847601883</v>
      </c>
      <c r="H77" s="3">
        <f t="shared" ref="H77" si="763">(H79-H74)/5+H76</f>
        <v>53142.647733999998</v>
      </c>
      <c r="I77" s="3">
        <f t="shared" ref="I77" si="764">(I79-I74)/5+I76</f>
        <v>48735.938393999997</v>
      </c>
      <c r="J77" s="3">
        <f t="shared" ref="J77" si="765">(J79-J74)/5+J76</f>
        <v>52664.604399999997</v>
      </c>
      <c r="K77" s="3">
        <f t="shared" ref="K77" si="766">(K79-K74)/5+K76</f>
        <v>7316.9312599999994</v>
      </c>
      <c r="L77" s="3">
        <f t="shared" ref="L77" si="767">(L79-L74)/5+L76</f>
        <v>9446.0472000000027</v>
      </c>
      <c r="M77" s="3">
        <f t="shared" ref="M77" si="768">(M79-M74)/5+M76</f>
        <v>55547.607280000004</v>
      </c>
      <c r="N77" s="3">
        <f t="shared" ref="N77" si="769">(N79-N74)/5+N76</f>
        <v>87695.225376000017</v>
      </c>
      <c r="O77" s="3">
        <f t="shared" ref="O77" si="770">(O79-O74)/5+O76</f>
        <v>8917.0058000000026</v>
      </c>
      <c r="P77" s="3">
        <f t="shared" ref="P77" si="771">(P79-P74)/5+P76</f>
        <v>122983.85510000002</v>
      </c>
      <c r="Q77" s="3">
        <f t="shared" ref="Q77" si="772">(Q79-Q74)/5+Q76</f>
        <v>37486.229416000002</v>
      </c>
      <c r="R77" s="3">
        <f t="shared" ref="R77" si="773">(R79-R74)/5+R76</f>
        <v>5323.4581999999991</v>
      </c>
    </row>
    <row r="78" spans="1:18" x14ac:dyDescent="0.3">
      <c r="A78" s="1">
        <v>2094</v>
      </c>
      <c r="B78" s="3">
        <f>(B79-B74)/5+B77</f>
        <v>2781.6080000000002</v>
      </c>
      <c r="C78" s="3">
        <f t="shared" ref="C78" si="774">(C79-C74)/5+C77</f>
        <v>72945.947999999989</v>
      </c>
      <c r="D78" s="3">
        <f t="shared" ref="D78" si="775">(D79-D74)/5+D77</f>
        <v>7738.9939999999988</v>
      </c>
      <c r="E78" s="3">
        <f t="shared" ref="E78" si="776">(E79-E74)/5+E77</f>
        <v>11344.16</v>
      </c>
      <c r="F78" s="3">
        <f t="shared" ref="F78" si="777">(F79-F74)/5+F77</f>
        <v>363.73840000000001</v>
      </c>
      <c r="G78" s="22">
        <f t="shared" si="687"/>
        <v>157.63754326686697</v>
      </c>
      <c r="H78" s="3">
        <f t="shared" ref="H78" si="778">(H79-H74)/5+H77</f>
        <v>53526.767501999995</v>
      </c>
      <c r="I78" s="3">
        <f t="shared" ref="I78" si="779">(I79-I74)/5+I77</f>
        <v>49396.734321999997</v>
      </c>
      <c r="J78" s="3">
        <f t="shared" ref="J78" si="780">(J79-J74)/5+J77</f>
        <v>52950.468799999995</v>
      </c>
      <c r="K78" s="3">
        <f t="shared" ref="K78" si="781">(K79-K74)/5+K77</f>
        <v>7340.928179999999</v>
      </c>
      <c r="L78" s="3">
        <f t="shared" ref="L78" si="782">(L79-L74)/5+L77</f>
        <v>9598.8586000000032</v>
      </c>
      <c r="M78" s="3">
        <f t="shared" ref="M78" si="783">(M79-M74)/5+M77</f>
        <v>56523.394340000006</v>
      </c>
      <c r="N78" s="3">
        <f t="shared" ref="N78" si="784">(N79-N74)/5+N77</f>
        <v>90427.60313800002</v>
      </c>
      <c r="O78" s="3">
        <f t="shared" ref="O78" si="785">(O79-O74)/5+O77</f>
        <v>9006.8704000000034</v>
      </c>
      <c r="P78" s="3">
        <f t="shared" ref="P78" si="786">(P79-P74)/5+P77</f>
        <v>124892.24430000002</v>
      </c>
      <c r="Q78" s="3">
        <f t="shared" ref="Q78" si="787">(Q79-Q74)/5+Q77</f>
        <v>37847.625158000003</v>
      </c>
      <c r="R78" s="3">
        <f t="shared" ref="R78" si="788">(R79-R74)/5+R77</f>
        <v>5371.9795999999988</v>
      </c>
    </row>
    <row r="79" spans="1:18" x14ac:dyDescent="0.3">
      <c r="A79" s="1">
        <v>2095</v>
      </c>
      <c r="B79">
        <v>2764.51</v>
      </c>
      <c r="C79">
        <v>73078.625</v>
      </c>
      <c r="D79">
        <v>7751.97</v>
      </c>
      <c r="E79">
        <v>11493.4</v>
      </c>
      <c r="F79">
        <v>371.48</v>
      </c>
      <c r="G79" s="22">
        <f t="shared" si="687"/>
        <v>156.53408046399889</v>
      </c>
      <c r="H79">
        <v>53910.887270000007</v>
      </c>
      <c r="I79">
        <v>50057.530250000003</v>
      </c>
      <c r="J79">
        <v>53236.333200000001</v>
      </c>
      <c r="K79">
        <v>7364.9250999999986</v>
      </c>
      <c r="L79">
        <v>9751.67</v>
      </c>
      <c r="M79">
        <v>57499.181400000001</v>
      </c>
      <c r="N79">
        <v>93159.980899999995</v>
      </c>
      <c r="O79">
        <v>9096.7350000000006</v>
      </c>
      <c r="P79">
        <v>126800.6335</v>
      </c>
      <c r="Q79">
        <v>38209.020900000003</v>
      </c>
      <c r="R79">
        <v>5420.5010000000002</v>
      </c>
    </row>
    <row r="80" spans="1:18" x14ac:dyDescent="0.3">
      <c r="A80" s="1">
        <v>2096</v>
      </c>
      <c r="B80" s="4">
        <f>(B84-B79)/5+B79</f>
        <v>2746.806</v>
      </c>
      <c r="C80" s="4">
        <f t="shared" ref="C80" si="789">(C84-C79)/5+C79</f>
        <v>73153.642200000002</v>
      </c>
      <c r="D80" s="4">
        <f t="shared" ref="D80" si="790">(D84-D79)/5+D79</f>
        <v>7758.134</v>
      </c>
      <c r="E80" s="4">
        <f t="shared" ref="E80" si="791">(E84-E79)/5+E79</f>
        <v>11645.199999999999</v>
      </c>
      <c r="F80" s="4">
        <f t="shared" ref="F80" si="792">(F84-F79)/5+F79</f>
        <v>379.67340000000002</v>
      </c>
      <c r="G80" s="22">
        <f t="shared" si="687"/>
        <v>155.43834190075088</v>
      </c>
      <c r="H80" s="4">
        <f t="shared" ref="H80" si="793">(H84-H79)/5+H79</f>
        <v>54281.258362000008</v>
      </c>
      <c r="I80" s="4">
        <f t="shared" ref="I80" si="794">(I84-I79)/5+I79</f>
        <v>50710.368376000006</v>
      </c>
      <c r="J80" s="4">
        <f t="shared" ref="J80" si="795">(J84-J79)/5+J79</f>
        <v>53485.151859999998</v>
      </c>
      <c r="K80" s="4">
        <f t="shared" ref="K80" si="796">(K84-K79)/5+K79</f>
        <v>7388.4467799999984</v>
      </c>
      <c r="L80" s="4">
        <f t="shared" ref="L80" si="797">(L84-L79)/5+L79</f>
        <v>9911.3955999999998</v>
      </c>
      <c r="M80" s="4">
        <f t="shared" ref="M80" si="798">(M84-M79)/5+M79</f>
        <v>58511.337220000001</v>
      </c>
      <c r="N80" s="4">
        <f t="shared" ref="N80" si="799">(N84-N79)/5+N79</f>
        <v>96179.556459999993</v>
      </c>
      <c r="O80" s="4">
        <f t="shared" ref="O80" si="800">(O84-O79)/5+O79</f>
        <v>9187.3628000000008</v>
      </c>
      <c r="P80" s="4">
        <f t="shared" ref="P80" si="801">(P84-P79)/5+P79</f>
        <v>128715.61254</v>
      </c>
      <c r="Q80" s="4">
        <f t="shared" ref="Q80" si="802">(Q84-Q79)/5+Q79</f>
        <v>38559.874452000004</v>
      </c>
      <c r="R80" s="4">
        <f t="shared" ref="R80" si="803">(R84-R79)/5+R79</f>
        <v>5465.5637999999999</v>
      </c>
    </row>
    <row r="81" spans="1:18" x14ac:dyDescent="0.3">
      <c r="A81" s="1">
        <v>2097</v>
      </c>
      <c r="B81" s="3">
        <f>(B84-B79)/5+B80</f>
        <v>2729.1019999999999</v>
      </c>
      <c r="C81" s="3">
        <f t="shared" ref="C81" si="804">(C84-C79)/5+C80</f>
        <v>73228.659400000004</v>
      </c>
      <c r="D81" s="3">
        <f t="shared" ref="D81" si="805">(D84-D79)/5+D80</f>
        <v>7764.2979999999998</v>
      </c>
      <c r="E81" s="3">
        <f t="shared" ref="E81" si="806">(E84-E79)/5+E80</f>
        <v>11796.999999999998</v>
      </c>
      <c r="F81" s="3">
        <f t="shared" ref="F81" si="807">(F84-F79)/5+F80</f>
        <v>387.86680000000001</v>
      </c>
      <c r="G81" s="22">
        <f t="shared" si="687"/>
        <v>154.35027350744562</v>
      </c>
      <c r="H81" s="3">
        <f t="shared" ref="H81" si="808">(H84-H79)/5+H80</f>
        <v>54651.629454000009</v>
      </c>
      <c r="I81" s="3">
        <f t="shared" ref="I81" si="809">(I84-I79)/5+I80</f>
        <v>51363.206502000008</v>
      </c>
      <c r="J81" s="3">
        <f t="shared" ref="J81" si="810">(J84-J79)/5+J80</f>
        <v>53733.970519999995</v>
      </c>
      <c r="K81" s="3">
        <f t="shared" ref="K81" si="811">(K84-K79)/5+K80</f>
        <v>7411.9684599999982</v>
      </c>
      <c r="L81" s="3">
        <f t="shared" ref="L81" si="812">(L84-L79)/5+L80</f>
        <v>10071.1212</v>
      </c>
      <c r="M81" s="3">
        <f t="shared" ref="M81" si="813">(M84-M79)/5+M80</f>
        <v>59523.493040000001</v>
      </c>
      <c r="N81" s="3">
        <f t="shared" ref="N81" si="814">(N84-N79)/5+N80</f>
        <v>99199.13201999999</v>
      </c>
      <c r="O81" s="3">
        <f t="shared" ref="O81" si="815">(O84-O79)/5+O80</f>
        <v>9277.990600000001</v>
      </c>
      <c r="P81" s="3">
        <f t="shared" ref="P81" si="816">(P84-P79)/5+P80</f>
        <v>130630.59158000001</v>
      </c>
      <c r="Q81" s="3">
        <f t="shared" ref="Q81" si="817">(Q84-Q79)/5+Q80</f>
        <v>38910.728004000004</v>
      </c>
      <c r="R81" s="3">
        <f t="shared" ref="R81" si="818">(R84-R79)/5+R80</f>
        <v>5510.6265999999996</v>
      </c>
    </row>
    <row r="82" spans="1:18" x14ac:dyDescent="0.3">
      <c r="A82" s="1">
        <v>2098</v>
      </c>
      <c r="B82" s="3">
        <f>(B84-B79)/5+B81</f>
        <v>2711.3979999999997</v>
      </c>
      <c r="C82" s="3">
        <f t="shared" ref="C82" si="819">(C84-C79)/5+C81</f>
        <v>73303.676600000006</v>
      </c>
      <c r="D82" s="3">
        <f t="shared" ref="D82" si="820">(D84-D79)/5+D81</f>
        <v>7770.4619999999995</v>
      </c>
      <c r="E82" s="3">
        <f t="shared" ref="E82" si="821">(E84-E79)/5+E81</f>
        <v>11948.799999999997</v>
      </c>
      <c r="F82" s="3">
        <f t="shared" ref="F82" si="822">(F84-F79)/5+F81</f>
        <v>396.06020000000001</v>
      </c>
      <c r="G82" s="22">
        <f t="shared" si="687"/>
        <v>153.26982159289349</v>
      </c>
      <c r="H82" s="3">
        <f t="shared" ref="H82" si="823">(H84-H79)/5+H81</f>
        <v>55022.00054600001</v>
      </c>
      <c r="I82" s="3">
        <f t="shared" ref="I82" si="824">(I84-I79)/5+I81</f>
        <v>52016.044628000011</v>
      </c>
      <c r="J82" s="3">
        <f t="shared" ref="J82" si="825">(J84-J79)/5+J81</f>
        <v>53982.789179999992</v>
      </c>
      <c r="K82" s="3">
        <f t="shared" ref="K82" si="826">(K84-K79)/5+K81</f>
        <v>7435.4901399999981</v>
      </c>
      <c r="L82" s="3">
        <f t="shared" ref="L82" si="827">(L84-L79)/5+L81</f>
        <v>10230.846799999999</v>
      </c>
      <c r="M82" s="3">
        <f t="shared" ref="M82" si="828">(M84-M79)/5+M81</f>
        <v>60535.648860000001</v>
      </c>
      <c r="N82" s="3">
        <f t="shared" ref="N82" si="829">(N84-N79)/5+N81</f>
        <v>102218.70757999999</v>
      </c>
      <c r="O82" s="3">
        <f t="shared" ref="O82" si="830">(O84-O79)/5+O81</f>
        <v>9368.6184000000012</v>
      </c>
      <c r="P82" s="3">
        <f t="shared" ref="P82" si="831">(P84-P79)/5+P81</f>
        <v>132545.57062000001</v>
      </c>
      <c r="Q82" s="3">
        <f t="shared" ref="Q82" si="832">(Q84-Q79)/5+Q81</f>
        <v>39261.581556000005</v>
      </c>
      <c r="R82" s="3">
        <f t="shared" ref="R82" si="833">(R84-R79)/5+R81</f>
        <v>5555.6893999999993</v>
      </c>
    </row>
    <row r="83" spans="1:18" x14ac:dyDescent="0.3">
      <c r="A83" s="1">
        <v>2099</v>
      </c>
      <c r="B83" s="3">
        <f>(B84-B79)/5+B82</f>
        <v>2693.6939999999995</v>
      </c>
      <c r="C83" s="3">
        <f t="shared" ref="C83" si="834">(C84-C79)/5+C82</f>
        <v>73378.693800000008</v>
      </c>
      <c r="D83" s="3">
        <f t="shared" ref="D83" si="835">(D84-D79)/5+D82</f>
        <v>7776.6259999999993</v>
      </c>
      <c r="E83" s="3">
        <f t="shared" ref="E83" si="836">(E84-E79)/5+E82</f>
        <v>12100.599999999997</v>
      </c>
      <c r="F83" s="3">
        <f t="shared" ref="F83" si="837">(F84-F79)/5+F82</f>
        <v>404.25360000000001</v>
      </c>
      <c r="G83" s="22">
        <f t="shared" si="687"/>
        <v>152.19693284174323</v>
      </c>
      <c r="H83" s="3">
        <f t="shared" ref="H83" si="838">(H84-H79)/5+H82</f>
        <v>55392.371638000011</v>
      </c>
      <c r="I83" s="3">
        <f t="shared" ref="I83" si="839">(I84-I79)/5+I82</f>
        <v>52668.882754000013</v>
      </c>
      <c r="J83" s="3">
        <f t="shared" ref="J83" si="840">(J84-J79)/5+J82</f>
        <v>54231.60783999999</v>
      </c>
      <c r="K83" s="3">
        <f t="shared" ref="K83" si="841">(K84-K79)/5+K82</f>
        <v>7459.0118199999979</v>
      </c>
      <c r="L83" s="3">
        <f t="shared" ref="L83" si="842">(L84-L79)/5+L82</f>
        <v>10390.572399999999</v>
      </c>
      <c r="M83" s="3">
        <f t="shared" ref="M83" si="843">(M84-M79)/5+M82</f>
        <v>61547.804680000001</v>
      </c>
      <c r="N83" s="3">
        <f t="shared" ref="N83" si="844">(N84-N79)/5+N82</f>
        <v>105238.28313999998</v>
      </c>
      <c r="O83" s="3">
        <f t="shared" ref="O83" si="845">(O84-O79)/5+O82</f>
        <v>9459.2462000000014</v>
      </c>
      <c r="P83" s="3">
        <f t="shared" ref="P83" si="846">(P84-P79)/5+P82</f>
        <v>134460.54966000002</v>
      </c>
      <c r="Q83" s="3">
        <f t="shared" ref="Q83" si="847">(Q84-Q79)/5+Q82</f>
        <v>39612.435108000005</v>
      </c>
      <c r="R83" s="3">
        <f t="shared" ref="R83" si="848">(R84-R79)/5+R82</f>
        <v>5600.752199999999</v>
      </c>
    </row>
    <row r="84" spans="1:18" x14ac:dyDescent="0.3">
      <c r="A84" s="1">
        <v>2100</v>
      </c>
      <c r="B84">
        <v>2675.99</v>
      </c>
      <c r="C84">
        <v>73453.710999999996</v>
      </c>
      <c r="D84">
        <v>7782.79</v>
      </c>
      <c r="E84">
        <v>12252.4</v>
      </c>
      <c r="F84">
        <v>412.447</v>
      </c>
      <c r="G84" s="22">
        <f t="shared" si="687"/>
        <v>151.13155431185103</v>
      </c>
      <c r="H84">
        <v>55762.742729999998</v>
      </c>
      <c r="I84">
        <v>53321.720880000001</v>
      </c>
      <c r="J84">
        <v>54480.426500000001</v>
      </c>
      <c r="K84">
        <v>7482.5334999999995</v>
      </c>
      <c r="L84">
        <v>10550.298000000001</v>
      </c>
      <c r="M84">
        <v>62559.960500000001</v>
      </c>
      <c r="N84">
        <v>108257.8587</v>
      </c>
      <c r="O84">
        <v>9549.8739999999998</v>
      </c>
      <c r="P84">
        <v>136375.5287</v>
      </c>
      <c r="Q84">
        <v>39963.288659999998</v>
      </c>
      <c r="R84">
        <v>5645.8149999999996</v>
      </c>
    </row>
  </sheetData>
  <pageMargins left="0.7" right="0.7" top="0.75" bottom="0.75" header="0.3" footer="0.3"/>
  <pageSetup paperSize="9" orientation="portrait" verticalDpi="0" r:id="rId1"/>
  <ignoredErrors>
    <ignoredError sqref="G35:G84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358B-0631-4DFF-80D7-0EA20D81DA2E}">
  <dimension ref="A1:R84"/>
  <sheetViews>
    <sheetView zoomScale="115" zoomScaleNormal="115" workbookViewId="0">
      <selection sqref="A1:R84"/>
    </sheetView>
  </sheetViews>
  <sheetFormatPr defaultRowHeight="14.4" x14ac:dyDescent="0.3"/>
  <cols>
    <col min="2" max="2" width="10.77734375" bestFit="1" customWidth="1"/>
    <col min="3" max="3" width="13" bestFit="1" customWidth="1"/>
    <col min="4" max="5" width="11.88671875" bestFit="1" customWidth="1"/>
    <col min="6" max="6" width="9.88671875" bestFit="1" customWidth="1"/>
    <col min="7" max="7" width="10.77734375" bestFit="1" customWidth="1"/>
    <col min="8" max="13" width="11.88671875" bestFit="1" customWidth="1"/>
    <col min="14" max="14" width="13" bestFit="1" customWidth="1"/>
    <col min="15" max="15" width="11.88671875" bestFit="1" customWidth="1"/>
    <col min="16" max="16" width="13" bestFit="1" customWidth="1"/>
    <col min="17" max="17" width="11.88671875" bestFit="1" customWidth="1"/>
    <col min="18" max="18" width="10.77734375" bestFit="1" customWidth="1"/>
  </cols>
  <sheetData>
    <row r="1" spans="1:18" x14ac:dyDescent="0.3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2018</v>
      </c>
      <c r="B2" s="7">
        <f>Baseyear!B24</f>
        <v>51.585057999999997</v>
      </c>
      <c r="C2" s="7">
        <f>Baseyear!C24</f>
        <v>1410.2126000000001</v>
      </c>
      <c r="D2" s="7">
        <f>Baseyear!D24</f>
        <v>126.81100000000001</v>
      </c>
      <c r="E2" s="7">
        <f>Baseyear!E24</f>
        <v>144.477859</v>
      </c>
      <c r="F2" s="7">
        <f>Baseyear!F24</f>
        <v>3.1639910000000002</v>
      </c>
      <c r="G2" s="7">
        <f>Baseyear!G24</f>
        <v>25.638148999999999</v>
      </c>
      <c r="H2" s="7">
        <f>Baseyear!H24</f>
        <v>367.37231600000001</v>
      </c>
      <c r="I2" s="7">
        <f>Baseyear!I24</f>
        <v>606.01284499999997</v>
      </c>
      <c r="J2" s="7">
        <f>Baseyear!J24</f>
        <v>506.509163</v>
      </c>
      <c r="K2" s="7">
        <f>Baseyear!K24</f>
        <v>118.48600399999999</v>
      </c>
      <c r="L2" s="7">
        <f>Baseyear!L24</f>
        <v>139.69713300000001</v>
      </c>
      <c r="M2" s="7">
        <f>Baseyear!M24</f>
        <v>492.02350000000001</v>
      </c>
      <c r="N2" s="7">
        <f>Baseyear!N24</f>
        <v>1041.066783</v>
      </c>
      <c r="O2" s="7">
        <f>Baseyear!O24</f>
        <v>118.044574</v>
      </c>
      <c r="P2" s="7">
        <f>Baseyear!P24</f>
        <v>1803.847309</v>
      </c>
      <c r="Q2" s="7">
        <f>Baseyear!Q24</f>
        <v>552.13613899999996</v>
      </c>
      <c r="R2" s="7">
        <f>Baseyear!R24</f>
        <v>29.863858</v>
      </c>
    </row>
    <row r="3" spans="1:18" x14ac:dyDescent="0.3">
      <c r="A3" s="1">
        <v>2019</v>
      </c>
      <c r="B3" s="7">
        <f>Baseyear!B25</f>
        <v>51.764822000000002</v>
      </c>
      <c r="C3" s="7">
        <f>Baseyear!C25</f>
        <v>1415.2529</v>
      </c>
      <c r="D3" s="7">
        <f>Baseyear!D25</f>
        <v>126.633</v>
      </c>
      <c r="E3" s="7">
        <f>Baseyear!E25</f>
        <v>144.406261</v>
      </c>
      <c r="F3" s="7">
        <f>Baseyear!F25</f>
        <v>3.2324299999999999</v>
      </c>
      <c r="G3" s="7">
        <f>Baseyear!G25</f>
        <v>25.755441000000001</v>
      </c>
      <c r="H3" s="7">
        <f>Baseyear!H25</f>
        <v>369.40017</v>
      </c>
      <c r="I3" s="7">
        <f>Baseyear!I25</f>
        <v>612.53262400000006</v>
      </c>
      <c r="J3" s="7">
        <f>Baseyear!J25</f>
        <v>508.66816</v>
      </c>
      <c r="K3" s="7">
        <f>Baseyear!K25</f>
        <v>118.257396</v>
      </c>
      <c r="L3" s="7">
        <f>Baseyear!L25</f>
        <v>140.62467699999999</v>
      </c>
      <c r="M3" s="7">
        <f>Baseyear!M25</f>
        <v>500.51992100000001</v>
      </c>
      <c r="N3" s="7">
        <f>Baseyear!N25</f>
        <v>1068.9432839999999</v>
      </c>
      <c r="O3" s="7">
        <f>Baseyear!O25</f>
        <v>119.19651500000001</v>
      </c>
      <c r="P3" s="7">
        <f>Baseyear!P25</f>
        <v>1823.829015</v>
      </c>
      <c r="Q3" s="7">
        <f>Baseyear!Q25</f>
        <v>557.76516600000002</v>
      </c>
      <c r="R3" s="7">
        <f>Baseyear!R25</f>
        <v>30.314025999999998</v>
      </c>
    </row>
    <row r="4" spans="1:18" x14ac:dyDescent="0.3">
      <c r="A4" s="1">
        <v>2020</v>
      </c>
      <c r="B4" s="5">
        <v>51.858125000000001</v>
      </c>
      <c r="C4" s="5">
        <v>1431.4999250000001</v>
      </c>
      <c r="D4" s="5">
        <v>125.542768</v>
      </c>
      <c r="E4" s="5">
        <v>145.761661</v>
      </c>
      <c r="F4" s="5">
        <v>3.2664599999999999</v>
      </c>
      <c r="G4" s="5">
        <v>25.813237999999998</v>
      </c>
      <c r="H4" s="5">
        <v>376.695806</v>
      </c>
      <c r="I4" s="5">
        <v>616.16249000000005</v>
      </c>
      <c r="J4" s="5">
        <v>507.43511699999999</v>
      </c>
      <c r="K4" s="5">
        <v>119.397716</v>
      </c>
      <c r="L4" s="5">
        <v>147.82600099999999</v>
      </c>
      <c r="M4" s="5">
        <v>504.77669399999991</v>
      </c>
      <c r="N4" s="5">
        <v>1056.871729</v>
      </c>
      <c r="O4" s="5">
        <v>119.765513</v>
      </c>
      <c r="P4" s="5">
        <v>1833.469503</v>
      </c>
      <c r="Q4" s="5">
        <v>585.76562899999999</v>
      </c>
      <c r="R4" s="5">
        <v>30.570668000000001</v>
      </c>
    </row>
    <row r="5" spans="1:18" x14ac:dyDescent="0.3">
      <c r="A5" s="1">
        <v>2021</v>
      </c>
      <c r="B5" s="6">
        <f>(B9-B4)/5+B4</f>
        <v>51.786591800000004</v>
      </c>
      <c r="C5" s="6">
        <f t="shared" ref="C5:R5" si="0">(C9-C4)/5+C4</f>
        <v>1431.9812556000002</v>
      </c>
      <c r="D5" s="6">
        <f t="shared" si="0"/>
        <v>124.9287686</v>
      </c>
      <c r="E5" s="6">
        <f t="shared" si="0"/>
        <v>145.68342799999999</v>
      </c>
      <c r="F5" s="6">
        <f t="shared" si="0"/>
        <v>3.3146955999999999</v>
      </c>
      <c r="G5" s="6">
        <f t="shared" si="0"/>
        <v>25.930334799999997</v>
      </c>
      <c r="H5" s="6">
        <f t="shared" si="0"/>
        <v>378.16361560000001</v>
      </c>
      <c r="I5" s="6">
        <f t="shared" si="0"/>
        <v>620.40692440000009</v>
      </c>
      <c r="J5" s="6">
        <f t="shared" si="0"/>
        <v>508.62260179999998</v>
      </c>
      <c r="K5" s="6">
        <f t="shared" si="0"/>
        <v>119.19675120000001</v>
      </c>
      <c r="L5" s="6">
        <f t="shared" si="0"/>
        <v>147.37806279999998</v>
      </c>
      <c r="M5" s="6">
        <f t="shared" si="0"/>
        <v>513.0981119999999</v>
      </c>
      <c r="N5" s="6">
        <f t="shared" si="0"/>
        <v>1085.1595133999999</v>
      </c>
      <c r="O5" s="6">
        <f t="shared" si="0"/>
        <v>120.78738419999998</v>
      </c>
      <c r="P5" s="6">
        <f t="shared" si="0"/>
        <v>1851.5553206</v>
      </c>
      <c r="Q5" s="6">
        <f t="shared" si="0"/>
        <v>590.5134908</v>
      </c>
      <c r="R5" s="6">
        <f t="shared" si="0"/>
        <v>30.805843800000002</v>
      </c>
    </row>
    <row r="6" spans="1:18" x14ac:dyDescent="0.3">
      <c r="A6" s="1">
        <v>2022</v>
      </c>
      <c r="B6" s="6">
        <f>(B9-B4)/5+B5</f>
        <v>51.715058600000006</v>
      </c>
      <c r="C6" s="6">
        <f t="shared" ref="C6:R6" si="1">(C9-C4)/5+C5</f>
        <v>1432.4625862000003</v>
      </c>
      <c r="D6" s="6">
        <f t="shared" si="1"/>
        <v>124.3147692</v>
      </c>
      <c r="E6" s="6">
        <f t="shared" si="1"/>
        <v>145.60519499999998</v>
      </c>
      <c r="F6" s="6">
        <f t="shared" si="1"/>
        <v>3.3629311999999998</v>
      </c>
      <c r="G6" s="6">
        <f t="shared" si="1"/>
        <v>26.047431599999996</v>
      </c>
      <c r="H6" s="6">
        <f t="shared" si="1"/>
        <v>379.63142520000002</v>
      </c>
      <c r="I6" s="6">
        <f t="shared" si="1"/>
        <v>624.65135880000014</v>
      </c>
      <c r="J6" s="6">
        <f t="shared" si="1"/>
        <v>509.81008659999998</v>
      </c>
      <c r="K6" s="6">
        <f t="shared" si="1"/>
        <v>118.99578640000001</v>
      </c>
      <c r="L6" s="6">
        <f t="shared" si="1"/>
        <v>146.93012459999997</v>
      </c>
      <c r="M6" s="6">
        <f t="shared" si="1"/>
        <v>521.4195299999999</v>
      </c>
      <c r="N6" s="6">
        <f t="shared" si="1"/>
        <v>1113.4472977999999</v>
      </c>
      <c r="O6" s="6">
        <f t="shared" si="1"/>
        <v>121.80925539999996</v>
      </c>
      <c r="P6" s="6">
        <f t="shared" si="1"/>
        <v>1869.6411381999999</v>
      </c>
      <c r="Q6" s="6">
        <f t="shared" si="1"/>
        <v>595.26135260000001</v>
      </c>
      <c r="R6" s="6">
        <f t="shared" si="1"/>
        <v>31.041019600000002</v>
      </c>
    </row>
    <row r="7" spans="1:18" x14ac:dyDescent="0.3">
      <c r="A7" s="1">
        <v>2023</v>
      </c>
      <c r="B7" s="6">
        <f>(B9-B4)/5+B6</f>
        <v>51.643525400000009</v>
      </c>
      <c r="C7" s="6">
        <f t="shared" ref="C7:R7" si="2">(C9-C4)/5+C6</f>
        <v>1432.9439168000004</v>
      </c>
      <c r="D7" s="6">
        <f t="shared" si="2"/>
        <v>123.7007698</v>
      </c>
      <c r="E7" s="6">
        <f t="shared" si="2"/>
        <v>145.52696199999997</v>
      </c>
      <c r="F7" s="6">
        <f t="shared" si="2"/>
        <v>3.4111667999999997</v>
      </c>
      <c r="G7" s="6">
        <f t="shared" si="2"/>
        <v>26.164528399999995</v>
      </c>
      <c r="H7" s="6">
        <f t="shared" si="2"/>
        <v>381.09923480000003</v>
      </c>
      <c r="I7" s="6">
        <f t="shared" si="2"/>
        <v>628.89579320000018</v>
      </c>
      <c r="J7" s="6">
        <f t="shared" si="2"/>
        <v>510.99757139999997</v>
      </c>
      <c r="K7" s="6">
        <f t="shared" si="2"/>
        <v>118.79482160000002</v>
      </c>
      <c r="L7" s="6">
        <f t="shared" si="2"/>
        <v>146.48218639999996</v>
      </c>
      <c r="M7" s="6">
        <f t="shared" si="2"/>
        <v>529.74094799999989</v>
      </c>
      <c r="N7" s="6">
        <f t="shared" si="2"/>
        <v>1141.7350821999999</v>
      </c>
      <c r="O7" s="6">
        <f t="shared" si="2"/>
        <v>122.83112659999993</v>
      </c>
      <c r="P7" s="6">
        <f t="shared" si="2"/>
        <v>1887.7269557999998</v>
      </c>
      <c r="Q7" s="6">
        <f t="shared" si="2"/>
        <v>600.00921440000002</v>
      </c>
      <c r="R7" s="6">
        <f t="shared" si="2"/>
        <v>31.276195400000002</v>
      </c>
    </row>
    <row r="8" spans="1:18" x14ac:dyDescent="0.3">
      <c r="A8" s="1">
        <v>2024</v>
      </c>
      <c r="B8" s="6">
        <f>(B9-B4)/5+B7</f>
        <v>51.571992200000011</v>
      </c>
      <c r="C8" s="6">
        <f t="shared" ref="C8:R8" si="3">(C9-C4)/5+C7</f>
        <v>1433.4252474000004</v>
      </c>
      <c r="D8" s="6">
        <f t="shared" si="3"/>
        <v>123.08677040000001</v>
      </c>
      <c r="E8" s="6">
        <f t="shared" si="3"/>
        <v>145.44872899999996</v>
      </c>
      <c r="F8" s="6">
        <f t="shared" si="3"/>
        <v>3.4594023999999997</v>
      </c>
      <c r="G8" s="6">
        <f t="shared" si="3"/>
        <v>26.281625199999993</v>
      </c>
      <c r="H8" s="6">
        <f t="shared" si="3"/>
        <v>382.56704440000004</v>
      </c>
      <c r="I8" s="6">
        <f t="shared" si="3"/>
        <v>633.14022760000023</v>
      </c>
      <c r="J8" s="6">
        <f t="shared" si="3"/>
        <v>512.18505619999996</v>
      </c>
      <c r="K8" s="6">
        <f t="shared" si="3"/>
        <v>118.59385680000003</v>
      </c>
      <c r="L8" s="6">
        <f t="shared" si="3"/>
        <v>146.03424819999995</v>
      </c>
      <c r="M8" s="6">
        <f t="shared" si="3"/>
        <v>538.06236599999988</v>
      </c>
      <c r="N8" s="6">
        <f t="shared" si="3"/>
        <v>1170.0228665999998</v>
      </c>
      <c r="O8" s="6">
        <f t="shared" si="3"/>
        <v>123.85299779999991</v>
      </c>
      <c r="P8" s="6">
        <f t="shared" si="3"/>
        <v>1905.8127733999997</v>
      </c>
      <c r="Q8" s="6">
        <f t="shared" si="3"/>
        <v>604.75707620000003</v>
      </c>
      <c r="R8" s="6">
        <f t="shared" si="3"/>
        <v>31.511371200000003</v>
      </c>
    </row>
    <row r="9" spans="1:18" x14ac:dyDescent="0.3">
      <c r="A9" s="1">
        <v>2025</v>
      </c>
      <c r="B9" s="2">
        <v>51.500459000000014</v>
      </c>
      <c r="C9" s="2">
        <v>1433.9065780000001</v>
      </c>
      <c r="D9" s="2">
        <v>122.47277099999999</v>
      </c>
      <c r="E9" s="2">
        <v>145.370496</v>
      </c>
      <c r="F9" s="2">
        <v>3.507638</v>
      </c>
      <c r="G9" s="2">
        <v>26.398721999999999</v>
      </c>
      <c r="H9" s="2">
        <v>384.034854</v>
      </c>
      <c r="I9" s="2">
        <v>637.38466200000005</v>
      </c>
      <c r="J9" s="2">
        <v>513.37254099999996</v>
      </c>
      <c r="K9" s="2">
        <v>118.392892</v>
      </c>
      <c r="L9" s="2">
        <v>145.58631</v>
      </c>
      <c r="M9" s="2">
        <v>546.38378399999976</v>
      </c>
      <c r="N9" s="2">
        <v>1198.310651</v>
      </c>
      <c r="O9" s="2">
        <v>124.8748689999999</v>
      </c>
      <c r="P9" s="2">
        <v>1923.8985909999999</v>
      </c>
      <c r="Q9" s="2">
        <v>609.50493799999981</v>
      </c>
      <c r="R9" s="2">
        <v>31.746547</v>
      </c>
    </row>
    <row r="10" spans="1:18" x14ac:dyDescent="0.3">
      <c r="A10" s="1">
        <v>2026</v>
      </c>
      <c r="B10" s="6">
        <f>(B14-B9)/5+B9</f>
        <v>51.396673600000014</v>
      </c>
      <c r="C10" s="6">
        <f t="shared" ref="C10" si="4">(C14-C9)/5+C9</f>
        <v>1431.8894828</v>
      </c>
      <c r="D10" s="6">
        <f t="shared" ref="D10" si="5">(D14-D9)/5+D9</f>
        <v>121.84777779999999</v>
      </c>
      <c r="E10" s="6">
        <f t="shared" ref="E10" si="6">(E14-E9)/5+E9</f>
        <v>144.97634300000001</v>
      </c>
      <c r="F10" s="6">
        <f t="shared" ref="F10" si="7">(F14-F9)/5+F9</f>
        <v>3.5508772</v>
      </c>
      <c r="G10" s="6">
        <f t="shared" ref="G10" si="8">(G14-G9)/5+G9</f>
        <v>26.425372599999999</v>
      </c>
      <c r="H10" s="6">
        <f t="shared" ref="H10" si="9">(H14-H9)/5+H9</f>
        <v>385.70267460000002</v>
      </c>
      <c r="I10" s="6">
        <f t="shared" ref="I10" si="10">(I14-I9)/5+I9</f>
        <v>641.62507120000009</v>
      </c>
      <c r="J10" s="6">
        <f t="shared" ref="J10" si="11">(J14-J9)/5+J9</f>
        <v>514.18462539999996</v>
      </c>
      <c r="K10" s="6">
        <f t="shared" ref="K10" si="12">(K14-K9)/5+K9</f>
        <v>117.85040600000001</v>
      </c>
      <c r="L10" s="6">
        <f t="shared" ref="L10" si="13">(L14-L9)/5+L9</f>
        <v>146.66807320000001</v>
      </c>
      <c r="M10" s="6">
        <f t="shared" ref="M10" si="14">(M14-M9)/5+M9</f>
        <v>554.46670679999988</v>
      </c>
      <c r="N10" s="6">
        <f t="shared" ref="N10" si="15">(N14-N9)/5+N9</f>
        <v>1228.6481516000001</v>
      </c>
      <c r="O10" s="6">
        <f t="shared" ref="O10" si="16">(O14-O9)/5+O9</f>
        <v>125.72371079999992</v>
      </c>
      <c r="P10" s="6">
        <f t="shared" ref="P10" si="17">(P14-P9)/5+P9</f>
        <v>1942.0604865999999</v>
      </c>
      <c r="Q10" s="6">
        <f t="shared" ref="Q10" si="18">(Q14-Q9)/5+Q9</f>
        <v>613.99773659999983</v>
      </c>
      <c r="R10" s="6">
        <f t="shared" ref="R10" si="19">(R14-R9)/5+R9</f>
        <v>31.972086999999998</v>
      </c>
    </row>
    <row r="11" spans="1:18" x14ac:dyDescent="0.3">
      <c r="A11" s="1">
        <v>2027</v>
      </c>
      <c r="B11" s="6">
        <f>(B14-B9)/5+B10</f>
        <v>51.292888200000014</v>
      </c>
      <c r="C11" s="6">
        <f t="shared" ref="C11" si="20">(C14-C9)/5+C10</f>
        <v>1429.8723875999999</v>
      </c>
      <c r="D11" s="6">
        <f t="shared" ref="D11" si="21">(D14-D9)/5+D10</f>
        <v>121.22278459999998</v>
      </c>
      <c r="E11" s="6">
        <f t="shared" ref="E11" si="22">(E14-E9)/5+E10</f>
        <v>144.58219000000003</v>
      </c>
      <c r="F11" s="6">
        <f t="shared" ref="F11" si="23">(F14-F9)/5+F10</f>
        <v>3.5941163999999999</v>
      </c>
      <c r="G11" s="6">
        <f t="shared" ref="G11" si="24">(G14-G9)/5+G10</f>
        <v>26.452023199999999</v>
      </c>
      <c r="H11" s="6">
        <f t="shared" ref="H11" si="25">(H14-H9)/5+H10</f>
        <v>387.37049520000005</v>
      </c>
      <c r="I11" s="6">
        <f t="shared" ref="I11" si="26">(I14-I9)/5+I10</f>
        <v>645.86548040000014</v>
      </c>
      <c r="J11" s="6">
        <f t="shared" ref="J11" si="27">(J14-J9)/5+J10</f>
        <v>514.99670979999996</v>
      </c>
      <c r="K11" s="6">
        <f t="shared" ref="K11" si="28">(K14-K9)/5+K10</f>
        <v>117.30792000000001</v>
      </c>
      <c r="L11" s="6">
        <f t="shared" ref="L11" si="29">(L14-L9)/5+L10</f>
        <v>147.74983640000002</v>
      </c>
      <c r="M11" s="6">
        <f t="shared" ref="M11" si="30">(M14-M9)/5+M10</f>
        <v>562.5496296</v>
      </c>
      <c r="N11" s="6">
        <f t="shared" ref="N11" si="31">(N14-N9)/5+N10</f>
        <v>1258.9856522000002</v>
      </c>
      <c r="O11" s="6">
        <f t="shared" ref="O11" si="32">(O14-O9)/5+O10</f>
        <v>126.57255259999994</v>
      </c>
      <c r="P11" s="6">
        <f t="shared" ref="P11" si="33">(P14-P9)/5+P10</f>
        <v>1960.2223821999999</v>
      </c>
      <c r="Q11" s="6">
        <f t="shared" ref="Q11" si="34">(Q14-Q9)/5+Q10</f>
        <v>618.49053519999984</v>
      </c>
      <c r="R11" s="6">
        <f t="shared" ref="R11" si="35">(R14-R9)/5+R10</f>
        <v>32.197626999999997</v>
      </c>
    </row>
    <row r="12" spans="1:18" x14ac:dyDescent="0.3">
      <c r="A12" s="1">
        <v>2028</v>
      </c>
      <c r="B12" s="6">
        <f>(B14-B9)/5+B11</f>
        <v>51.189102800000015</v>
      </c>
      <c r="C12" s="6">
        <f t="shared" ref="C12" si="36">(C14-C9)/5+C11</f>
        <v>1427.8552923999998</v>
      </c>
      <c r="D12" s="6">
        <f t="shared" ref="D12" si="37">(D14-D9)/5+D11</f>
        <v>120.59779139999998</v>
      </c>
      <c r="E12" s="6">
        <f t="shared" ref="E12" si="38">(E14-E9)/5+E11</f>
        <v>144.18803700000004</v>
      </c>
      <c r="F12" s="6">
        <f t="shared" ref="F12" si="39">(F14-F9)/5+F11</f>
        <v>3.6373555999999998</v>
      </c>
      <c r="G12" s="6">
        <f t="shared" ref="G12" si="40">(G14-G9)/5+G11</f>
        <v>26.478673799999999</v>
      </c>
      <c r="H12" s="6">
        <f t="shared" ref="H12" si="41">(H14-H9)/5+H11</f>
        <v>389.03831580000008</v>
      </c>
      <c r="I12" s="6">
        <f t="shared" ref="I12" si="42">(I14-I9)/5+I11</f>
        <v>650.10588960000018</v>
      </c>
      <c r="J12" s="6">
        <f t="shared" ref="J12" si="43">(J14-J9)/5+J11</f>
        <v>515.80879419999997</v>
      </c>
      <c r="K12" s="6">
        <f t="shared" ref="K12" si="44">(K14-K9)/5+K11</f>
        <v>116.76543400000001</v>
      </c>
      <c r="L12" s="6">
        <f t="shared" ref="L12" si="45">(L14-L9)/5+L11</f>
        <v>148.83159960000003</v>
      </c>
      <c r="M12" s="6">
        <f t="shared" ref="M12" si="46">(M14-M9)/5+M11</f>
        <v>570.63255240000012</v>
      </c>
      <c r="N12" s="6">
        <f t="shared" ref="N12" si="47">(N14-N9)/5+N11</f>
        <v>1289.3231528000003</v>
      </c>
      <c r="O12" s="6">
        <f t="shared" ref="O12" si="48">(O14-O9)/5+O11</f>
        <v>127.42139439999995</v>
      </c>
      <c r="P12" s="6">
        <f t="shared" ref="P12" si="49">(P14-P9)/5+P11</f>
        <v>1978.3842777999998</v>
      </c>
      <c r="Q12" s="6">
        <f t="shared" ref="Q12" si="50">(Q14-Q9)/5+Q11</f>
        <v>622.98333379999985</v>
      </c>
      <c r="R12" s="6">
        <f t="shared" ref="R12" si="51">(R14-R9)/5+R11</f>
        <v>32.423166999999999</v>
      </c>
    </row>
    <row r="13" spans="1:18" x14ac:dyDescent="0.3">
      <c r="A13" s="1">
        <v>2029</v>
      </c>
      <c r="B13" s="6">
        <f>(B14-B9)/5+B12</f>
        <v>51.085317400000015</v>
      </c>
      <c r="C13" s="6">
        <f t="shared" ref="C13" si="52">(C14-C9)/5+C12</f>
        <v>1425.8381971999997</v>
      </c>
      <c r="D13" s="6">
        <f t="shared" ref="D13" si="53">(D14-D9)/5+D12</f>
        <v>119.97279819999997</v>
      </c>
      <c r="E13" s="6">
        <f t="shared" ref="E13" si="54">(E14-E9)/5+E12</f>
        <v>143.79388400000005</v>
      </c>
      <c r="F13" s="6">
        <f t="shared" ref="F13" si="55">(F14-F9)/5+F12</f>
        <v>3.6805947999999997</v>
      </c>
      <c r="G13" s="6">
        <f t="shared" ref="G13" si="56">(G14-G9)/5+G12</f>
        <v>26.505324399999999</v>
      </c>
      <c r="H13" s="6">
        <f t="shared" ref="H13" si="57">(H14-H9)/5+H12</f>
        <v>390.7061364000001</v>
      </c>
      <c r="I13" s="6">
        <f t="shared" ref="I13" si="58">(I14-I9)/5+I12</f>
        <v>654.34629880000023</v>
      </c>
      <c r="J13" s="6">
        <f t="shared" ref="J13" si="59">(J14-J9)/5+J12</f>
        <v>516.62087859999997</v>
      </c>
      <c r="K13" s="6">
        <f t="shared" ref="K13" si="60">(K14-K9)/5+K12</f>
        <v>116.22294800000002</v>
      </c>
      <c r="L13" s="6">
        <f t="shared" ref="L13" si="61">(L14-L9)/5+L12</f>
        <v>149.91336280000004</v>
      </c>
      <c r="M13" s="6">
        <f t="shared" ref="M13" si="62">(M14-M9)/5+M12</f>
        <v>578.71547520000024</v>
      </c>
      <c r="N13" s="6">
        <f t="shared" ref="N13" si="63">(N14-N9)/5+N12</f>
        <v>1319.6606534000005</v>
      </c>
      <c r="O13" s="6">
        <f t="shared" ref="O13" si="64">(O14-O9)/5+O12</f>
        <v>128.27023619999997</v>
      </c>
      <c r="P13" s="6">
        <f t="shared" ref="P13" si="65">(P14-P9)/5+P12</f>
        <v>1996.5461733999998</v>
      </c>
      <c r="Q13" s="6">
        <f t="shared" ref="Q13" si="66">(Q14-Q9)/5+Q12</f>
        <v>627.47613239999987</v>
      </c>
      <c r="R13" s="6">
        <f t="shared" ref="R13" si="67">(R14-R9)/5+R12</f>
        <v>32.648707000000002</v>
      </c>
    </row>
    <row r="14" spans="1:18" x14ac:dyDescent="0.3">
      <c r="A14" s="1" t="s">
        <v>17</v>
      </c>
      <c r="B14" s="2">
        <v>50.981532000000001</v>
      </c>
      <c r="C14" s="2">
        <v>1423.8211020000001</v>
      </c>
      <c r="D14" s="2">
        <v>119.34780499999999</v>
      </c>
      <c r="E14" s="2">
        <v>143.399731</v>
      </c>
      <c r="F14" s="2">
        <v>3.7238340000000001</v>
      </c>
      <c r="G14" s="2">
        <v>26.531974999999999</v>
      </c>
      <c r="H14" s="2">
        <v>392.37395700000002</v>
      </c>
      <c r="I14" s="2">
        <v>658.58670800000004</v>
      </c>
      <c r="J14" s="2">
        <v>517.43296299999997</v>
      </c>
      <c r="K14" s="2">
        <v>115.68046200000001</v>
      </c>
      <c r="L14" s="2">
        <v>150.995126</v>
      </c>
      <c r="M14" s="2">
        <v>586.79839800000013</v>
      </c>
      <c r="N14" s="2">
        <v>1349.9981540000001</v>
      </c>
      <c r="O14" s="2">
        <v>129.119078</v>
      </c>
      <c r="P14" s="2">
        <v>2014.708069</v>
      </c>
      <c r="Q14" s="2">
        <v>631.96893100000011</v>
      </c>
      <c r="R14" s="2">
        <v>32.874246999999997</v>
      </c>
    </row>
    <row r="15" spans="1:18" x14ac:dyDescent="0.3">
      <c r="A15" s="1">
        <v>2031</v>
      </c>
      <c r="B15" s="6">
        <f>(B19-B14)/5+B14</f>
        <v>50.8360342</v>
      </c>
      <c r="C15" s="6">
        <f t="shared" ref="C15" si="68">(C19-C14)/5+C14</f>
        <v>1420.3343966</v>
      </c>
      <c r="D15" s="6">
        <f t="shared" ref="D15" si="69">(D19-D14)/5+D14</f>
        <v>118.6883792</v>
      </c>
      <c r="E15" s="6">
        <f t="shared" ref="E15" si="70">(E19-E14)/5+E14</f>
        <v>143.0333282</v>
      </c>
      <c r="F15" s="6">
        <f t="shared" ref="F15" si="71">(F19-F14)/5+F14</f>
        <v>3.7658628000000003</v>
      </c>
      <c r="G15" s="6">
        <f t="shared" ref="G15" si="72">(G19-G14)/5+G14</f>
        <v>26.5008762</v>
      </c>
      <c r="H15" s="6">
        <f t="shared" ref="H15" si="73">(H19-H14)/5+H14</f>
        <v>394.00155480000001</v>
      </c>
      <c r="I15" s="6">
        <f t="shared" ref="I15" si="74">(I19-I14)/5+I14</f>
        <v>662.13350539999999</v>
      </c>
      <c r="J15" s="6">
        <f t="shared" ref="J15" si="75">(J19-J14)/5+J14</f>
        <v>518.174395</v>
      </c>
      <c r="K15" s="6">
        <f t="shared" ref="K15" si="76">(K19-K14)/5+K14</f>
        <v>115.1140968</v>
      </c>
      <c r="L15" s="6">
        <f t="shared" ref="L15" si="77">(L19-L14)/5+L14</f>
        <v>151.8730114</v>
      </c>
      <c r="M15" s="6">
        <f t="shared" ref="M15" si="78">(M19-M14)/5+M14</f>
        <v>594.4909662</v>
      </c>
      <c r="N15" s="6">
        <f t="shared" ref="N15" si="79">(N19-N14)/5+N14</f>
        <v>1381.7114498000001</v>
      </c>
      <c r="O15" s="6">
        <f t="shared" ref="O15" si="80">(O19-O14)/5+O14</f>
        <v>129.76599580000001</v>
      </c>
      <c r="P15" s="6">
        <f t="shared" ref="P15" si="81">(P19-P14)/5+P14</f>
        <v>2030.5372244</v>
      </c>
      <c r="Q15" s="6">
        <f t="shared" ref="Q15" si="82">(Q19-Q14)/5+Q14</f>
        <v>635.69516900000008</v>
      </c>
      <c r="R15" s="6">
        <f t="shared" ref="R15" si="83">(R19-R14)/5+R14</f>
        <v>33.0833552</v>
      </c>
    </row>
    <row r="16" spans="1:18" x14ac:dyDescent="0.3">
      <c r="A16" s="1">
        <v>2032</v>
      </c>
      <c r="B16" s="6">
        <f>(B19-B14)/5+B15</f>
        <v>50.690536399999999</v>
      </c>
      <c r="C16" s="6">
        <f t="shared" ref="C16" si="84">(C19-C14)/5+C15</f>
        <v>1416.8476911999999</v>
      </c>
      <c r="D16" s="6">
        <f t="shared" ref="D16" si="85">(D19-D14)/5+D15</f>
        <v>118.02895340000001</v>
      </c>
      <c r="E16" s="6">
        <f t="shared" ref="E16" si="86">(E19-E14)/5+E15</f>
        <v>142.6669254</v>
      </c>
      <c r="F16" s="6">
        <f t="shared" ref="F16" si="87">(F19-F14)/5+F15</f>
        <v>3.8078916000000005</v>
      </c>
      <c r="G16" s="6">
        <f t="shared" ref="G16" si="88">(G19-G14)/5+G15</f>
        <v>26.469777400000002</v>
      </c>
      <c r="H16" s="6">
        <f t="shared" ref="H16" si="89">(H19-H14)/5+H15</f>
        <v>395.6291526</v>
      </c>
      <c r="I16" s="6">
        <f t="shared" ref="I16" si="90">(I19-I14)/5+I15</f>
        <v>665.68030279999994</v>
      </c>
      <c r="J16" s="6">
        <f t="shared" ref="J16" si="91">(J19-J14)/5+J15</f>
        <v>518.91582700000004</v>
      </c>
      <c r="K16" s="6">
        <f t="shared" ref="K16" si="92">(K19-K14)/5+K15</f>
        <v>114.54773159999999</v>
      </c>
      <c r="L16" s="6">
        <f t="shared" ref="L16" si="93">(L19-L14)/5+L15</f>
        <v>152.75089679999999</v>
      </c>
      <c r="M16" s="6">
        <f t="shared" ref="M16" si="94">(M19-M14)/5+M15</f>
        <v>602.18353439999987</v>
      </c>
      <c r="N16" s="6">
        <f t="shared" ref="N16" si="95">(N19-N14)/5+N15</f>
        <v>1413.4247456000001</v>
      </c>
      <c r="O16" s="6">
        <f t="shared" ref="O16" si="96">(O19-O14)/5+O15</f>
        <v>130.41291360000002</v>
      </c>
      <c r="P16" s="6">
        <f t="shared" ref="P16" si="97">(P19-P14)/5+P15</f>
        <v>2046.3663798</v>
      </c>
      <c r="Q16" s="6">
        <f t="shared" ref="Q16" si="98">(Q19-Q14)/5+Q15</f>
        <v>639.42140700000004</v>
      </c>
      <c r="R16" s="6">
        <f t="shared" ref="R16" si="99">(R19-R14)/5+R15</f>
        <v>33.292463400000003</v>
      </c>
    </row>
    <row r="17" spans="1:18" x14ac:dyDescent="0.3">
      <c r="A17" s="1">
        <v>2033</v>
      </c>
      <c r="B17" s="6">
        <f>(B19-B14)/5+B16</f>
        <v>50.545038599999998</v>
      </c>
      <c r="C17" s="6">
        <f t="shared" ref="C17" si="100">(C19-C14)/5+C16</f>
        <v>1413.3609857999998</v>
      </c>
      <c r="D17" s="6">
        <f t="shared" ref="D17" si="101">(D19-D14)/5+D16</f>
        <v>117.36952760000001</v>
      </c>
      <c r="E17" s="6">
        <f t="shared" ref="E17" si="102">(E19-E14)/5+E16</f>
        <v>142.30052259999999</v>
      </c>
      <c r="F17" s="6">
        <f t="shared" ref="F17" si="103">(F19-F14)/5+F16</f>
        <v>3.8499204000000007</v>
      </c>
      <c r="G17" s="6">
        <f t="shared" ref="G17" si="104">(G19-G14)/5+G16</f>
        <v>26.438678600000003</v>
      </c>
      <c r="H17" s="6">
        <f t="shared" ref="H17" si="105">(H19-H14)/5+H16</f>
        <v>397.25675039999999</v>
      </c>
      <c r="I17" s="6">
        <f t="shared" ref="I17" si="106">(I19-I14)/5+I16</f>
        <v>669.22710019999988</v>
      </c>
      <c r="J17" s="6">
        <f t="shared" ref="J17" si="107">(J19-J14)/5+J16</f>
        <v>519.65725900000007</v>
      </c>
      <c r="K17" s="6">
        <f t="shared" ref="K17" si="108">(K19-K14)/5+K16</f>
        <v>113.98136639999998</v>
      </c>
      <c r="L17" s="6">
        <f t="shared" ref="L17" si="109">(L19-L14)/5+L16</f>
        <v>153.62878219999999</v>
      </c>
      <c r="M17" s="6">
        <f t="shared" ref="M17" si="110">(M19-M14)/5+M16</f>
        <v>609.87610259999974</v>
      </c>
      <c r="N17" s="6">
        <f t="shared" ref="N17" si="111">(N19-N14)/5+N16</f>
        <v>1445.1380414</v>
      </c>
      <c r="O17" s="6">
        <f t="shared" ref="O17" si="112">(O19-O14)/5+O16</f>
        <v>131.05983140000004</v>
      </c>
      <c r="P17" s="6">
        <f t="shared" ref="P17" si="113">(P19-P14)/5+P16</f>
        <v>2062.1955352</v>
      </c>
      <c r="Q17" s="6">
        <f t="shared" ref="Q17" si="114">(Q19-Q14)/5+Q16</f>
        <v>643.14764500000001</v>
      </c>
      <c r="R17" s="6">
        <f t="shared" ref="R17" si="115">(R19-R14)/5+R16</f>
        <v>33.501571600000005</v>
      </c>
    </row>
    <row r="18" spans="1:18" x14ac:dyDescent="0.3">
      <c r="A18" s="1">
        <v>2034</v>
      </c>
      <c r="B18" s="6">
        <f>(B19-B14)/5+B17</f>
        <v>50.399540799999997</v>
      </c>
      <c r="C18" s="6">
        <f t="shared" ref="C18" si="116">(C19-C14)/5+C17</f>
        <v>1409.8742803999996</v>
      </c>
      <c r="D18" s="6">
        <f t="shared" ref="D18" si="117">(D19-D14)/5+D17</f>
        <v>116.71010180000002</v>
      </c>
      <c r="E18" s="6">
        <f t="shared" ref="E18" si="118">(E19-E14)/5+E17</f>
        <v>141.93411979999999</v>
      </c>
      <c r="F18" s="6">
        <f t="shared" ref="F18" si="119">(F19-F14)/5+F17</f>
        <v>3.8919492000000009</v>
      </c>
      <c r="G18" s="6">
        <f t="shared" ref="G18" si="120">(G19-G14)/5+G17</f>
        <v>26.407579800000004</v>
      </c>
      <c r="H18" s="6">
        <f t="shared" ref="H18" si="121">(H19-H14)/5+H17</f>
        <v>398.88434819999998</v>
      </c>
      <c r="I18" s="6">
        <f t="shared" ref="I18" si="122">(I19-I14)/5+I17</f>
        <v>672.77389759999983</v>
      </c>
      <c r="J18" s="6">
        <f t="shared" ref="J18" si="123">(J19-J14)/5+J17</f>
        <v>520.3986910000001</v>
      </c>
      <c r="K18" s="6">
        <f t="shared" ref="K18" si="124">(K19-K14)/5+K17</f>
        <v>113.41500119999998</v>
      </c>
      <c r="L18" s="6">
        <f t="shared" ref="L18" si="125">(L19-L14)/5+L17</f>
        <v>154.50666759999999</v>
      </c>
      <c r="M18" s="6">
        <f t="shared" ref="M18" si="126">(M19-M14)/5+M17</f>
        <v>617.56867079999961</v>
      </c>
      <c r="N18" s="6">
        <f t="shared" ref="N18" si="127">(N19-N14)/5+N17</f>
        <v>1476.8513372</v>
      </c>
      <c r="O18" s="6">
        <f t="shared" ref="O18" si="128">(O19-O14)/5+O17</f>
        <v>131.70674920000005</v>
      </c>
      <c r="P18" s="6">
        <f t="shared" ref="P18" si="129">(P19-P14)/5+P17</f>
        <v>2078.0246906000002</v>
      </c>
      <c r="Q18" s="6">
        <f t="shared" ref="Q18" si="130">(Q19-Q14)/5+Q17</f>
        <v>646.87388299999998</v>
      </c>
      <c r="R18" s="6">
        <f t="shared" ref="R18" si="131">(R19-R14)/5+R17</f>
        <v>33.710679800000008</v>
      </c>
    </row>
    <row r="19" spans="1:18" x14ac:dyDescent="0.3">
      <c r="A19" s="1" t="s">
        <v>18</v>
      </c>
      <c r="B19" s="2">
        <v>50.254043000000003</v>
      </c>
      <c r="C19" s="2">
        <v>1406.387575</v>
      </c>
      <c r="D19" s="2">
        <v>116.050676</v>
      </c>
      <c r="E19" s="2">
        <v>141.56771699999999</v>
      </c>
      <c r="F19" s="2">
        <v>3.9339780000000002</v>
      </c>
      <c r="G19" s="2">
        <v>26.376480999999998</v>
      </c>
      <c r="H19" s="2">
        <v>400.51194600000002</v>
      </c>
      <c r="I19" s="2">
        <v>676.32069499999989</v>
      </c>
      <c r="J19" s="2">
        <v>521.14012300000013</v>
      </c>
      <c r="K19" s="2">
        <v>112.848636</v>
      </c>
      <c r="L19" s="2">
        <v>155.38455300000001</v>
      </c>
      <c r="M19" s="2">
        <v>625.2612389999997</v>
      </c>
      <c r="N19" s="2">
        <v>1508.564633</v>
      </c>
      <c r="O19" s="2">
        <v>132.353667</v>
      </c>
      <c r="P19" s="2">
        <v>2093.853846</v>
      </c>
      <c r="Q19" s="2">
        <v>650.60012099999994</v>
      </c>
      <c r="R19" s="2">
        <v>33.919787999999997</v>
      </c>
    </row>
    <row r="20" spans="1:18" x14ac:dyDescent="0.3">
      <c r="A20" s="1">
        <v>2036</v>
      </c>
      <c r="B20" s="6">
        <f>(B24-B19)/5+B19</f>
        <v>50.0485392</v>
      </c>
      <c r="C20" s="6">
        <f t="shared" ref="C20" si="132">(C24-C19)/5+C19</f>
        <v>1401.750082</v>
      </c>
      <c r="D20" s="6">
        <f t="shared" ref="D20" si="133">(D24-D19)/5+D19</f>
        <v>115.3736818</v>
      </c>
      <c r="E20" s="6">
        <f t="shared" ref="E20" si="134">(E24-E19)/5+E19</f>
        <v>141.292202</v>
      </c>
      <c r="F20" s="6">
        <f t="shared" ref="F20" si="135">(F24-F19)/5+F19</f>
        <v>3.9761666</v>
      </c>
      <c r="G20" s="6">
        <f t="shared" ref="G20" si="136">(G24-G19)/5+G19</f>
        <v>26.316701199999997</v>
      </c>
      <c r="H20" s="6">
        <f t="shared" ref="H20" si="137">(H24-H19)/5+H19</f>
        <v>402.03982860000002</v>
      </c>
      <c r="I20" s="6">
        <f t="shared" ref="I20" si="138">(I24-I19)/5+I19</f>
        <v>679.09036079999987</v>
      </c>
      <c r="J20" s="6">
        <f t="shared" ref="J20" si="139">(J24-J19)/5+J19</f>
        <v>521.86162000000013</v>
      </c>
      <c r="K20" s="6">
        <f t="shared" ref="K20" si="140">(K24-K19)/5+K19</f>
        <v>112.293153</v>
      </c>
      <c r="L20" s="6">
        <f t="shared" ref="L20" si="141">(L24-L19)/5+L19</f>
        <v>156.14106000000001</v>
      </c>
      <c r="M20" s="6">
        <f t="shared" ref="M20" si="142">(M24-M19)/5+M19</f>
        <v>632.60257699999977</v>
      </c>
      <c r="N20" s="6">
        <f t="shared" ref="N20" si="143">(N24-N19)/5+N19</f>
        <v>1541.1849973999999</v>
      </c>
      <c r="O20" s="6">
        <f t="shared" ref="O20" si="144">(O24-O19)/5+O19</f>
        <v>132.83418879999999</v>
      </c>
      <c r="P20" s="6">
        <f t="shared" ref="P20" si="145">(P24-P19)/5+P19</f>
        <v>2107.063318</v>
      </c>
      <c r="Q20" s="6">
        <f t="shared" ref="Q20" si="146">(Q24-Q19)/5+Q19</f>
        <v>653.4594118</v>
      </c>
      <c r="R20" s="6">
        <f t="shared" ref="R20" si="147">(R24-R19)/5+R19</f>
        <v>34.116764400000001</v>
      </c>
    </row>
    <row r="21" spans="1:18" x14ac:dyDescent="0.3">
      <c r="A21" s="1">
        <v>2037</v>
      </c>
      <c r="B21" s="6">
        <f>(B24-B19)/5+B20</f>
        <v>49.843035399999998</v>
      </c>
      <c r="C21" s="6">
        <f t="shared" ref="C21" si="148">(C24-C19)/5+C20</f>
        <v>1397.1125890000001</v>
      </c>
      <c r="D21" s="6">
        <f t="shared" ref="D21" si="149">(D24-D19)/5+D20</f>
        <v>114.6966876</v>
      </c>
      <c r="E21" s="6">
        <f t="shared" ref="E21" si="150">(E24-E19)/5+E20</f>
        <v>141.01668700000002</v>
      </c>
      <c r="F21" s="6">
        <f t="shared" ref="F21" si="151">(F24-F19)/5+F20</f>
        <v>4.0183552000000002</v>
      </c>
      <c r="G21" s="6">
        <f t="shared" ref="G21" si="152">(G24-G19)/5+G20</f>
        <v>26.256921399999996</v>
      </c>
      <c r="H21" s="6">
        <f t="shared" ref="H21" si="153">(H24-H19)/5+H20</f>
        <v>403.56771120000002</v>
      </c>
      <c r="I21" s="6">
        <f t="shared" ref="I21" si="154">(I24-I19)/5+I20</f>
        <v>681.86002659999986</v>
      </c>
      <c r="J21" s="6">
        <f t="shared" ref="J21" si="155">(J24-J19)/5+J20</f>
        <v>522.58311700000013</v>
      </c>
      <c r="K21" s="6">
        <f t="shared" ref="K21" si="156">(K24-K19)/5+K20</f>
        <v>111.73767000000001</v>
      </c>
      <c r="L21" s="6">
        <f t="shared" ref="L21" si="157">(L24-L19)/5+L20</f>
        <v>156.89756700000001</v>
      </c>
      <c r="M21" s="6">
        <f t="shared" ref="M21" si="158">(M24-M19)/5+M20</f>
        <v>639.94391499999983</v>
      </c>
      <c r="N21" s="6">
        <f t="shared" ref="N21" si="159">(N24-N19)/5+N20</f>
        <v>1573.8053617999999</v>
      </c>
      <c r="O21" s="6">
        <f t="shared" ref="O21" si="160">(O24-O19)/5+O20</f>
        <v>133.31471059999998</v>
      </c>
      <c r="P21" s="6">
        <f t="shared" ref="P21" si="161">(P24-P19)/5+P20</f>
        <v>2120.27279</v>
      </c>
      <c r="Q21" s="6">
        <f t="shared" ref="Q21" si="162">(Q24-Q19)/5+Q20</f>
        <v>656.31870260000005</v>
      </c>
      <c r="R21" s="6">
        <f t="shared" ref="R21" si="163">(R24-R19)/5+R20</f>
        <v>34.313740800000005</v>
      </c>
    </row>
    <row r="22" spans="1:18" x14ac:dyDescent="0.3">
      <c r="A22" s="1">
        <v>2038</v>
      </c>
      <c r="B22" s="6">
        <f>(B24-B19)/5+B21</f>
        <v>49.637531599999996</v>
      </c>
      <c r="C22" s="6">
        <f t="shared" ref="C22" si="164">(C24-C19)/5+C21</f>
        <v>1392.4750960000001</v>
      </c>
      <c r="D22" s="6">
        <f t="shared" ref="D22" si="165">(D24-D19)/5+D21</f>
        <v>114.01969340000001</v>
      </c>
      <c r="E22" s="6">
        <f t="shared" ref="E22" si="166">(E24-E19)/5+E21</f>
        <v>140.74117200000003</v>
      </c>
      <c r="F22" s="6">
        <f t="shared" ref="F22" si="167">(F24-F19)/5+F21</f>
        <v>4.0605438000000005</v>
      </c>
      <c r="G22" s="6">
        <f t="shared" ref="G22" si="168">(G24-G19)/5+G21</f>
        <v>26.197141599999995</v>
      </c>
      <c r="H22" s="6">
        <f t="shared" ref="H22" si="169">(H24-H19)/5+H21</f>
        <v>405.09559380000002</v>
      </c>
      <c r="I22" s="6">
        <f t="shared" ref="I22" si="170">(I24-I19)/5+I21</f>
        <v>684.62969239999984</v>
      </c>
      <c r="J22" s="6">
        <f t="shared" ref="J22" si="171">(J24-J19)/5+J21</f>
        <v>523.30461400000013</v>
      </c>
      <c r="K22" s="6">
        <f t="shared" ref="K22" si="172">(K24-K19)/5+K21</f>
        <v>111.18218700000001</v>
      </c>
      <c r="L22" s="6">
        <f t="shared" ref="L22" si="173">(L24-L19)/5+L21</f>
        <v>157.65407400000001</v>
      </c>
      <c r="M22" s="6">
        <f t="shared" ref="M22" si="174">(M24-M19)/5+M21</f>
        <v>647.2852529999999</v>
      </c>
      <c r="N22" s="6">
        <f t="shared" ref="N22" si="175">(N24-N19)/5+N21</f>
        <v>1606.4257261999999</v>
      </c>
      <c r="O22" s="6">
        <f t="shared" ref="O22" si="176">(O24-O19)/5+O21</f>
        <v>133.79523239999997</v>
      </c>
      <c r="P22" s="6">
        <f t="shared" ref="P22" si="177">(P24-P19)/5+P21</f>
        <v>2133.482262</v>
      </c>
      <c r="Q22" s="6">
        <f t="shared" ref="Q22" si="178">(Q24-Q19)/5+Q21</f>
        <v>659.1779934000001</v>
      </c>
      <c r="R22" s="6">
        <f t="shared" ref="R22" si="179">(R24-R19)/5+R21</f>
        <v>34.510717200000009</v>
      </c>
    </row>
    <row r="23" spans="1:18" x14ac:dyDescent="0.3">
      <c r="A23" s="1">
        <v>2039</v>
      </c>
      <c r="B23" s="6">
        <f>(B24-B19)/5+B22</f>
        <v>49.432027799999993</v>
      </c>
      <c r="C23" s="6">
        <f t="shared" ref="C23" si="180">(C24-C19)/5+C22</f>
        <v>1387.8376030000002</v>
      </c>
      <c r="D23" s="6">
        <f t="shared" ref="D23" si="181">(D24-D19)/5+D22</f>
        <v>113.34269920000001</v>
      </c>
      <c r="E23" s="6">
        <f t="shared" ref="E23" si="182">(E24-E19)/5+E22</f>
        <v>140.46565700000005</v>
      </c>
      <c r="F23" s="6">
        <f t="shared" ref="F23" si="183">(F24-F19)/5+F22</f>
        <v>4.1027324000000007</v>
      </c>
      <c r="G23" s="6">
        <f t="shared" ref="G23" si="184">(G24-G19)/5+G22</f>
        <v>26.137361799999994</v>
      </c>
      <c r="H23" s="6">
        <f t="shared" ref="H23" si="185">(H24-H19)/5+H22</f>
        <v>406.62347640000002</v>
      </c>
      <c r="I23" s="6">
        <f t="shared" ref="I23" si="186">(I24-I19)/5+I22</f>
        <v>687.39935819999982</v>
      </c>
      <c r="J23" s="6">
        <f t="shared" ref="J23" si="187">(J24-J19)/5+J22</f>
        <v>524.02611100000013</v>
      </c>
      <c r="K23" s="6">
        <f t="shared" ref="K23" si="188">(K24-K19)/5+K22</f>
        <v>110.62670400000002</v>
      </c>
      <c r="L23" s="6">
        <f t="shared" ref="L23" si="189">(L24-L19)/5+L22</f>
        <v>158.41058100000001</v>
      </c>
      <c r="M23" s="6">
        <f t="shared" ref="M23" si="190">(M24-M19)/5+M22</f>
        <v>654.62659099999996</v>
      </c>
      <c r="N23" s="6">
        <f t="shared" ref="N23" si="191">(N24-N19)/5+N22</f>
        <v>1639.0460905999998</v>
      </c>
      <c r="O23" s="6">
        <f t="shared" ref="O23" si="192">(O24-O19)/5+O22</f>
        <v>134.27575419999997</v>
      </c>
      <c r="P23" s="6">
        <f t="shared" ref="P23" si="193">(P24-P19)/5+P22</f>
        <v>2146.691734</v>
      </c>
      <c r="Q23" s="6">
        <f t="shared" ref="Q23" si="194">(Q24-Q19)/5+Q22</f>
        <v>662.03728420000016</v>
      </c>
      <c r="R23" s="6">
        <f t="shared" ref="R23" si="195">(R24-R19)/5+R22</f>
        <v>34.707693600000013</v>
      </c>
    </row>
    <row r="24" spans="1:18" x14ac:dyDescent="0.3">
      <c r="A24" s="1" t="s">
        <v>19</v>
      </c>
      <c r="B24" s="2">
        <v>49.226523999999998</v>
      </c>
      <c r="C24" s="2">
        <v>1383.20011</v>
      </c>
      <c r="D24" s="2">
        <v>112.665705</v>
      </c>
      <c r="E24" s="2">
        <v>140.19014200000001</v>
      </c>
      <c r="F24" s="2">
        <v>4.1449210000000001</v>
      </c>
      <c r="G24" s="2">
        <v>26.077582</v>
      </c>
      <c r="H24" s="2">
        <v>408.15135900000001</v>
      </c>
      <c r="I24" s="2">
        <v>690.16902399999992</v>
      </c>
      <c r="J24" s="2">
        <v>524.74760800000024</v>
      </c>
      <c r="K24" s="2">
        <v>110.07122099999999</v>
      </c>
      <c r="L24" s="2">
        <v>159.16708800000001</v>
      </c>
      <c r="M24" s="2">
        <v>661.96792900000003</v>
      </c>
      <c r="N24" s="2">
        <v>1671.666455</v>
      </c>
      <c r="O24" s="2">
        <v>134.75627600000001</v>
      </c>
      <c r="P24" s="2">
        <v>2159.901206</v>
      </c>
      <c r="Q24" s="2">
        <v>664.8965750000001</v>
      </c>
      <c r="R24" s="2">
        <v>34.904670000000003</v>
      </c>
    </row>
    <row r="25" spans="1:18" x14ac:dyDescent="0.3">
      <c r="A25" s="1">
        <v>2041</v>
      </c>
      <c r="B25" s="6">
        <f>(B29-B24)/5+B24</f>
        <v>48.965570399999997</v>
      </c>
      <c r="C25" s="6">
        <f t="shared" ref="C25" si="196">(C29-C24)/5+C24</f>
        <v>1377.11652</v>
      </c>
      <c r="D25" s="6">
        <f t="shared" ref="D25" si="197">(D29-D24)/5+D24</f>
        <v>111.9851592</v>
      </c>
      <c r="E25" s="6">
        <f t="shared" ref="E25" si="198">(E29-E24)/5+E24</f>
        <v>140.01852100000002</v>
      </c>
      <c r="F25" s="6">
        <f t="shared" ref="F25" si="199">(F29-F24)/5+F24</f>
        <v>4.1871994000000017</v>
      </c>
      <c r="G25" s="6">
        <f t="shared" ref="G25" si="200">(G29-G24)/5+G24</f>
        <v>25.996516</v>
      </c>
      <c r="H25" s="6">
        <f t="shared" ref="H25" si="201">(H29-H24)/5+H24</f>
        <v>409.55808680000001</v>
      </c>
      <c r="I25" s="6">
        <f t="shared" ref="I25" si="202">(I29-I24)/5+I24</f>
        <v>692.14720419999992</v>
      </c>
      <c r="J25" s="6">
        <f t="shared" ref="J25" si="203">(J29-J24)/5+J24</f>
        <v>525.42650360000016</v>
      </c>
      <c r="K25" s="6">
        <f t="shared" ref="K25" si="204">(K29-K24)/5+K24</f>
        <v>109.54293319999999</v>
      </c>
      <c r="L25" s="6">
        <f t="shared" ref="L25" si="205">(L29-L24)/5+L24</f>
        <v>159.81764760000002</v>
      </c>
      <c r="M25" s="6">
        <f t="shared" ref="M25" si="206">(M29-M24)/5+M24</f>
        <v>668.82609280000008</v>
      </c>
      <c r="N25" s="6">
        <f t="shared" ref="N25" si="207">(N29-N24)/5+N24</f>
        <v>1704.6282092000001</v>
      </c>
      <c r="O25" s="6">
        <f t="shared" ref="O25" si="208">(O29-O24)/5+O24</f>
        <v>135.07856360000002</v>
      </c>
      <c r="P25" s="6">
        <f t="shared" ref="P25" si="209">(P29-P24)/5+P24</f>
        <v>2170.2584185999999</v>
      </c>
      <c r="Q25" s="6">
        <f t="shared" ref="Q25" si="210">(Q29-Q24)/5+Q24</f>
        <v>666.93770800000004</v>
      </c>
      <c r="R25" s="6">
        <f t="shared" ref="R25" si="211">(R29-R24)/5+R24</f>
        <v>35.097880600000003</v>
      </c>
    </row>
    <row r="26" spans="1:18" x14ac:dyDescent="0.3">
      <c r="A26" s="1">
        <v>2042</v>
      </c>
      <c r="B26" s="6">
        <f>(B29-B24)/5+B25</f>
        <v>48.704616799999997</v>
      </c>
      <c r="C26" s="6">
        <f t="shared" ref="C26" si="212">(C29-C24)/5+C25</f>
        <v>1371.0329300000001</v>
      </c>
      <c r="D26" s="6">
        <f t="shared" ref="D26" si="213">(D29-D24)/5+D25</f>
        <v>111.30461339999999</v>
      </c>
      <c r="E26" s="6">
        <f t="shared" ref="E26" si="214">(E29-E24)/5+E25</f>
        <v>139.84690000000003</v>
      </c>
      <c r="F26" s="6">
        <f t="shared" ref="F26" si="215">(F29-F24)/5+F25</f>
        <v>4.2294778000000033</v>
      </c>
      <c r="G26" s="6">
        <f t="shared" ref="G26" si="216">(G29-G24)/5+G25</f>
        <v>25.91545</v>
      </c>
      <c r="H26" s="6">
        <f t="shared" ref="H26" si="217">(H29-H24)/5+H25</f>
        <v>410.96481460000001</v>
      </c>
      <c r="I26" s="6">
        <f t="shared" ref="I26" si="218">(I29-I24)/5+I25</f>
        <v>694.12538439999992</v>
      </c>
      <c r="J26" s="6">
        <f t="shared" ref="J26" si="219">(J29-J24)/5+J25</f>
        <v>526.10539920000008</v>
      </c>
      <c r="K26" s="6">
        <f t="shared" ref="K26" si="220">(K29-K24)/5+K25</f>
        <v>109.01464539999999</v>
      </c>
      <c r="L26" s="6">
        <f t="shared" ref="L26" si="221">(L29-L24)/5+L25</f>
        <v>160.46820720000002</v>
      </c>
      <c r="M26" s="6">
        <f t="shared" ref="M26" si="222">(M29-M24)/5+M25</f>
        <v>675.68425660000014</v>
      </c>
      <c r="N26" s="6">
        <f t="shared" ref="N26" si="223">(N29-N24)/5+N25</f>
        <v>1737.5899634000002</v>
      </c>
      <c r="O26" s="6">
        <f t="shared" ref="O26" si="224">(O29-O24)/5+O25</f>
        <v>135.40085120000003</v>
      </c>
      <c r="P26" s="6">
        <f t="shared" ref="P26" si="225">(P29-P24)/5+P25</f>
        <v>2180.6156311999998</v>
      </c>
      <c r="Q26" s="6">
        <f t="shared" ref="Q26" si="226">(Q29-Q24)/5+Q25</f>
        <v>668.97884099999999</v>
      </c>
      <c r="R26" s="6">
        <f t="shared" ref="R26" si="227">(R29-R24)/5+R25</f>
        <v>35.291091200000004</v>
      </c>
    </row>
    <row r="27" spans="1:18" x14ac:dyDescent="0.3">
      <c r="A27" s="1">
        <v>2043</v>
      </c>
      <c r="B27" s="6">
        <f>(B29-B24)/5+B26</f>
        <v>48.443663199999996</v>
      </c>
      <c r="C27" s="6">
        <f t="shared" ref="C27" si="228">(C29-C24)/5+C26</f>
        <v>1364.9493400000001</v>
      </c>
      <c r="D27" s="6">
        <f t="shared" ref="D27" si="229">(D29-D24)/5+D26</f>
        <v>110.62406759999999</v>
      </c>
      <c r="E27" s="6">
        <f t="shared" ref="E27" si="230">(E29-E24)/5+E26</f>
        <v>139.67527900000005</v>
      </c>
      <c r="F27" s="6">
        <f t="shared" ref="F27" si="231">(F29-F24)/5+F26</f>
        <v>4.2717562000000049</v>
      </c>
      <c r="G27" s="6">
        <f t="shared" ref="G27" si="232">(G29-G24)/5+G26</f>
        <v>25.834384</v>
      </c>
      <c r="H27" s="6">
        <f t="shared" ref="H27" si="233">(H29-H24)/5+H26</f>
        <v>412.37154240000001</v>
      </c>
      <c r="I27" s="6">
        <f t="shared" ref="I27" si="234">(I29-I24)/5+I26</f>
        <v>696.10356459999991</v>
      </c>
      <c r="J27" s="6">
        <f t="shared" ref="J27" si="235">(J29-J24)/5+J26</f>
        <v>526.7842948</v>
      </c>
      <c r="K27" s="6">
        <f t="shared" ref="K27" si="236">(K29-K24)/5+K26</f>
        <v>108.48635759999999</v>
      </c>
      <c r="L27" s="6">
        <f t="shared" ref="L27" si="237">(L29-L24)/5+L26</f>
        <v>161.11876680000003</v>
      </c>
      <c r="M27" s="6">
        <f t="shared" ref="M27" si="238">(M29-M24)/5+M26</f>
        <v>682.5424204000002</v>
      </c>
      <c r="N27" s="6">
        <f t="shared" ref="N27" si="239">(N29-N24)/5+N26</f>
        <v>1770.5517176000003</v>
      </c>
      <c r="O27" s="6">
        <f t="shared" ref="O27" si="240">(O29-O24)/5+O26</f>
        <v>135.72313880000004</v>
      </c>
      <c r="P27" s="6">
        <f t="shared" ref="P27" si="241">(P29-P24)/5+P26</f>
        <v>2190.9728437999997</v>
      </c>
      <c r="Q27" s="6">
        <f t="shared" ref="Q27" si="242">(Q29-Q24)/5+Q26</f>
        <v>671.01997399999993</v>
      </c>
      <c r="R27" s="6">
        <f t="shared" ref="R27" si="243">(R29-R24)/5+R26</f>
        <v>35.484301800000004</v>
      </c>
    </row>
    <row r="28" spans="1:18" x14ac:dyDescent="0.3">
      <c r="A28" s="1">
        <v>2044</v>
      </c>
      <c r="B28" s="6">
        <f>(B29-B24)/5+B27</f>
        <v>48.182709599999995</v>
      </c>
      <c r="C28" s="6">
        <f t="shared" ref="C28" si="244">(C29-C24)/5+C27</f>
        <v>1358.8657500000002</v>
      </c>
      <c r="D28" s="6">
        <f t="shared" ref="D28" si="245">(D29-D24)/5+D27</f>
        <v>109.94352179999998</v>
      </c>
      <c r="E28" s="6">
        <f t="shared" ref="E28" si="246">(E29-E24)/5+E27</f>
        <v>139.50365800000006</v>
      </c>
      <c r="F28" s="6">
        <f t="shared" ref="F28" si="247">(F29-F24)/5+F27</f>
        <v>4.3140346000000065</v>
      </c>
      <c r="G28" s="6">
        <f t="shared" ref="G28" si="248">(G29-G24)/5+G27</f>
        <v>25.753318</v>
      </c>
      <c r="H28" s="6">
        <f t="shared" ref="H28" si="249">(H29-H24)/5+H27</f>
        <v>413.77827020000001</v>
      </c>
      <c r="I28" s="6">
        <f t="shared" ref="I28" si="250">(I29-I24)/5+I27</f>
        <v>698.08174479999991</v>
      </c>
      <c r="J28" s="6">
        <f t="shared" ref="J28" si="251">(J29-J24)/5+J27</f>
        <v>527.46319039999992</v>
      </c>
      <c r="K28" s="6">
        <f t="shared" ref="K28" si="252">(K29-K24)/5+K27</f>
        <v>107.95806979999999</v>
      </c>
      <c r="L28" s="6">
        <f t="shared" ref="L28" si="253">(L29-L24)/5+L27</f>
        <v>161.76932640000004</v>
      </c>
      <c r="M28" s="6">
        <f t="shared" ref="M28" si="254">(M29-M24)/5+M27</f>
        <v>689.40058420000025</v>
      </c>
      <c r="N28" s="6">
        <f t="shared" ref="N28" si="255">(N29-N24)/5+N27</f>
        <v>1803.5134718000004</v>
      </c>
      <c r="O28" s="6">
        <f t="shared" ref="O28" si="256">(O29-O24)/5+O27</f>
        <v>136.04542640000005</v>
      </c>
      <c r="P28" s="6">
        <f t="shared" ref="P28" si="257">(P29-P24)/5+P27</f>
        <v>2201.3300563999996</v>
      </c>
      <c r="Q28" s="6">
        <f t="shared" ref="Q28" si="258">(Q29-Q24)/5+Q27</f>
        <v>673.06110699999988</v>
      </c>
      <c r="R28" s="6">
        <f t="shared" ref="R28" si="259">(R29-R24)/5+R27</f>
        <v>35.677512400000005</v>
      </c>
    </row>
    <row r="29" spans="1:18" x14ac:dyDescent="0.3">
      <c r="A29" s="1" t="s">
        <v>20</v>
      </c>
      <c r="B29" s="2">
        <v>47.921756000000002</v>
      </c>
      <c r="C29" s="2">
        <v>1352.78216</v>
      </c>
      <c r="D29" s="2">
        <v>109.26297599999999</v>
      </c>
      <c r="E29" s="2">
        <v>139.33203700000001</v>
      </c>
      <c r="F29" s="2">
        <v>4.3563130000000099</v>
      </c>
      <c r="G29" s="2">
        <v>25.672252</v>
      </c>
      <c r="H29" s="2">
        <v>415.18499800000001</v>
      </c>
      <c r="I29" s="2">
        <v>700.05992500000002</v>
      </c>
      <c r="J29" s="2">
        <v>528.14208599999995</v>
      </c>
      <c r="K29" s="2">
        <v>107.429782</v>
      </c>
      <c r="L29" s="2">
        <v>162.41988599999999</v>
      </c>
      <c r="M29" s="2">
        <v>696.2587480000002</v>
      </c>
      <c r="N29" s="2">
        <v>1836.475226</v>
      </c>
      <c r="O29" s="2">
        <v>136.36771400000001</v>
      </c>
      <c r="P29" s="2">
        <v>2211.687269</v>
      </c>
      <c r="Q29" s="2">
        <v>675.10224000000005</v>
      </c>
      <c r="R29" s="2">
        <v>35.870723000000012</v>
      </c>
    </row>
    <row r="30" spans="1:18" x14ac:dyDescent="0.3">
      <c r="A30" s="1">
        <v>2046</v>
      </c>
      <c r="B30" s="6">
        <f>(B34-B29)/5+B29</f>
        <v>47.630087000000003</v>
      </c>
      <c r="C30" s="6">
        <f t="shared" ref="C30" si="260">(C34-C29)/5+C29</f>
        <v>1344.9169870000001</v>
      </c>
      <c r="D30" s="6">
        <f t="shared" ref="D30" si="261">(D34-D29)/5+D29</f>
        <v>108.60671979999999</v>
      </c>
      <c r="E30" s="6">
        <f t="shared" ref="E30" si="262">(E34-E29)/5+E29</f>
        <v>139.21691320000002</v>
      </c>
      <c r="F30" s="6">
        <f t="shared" ref="F30" si="263">(F34-F29)/5+F29</f>
        <v>4.3974436000000079</v>
      </c>
      <c r="G30" s="6">
        <f t="shared" ref="G30" si="264">(G34-G29)/5+G29</f>
        <v>25.580050400000001</v>
      </c>
      <c r="H30" s="6">
        <f t="shared" ref="H30" si="265">(H34-H29)/5+H29</f>
        <v>416.51918020000005</v>
      </c>
      <c r="I30" s="6">
        <f t="shared" ref="I30" si="266">(I34-I29)/5+I29</f>
        <v>701.26522020000004</v>
      </c>
      <c r="J30" s="6">
        <f t="shared" ref="J30" si="267">(J34-J29)/5+J29</f>
        <v>528.72987279999995</v>
      </c>
      <c r="K30" s="6">
        <f t="shared" ref="K30" si="268">(K34-K29)/5+K29</f>
        <v>106.9398666</v>
      </c>
      <c r="L30" s="6">
        <f t="shared" ref="L30" si="269">(L34-L29)/5+L29</f>
        <v>162.94489879999998</v>
      </c>
      <c r="M30" s="6">
        <f t="shared" ref="M30" si="270">(M34-M29)/5+M29</f>
        <v>702.40502260000017</v>
      </c>
      <c r="N30" s="6">
        <f t="shared" ref="N30" si="271">(N34-N29)/5+N29</f>
        <v>1869.19048</v>
      </c>
      <c r="O30" s="6">
        <f t="shared" ref="O30" si="272">(O34-O29)/5+O29</f>
        <v>136.551435</v>
      </c>
      <c r="P30" s="6">
        <f t="shared" ref="P30" si="273">(P34-P29)/5+P29</f>
        <v>2219.3023956000002</v>
      </c>
      <c r="Q30" s="6">
        <f t="shared" ref="Q30" si="274">(Q34-Q29)/5+Q29</f>
        <v>676.35948560000008</v>
      </c>
      <c r="R30" s="6">
        <f t="shared" ref="R30" si="275">(R34-R29)/5+R29</f>
        <v>36.065335200000007</v>
      </c>
    </row>
    <row r="31" spans="1:18" x14ac:dyDescent="0.3">
      <c r="A31" s="1">
        <v>2047</v>
      </c>
      <c r="B31" s="6">
        <f>(B34-B29)/5+B30</f>
        <v>47.338418000000004</v>
      </c>
      <c r="C31" s="6">
        <f t="shared" ref="C31" si="276">(C34-C29)/5+C30</f>
        <v>1337.0518140000001</v>
      </c>
      <c r="D31" s="6">
        <f t="shared" ref="D31" si="277">(D34-D29)/5+D30</f>
        <v>107.95046359999999</v>
      </c>
      <c r="E31" s="6">
        <f t="shared" ref="E31" si="278">(E34-E29)/5+E30</f>
        <v>139.10178940000003</v>
      </c>
      <c r="F31" s="6">
        <f t="shared" ref="F31" si="279">(F34-F29)/5+F30</f>
        <v>4.4385742000000059</v>
      </c>
      <c r="G31" s="6">
        <f t="shared" ref="G31" si="280">(G34-G29)/5+G30</f>
        <v>25.487848800000002</v>
      </c>
      <c r="H31" s="6">
        <f t="shared" ref="H31" si="281">(H34-H29)/5+H30</f>
        <v>417.85336240000009</v>
      </c>
      <c r="I31" s="6">
        <f t="shared" ref="I31" si="282">(I34-I29)/5+I30</f>
        <v>702.47051540000007</v>
      </c>
      <c r="J31" s="6">
        <f t="shared" ref="J31" si="283">(J34-J29)/5+J30</f>
        <v>529.31765959999996</v>
      </c>
      <c r="K31" s="6">
        <f t="shared" ref="K31" si="284">(K34-K29)/5+K30</f>
        <v>106.4499512</v>
      </c>
      <c r="L31" s="6">
        <f t="shared" ref="L31" si="285">(L34-L29)/5+L30</f>
        <v>163.46991159999996</v>
      </c>
      <c r="M31" s="6">
        <f t="shared" ref="M31" si="286">(M34-M29)/5+M30</f>
        <v>708.55129720000014</v>
      </c>
      <c r="N31" s="6">
        <f t="shared" ref="N31" si="287">(N34-N29)/5+N30</f>
        <v>1901.9057339999999</v>
      </c>
      <c r="O31" s="6">
        <f t="shared" ref="O31" si="288">(O34-O29)/5+O30</f>
        <v>136.73515599999999</v>
      </c>
      <c r="P31" s="6">
        <f t="shared" ref="P31" si="289">(P34-P29)/5+P30</f>
        <v>2226.9175222000003</v>
      </c>
      <c r="Q31" s="6">
        <f t="shared" ref="Q31" si="290">(Q34-Q29)/5+Q30</f>
        <v>677.61673120000012</v>
      </c>
      <c r="R31" s="6">
        <f t="shared" ref="R31" si="291">(R34-R29)/5+R30</f>
        <v>36.259947400000001</v>
      </c>
    </row>
    <row r="32" spans="1:18" x14ac:dyDescent="0.3">
      <c r="A32" s="1">
        <v>2048</v>
      </c>
      <c r="B32" s="6">
        <f>(B34-B29)/5+B31</f>
        <v>47.046749000000005</v>
      </c>
      <c r="C32" s="6">
        <f t="shared" ref="C32" si="292">(C34-C29)/5+C31</f>
        <v>1329.1866410000002</v>
      </c>
      <c r="D32" s="6">
        <f t="shared" ref="D32" si="293">(D34-D29)/5+D31</f>
        <v>107.29420739999999</v>
      </c>
      <c r="E32" s="6">
        <f t="shared" ref="E32" si="294">(E34-E29)/5+E31</f>
        <v>138.98666560000004</v>
      </c>
      <c r="F32" s="6">
        <f t="shared" ref="F32" si="295">(F34-F29)/5+F31</f>
        <v>4.4797048000000039</v>
      </c>
      <c r="G32" s="6">
        <f t="shared" ref="G32" si="296">(G34-G29)/5+G31</f>
        <v>25.395647200000003</v>
      </c>
      <c r="H32" s="6">
        <f t="shared" ref="H32" si="297">(H34-H29)/5+H31</f>
        <v>419.18754460000014</v>
      </c>
      <c r="I32" s="6">
        <f t="shared" ref="I32" si="298">(I34-I29)/5+I31</f>
        <v>703.67581060000009</v>
      </c>
      <c r="J32" s="6">
        <f t="shared" ref="J32" si="299">(J34-J29)/5+J31</f>
        <v>529.90544639999996</v>
      </c>
      <c r="K32" s="6">
        <f t="shared" ref="K32" si="300">(K34-K29)/5+K31</f>
        <v>105.9600358</v>
      </c>
      <c r="L32" s="6">
        <f t="shared" ref="L32" si="301">(L34-L29)/5+L31</f>
        <v>163.99492439999995</v>
      </c>
      <c r="M32" s="6">
        <f t="shared" ref="M32" si="302">(M34-M29)/5+M31</f>
        <v>714.69757180000011</v>
      </c>
      <c r="N32" s="6">
        <f t="shared" ref="N32" si="303">(N34-N29)/5+N31</f>
        <v>1934.6209879999999</v>
      </c>
      <c r="O32" s="6">
        <f t="shared" ref="O32" si="304">(O34-O29)/5+O31</f>
        <v>136.91887699999998</v>
      </c>
      <c r="P32" s="6">
        <f t="shared" ref="P32" si="305">(P34-P29)/5+P31</f>
        <v>2234.5326488000005</v>
      </c>
      <c r="Q32" s="6">
        <f t="shared" ref="Q32" si="306">(Q34-Q29)/5+Q31</f>
        <v>678.87397680000015</v>
      </c>
      <c r="R32" s="6">
        <f t="shared" ref="R32" si="307">(R34-R29)/5+R31</f>
        <v>36.454559599999996</v>
      </c>
    </row>
    <row r="33" spans="1:18" x14ac:dyDescent="0.3">
      <c r="A33" s="1">
        <v>2049</v>
      </c>
      <c r="B33" s="6">
        <f>(B34-B29)/5+B32</f>
        <v>46.755080000000007</v>
      </c>
      <c r="C33" s="6">
        <f t="shared" ref="C33" si="308">(C34-C29)/5+C32</f>
        <v>1321.3214680000003</v>
      </c>
      <c r="D33" s="6">
        <f t="shared" ref="D33" si="309">(D34-D29)/5+D32</f>
        <v>106.63795119999999</v>
      </c>
      <c r="E33" s="6">
        <f t="shared" ref="E33" si="310">(E34-E29)/5+E32</f>
        <v>138.87154180000005</v>
      </c>
      <c r="F33" s="6">
        <f t="shared" ref="F33" si="311">(F34-F29)/5+F32</f>
        <v>4.5208354000000019</v>
      </c>
      <c r="G33" s="6">
        <f t="shared" ref="G33" si="312">(G34-G29)/5+G32</f>
        <v>25.303445600000003</v>
      </c>
      <c r="H33" s="6">
        <f t="shared" ref="H33" si="313">(H34-H29)/5+H32</f>
        <v>420.52172680000018</v>
      </c>
      <c r="I33" s="6">
        <f t="shared" ref="I33" si="314">(I34-I29)/5+I32</f>
        <v>704.88110580000011</v>
      </c>
      <c r="J33" s="6">
        <f t="shared" ref="J33" si="315">(J34-J29)/5+J32</f>
        <v>530.49323319999996</v>
      </c>
      <c r="K33" s="6">
        <f t="shared" ref="K33" si="316">(K34-K29)/5+K32</f>
        <v>105.4701204</v>
      </c>
      <c r="L33" s="6">
        <f t="shared" ref="L33" si="317">(L34-L29)/5+L32</f>
        <v>164.51993719999993</v>
      </c>
      <c r="M33" s="6">
        <f t="shared" ref="M33" si="318">(M34-M29)/5+M32</f>
        <v>720.84384640000007</v>
      </c>
      <c r="N33" s="6">
        <f t="shared" ref="N33" si="319">(N34-N29)/5+N32</f>
        <v>1967.3362419999999</v>
      </c>
      <c r="O33" s="6">
        <f t="shared" ref="O33" si="320">(O34-O29)/5+O32</f>
        <v>137.10259799999997</v>
      </c>
      <c r="P33" s="6">
        <f t="shared" ref="P33" si="321">(P34-P29)/5+P32</f>
        <v>2242.1477754000007</v>
      </c>
      <c r="Q33" s="6">
        <f t="shared" ref="Q33" si="322">(Q34-Q29)/5+Q32</f>
        <v>680.13122240000018</v>
      </c>
      <c r="R33" s="6">
        <f t="shared" ref="R33" si="323">(R34-R29)/5+R32</f>
        <v>36.649171799999991</v>
      </c>
    </row>
    <row r="34" spans="1:18" x14ac:dyDescent="0.3">
      <c r="A34" s="1" t="s">
        <v>21</v>
      </c>
      <c r="B34" s="2">
        <v>46.463411000000001</v>
      </c>
      <c r="C34" s="2">
        <v>1313.456295</v>
      </c>
      <c r="D34" s="2">
        <v>105.981695</v>
      </c>
      <c r="E34" s="2">
        <v>138.756418</v>
      </c>
      <c r="F34" s="2">
        <v>4.5619660000000009</v>
      </c>
      <c r="G34" s="2">
        <v>25.211244000000001</v>
      </c>
      <c r="H34" s="2">
        <v>421.85590900000011</v>
      </c>
      <c r="I34" s="2">
        <v>706.08640100000002</v>
      </c>
      <c r="J34" s="2">
        <v>531.08102000000008</v>
      </c>
      <c r="K34" s="2">
        <v>104.980205</v>
      </c>
      <c r="L34" s="2">
        <v>165.04494999999989</v>
      </c>
      <c r="M34" s="2">
        <v>726.99012100000004</v>
      </c>
      <c r="N34" s="2">
        <v>2000.051496</v>
      </c>
      <c r="O34" s="2">
        <v>137.28631899999999</v>
      </c>
      <c r="P34" s="2">
        <v>2249.7629019999999</v>
      </c>
      <c r="Q34" s="2">
        <v>681.38846799999999</v>
      </c>
      <c r="R34" s="2">
        <v>36.843783999999999</v>
      </c>
    </row>
    <row r="35" spans="1:18" x14ac:dyDescent="0.3">
      <c r="A35" s="1">
        <v>2051</v>
      </c>
      <c r="B35" s="6">
        <f>(B39-B34)/5+B34</f>
        <v>46.094152600000001</v>
      </c>
      <c r="C35" s="6">
        <f t="shared" ref="C35" si="324">(C39-C34)/5+C34</f>
        <v>1303.7605493999999</v>
      </c>
      <c r="D35" s="6">
        <f t="shared" ref="D35" si="325">(D39-D34)/5+D34</f>
        <v>105.3557656</v>
      </c>
      <c r="E35" s="6">
        <f t="shared" ref="E35" si="326">(E39-E34)/5+E34</f>
        <v>138.59886560000001</v>
      </c>
      <c r="F35" s="6">
        <f t="shared" ref="F35" si="327">(F39-F34)/5+F34</f>
        <v>4.5982444000000005</v>
      </c>
      <c r="G35" s="6">
        <f t="shared" ref="G35" si="328">(G39-G34)/5+G34</f>
        <v>25.105476400000001</v>
      </c>
      <c r="H35" s="6">
        <f t="shared" ref="H35" si="329">(H39-H34)/5+H34</f>
        <v>422.99721720000008</v>
      </c>
      <c r="I35" s="6">
        <f t="shared" ref="I35" si="330">(I39-I34)/5+I34</f>
        <v>706.61199039999997</v>
      </c>
      <c r="J35" s="6">
        <f t="shared" ref="J35" si="331">(J39-J34)/5+J34</f>
        <v>531.34096280000006</v>
      </c>
      <c r="K35" s="6">
        <f t="shared" ref="K35" si="332">(K39-K34)/5+K34</f>
        <v>104.49840879999999</v>
      </c>
      <c r="L35" s="6">
        <f t="shared" ref="L35" si="333">(L39-L34)/5+L34</f>
        <v>165.39844419999989</v>
      </c>
      <c r="M35" s="6">
        <f t="shared" ref="M35" si="334">(M39-M34)/5+M34</f>
        <v>732.26911540000003</v>
      </c>
      <c r="N35" s="6">
        <f t="shared" ref="N35" si="335">(N39-N34)/5+N34</f>
        <v>2031.6708791999999</v>
      </c>
      <c r="O35" s="6">
        <f t="shared" ref="O35" si="336">(O39-O34)/5+O34</f>
        <v>137.34491679999999</v>
      </c>
      <c r="P35" s="6">
        <f t="shared" ref="P35" si="337">(P39-P34)/5+P34</f>
        <v>2255.2217196000001</v>
      </c>
      <c r="Q35" s="6">
        <f t="shared" ref="Q35" si="338">(Q39-Q34)/5+Q34</f>
        <v>681.96027919999995</v>
      </c>
      <c r="R35" s="6">
        <f t="shared" ref="R35" si="339">(R39-R34)/5+R34</f>
        <v>37.023302199999996</v>
      </c>
    </row>
    <row r="36" spans="1:18" x14ac:dyDescent="0.3">
      <c r="A36" s="1">
        <v>2052</v>
      </c>
      <c r="B36" s="6">
        <f>(B39-B34)/5+B35</f>
        <v>45.724894200000001</v>
      </c>
      <c r="C36" s="6">
        <f t="shared" ref="C36" si="340">(C39-C34)/5+C35</f>
        <v>1294.0648037999999</v>
      </c>
      <c r="D36" s="6">
        <f t="shared" ref="D36" si="341">(D39-D34)/5+D35</f>
        <v>104.72983619999999</v>
      </c>
      <c r="E36" s="6">
        <f t="shared" ref="E36" si="342">(E39-E34)/5+E35</f>
        <v>138.44131320000002</v>
      </c>
      <c r="F36" s="6">
        <f t="shared" ref="F36" si="343">(F39-F34)/5+F35</f>
        <v>4.6345228000000001</v>
      </c>
      <c r="G36" s="6">
        <f t="shared" ref="G36" si="344">(G39-G34)/5+G35</f>
        <v>24.999708800000001</v>
      </c>
      <c r="H36" s="6">
        <f t="shared" ref="H36" si="345">(H39-H34)/5+H35</f>
        <v>424.13852540000005</v>
      </c>
      <c r="I36" s="6">
        <f t="shared" ref="I36" si="346">(I39-I34)/5+I35</f>
        <v>707.13757979999991</v>
      </c>
      <c r="J36" s="6">
        <f t="shared" ref="J36" si="347">(J39-J34)/5+J35</f>
        <v>531.60090560000003</v>
      </c>
      <c r="K36" s="6">
        <f t="shared" ref="K36" si="348">(K39-K34)/5+K35</f>
        <v>104.01661259999999</v>
      </c>
      <c r="L36" s="6">
        <f t="shared" ref="L36" si="349">(L39-L34)/5+L35</f>
        <v>165.75193839999989</v>
      </c>
      <c r="M36" s="6">
        <f t="shared" ref="M36" si="350">(M39-M34)/5+M35</f>
        <v>737.54810980000002</v>
      </c>
      <c r="N36" s="6">
        <f t="shared" ref="N36" si="351">(N39-N34)/5+N35</f>
        <v>2063.2902623999998</v>
      </c>
      <c r="O36" s="6">
        <f t="shared" ref="O36" si="352">(O39-O34)/5+O35</f>
        <v>137.40351459999999</v>
      </c>
      <c r="P36" s="6">
        <f t="shared" ref="P36" si="353">(P39-P34)/5+P35</f>
        <v>2260.6805372000003</v>
      </c>
      <c r="Q36" s="6">
        <f t="shared" ref="Q36" si="354">(Q39-Q34)/5+Q35</f>
        <v>682.5320903999999</v>
      </c>
      <c r="R36" s="6">
        <f t="shared" ref="R36" si="355">(R39-R34)/5+R35</f>
        <v>37.202820399999993</v>
      </c>
    </row>
    <row r="37" spans="1:18" x14ac:dyDescent="0.3">
      <c r="A37" s="1">
        <v>2053</v>
      </c>
      <c r="B37" s="6">
        <f>(B39-B34)/5+B36</f>
        <v>45.355635800000002</v>
      </c>
      <c r="C37" s="6">
        <f t="shared" ref="C37" si="356">(C39-C34)/5+C36</f>
        <v>1284.3690581999999</v>
      </c>
      <c r="D37" s="6">
        <f t="shared" ref="D37" si="357">(D39-D34)/5+D36</f>
        <v>104.10390679999999</v>
      </c>
      <c r="E37" s="6">
        <f t="shared" ref="E37" si="358">(E39-E34)/5+E36</f>
        <v>138.28376080000004</v>
      </c>
      <c r="F37" s="6">
        <f t="shared" ref="F37" si="359">(F39-F34)/5+F36</f>
        <v>4.6708011999999997</v>
      </c>
      <c r="G37" s="6">
        <f t="shared" ref="G37" si="360">(G39-G34)/5+G36</f>
        <v>24.8939412</v>
      </c>
      <c r="H37" s="6">
        <f t="shared" ref="H37" si="361">(H39-H34)/5+H36</f>
        <v>425.27983360000002</v>
      </c>
      <c r="I37" s="6">
        <f t="shared" ref="I37" si="362">(I39-I34)/5+I36</f>
        <v>707.66316919999986</v>
      </c>
      <c r="J37" s="6">
        <f t="shared" ref="J37" si="363">(J39-J34)/5+J36</f>
        <v>531.86084840000001</v>
      </c>
      <c r="K37" s="6">
        <f t="shared" ref="K37" si="364">(K39-K34)/5+K36</f>
        <v>103.53481639999998</v>
      </c>
      <c r="L37" s="6">
        <f t="shared" ref="L37" si="365">(L39-L34)/5+L36</f>
        <v>166.10543259999989</v>
      </c>
      <c r="M37" s="6">
        <f t="shared" ref="M37" si="366">(M39-M34)/5+M36</f>
        <v>742.82710420000001</v>
      </c>
      <c r="N37" s="6">
        <f t="shared" ref="N37" si="367">(N39-N34)/5+N36</f>
        <v>2094.9096455999997</v>
      </c>
      <c r="O37" s="6">
        <f t="shared" ref="O37" si="368">(O39-O34)/5+O36</f>
        <v>137.4621124</v>
      </c>
      <c r="P37" s="6">
        <f t="shared" ref="P37" si="369">(P39-P34)/5+P36</f>
        <v>2266.1393548000005</v>
      </c>
      <c r="Q37" s="6">
        <f t="shared" ref="Q37" si="370">(Q39-Q34)/5+Q36</f>
        <v>683.10390159999986</v>
      </c>
      <c r="R37" s="6">
        <f t="shared" ref="R37" si="371">(R39-R34)/5+R36</f>
        <v>37.38233859999999</v>
      </c>
    </row>
    <row r="38" spans="1:18" x14ac:dyDescent="0.3">
      <c r="A38" s="1">
        <v>2054</v>
      </c>
      <c r="B38" s="6">
        <f>(B39-B34)/5+B37</f>
        <v>44.986377400000002</v>
      </c>
      <c r="C38" s="6">
        <f t="shared" ref="C38" si="372">(C39-C34)/5+C37</f>
        <v>1274.6733125999999</v>
      </c>
      <c r="D38" s="6">
        <f t="shared" ref="D38" si="373">(D39-D34)/5+D37</f>
        <v>103.47797739999999</v>
      </c>
      <c r="E38" s="6">
        <f t="shared" ref="E38" si="374">(E39-E34)/5+E37</f>
        <v>138.12620840000005</v>
      </c>
      <c r="F38" s="6">
        <f t="shared" ref="F38" si="375">(F39-F34)/5+F37</f>
        <v>4.7070795999999993</v>
      </c>
      <c r="G38" s="6">
        <f t="shared" ref="G38" si="376">(G39-G34)/5+G37</f>
        <v>24.7881736</v>
      </c>
      <c r="H38" s="6">
        <f t="shared" ref="H38" si="377">(H39-H34)/5+H37</f>
        <v>426.42114179999999</v>
      </c>
      <c r="I38" s="6">
        <f t="shared" ref="I38" si="378">(I39-I34)/5+I37</f>
        <v>708.1887585999998</v>
      </c>
      <c r="J38" s="6">
        <f t="shared" ref="J38" si="379">(J39-J34)/5+J37</f>
        <v>532.12079119999999</v>
      </c>
      <c r="K38" s="6">
        <f t="shared" ref="K38" si="380">(K39-K34)/5+K37</f>
        <v>103.05302019999998</v>
      </c>
      <c r="L38" s="6">
        <f t="shared" ref="L38" si="381">(L39-L34)/5+L37</f>
        <v>166.45892679999989</v>
      </c>
      <c r="M38" s="6">
        <f t="shared" ref="M38" si="382">(M39-M34)/5+M37</f>
        <v>748.1060986</v>
      </c>
      <c r="N38" s="6">
        <f t="shared" ref="N38" si="383">(N39-N34)/5+N37</f>
        <v>2126.5290287999997</v>
      </c>
      <c r="O38" s="6">
        <f t="shared" ref="O38" si="384">(O39-O34)/5+O37</f>
        <v>137.5207102</v>
      </c>
      <c r="P38" s="6">
        <f t="shared" ref="P38" si="385">(P39-P34)/5+P37</f>
        <v>2271.5981724000007</v>
      </c>
      <c r="Q38" s="6">
        <f t="shared" ref="Q38" si="386">(Q39-Q34)/5+Q37</f>
        <v>683.67571279999981</v>
      </c>
      <c r="R38" s="6">
        <f t="shared" ref="R38" si="387">(R39-R34)/5+R37</f>
        <v>37.561856799999987</v>
      </c>
    </row>
    <row r="39" spans="1:18" x14ac:dyDescent="0.3">
      <c r="A39" s="1" t="s">
        <v>22</v>
      </c>
      <c r="B39" s="2">
        <v>44.617119000000002</v>
      </c>
      <c r="C39" s="2">
        <v>1264.9775669999999</v>
      </c>
      <c r="D39" s="2">
        <v>102.852048</v>
      </c>
      <c r="E39" s="2">
        <v>137.96865600000001</v>
      </c>
      <c r="F39" s="2">
        <v>4.7433580000000006</v>
      </c>
      <c r="G39" s="2">
        <v>24.682406</v>
      </c>
      <c r="H39" s="2">
        <v>427.56245000000001</v>
      </c>
      <c r="I39" s="2">
        <v>708.71434799999997</v>
      </c>
      <c r="J39" s="2">
        <v>532.38073400000007</v>
      </c>
      <c r="K39" s="2">
        <v>102.571224</v>
      </c>
      <c r="L39" s="2">
        <v>166.81242099999989</v>
      </c>
      <c r="M39" s="2">
        <v>753.38509299999987</v>
      </c>
      <c r="N39" s="2">
        <v>2158.148412</v>
      </c>
      <c r="O39" s="2">
        <v>137.579308</v>
      </c>
      <c r="P39" s="2">
        <v>2277.05699</v>
      </c>
      <c r="Q39" s="2">
        <v>684.247524</v>
      </c>
      <c r="R39" s="2">
        <v>37.741374999999998</v>
      </c>
    </row>
    <row r="40" spans="1:18" x14ac:dyDescent="0.3">
      <c r="A40" s="1">
        <v>2056</v>
      </c>
      <c r="B40" s="6">
        <f>(B44-B39)/5+B39</f>
        <v>44.188614000000001</v>
      </c>
      <c r="C40" s="6">
        <f t="shared" ref="C40" si="388">(C44-C39)/5+C39</f>
        <v>1254.088763</v>
      </c>
      <c r="D40" s="6">
        <f t="shared" ref="D40" si="389">(D44-D39)/5+D39</f>
        <v>102.2283642</v>
      </c>
      <c r="E40" s="6">
        <f t="shared" ref="E40" si="390">(E44-E39)/5+E39</f>
        <v>137.7633864</v>
      </c>
      <c r="F40" s="6">
        <f t="shared" ref="F40" si="391">(F44-F39)/5+F39</f>
        <v>4.7721718000000006</v>
      </c>
      <c r="G40" s="6">
        <f t="shared" ref="G40" si="392">(G44-G39)/5+G39</f>
        <v>24.549861199999999</v>
      </c>
      <c r="H40" s="6">
        <f t="shared" ref="H40" si="393">(H44-H39)/5+H39</f>
        <v>428.66315159999999</v>
      </c>
      <c r="I40" s="6">
        <f t="shared" ref="I40" si="394">(I44-I39)/5+I39</f>
        <v>708.60744179999995</v>
      </c>
      <c r="J40" s="6">
        <f t="shared" ref="J40" si="395">(J44-J39)/5+J39</f>
        <v>532.35941960000014</v>
      </c>
      <c r="K40" s="6">
        <f t="shared" ref="K40" si="396">(K44-K39)/5+K39</f>
        <v>102.0802982</v>
      </c>
      <c r="L40" s="6">
        <f t="shared" ref="L40" si="397">(L44-L39)/5+L39</f>
        <v>167.00173259999988</v>
      </c>
      <c r="M40" s="6">
        <f t="shared" ref="M40" si="398">(M44-M39)/5+M39</f>
        <v>757.72274219999986</v>
      </c>
      <c r="N40" s="6">
        <f t="shared" ref="N40" si="399">(N44-N39)/5+N39</f>
        <v>2188.31709</v>
      </c>
      <c r="O40" s="6">
        <f t="shared" ref="O40" si="400">(O44-O39)/5+O39</f>
        <v>137.5060794</v>
      </c>
      <c r="P40" s="6">
        <f t="shared" ref="P40" si="401">(P44-P39)/5+P39</f>
        <v>2280.4906758000002</v>
      </c>
      <c r="Q40" s="6">
        <f t="shared" ref="Q40" si="402">(Q44-Q39)/5+Q39</f>
        <v>684.18706680000003</v>
      </c>
      <c r="R40" s="6">
        <f t="shared" ref="R40" si="403">(R44-R39)/5+R39</f>
        <v>37.906806799999998</v>
      </c>
    </row>
    <row r="41" spans="1:18" x14ac:dyDescent="0.3">
      <c r="A41" s="1">
        <v>2057</v>
      </c>
      <c r="B41" s="6">
        <f>(B44-B39)/5+B40</f>
        <v>43.760109</v>
      </c>
      <c r="C41" s="6">
        <f t="shared" ref="C41" si="404">(C44-C39)/5+C40</f>
        <v>1243.199959</v>
      </c>
      <c r="D41" s="6">
        <f t="shared" ref="D41" si="405">(D44-D39)/5+D40</f>
        <v>101.60468040000001</v>
      </c>
      <c r="E41" s="6">
        <f t="shared" ref="E41" si="406">(E44-E39)/5+E40</f>
        <v>137.55811679999999</v>
      </c>
      <c r="F41" s="6">
        <f t="shared" ref="F41" si="407">(F44-F39)/5+F40</f>
        <v>4.8009856000000006</v>
      </c>
      <c r="G41" s="6">
        <f t="shared" ref="G41" si="408">(G44-G39)/5+G40</f>
        <v>24.417316399999997</v>
      </c>
      <c r="H41" s="6">
        <f t="shared" ref="H41" si="409">(H44-H39)/5+H40</f>
        <v>429.76385319999997</v>
      </c>
      <c r="I41" s="6">
        <f t="shared" ref="I41" si="410">(I44-I39)/5+I40</f>
        <v>708.50053559999992</v>
      </c>
      <c r="J41" s="6">
        <f t="shared" ref="J41" si="411">(J44-J39)/5+J40</f>
        <v>532.3381052000002</v>
      </c>
      <c r="K41" s="6">
        <f t="shared" ref="K41" si="412">(K44-K39)/5+K40</f>
        <v>101.5893724</v>
      </c>
      <c r="L41" s="6">
        <f t="shared" ref="L41" si="413">(L44-L39)/5+L40</f>
        <v>167.19104419999988</v>
      </c>
      <c r="M41" s="6">
        <f t="shared" ref="M41" si="414">(M44-M39)/5+M40</f>
        <v>762.06039139999984</v>
      </c>
      <c r="N41" s="6">
        <f t="shared" ref="N41" si="415">(N44-N39)/5+N40</f>
        <v>2218.485768</v>
      </c>
      <c r="O41" s="6">
        <f t="shared" ref="O41" si="416">(O44-O39)/5+O40</f>
        <v>137.43285080000001</v>
      </c>
      <c r="P41" s="6">
        <f t="shared" ref="P41" si="417">(P44-P39)/5+P40</f>
        <v>2283.9243616000003</v>
      </c>
      <c r="Q41" s="6">
        <f t="shared" ref="Q41" si="418">(Q44-Q39)/5+Q40</f>
        <v>684.12660960000005</v>
      </c>
      <c r="R41" s="6">
        <f t="shared" ref="R41" si="419">(R44-R39)/5+R40</f>
        <v>38.072238599999999</v>
      </c>
    </row>
    <row r="42" spans="1:18" x14ac:dyDescent="0.3">
      <c r="A42" s="1">
        <v>2058</v>
      </c>
      <c r="B42" s="6">
        <f>(B44-B39)/5+B41</f>
        <v>43.331603999999999</v>
      </c>
      <c r="C42" s="6">
        <f t="shared" ref="C42" si="420">(C44-C39)/5+C41</f>
        <v>1232.3111550000001</v>
      </c>
      <c r="D42" s="6">
        <f t="shared" ref="D42" si="421">(D44-D39)/5+D41</f>
        <v>100.98099660000001</v>
      </c>
      <c r="E42" s="6">
        <f t="shared" ref="E42" si="422">(E44-E39)/5+E41</f>
        <v>137.35284719999999</v>
      </c>
      <c r="F42" s="6">
        <f t="shared" ref="F42" si="423">(F44-F39)/5+F41</f>
        <v>4.8297994000000006</v>
      </c>
      <c r="G42" s="6">
        <f t="shared" ref="G42" si="424">(G44-G39)/5+G41</f>
        <v>24.284771599999996</v>
      </c>
      <c r="H42" s="6">
        <f t="shared" ref="H42" si="425">(H44-H39)/5+H41</f>
        <v>430.86455479999995</v>
      </c>
      <c r="I42" s="6">
        <f t="shared" ref="I42" si="426">(I44-I39)/5+I41</f>
        <v>708.3936293999999</v>
      </c>
      <c r="J42" s="6">
        <f t="shared" ref="J42" si="427">(J44-J39)/5+J41</f>
        <v>532.31679080000026</v>
      </c>
      <c r="K42" s="6">
        <f t="shared" ref="K42" si="428">(K44-K39)/5+K41</f>
        <v>101.0984466</v>
      </c>
      <c r="L42" s="6">
        <f t="shared" ref="L42" si="429">(L44-L39)/5+L41</f>
        <v>167.38035579999988</v>
      </c>
      <c r="M42" s="6">
        <f t="shared" ref="M42" si="430">(M44-M39)/5+M41</f>
        <v>766.39804059999983</v>
      </c>
      <c r="N42" s="6">
        <f t="shared" ref="N42" si="431">(N44-N39)/5+N41</f>
        <v>2248.654446</v>
      </c>
      <c r="O42" s="6">
        <f t="shared" ref="O42" si="432">(O44-O39)/5+O41</f>
        <v>137.35962220000002</v>
      </c>
      <c r="P42" s="6">
        <f t="shared" ref="P42" si="433">(P44-P39)/5+P41</f>
        <v>2287.3580474000005</v>
      </c>
      <c r="Q42" s="6">
        <f t="shared" ref="Q42" si="434">(Q44-Q39)/5+Q41</f>
        <v>684.06615240000008</v>
      </c>
      <c r="R42" s="6">
        <f t="shared" ref="R42" si="435">(R44-R39)/5+R41</f>
        <v>38.237670399999999</v>
      </c>
    </row>
    <row r="43" spans="1:18" x14ac:dyDescent="0.3">
      <c r="A43" s="1">
        <v>2059</v>
      </c>
      <c r="B43" s="6">
        <f>(B44-B39)/5+B42</f>
        <v>42.903098999999997</v>
      </c>
      <c r="C43" s="6">
        <f t="shared" ref="C43" si="436">(C44-C39)/5+C42</f>
        <v>1221.4223510000002</v>
      </c>
      <c r="D43" s="6">
        <f t="shared" ref="D43" si="437">(D44-D39)/5+D42</f>
        <v>100.35731280000002</v>
      </c>
      <c r="E43" s="6">
        <f t="shared" ref="E43" si="438">(E44-E39)/5+E42</f>
        <v>137.14757759999998</v>
      </c>
      <c r="F43" s="6">
        <f t="shared" ref="F43" si="439">(F44-F39)/5+F42</f>
        <v>4.8586132000000006</v>
      </c>
      <c r="G43" s="6">
        <f t="shared" ref="G43" si="440">(G44-G39)/5+G42</f>
        <v>24.152226799999994</v>
      </c>
      <c r="H43" s="6">
        <f t="shared" ref="H43" si="441">(H44-H39)/5+H42</f>
        <v>431.96525639999993</v>
      </c>
      <c r="I43" s="6">
        <f t="shared" ref="I43" si="442">(I44-I39)/5+I42</f>
        <v>708.28672319999987</v>
      </c>
      <c r="J43" s="6">
        <f t="shared" ref="J43" si="443">(J44-J39)/5+J42</f>
        <v>532.29547640000033</v>
      </c>
      <c r="K43" s="6">
        <f t="shared" ref="K43" si="444">(K44-K39)/5+K42</f>
        <v>100.6075208</v>
      </c>
      <c r="L43" s="6">
        <f t="shared" ref="L43" si="445">(L44-L39)/5+L42</f>
        <v>167.56966739999987</v>
      </c>
      <c r="M43" s="6">
        <f t="shared" ref="M43" si="446">(M44-M39)/5+M42</f>
        <v>770.73568979999982</v>
      </c>
      <c r="N43" s="6">
        <f t="shared" ref="N43" si="447">(N44-N39)/5+N42</f>
        <v>2278.823124</v>
      </c>
      <c r="O43" s="6">
        <f t="shared" ref="O43" si="448">(O44-O39)/5+O42</f>
        <v>137.28639360000003</v>
      </c>
      <c r="P43" s="6">
        <f t="shared" ref="P43" si="449">(P44-P39)/5+P42</f>
        <v>2290.7917332000006</v>
      </c>
      <c r="Q43" s="6">
        <f t="shared" ref="Q43" si="450">(Q44-Q39)/5+Q42</f>
        <v>684.0056952000001</v>
      </c>
      <c r="R43" s="6">
        <f t="shared" ref="R43" si="451">(R44-R39)/5+R42</f>
        <v>38.403102199999999</v>
      </c>
    </row>
    <row r="44" spans="1:18" x14ac:dyDescent="0.3">
      <c r="A44" s="1" t="s">
        <v>23</v>
      </c>
      <c r="B44" s="2">
        <v>42.474594000000003</v>
      </c>
      <c r="C44" s="2">
        <v>1210.533547</v>
      </c>
      <c r="D44" s="2">
        <v>99.733629000000008</v>
      </c>
      <c r="E44" s="2">
        <v>136.942308</v>
      </c>
      <c r="F44" s="2">
        <v>4.8874269999999997</v>
      </c>
      <c r="G44" s="2">
        <v>24.019682</v>
      </c>
      <c r="H44" s="2">
        <v>433.06595800000002</v>
      </c>
      <c r="I44" s="2">
        <v>708.17981700000007</v>
      </c>
      <c r="J44" s="2">
        <v>532.27416200000027</v>
      </c>
      <c r="K44" s="2">
        <v>100.116595</v>
      </c>
      <c r="L44" s="2">
        <v>167.7589789999999</v>
      </c>
      <c r="M44" s="2">
        <v>775.07333900000003</v>
      </c>
      <c r="N44" s="2">
        <v>2308.991802</v>
      </c>
      <c r="O44" s="2">
        <v>137.213165</v>
      </c>
      <c r="P44" s="2">
        <v>2294.2254189999999</v>
      </c>
      <c r="Q44" s="2">
        <v>683.9452379999999</v>
      </c>
      <c r="R44" s="2">
        <v>38.568534000000007</v>
      </c>
    </row>
    <row r="45" spans="1:18" x14ac:dyDescent="0.3">
      <c r="A45" s="1">
        <v>2061</v>
      </c>
      <c r="B45" s="6">
        <f>(B49-B44)/5+B44</f>
        <v>42.033860600000004</v>
      </c>
      <c r="C45" s="6">
        <f t="shared" ref="C45" si="452">(C49-C44)/5+C44</f>
        <v>1199.2212674</v>
      </c>
      <c r="D45" s="6">
        <f t="shared" ref="D45" si="453">(D49-D44)/5+D44</f>
        <v>99.074901400000002</v>
      </c>
      <c r="E45" s="6">
        <f t="shared" ref="E45" si="454">(E49-E44)/5+E44</f>
        <v>136.67845739999999</v>
      </c>
      <c r="F45" s="6">
        <f t="shared" ref="F45" si="455">(F49-F44)/5+F44</f>
        <v>4.9108445999999999</v>
      </c>
      <c r="G45" s="6">
        <f t="shared" ref="G45" si="456">(G49-G44)/5+G44</f>
        <v>23.867063599999998</v>
      </c>
      <c r="H45" s="6">
        <f t="shared" ref="H45" si="457">(H49-H44)/5+H44</f>
        <v>434.1310694</v>
      </c>
      <c r="I45" s="6">
        <f t="shared" ref="I45" si="458">(I49-I44)/5+I44</f>
        <v>707.52293000000009</v>
      </c>
      <c r="J45" s="6">
        <f t="shared" ref="J45" si="459">(J49-J44)/5+J44</f>
        <v>532.02679320000027</v>
      </c>
      <c r="K45" s="6">
        <f t="shared" ref="K45" si="460">(K49-K44)/5+K44</f>
        <v>99.606427400000001</v>
      </c>
      <c r="L45" s="6">
        <f t="shared" ref="L45" si="461">(L49-L44)/5+L44</f>
        <v>167.82671079999992</v>
      </c>
      <c r="M45" s="6">
        <f t="shared" ref="M45" si="462">(M49-M44)/5+M44</f>
        <v>778.39789359999997</v>
      </c>
      <c r="N45" s="6">
        <f t="shared" ref="N45" si="463">(N49-N44)/5+N44</f>
        <v>2337.1647010000002</v>
      </c>
      <c r="O45" s="6">
        <f t="shared" ref="O45" si="464">(O49-O44)/5+O44</f>
        <v>137.01333880000001</v>
      </c>
      <c r="P45" s="6">
        <f t="shared" ref="P45" si="465">(P49-P44)/5+P44</f>
        <v>2295.3792565999997</v>
      </c>
      <c r="Q45" s="6">
        <f t="shared" ref="Q45" si="466">(Q49-Q44)/5+Q44</f>
        <v>683.3751011999999</v>
      </c>
      <c r="R45" s="6">
        <f t="shared" ref="R45" si="467">(R49-R44)/5+R44</f>
        <v>38.711483200000011</v>
      </c>
    </row>
    <row r="46" spans="1:18" x14ac:dyDescent="0.3">
      <c r="A46" s="1">
        <v>2062</v>
      </c>
      <c r="B46" s="6">
        <f>(B49-B44)/5+B45</f>
        <v>41.593127200000005</v>
      </c>
      <c r="C46" s="6">
        <f t="shared" ref="C46" si="468">(C49-C44)/5+C45</f>
        <v>1187.9089878</v>
      </c>
      <c r="D46" s="6">
        <f t="shared" ref="D46" si="469">(D49-D44)/5+D45</f>
        <v>98.416173799999996</v>
      </c>
      <c r="E46" s="6">
        <f t="shared" ref="E46" si="470">(E49-E44)/5+E45</f>
        <v>136.41460679999997</v>
      </c>
      <c r="F46" s="6">
        <f t="shared" ref="F46" si="471">(F49-F44)/5+F45</f>
        <v>4.9342622</v>
      </c>
      <c r="G46" s="6">
        <f t="shared" ref="G46" si="472">(G49-G44)/5+G45</f>
        <v>23.714445199999997</v>
      </c>
      <c r="H46" s="6">
        <f t="shared" ref="H46" si="473">(H49-H44)/5+H45</f>
        <v>435.19618079999998</v>
      </c>
      <c r="I46" s="6">
        <f t="shared" ref="I46" si="474">(I49-I44)/5+I45</f>
        <v>706.8660430000001</v>
      </c>
      <c r="J46" s="6">
        <f t="shared" ref="J46" si="475">(J49-J44)/5+J45</f>
        <v>531.77942440000027</v>
      </c>
      <c r="K46" s="6">
        <f t="shared" ref="K46" si="476">(K49-K44)/5+K45</f>
        <v>99.096259799999999</v>
      </c>
      <c r="L46" s="6">
        <f t="shared" ref="L46" si="477">(L49-L44)/5+L45</f>
        <v>167.89444259999993</v>
      </c>
      <c r="M46" s="6">
        <f t="shared" ref="M46" si="478">(M49-M44)/5+M45</f>
        <v>781.72244819999992</v>
      </c>
      <c r="N46" s="6">
        <f t="shared" ref="N46" si="479">(N49-N44)/5+N45</f>
        <v>2365.3376000000003</v>
      </c>
      <c r="O46" s="6">
        <f t="shared" ref="O46" si="480">(O49-O44)/5+O45</f>
        <v>136.81351260000002</v>
      </c>
      <c r="P46" s="6">
        <f t="shared" ref="P46" si="481">(P49-P44)/5+P45</f>
        <v>2296.5330941999996</v>
      </c>
      <c r="Q46" s="6">
        <f t="shared" ref="Q46" si="482">(Q49-Q44)/5+Q45</f>
        <v>682.8049643999999</v>
      </c>
      <c r="R46" s="6">
        <f t="shared" ref="R46" si="483">(R49-R44)/5+R45</f>
        <v>38.854432400000015</v>
      </c>
    </row>
    <row r="47" spans="1:18" x14ac:dyDescent="0.3">
      <c r="A47" s="1">
        <v>2063</v>
      </c>
      <c r="B47" s="6">
        <f>(B49-B44)/5+B46</f>
        <v>41.152393800000006</v>
      </c>
      <c r="C47" s="6">
        <f t="shared" ref="C47" si="484">(C49-C44)/5+C46</f>
        <v>1176.5967082</v>
      </c>
      <c r="D47" s="6">
        <f t="shared" ref="D47" si="485">(D49-D44)/5+D46</f>
        <v>97.75744619999999</v>
      </c>
      <c r="E47" s="6">
        <f t="shared" ref="E47" si="486">(E49-E44)/5+E46</f>
        <v>136.15075619999996</v>
      </c>
      <c r="F47" s="6">
        <f t="shared" ref="F47" si="487">(F49-F44)/5+F46</f>
        <v>4.9576798000000002</v>
      </c>
      <c r="G47" s="6">
        <f t="shared" ref="G47" si="488">(G49-G44)/5+G46</f>
        <v>23.561826799999995</v>
      </c>
      <c r="H47" s="6">
        <f t="shared" ref="H47" si="489">(H49-H44)/5+H46</f>
        <v>436.26129219999996</v>
      </c>
      <c r="I47" s="6">
        <f t="shared" ref="I47" si="490">(I49-I44)/5+I46</f>
        <v>706.20915600000012</v>
      </c>
      <c r="J47" s="6">
        <f t="shared" ref="J47" si="491">(J49-J44)/5+J46</f>
        <v>531.53205560000026</v>
      </c>
      <c r="K47" s="6">
        <f t="shared" ref="K47" si="492">(K49-K44)/5+K46</f>
        <v>98.586092199999996</v>
      </c>
      <c r="L47" s="6">
        <f t="shared" ref="L47" si="493">(L49-L44)/5+L46</f>
        <v>167.96217439999995</v>
      </c>
      <c r="M47" s="6">
        <f t="shared" ref="M47" si="494">(M49-M44)/5+M46</f>
        <v>785.04700279999986</v>
      </c>
      <c r="N47" s="6">
        <f t="shared" ref="N47" si="495">(N49-N44)/5+N46</f>
        <v>2393.5104990000004</v>
      </c>
      <c r="O47" s="6">
        <f t="shared" ref="O47" si="496">(O49-O44)/5+O46</f>
        <v>136.61368640000003</v>
      </c>
      <c r="P47" s="6">
        <f t="shared" ref="P47" si="497">(P49-P44)/5+P46</f>
        <v>2297.6869317999995</v>
      </c>
      <c r="Q47" s="6">
        <f t="shared" ref="Q47" si="498">(Q49-Q44)/5+Q46</f>
        <v>682.2348275999999</v>
      </c>
      <c r="R47" s="6">
        <f t="shared" ref="R47" si="499">(R49-R44)/5+R46</f>
        <v>38.997381600000018</v>
      </c>
    </row>
    <row r="48" spans="1:18" x14ac:dyDescent="0.3">
      <c r="A48" s="1">
        <v>2064</v>
      </c>
      <c r="B48" s="6">
        <f>(B49-B44)/5+B47</f>
        <v>40.711660400000007</v>
      </c>
      <c r="C48" s="6">
        <f t="shared" ref="C48" si="500">(C49-C44)/5+C47</f>
        <v>1165.2844286</v>
      </c>
      <c r="D48" s="6">
        <f t="shared" ref="D48" si="501">(D49-D44)/5+D47</f>
        <v>97.098718599999984</v>
      </c>
      <c r="E48" s="6">
        <f t="shared" ref="E48" si="502">(E49-E44)/5+E47</f>
        <v>135.88690559999995</v>
      </c>
      <c r="F48" s="6">
        <f t="shared" ref="F48" si="503">(F49-F44)/5+F47</f>
        <v>4.9810974000000003</v>
      </c>
      <c r="G48" s="6">
        <f t="shared" ref="G48" si="504">(G49-G44)/5+G47</f>
        <v>23.409208399999994</v>
      </c>
      <c r="H48" s="6">
        <f t="shared" ref="H48" si="505">(H49-H44)/5+H47</f>
        <v>437.32640359999994</v>
      </c>
      <c r="I48" s="6">
        <f t="shared" ref="I48" si="506">(I49-I44)/5+I47</f>
        <v>705.55226900000014</v>
      </c>
      <c r="J48" s="6">
        <f t="shared" ref="J48" si="507">(J49-J44)/5+J47</f>
        <v>531.28468680000026</v>
      </c>
      <c r="K48" s="6">
        <f t="shared" ref="K48" si="508">(K49-K44)/5+K47</f>
        <v>98.075924599999993</v>
      </c>
      <c r="L48" s="6">
        <f t="shared" ref="L48" si="509">(L49-L44)/5+L47</f>
        <v>168.02990619999997</v>
      </c>
      <c r="M48" s="6">
        <f t="shared" ref="M48" si="510">(M49-M44)/5+M47</f>
        <v>788.3715573999998</v>
      </c>
      <c r="N48" s="6">
        <f t="shared" ref="N48" si="511">(N49-N44)/5+N47</f>
        <v>2421.6833980000006</v>
      </c>
      <c r="O48" s="6">
        <f t="shared" ref="O48" si="512">(O49-O44)/5+O47</f>
        <v>136.41386020000004</v>
      </c>
      <c r="P48" s="6">
        <f t="shared" ref="P48" si="513">(P49-P44)/5+P47</f>
        <v>2298.8407693999993</v>
      </c>
      <c r="Q48" s="6">
        <f t="shared" ref="Q48" si="514">(Q49-Q44)/5+Q47</f>
        <v>681.6646907999999</v>
      </c>
      <c r="R48" s="6">
        <f t="shared" ref="R48" si="515">(R49-R44)/5+R47</f>
        <v>39.140330800000022</v>
      </c>
    </row>
    <row r="49" spans="1:18" x14ac:dyDescent="0.3">
      <c r="A49" s="1" t="s">
        <v>24</v>
      </c>
      <c r="B49" s="2">
        <v>40.270927000000007</v>
      </c>
      <c r="C49" s="2">
        <v>1153.9721489999999</v>
      </c>
      <c r="D49" s="2">
        <v>96.439990999999992</v>
      </c>
      <c r="E49" s="2">
        <v>135.62305499999999</v>
      </c>
      <c r="F49" s="2">
        <v>5.0045149999999996</v>
      </c>
      <c r="G49" s="2">
        <v>23.256589999999999</v>
      </c>
      <c r="H49" s="2">
        <v>438.39151500000003</v>
      </c>
      <c r="I49" s="2">
        <v>704.89538200000004</v>
      </c>
      <c r="J49" s="2">
        <v>531.03731800000003</v>
      </c>
      <c r="K49" s="2">
        <v>97.565757000000005</v>
      </c>
      <c r="L49" s="2">
        <v>168.09763799999999</v>
      </c>
      <c r="M49" s="2">
        <v>791.69611199999974</v>
      </c>
      <c r="N49" s="2">
        <v>2449.8562969999998</v>
      </c>
      <c r="O49" s="2">
        <v>136.214034</v>
      </c>
      <c r="P49" s="2">
        <v>2299.9946070000001</v>
      </c>
      <c r="Q49" s="2">
        <v>681.09455400000002</v>
      </c>
      <c r="R49" s="2">
        <v>39.283280000000012</v>
      </c>
    </row>
    <row r="50" spans="1:18" x14ac:dyDescent="0.3">
      <c r="A50" s="1">
        <v>2066</v>
      </c>
      <c r="B50" s="6">
        <f>(B54-B49)/5+B49</f>
        <v>39.847233800000005</v>
      </c>
      <c r="C50" s="6">
        <f t="shared" ref="C50" si="516">(C54-C49)/5+C49</f>
        <v>1142.9318842</v>
      </c>
      <c r="D50" s="6">
        <f t="shared" ref="D50" si="517">(D54-D49)/5+D49</f>
        <v>95.742952599999995</v>
      </c>
      <c r="E50" s="6">
        <f t="shared" ref="E50" si="518">(E54-E49)/5+E49</f>
        <v>135.33412200000001</v>
      </c>
      <c r="F50" s="6">
        <f t="shared" ref="F50" si="519">(F54-F49)/5+F49</f>
        <v>5.0233847999999997</v>
      </c>
      <c r="G50" s="6">
        <f t="shared" ref="G50" si="520">(G54-G49)/5+G49</f>
        <v>23.102252</v>
      </c>
      <c r="H50" s="6">
        <f t="shared" ref="H50" si="521">(H54-H49)/5+H49</f>
        <v>439.41379320000004</v>
      </c>
      <c r="I50" s="6">
        <f t="shared" ref="I50" si="522">(I54-I49)/5+I49</f>
        <v>703.74402520000001</v>
      </c>
      <c r="J50" s="6">
        <f t="shared" ref="J50" si="523">(J54-J49)/5+J49</f>
        <v>530.71746040000005</v>
      </c>
      <c r="K50" s="6">
        <f t="shared" ref="K50" si="524">(K54-K49)/5+K49</f>
        <v>97.043602000000007</v>
      </c>
      <c r="L50" s="6">
        <f t="shared" ref="L50" si="525">(L54-L49)/5+L49</f>
        <v>168.091927</v>
      </c>
      <c r="M50" s="6">
        <f t="shared" ref="M50" si="526">(M54-M49)/5+M49</f>
        <v>794.09978139999976</v>
      </c>
      <c r="N50" s="6">
        <f t="shared" ref="N50" si="527">(N54-N49)/5+N49</f>
        <v>2475.7480791999997</v>
      </c>
      <c r="O50" s="6">
        <f t="shared" ref="O50" si="528">(O54-O49)/5+O49</f>
        <v>135.89816500000001</v>
      </c>
      <c r="P50" s="6">
        <f t="shared" ref="P50" si="529">(P54-P49)/5+P49</f>
        <v>2299.0391336000002</v>
      </c>
      <c r="Q50" s="6">
        <f t="shared" ref="Q50" si="530">(Q54-Q49)/5+Q49</f>
        <v>680.10343139999998</v>
      </c>
      <c r="R50" s="6">
        <f t="shared" ref="R50" si="531">(R54-R49)/5+R49</f>
        <v>39.406643800000012</v>
      </c>
    </row>
    <row r="51" spans="1:18" x14ac:dyDescent="0.3">
      <c r="A51" s="1">
        <v>2067</v>
      </c>
      <c r="B51" s="6">
        <f>(B54-B49)/5+B50</f>
        <v>39.423540600000003</v>
      </c>
      <c r="C51" s="6">
        <f t="shared" ref="C51" si="532">(C54-C49)/5+C50</f>
        <v>1131.8916194000001</v>
      </c>
      <c r="D51" s="6">
        <f t="shared" ref="D51" si="533">(D54-D49)/5+D50</f>
        <v>95.045914199999999</v>
      </c>
      <c r="E51" s="6">
        <f t="shared" ref="E51" si="534">(E54-E49)/5+E50</f>
        <v>135.04518900000002</v>
      </c>
      <c r="F51" s="6">
        <f t="shared" ref="F51" si="535">(F54-F49)/5+F50</f>
        <v>5.0422545999999997</v>
      </c>
      <c r="G51" s="6">
        <f t="shared" ref="G51" si="536">(G54-G49)/5+G50</f>
        <v>22.947914000000001</v>
      </c>
      <c r="H51" s="6">
        <f t="shared" ref="H51" si="537">(H54-H49)/5+H50</f>
        <v>440.43607140000006</v>
      </c>
      <c r="I51" s="6">
        <f t="shared" ref="I51" si="538">(I54-I49)/5+I50</f>
        <v>702.59266839999998</v>
      </c>
      <c r="J51" s="6">
        <f t="shared" ref="J51" si="539">(J54-J49)/5+J50</f>
        <v>530.39760280000007</v>
      </c>
      <c r="K51" s="6">
        <f t="shared" ref="K51" si="540">(K54-K49)/5+K50</f>
        <v>96.521447000000009</v>
      </c>
      <c r="L51" s="6">
        <f t="shared" ref="L51" si="541">(L54-L49)/5+L50</f>
        <v>168.08621600000001</v>
      </c>
      <c r="M51" s="6">
        <f t="shared" ref="M51" si="542">(M54-M49)/5+M50</f>
        <v>796.50345079999977</v>
      </c>
      <c r="N51" s="6">
        <f t="shared" ref="N51" si="543">(N54-N49)/5+N50</f>
        <v>2501.6398613999995</v>
      </c>
      <c r="O51" s="6">
        <f t="shared" ref="O51" si="544">(O54-O49)/5+O50</f>
        <v>135.58229600000001</v>
      </c>
      <c r="P51" s="6">
        <f t="shared" ref="P51" si="545">(P54-P49)/5+P50</f>
        <v>2298.0836602000004</v>
      </c>
      <c r="Q51" s="6">
        <f t="shared" ref="Q51" si="546">(Q54-Q49)/5+Q50</f>
        <v>679.11230879999994</v>
      </c>
      <c r="R51" s="6">
        <f t="shared" ref="R51" si="547">(R54-R49)/5+R50</f>
        <v>39.530007600000012</v>
      </c>
    </row>
    <row r="52" spans="1:18" x14ac:dyDescent="0.3">
      <c r="A52" s="1">
        <v>2068</v>
      </c>
      <c r="B52" s="6">
        <f>(B54-B49)/5+B51</f>
        <v>38.9998474</v>
      </c>
      <c r="C52" s="6">
        <f t="shared" ref="C52" si="548">(C54-C49)/5+C51</f>
        <v>1120.8513546000001</v>
      </c>
      <c r="D52" s="6">
        <f t="shared" ref="D52" si="549">(D54-D49)/5+D51</f>
        <v>94.348875800000002</v>
      </c>
      <c r="E52" s="6">
        <f t="shared" ref="E52" si="550">(E54-E49)/5+E51</f>
        <v>134.75625600000004</v>
      </c>
      <c r="F52" s="6">
        <f t="shared" ref="F52" si="551">(F54-F49)/5+F51</f>
        <v>5.0611243999999997</v>
      </c>
      <c r="G52" s="6">
        <f t="shared" ref="G52" si="552">(G54-G49)/5+G51</f>
        <v>22.793576000000002</v>
      </c>
      <c r="H52" s="6">
        <f t="shared" ref="H52" si="553">(H54-H49)/5+H51</f>
        <v>441.45834960000008</v>
      </c>
      <c r="I52" s="6">
        <f t="shared" ref="I52" si="554">(I54-I49)/5+I51</f>
        <v>701.44131159999995</v>
      </c>
      <c r="J52" s="6">
        <f t="shared" ref="J52" si="555">(J54-J49)/5+J51</f>
        <v>530.07774520000009</v>
      </c>
      <c r="K52" s="6">
        <f t="shared" ref="K52" si="556">(K54-K49)/5+K51</f>
        <v>95.999292000000011</v>
      </c>
      <c r="L52" s="6">
        <f t="shared" ref="L52" si="557">(L54-L49)/5+L51</f>
        <v>168.08050500000002</v>
      </c>
      <c r="M52" s="6">
        <f t="shared" ref="M52" si="558">(M54-M49)/5+M51</f>
        <v>798.90712019999978</v>
      </c>
      <c r="N52" s="6">
        <f t="shared" ref="N52" si="559">(N54-N49)/5+N51</f>
        <v>2527.5316435999994</v>
      </c>
      <c r="O52" s="6">
        <f t="shared" ref="O52" si="560">(O54-O49)/5+O51</f>
        <v>135.26642700000002</v>
      </c>
      <c r="P52" s="6">
        <f t="shared" ref="P52" si="561">(P54-P49)/5+P51</f>
        <v>2297.1281868000005</v>
      </c>
      <c r="Q52" s="6">
        <f t="shared" ref="Q52" si="562">(Q54-Q49)/5+Q51</f>
        <v>678.1211861999999</v>
      </c>
      <c r="R52" s="6">
        <f t="shared" ref="R52" si="563">(R54-R49)/5+R51</f>
        <v>39.653371400000012</v>
      </c>
    </row>
    <row r="53" spans="1:18" x14ac:dyDescent="0.3">
      <c r="A53" s="1">
        <v>2069</v>
      </c>
      <c r="B53" s="6">
        <f>(B54-B49)/5+B52</f>
        <v>38.576154199999998</v>
      </c>
      <c r="C53" s="6">
        <f t="shared" ref="C53" si="564">(C54-C49)/5+C52</f>
        <v>1109.8110898000002</v>
      </c>
      <c r="D53" s="6">
        <f t="shared" ref="D53" si="565">(D54-D49)/5+D52</f>
        <v>93.651837400000005</v>
      </c>
      <c r="E53" s="6">
        <f t="shared" ref="E53" si="566">(E54-E49)/5+E52</f>
        <v>134.46732300000005</v>
      </c>
      <c r="F53" s="6">
        <f t="shared" ref="F53" si="567">(F54-F49)/5+F52</f>
        <v>5.0799941999999998</v>
      </c>
      <c r="G53" s="6">
        <f t="shared" ref="G53" si="568">(G54-G49)/5+G52</f>
        <v>22.639238000000002</v>
      </c>
      <c r="H53" s="6">
        <f t="shared" ref="H53" si="569">(H54-H49)/5+H52</f>
        <v>442.48062780000009</v>
      </c>
      <c r="I53" s="6">
        <f t="shared" ref="I53" si="570">(I54-I49)/5+I52</f>
        <v>700.28995479999992</v>
      </c>
      <c r="J53" s="6">
        <f t="shared" ref="J53" si="571">(J54-J49)/5+J52</f>
        <v>529.75788760000012</v>
      </c>
      <c r="K53" s="6">
        <f t="shared" ref="K53" si="572">(K54-K49)/5+K52</f>
        <v>95.477137000000013</v>
      </c>
      <c r="L53" s="6">
        <f t="shared" ref="L53" si="573">(L54-L49)/5+L52</f>
        <v>168.07479400000003</v>
      </c>
      <c r="M53" s="6">
        <f t="shared" ref="M53" si="574">(M54-M49)/5+M52</f>
        <v>801.31078959999979</v>
      </c>
      <c r="N53" s="6">
        <f t="shared" ref="N53" si="575">(N54-N49)/5+N52</f>
        <v>2553.4234257999992</v>
      </c>
      <c r="O53" s="6">
        <f t="shared" ref="O53" si="576">(O54-O49)/5+O52</f>
        <v>134.95055800000003</v>
      </c>
      <c r="P53" s="6">
        <f t="shared" ref="P53" si="577">(P54-P49)/5+P52</f>
        <v>2296.1727134000007</v>
      </c>
      <c r="Q53" s="6">
        <f t="shared" ref="Q53" si="578">(Q54-Q49)/5+Q52</f>
        <v>677.13006359999986</v>
      </c>
      <c r="R53" s="6">
        <f t="shared" ref="R53" si="579">(R54-R49)/5+R52</f>
        <v>39.776735200000012</v>
      </c>
    </row>
    <row r="54" spans="1:18" x14ac:dyDescent="0.3">
      <c r="A54" s="1" t="s">
        <v>25</v>
      </c>
      <c r="B54" s="2">
        <v>38.152461000000002</v>
      </c>
      <c r="C54" s="2">
        <v>1098.7708250000001</v>
      </c>
      <c r="D54" s="2">
        <v>92.954798999999994</v>
      </c>
      <c r="E54" s="2">
        <v>134.17839000000001</v>
      </c>
      <c r="F54" s="2">
        <v>5.0988639999999998</v>
      </c>
      <c r="G54" s="2">
        <v>22.4849</v>
      </c>
      <c r="H54" s="2">
        <v>443.502906</v>
      </c>
      <c r="I54" s="2">
        <v>699.13859799999989</v>
      </c>
      <c r="J54" s="2">
        <v>529.43803000000003</v>
      </c>
      <c r="K54" s="2">
        <v>94.954982000000015</v>
      </c>
      <c r="L54" s="2">
        <v>168.06908300000001</v>
      </c>
      <c r="M54" s="2">
        <v>803.71445900000003</v>
      </c>
      <c r="N54" s="2">
        <v>2579.3152079999991</v>
      </c>
      <c r="O54" s="2">
        <v>134.63468900000001</v>
      </c>
      <c r="P54" s="2">
        <v>2295.2172399999999</v>
      </c>
      <c r="Q54" s="2">
        <v>676.13894100000005</v>
      </c>
      <c r="R54" s="2">
        <v>39.900098999999997</v>
      </c>
    </row>
    <row r="55" spans="1:18" x14ac:dyDescent="0.3">
      <c r="A55" s="1">
        <v>2071</v>
      </c>
      <c r="B55" s="6">
        <f>(B59-B54)/5+B54</f>
        <v>37.751594000000004</v>
      </c>
      <c r="C55" s="6">
        <f t="shared" ref="C55" si="580">(C59-C54)/5+C54</f>
        <v>1088.1562566</v>
      </c>
      <c r="D55" s="6">
        <f t="shared" ref="D55" si="581">(D59-D54)/5+D54</f>
        <v>92.250977999999989</v>
      </c>
      <c r="E55" s="6">
        <f t="shared" ref="E55" si="582">(E59-E54)/5+E54</f>
        <v>133.88929680000001</v>
      </c>
      <c r="F55" s="6">
        <f t="shared" ref="F55" si="583">(F59-F54)/5+F54</f>
        <v>5.1144004000000001</v>
      </c>
      <c r="G55" s="6">
        <f t="shared" ref="G55" si="584">(G59-G54)/5+G54</f>
        <v>22.334504800000001</v>
      </c>
      <c r="H55" s="6">
        <f t="shared" ref="H55" si="585">(H59-H54)/5+H54</f>
        <v>444.39908359999998</v>
      </c>
      <c r="I55" s="6">
        <f t="shared" ref="I55" si="586">(I59-I54)/5+I54</f>
        <v>697.53636819999986</v>
      </c>
      <c r="J55" s="6">
        <f t="shared" ref="J55" si="587">(J59-J54)/5+J54</f>
        <v>529.09808380000004</v>
      </c>
      <c r="K55" s="6">
        <f t="shared" ref="K55" si="588">(K59-K54)/5+K54</f>
        <v>94.442020200000016</v>
      </c>
      <c r="L55" s="6">
        <f t="shared" ref="L55" si="589">(L59-L54)/5+L54</f>
        <v>168.00684600000002</v>
      </c>
      <c r="M55" s="6">
        <f t="shared" ref="M55" si="590">(M59-M54)/5+M54</f>
        <v>805.35151040000005</v>
      </c>
      <c r="N55" s="6">
        <f t="shared" ref="N55" si="591">(N59-N54)/5+N54</f>
        <v>2602.5817695999995</v>
      </c>
      <c r="O55" s="6">
        <f t="shared" ref="O55" si="592">(O59-O54)/5+O54</f>
        <v>134.21868380000001</v>
      </c>
      <c r="P55" s="6">
        <f t="shared" ref="P55" si="593">(P59-P54)/5+P54</f>
        <v>2292.1168785999998</v>
      </c>
      <c r="Q55" s="6">
        <f t="shared" ref="Q55" si="594">(Q59-Q54)/5+Q54</f>
        <v>674.76137600000004</v>
      </c>
      <c r="R55" s="6">
        <f t="shared" ref="R55" si="595">(R59-R54)/5+R54</f>
        <v>40.003051399999997</v>
      </c>
    </row>
    <row r="56" spans="1:18" x14ac:dyDescent="0.3">
      <c r="A56" s="1">
        <v>2072</v>
      </c>
      <c r="B56" s="6">
        <f>(B59-B54)/5+B55</f>
        <v>37.350727000000006</v>
      </c>
      <c r="C56" s="6">
        <f t="shared" ref="C56" si="596">(C59-C54)/5+C55</f>
        <v>1077.5416882</v>
      </c>
      <c r="D56" s="6">
        <f t="shared" ref="D56" si="597">(D59-D54)/5+D55</f>
        <v>91.547156999999984</v>
      </c>
      <c r="E56" s="6">
        <f t="shared" ref="E56" si="598">(E59-E54)/5+E55</f>
        <v>133.60020360000001</v>
      </c>
      <c r="F56" s="6">
        <f t="shared" ref="F56" si="599">(F59-F54)/5+F55</f>
        <v>5.1299368000000003</v>
      </c>
      <c r="G56" s="6">
        <f t="shared" ref="G56" si="600">(G59-G54)/5+G55</f>
        <v>22.184109600000003</v>
      </c>
      <c r="H56" s="6">
        <f t="shared" ref="H56" si="601">(H59-H54)/5+H55</f>
        <v>445.29526119999997</v>
      </c>
      <c r="I56" s="6">
        <f t="shared" ref="I56" si="602">(I59-I54)/5+I55</f>
        <v>695.93413839999982</v>
      </c>
      <c r="J56" s="6">
        <f t="shared" ref="J56" si="603">(J59-J54)/5+J55</f>
        <v>528.75813760000005</v>
      </c>
      <c r="K56" s="6">
        <f t="shared" ref="K56" si="604">(K59-K54)/5+K55</f>
        <v>93.929058400000017</v>
      </c>
      <c r="L56" s="6">
        <f t="shared" ref="L56" si="605">(L59-L54)/5+L55</f>
        <v>167.94460900000004</v>
      </c>
      <c r="M56" s="6">
        <f t="shared" ref="M56" si="606">(M59-M54)/5+M55</f>
        <v>806.98856180000007</v>
      </c>
      <c r="N56" s="6">
        <f t="shared" ref="N56" si="607">(N59-N54)/5+N55</f>
        <v>2625.8483311999998</v>
      </c>
      <c r="O56" s="6">
        <f t="shared" ref="O56" si="608">(O59-O54)/5+O55</f>
        <v>133.80267860000001</v>
      </c>
      <c r="P56" s="6">
        <f t="shared" ref="P56" si="609">(P59-P54)/5+P55</f>
        <v>2289.0165171999997</v>
      </c>
      <c r="Q56" s="6">
        <f t="shared" ref="Q56" si="610">(Q59-Q54)/5+Q55</f>
        <v>673.38381100000004</v>
      </c>
      <c r="R56" s="6">
        <f t="shared" ref="R56" si="611">(R59-R54)/5+R55</f>
        <v>40.106003799999996</v>
      </c>
    </row>
    <row r="57" spans="1:18" x14ac:dyDescent="0.3">
      <c r="A57" s="1">
        <v>2073</v>
      </c>
      <c r="B57" s="6">
        <f>(B59-B54)/5+B56</f>
        <v>36.949860000000008</v>
      </c>
      <c r="C57" s="6">
        <f t="shared" ref="C57" si="612">(C59-C54)/5+C56</f>
        <v>1066.9271197999999</v>
      </c>
      <c r="D57" s="6">
        <f t="shared" ref="D57" si="613">(D59-D54)/5+D56</f>
        <v>90.843335999999979</v>
      </c>
      <c r="E57" s="6">
        <f t="shared" ref="E57" si="614">(E59-E54)/5+E56</f>
        <v>133.31111040000002</v>
      </c>
      <c r="F57" s="6">
        <f t="shared" ref="F57" si="615">(F59-F54)/5+F56</f>
        <v>5.1454732000000005</v>
      </c>
      <c r="G57" s="6">
        <f t="shared" ref="G57" si="616">(G59-G54)/5+G56</f>
        <v>22.033714400000004</v>
      </c>
      <c r="H57" s="6">
        <f t="shared" ref="H57" si="617">(H59-H54)/5+H56</f>
        <v>446.19143879999996</v>
      </c>
      <c r="I57" s="6">
        <f t="shared" ref="I57" si="618">(I59-I54)/5+I56</f>
        <v>694.33190859999979</v>
      </c>
      <c r="J57" s="6">
        <f t="shared" ref="J57" si="619">(J59-J54)/5+J56</f>
        <v>528.41819140000007</v>
      </c>
      <c r="K57" s="6">
        <f t="shared" ref="K57" si="620">(K59-K54)/5+K56</f>
        <v>93.416096600000017</v>
      </c>
      <c r="L57" s="6">
        <f t="shared" ref="L57" si="621">(L59-L54)/5+L56</f>
        <v>167.88237200000006</v>
      </c>
      <c r="M57" s="6">
        <f t="shared" ref="M57" si="622">(M59-M54)/5+M56</f>
        <v>808.62561320000009</v>
      </c>
      <c r="N57" s="6">
        <f t="shared" ref="N57" si="623">(N59-N54)/5+N56</f>
        <v>2649.1148928000002</v>
      </c>
      <c r="O57" s="6">
        <f t="shared" ref="O57" si="624">(O59-O54)/5+O56</f>
        <v>133.38667340000001</v>
      </c>
      <c r="P57" s="6">
        <f t="shared" ref="P57" si="625">(P59-P54)/5+P56</f>
        <v>2285.9161557999996</v>
      </c>
      <c r="Q57" s="6">
        <f t="shared" ref="Q57" si="626">(Q59-Q54)/5+Q56</f>
        <v>672.00624600000003</v>
      </c>
      <c r="R57" s="6">
        <f t="shared" ref="R57" si="627">(R59-R54)/5+R56</f>
        <v>40.208956199999996</v>
      </c>
    </row>
    <row r="58" spans="1:18" x14ac:dyDescent="0.3">
      <c r="A58" s="1">
        <v>2074</v>
      </c>
      <c r="B58" s="6">
        <f>(B59-B54)/5+B57</f>
        <v>36.54899300000001</v>
      </c>
      <c r="C58" s="6">
        <f t="shared" ref="C58" si="628">(C59-C54)/5+C57</f>
        <v>1056.3125513999998</v>
      </c>
      <c r="D58" s="6">
        <f t="shared" ref="D58" si="629">(D59-D54)/5+D57</f>
        <v>90.139514999999975</v>
      </c>
      <c r="E58" s="6">
        <f t="shared" ref="E58" si="630">(E59-E54)/5+E57</f>
        <v>133.02201720000002</v>
      </c>
      <c r="F58" s="6">
        <f t="shared" ref="F58" si="631">(F59-F54)/5+F57</f>
        <v>5.1610096000000008</v>
      </c>
      <c r="G58" s="6">
        <f t="shared" ref="G58" si="632">(G59-G54)/5+G57</f>
        <v>21.883319200000006</v>
      </c>
      <c r="H58" s="6">
        <f t="shared" ref="H58" si="633">(H59-H54)/5+H57</f>
        <v>447.08761639999994</v>
      </c>
      <c r="I58" s="6">
        <f t="shared" ref="I58" si="634">(I59-I54)/5+I57</f>
        <v>692.72967879999976</v>
      </c>
      <c r="J58" s="6">
        <f t="shared" ref="J58" si="635">(J59-J54)/5+J57</f>
        <v>528.07824520000008</v>
      </c>
      <c r="K58" s="6">
        <f t="shared" ref="K58" si="636">(K59-K54)/5+K57</f>
        <v>92.903134800000018</v>
      </c>
      <c r="L58" s="6">
        <f t="shared" ref="L58" si="637">(L59-L54)/5+L57</f>
        <v>167.82013500000008</v>
      </c>
      <c r="M58" s="6">
        <f t="shared" ref="M58" si="638">(M59-M54)/5+M57</f>
        <v>810.26266460000011</v>
      </c>
      <c r="N58" s="6">
        <f t="shared" ref="N58" si="639">(N59-N54)/5+N57</f>
        <v>2672.3814544000006</v>
      </c>
      <c r="O58" s="6">
        <f t="shared" ref="O58" si="640">(O59-O54)/5+O57</f>
        <v>132.97066820000001</v>
      </c>
      <c r="P58" s="6">
        <f t="shared" ref="P58" si="641">(P59-P54)/5+P57</f>
        <v>2282.8157943999995</v>
      </c>
      <c r="Q58" s="6">
        <f t="shared" ref="Q58" si="642">(Q59-Q54)/5+Q57</f>
        <v>670.62868100000003</v>
      </c>
      <c r="R58" s="6">
        <f t="shared" ref="R58" si="643">(R59-R54)/5+R57</f>
        <v>40.311908599999995</v>
      </c>
    </row>
    <row r="59" spans="1:18" x14ac:dyDescent="0.3">
      <c r="A59" s="1" t="s">
        <v>26</v>
      </c>
      <c r="B59" s="2">
        <v>36.148125999999998</v>
      </c>
      <c r="C59" s="2">
        <v>1045.697983</v>
      </c>
      <c r="D59" s="2">
        <v>89.435693999999998</v>
      </c>
      <c r="E59" s="2">
        <v>132.732924</v>
      </c>
      <c r="F59" s="2">
        <v>5.1765460000000001</v>
      </c>
      <c r="G59" s="2">
        <v>21.732924000000001</v>
      </c>
      <c r="H59" s="2">
        <v>447.98379399999999</v>
      </c>
      <c r="I59" s="2">
        <v>691.12744899999996</v>
      </c>
      <c r="J59" s="2">
        <v>527.7382990000001</v>
      </c>
      <c r="K59" s="2">
        <v>92.390173000000019</v>
      </c>
      <c r="L59" s="2">
        <v>167.7578980000001</v>
      </c>
      <c r="M59" s="2">
        <v>811.89971600000001</v>
      </c>
      <c r="N59" s="2">
        <v>2695.6480160000001</v>
      </c>
      <c r="O59" s="2">
        <v>132.55466300000001</v>
      </c>
      <c r="P59" s="2">
        <v>2279.7154329999998</v>
      </c>
      <c r="Q59" s="2">
        <v>669.25111600000002</v>
      </c>
      <c r="R59" s="2">
        <v>40.414860999999988</v>
      </c>
    </row>
    <row r="60" spans="1:18" x14ac:dyDescent="0.3">
      <c r="A60" s="1">
        <v>2076</v>
      </c>
      <c r="B60" s="6">
        <f>(B64-B59)/5+B59</f>
        <v>35.768675600000002</v>
      </c>
      <c r="C60" s="6">
        <f t="shared" ref="C60" si="644">(C64-C59)/5+C59</f>
        <v>1035.2578791999999</v>
      </c>
      <c r="D60" s="6">
        <f t="shared" ref="D60" si="645">(D64-D59)/5+D59</f>
        <v>88.778216799999981</v>
      </c>
      <c r="E60" s="6">
        <f t="shared" ref="E60" si="646">(E64-E59)/5+E59</f>
        <v>132.4496264</v>
      </c>
      <c r="F60" s="6">
        <f t="shared" ref="F60" si="647">(F64-F59)/5+F59</f>
        <v>5.1901777999999998</v>
      </c>
      <c r="G60" s="6">
        <f t="shared" ref="G60" si="648">(G64-G59)/5+G59</f>
        <v>21.585802600000001</v>
      </c>
      <c r="H60" s="6">
        <f t="shared" ref="H60" si="649">(H64-H59)/5+H59</f>
        <v>448.6389494</v>
      </c>
      <c r="I60" s="6">
        <f t="shared" ref="I60" si="650">(I64-I59)/5+I59</f>
        <v>689.11490300000003</v>
      </c>
      <c r="J60" s="6">
        <f t="shared" ref="J60" si="651">(J64-J59)/5+J59</f>
        <v>527.33684240000002</v>
      </c>
      <c r="K60" s="6">
        <f t="shared" ref="K60" si="652">(K64-K59)/5+K59</f>
        <v>91.909008800000024</v>
      </c>
      <c r="L60" s="6">
        <f t="shared" ref="L60" si="653">(L64-L59)/5+L59</f>
        <v>167.64204680000009</v>
      </c>
      <c r="M60" s="6">
        <f t="shared" ref="M60" si="654">(M64-M59)/5+M59</f>
        <v>812.93272160000004</v>
      </c>
      <c r="N60" s="6">
        <f t="shared" ref="N60" si="655">(N64-N59)/5+N59</f>
        <v>2715.9414142000001</v>
      </c>
      <c r="O60" s="6">
        <f t="shared" ref="O60" si="656">(O64-O59)/5+O59</f>
        <v>132.07442080000001</v>
      </c>
      <c r="P60" s="6">
        <f t="shared" ref="P60" si="657">(P64-P59)/5+P59</f>
        <v>2274.7664331999999</v>
      </c>
      <c r="Q60" s="6">
        <f t="shared" ref="Q60" si="658">(Q64-Q59)/5+Q59</f>
        <v>667.50811240000007</v>
      </c>
      <c r="R60" s="6">
        <f t="shared" ref="R60" si="659">(R64-R59)/5+R59</f>
        <v>40.493481799999991</v>
      </c>
    </row>
    <row r="61" spans="1:18" x14ac:dyDescent="0.3">
      <c r="A61" s="1">
        <v>2077</v>
      </c>
      <c r="B61" s="6">
        <f>(B64-B59)/5+B60</f>
        <v>35.389225200000006</v>
      </c>
      <c r="C61" s="6">
        <f t="shared" ref="C61" si="660">(C64-C59)/5+C60</f>
        <v>1024.8177753999998</v>
      </c>
      <c r="D61" s="6">
        <f t="shared" ref="D61" si="661">(D64-D59)/5+D60</f>
        <v>88.120739599999965</v>
      </c>
      <c r="E61" s="6">
        <f t="shared" ref="E61" si="662">(E64-E59)/5+E60</f>
        <v>132.1663288</v>
      </c>
      <c r="F61" s="6">
        <f t="shared" ref="F61" si="663">(F64-F59)/5+F60</f>
        <v>5.2038095999999996</v>
      </c>
      <c r="G61" s="6">
        <f t="shared" ref="G61" si="664">(G64-G59)/5+G60</f>
        <v>21.438681200000001</v>
      </c>
      <c r="H61" s="6">
        <f t="shared" ref="H61" si="665">(H64-H59)/5+H60</f>
        <v>449.29410480000001</v>
      </c>
      <c r="I61" s="6">
        <f t="shared" ref="I61" si="666">(I64-I59)/5+I60</f>
        <v>687.1023570000001</v>
      </c>
      <c r="J61" s="6">
        <f t="shared" ref="J61" si="667">(J64-J59)/5+J60</f>
        <v>526.93538579999995</v>
      </c>
      <c r="K61" s="6">
        <f t="shared" ref="K61" si="668">(K64-K59)/5+K60</f>
        <v>91.427844600000029</v>
      </c>
      <c r="L61" s="6">
        <f t="shared" ref="L61" si="669">(L64-L59)/5+L60</f>
        <v>167.52619560000008</v>
      </c>
      <c r="M61" s="6">
        <f t="shared" ref="M61" si="670">(M64-M59)/5+M60</f>
        <v>813.96572720000006</v>
      </c>
      <c r="N61" s="6">
        <f t="shared" ref="N61" si="671">(N64-N59)/5+N60</f>
        <v>2736.2348124</v>
      </c>
      <c r="O61" s="6">
        <f t="shared" ref="O61" si="672">(O64-O59)/5+O60</f>
        <v>131.59417860000002</v>
      </c>
      <c r="P61" s="6">
        <f t="shared" ref="P61" si="673">(P64-P59)/5+P60</f>
        <v>2269.8174334</v>
      </c>
      <c r="Q61" s="6">
        <f t="shared" ref="Q61" si="674">(Q64-Q59)/5+Q60</f>
        <v>665.76510880000012</v>
      </c>
      <c r="R61" s="6">
        <f t="shared" ref="R61" si="675">(R64-R59)/5+R60</f>
        <v>40.572102599999994</v>
      </c>
    </row>
    <row r="62" spans="1:18" x14ac:dyDescent="0.3">
      <c r="A62" s="1">
        <v>2078</v>
      </c>
      <c r="B62" s="6">
        <f>(B64-B59)/5+B61</f>
        <v>35.00977480000001</v>
      </c>
      <c r="C62" s="6">
        <f t="shared" ref="C62" si="676">(C64-C59)/5+C61</f>
        <v>1014.3776715999999</v>
      </c>
      <c r="D62" s="6">
        <f t="shared" ref="D62" si="677">(D64-D59)/5+D61</f>
        <v>87.463262399999948</v>
      </c>
      <c r="E62" s="6">
        <f t="shared" ref="E62" si="678">(E64-E59)/5+E61</f>
        <v>131.8830312</v>
      </c>
      <c r="F62" s="6">
        <f t="shared" ref="F62" si="679">(F64-F59)/5+F61</f>
        <v>5.2174413999999993</v>
      </c>
      <c r="G62" s="6">
        <f t="shared" ref="G62" si="680">(G64-G59)/5+G61</f>
        <v>21.291559800000002</v>
      </c>
      <c r="H62" s="6">
        <f t="shared" ref="H62" si="681">(H64-H59)/5+H61</f>
        <v>449.94926020000003</v>
      </c>
      <c r="I62" s="6">
        <f t="shared" ref="I62" si="682">(I64-I59)/5+I61</f>
        <v>685.08981100000017</v>
      </c>
      <c r="J62" s="6">
        <f t="shared" ref="J62" si="683">(J64-J59)/5+J61</f>
        <v>526.53392919999987</v>
      </c>
      <c r="K62" s="6">
        <f t="shared" ref="K62" si="684">(K64-K59)/5+K61</f>
        <v>90.946680400000034</v>
      </c>
      <c r="L62" s="6">
        <f t="shared" ref="L62" si="685">(L64-L59)/5+L61</f>
        <v>167.41034440000007</v>
      </c>
      <c r="M62" s="6">
        <f t="shared" ref="M62" si="686">(M64-M59)/5+M61</f>
        <v>814.99873280000008</v>
      </c>
      <c r="N62" s="6">
        <f t="shared" ref="N62" si="687">(N64-N59)/5+N61</f>
        <v>2756.5282106</v>
      </c>
      <c r="O62" s="6">
        <f t="shared" ref="O62" si="688">(O64-O59)/5+O61</f>
        <v>131.11393640000003</v>
      </c>
      <c r="P62" s="6">
        <f t="shared" ref="P62" si="689">(P64-P59)/5+P61</f>
        <v>2264.8684336000001</v>
      </c>
      <c r="Q62" s="6">
        <f t="shared" ref="Q62" si="690">(Q64-Q59)/5+Q61</f>
        <v>664.02210520000017</v>
      </c>
      <c r="R62" s="6">
        <f t="shared" ref="R62" si="691">(R64-R59)/5+R61</f>
        <v>40.650723399999997</v>
      </c>
    </row>
    <row r="63" spans="1:18" x14ac:dyDescent="0.3">
      <c r="A63" s="1">
        <v>2079</v>
      </c>
      <c r="B63" s="6">
        <f>(B64-B59)/5+B62</f>
        <v>34.630324400000013</v>
      </c>
      <c r="C63" s="6">
        <f t="shared" ref="C63" si="692">(C64-C59)/5+C62</f>
        <v>1003.9375677999999</v>
      </c>
      <c r="D63" s="6">
        <f t="shared" ref="D63" si="693">(D64-D59)/5+D62</f>
        <v>86.805785199999931</v>
      </c>
      <c r="E63" s="6">
        <f t="shared" ref="E63" si="694">(E64-E59)/5+E62</f>
        <v>131.59973360000001</v>
      </c>
      <c r="F63" s="6">
        <f t="shared" ref="F63" si="695">(F64-F59)/5+F62</f>
        <v>5.2310731999999991</v>
      </c>
      <c r="G63" s="6">
        <f t="shared" ref="G63" si="696">(G64-G59)/5+G62</f>
        <v>21.144438400000002</v>
      </c>
      <c r="H63" s="6">
        <f t="shared" ref="H63" si="697">(H64-H59)/5+H62</f>
        <v>450.60441560000004</v>
      </c>
      <c r="I63" s="6">
        <f t="shared" ref="I63" si="698">(I64-I59)/5+I62</f>
        <v>683.07726500000024</v>
      </c>
      <c r="J63" s="6">
        <f t="shared" ref="J63" si="699">(J64-J59)/5+J62</f>
        <v>526.1324725999998</v>
      </c>
      <c r="K63" s="6">
        <f t="shared" ref="K63" si="700">(K64-K59)/5+K62</f>
        <v>90.465516200000039</v>
      </c>
      <c r="L63" s="6">
        <f t="shared" ref="L63" si="701">(L64-L59)/5+L62</f>
        <v>167.29449320000006</v>
      </c>
      <c r="M63" s="6">
        <f t="shared" ref="M63" si="702">(M64-M59)/5+M62</f>
        <v>816.03173840000011</v>
      </c>
      <c r="N63" s="6">
        <f t="shared" ref="N63" si="703">(N64-N59)/5+N62</f>
        <v>2776.8216087999999</v>
      </c>
      <c r="O63" s="6">
        <f t="shared" ref="O63" si="704">(O64-O59)/5+O62</f>
        <v>130.63369420000004</v>
      </c>
      <c r="P63" s="6">
        <f t="shared" ref="P63" si="705">(P64-P59)/5+P62</f>
        <v>2259.9194338000002</v>
      </c>
      <c r="Q63" s="6">
        <f t="shared" ref="Q63" si="706">(Q64-Q59)/5+Q62</f>
        <v>662.27910160000022</v>
      </c>
      <c r="R63" s="6">
        <f t="shared" ref="R63" si="707">(R64-R59)/5+R62</f>
        <v>40.7293442</v>
      </c>
    </row>
    <row r="64" spans="1:18" x14ac:dyDescent="0.3">
      <c r="A64" s="1" t="s">
        <v>27</v>
      </c>
      <c r="B64" s="2">
        <v>34.250874000000003</v>
      </c>
      <c r="C64" s="2">
        <v>993.49746400000004</v>
      </c>
      <c r="D64" s="2">
        <v>86.148307999999901</v>
      </c>
      <c r="E64" s="2">
        <v>131.31643600000001</v>
      </c>
      <c r="F64" s="2">
        <v>5.2447049999999997</v>
      </c>
      <c r="G64" s="2">
        <v>20.997316999999999</v>
      </c>
      <c r="H64" s="2">
        <v>451.25957099999999</v>
      </c>
      <c r="I64" s="2">
        <v>681.06471900000008</v>
      </c>
      <c r="J64" s="2">
        <v>525.73101599999995</v>
      </c>
      <c r="K64" s="2">
        <v>89.984352000000015</v>
      </c>
      <c r="L64" s="2">
        <v>167.178642</v>
      </c>
      <c r="M64" s="2">
        <v>817.06474400000025</v>
      </c>
      <c r="N64" s="2">
        <v>2797.1150069999999</v>
      </c>
      <c r="O64" s="2">
        <v>130.15345199999999</v>
      </c>
      <c r="P64" s="2">
        <v>2254.9704339999998</v>
      </c>
      <c r="Q64" s="2">
        <v>660.53609800000004</v>
      </c>
      <c r="R64" s="2">
        <v>40.807965000000003</v>
      </c>
    </row>
    <row r="65" spans="1:18" x14ac:dyDescent="0.3">
      <c r="A65" s="1">
        <v>2081</v>
      </c>
      <c r="B65" s="6">
        <f>(B69-B64)/5+B64</f>
        <v>33.894344199999999</v>
      </c>
      <c r="C65" s="6">
        <f t="shared" ref="C65" si="708">(C69-C64)/5+C64</f>
        <v>983.2586005999998</v>
      </c>
      <c r="D65" s="6">
        <f t="shared" ref="D65" si="709">(D69-D64)/5+D64</f>
        <v>85.553185199999916</v>
      </c>
      <c r="E65" s="6">
        <f t="shared" ref="E65" si="710">(E69-E64)/5+E64</f>
        <v>131.0400434</v>
      </c>
      <c r="F65" s="6">
        <f t="shared" ref="F65" si="711">(F69-F64)/5+F64</f>
        <v>5.2572092000000001</v>
      </c>
      <c r="G65" s="6">
        <f t="shared" ref="G65" si="712">(G69-G64)/5+G64</f>
        <v>20.8495092</v>
      </c>
      <c r="H65" s="6">
        <f t="shared" ref="H65" si="713">(H69-H64)/5+H64</f>
        <v>451.62155439999998</v>
      </c>
      <c r="I65" s="6">
        <f t="shared" ref="I65" si="714">(I69-I64)/5+I64</f>
        <v>678.76526800000011</v>
      </c>
      <c r="J65" s="6">
        <f t="shared" ref="J65" si="715">(J69-J64)/5+J64</f>
        <v>525.19646</v>
      </c>
      <c r="K65" s="6">
        <f t="shared" ref="K65" si="716">(K69-K64)/5+K64</f>
        <v>89.547184000000016</v>
      </c>
      <c r="L65" s="6">
        <f t="shared" ref="L65" si="717">(L69-L64)/5+L64</f>
        <v>167.01879659999997</v>
      </c>
      <c r="M65" s="6">
        <f t="shared" ref="M65" si="718">(M69-M64)/5+M64</f>
        <v>817.58190400000024</v>
      </c>
      <c r="N65" s="6">
        <f t="shared" ref="N65" si="719">(N69-N64)/5+N64</f>
        <v>2814.2861395999998</v>
      </c>
      <c r="O65" s="6">
        <f t="shared" ref="O65" si="720">(O69-O64)/5+O64</f>
        <v>129.63982279999999</v>
      </c>
      <c r="P65" s="6">
        <f t="shared" ref="P65" si="721">(P69-P64)/5+P64</f>
        <v>2248.6854169999997</v>
      </c>
      <c r="Q65" s="6">
        <f t="shared" ref="Q65" si="722">(Q69-Q64)/5+Q64</f>
        <v>658.4345194</v>
      </c>
      <c r="R65" s="6">
        <f t="shared" ref="R65" si="723">(R69-R64)/5+R64</f>
        <v>40.855818599999999</v>
      </c>
    </row>
    <row r="66" spans="1:18" x14ac:dyDescent="0.3">
      <c r="A66" s="1">
        <v>2082</v>
      </c>
      <c r="B66" s="6">
        <f>(B69-B64)/5+B65</f>
        <v>33.537814399999995</v>
      </c>
      <c r="C66" s="6">
        <f t="shared" ref="C66" si="724">(C69-C64)/5+C65</f>
        <v>973.01973719999955</v>
      </c>
      <c r="D66" s="6">
        <f t="shared" ref="D66" si="725">(D69-D64)/5+D65</f>
        <v>84.958062399999932</v>
      </c>
      <c r="E66" s="6">
        <f t="shared" ref="E66" si="726">(E69-E64)/5+E65</f>
        <v>130.76365079999999</v>
      </c>
      <c r="F66" s="6">
        <f t="shared" ref="F66" si="727">(F69-F64)/5+F65</f>
        <v>5.2697134000000005</v>
      </c>
      <c r="G66" s="6">
        <f t="shared" ref="G66" si="728">(G69-G64)/5+G65</f>
        <v>20.701701400000001</v>
      </c>
      <c r="H66" s="6">
        <f t="shared" ref="H66" si="729">(H69-H64)/5+H65</f>
        <v>451.98353779999997</v>
      </c>
      <c r="I66" s="6">
        <f t="shared" ref="I66" si="730">(I69-I64)/5+I65</f>
        <v>676.46581700000013</v>
      </c>
      <c r="J66" s="6">
        <f t="shared" ref="J66" si="731">(J69-J64)/5+J65</f>
        <v>524.66190400000005</v>
      </c>
      <c r="K66" s="6">
        <f t="shared" ref="K66" si="732">(K69-K64)/5+K65</f>
        <v>89.110016000000016</v>
      </c>
      <c r="L66" s="6">
        <f t="shared" ref="L66" si="733">(L69-L64)/5+L65</f>
        <v>166.85895119999995</v>
      </c>
      <c r="M66" s="6">
        <f t="shared" ref="M66" si="734">(M69-M64)/5+M65</f>
        <v>818.09906400000023</v>
      </c>
      <c r="N66" s="6">
        <f t="shared" ref="N66" si="735">(N69-N64)/5+N65</f>
        <v>2831.4572721999998</v>
      </c>
      <c r="O66" s="6">
        <f t="shared" ref="O66" si="736">(O69-O64)/5+O65</f>
        <v>129.12619359999999</v>
      </c>
      <c r="P66" s="6">
        <f t="shared" ref="P66" si="737">(P69-P64)/5+P65</f>
        <v>2242.4003999999995</v>
      </c>
      <c r="Q66" s="6">
        <f t="shared" ref="Q66" si="738">(Q69-Q64)/5+Q65</f>
        <v>656.33294079999996</v>
      </c>
      <c r="R66" s="6">
        <f t="shared" ref="R66" si="739">(R69-R64)/5+R65</f>
        <v>40.903672199999995</v>
      </c>
    </row>
    <row r="67" spans="1:18" x14ac:dyDescent="0.3">
      <c r="A67" s="1">
        <v>2083</v>
      </c>
      <c r="B67" s="6">
        <f>(B69-B64)/5+B66</f>
        <v>33.181284599999991</v>
      </c>
      <c r="C67" s="6">
        <f t="shared" ref="C67" si="740">(C69-C64)/5+C66</f>
        <v>962.78087379999931</v>
      </c>
      <c r="D67" s="6">
        <f t="shared" ref="D67" si="741">(D69-D64)/5+D66</f>
        <v>84.362939599999947</v>
      </c>
      <c r="E67" s="6">
        <f t="shared" ref="E67" si="742">(E69-E64)/5+E66</f>
        <v>130.48725819999999</v>
      </c>
      <c r="F67" s="6">
        <f t="shared" ref="F67" si="743">(F69-F64)/5+F66</f>
        <v>5.282217600000001</v>
      </c>
      <c r="G67" s="6">
        <f t="shared" ref="G67" si="744">(G69-G64)/5+G66</f>
        <v>20.553893600000002</v>
      </c>
      <c r="H67" s="6">
        <f t="shared" ref="H67" si="745">(H69-H64)/5+H66</f>
        <v>452.34552119999995</v>
      </c>
      <c r="I67" s="6">
        <f t="shared" ref="I67" si="746">(I69-I64)/5+I66</f>
        <v>674.16636600000015</v>
      </c>
      <c r="J67" s="6">
        <f t="shared" ref="J67" si="747">(J69-J64)/5+J66</f>
        <v>524.1273480000001</v>
      </c>
      <c r="K67" s="6">
        <f t="shared" ref="K67" si="748">(K69-K64)/5+K66</f>
        <v>88.672848000000016</v>
      </c>
      <c r="L67" s="6">
        <f t="shared" ref="L67" si="749">(L69-L64)/5+L66</f>
        <v>166.69910579999993</v>
      </c>
      <c r="M67" s="6">
        <f t="shared" ref="M67" si="750">(M69-M64)/5+M66</f>
        <v>818.61622400000022</v>
      </c>
      <c r="N67" s="6">
        <f t="shared" ref="N67" si="751">(N69-N64)/5+N66</f>
        <v>2848.6284047999998</v>
      </c>
      <c r="O67" s="6">
        <f t="shared" ref="O67" si="752">(O69-O64)/5+O66</f>
        <v>128.6125644</v>
      </c>
      <c r="P67" s="6">
        <f t="shared" ref="P67" si="753">(P69-P64)/5+P66</f>
        <v>2236.1153829999994</v>
      </c>
      <c r="Q67" s="6">
        <f t="shared" ref="Q67" si="754">(Q69-Q64)/5+Q66</f>
        <v>654.23136219999992</v>
      </c>
      <c r="R67" s="6">
        <f t="shared" ref="R67" si="755">(R69-R64)/5+R66</f>
        <v>40.951525799999992</v>
      </c>
    </row>
    <row r="68" spans="1:18" x14ac:dyDescent="0.3">
      <c r="A68" s="1">
        <v>2084</v>
      </c>
      <c r="B68" s="6">
        <f>(B69-B64)/5+B67</f>
        <v>32.824754799999987</v>
      </c>
      <c r="C68" s="6">
        <f t="shared" ref="C68" si="756">(C69-C64)/5+C67</f>
        <v>952.54201039999907</v>
      </c>
      <c r="D68" s="6">
        <f t="shared" ref="D68" si="757">(D69-D64)/5+D67</f>
        <v>83.767816799999963</v>
      </c>
      <c r="E68" s="6">
        <f t="shared" ref="E68" si="758">(E69-E64)/5+E67</f>
        <v>130.21086559999998</v>
      </c>
      <c r="F68" s="6">
        <f t="shared" ref="F68" si="759">(F69-F64)/5+F67</f>
        <v>5.2947218000000014</v>
      </c>
      <c r="G68" s="6">
        <f t="shared" ref="G68" si="760">(G69-G64)/5+G67</f>
        <v>20.406085800000003</v>
      </c>
      <c r="H68" s="6">
        <f t="shared" ref="H68" si="761">(H69-H64)/5+H67</f>
        <v>452.70750459999994</v>
      </c>
      <c r="I68" s="6">
        <f t="shared" ref="I68" si="762">(I69-I64)/5+I67</f>
        <v>671.86691500000018</v>
      </c>
      <c r="J68" s="6">
        <f t="shared" ref="J68" si="763">(J69-J64)/5+J67</f>
        <v>523.59279200000014</v>
      </c>
      <c r="K68" s="6">
        <f t="shared" ref="K68" si="764">(K69-K64)/5+K67</f>
        <v>88.235680000000016</v>
      </c>
      <c r="L68" s="6">
        <f t="shared" ref="L68" si="765">(L69-L64)/5+L67</f>
        <v>166.5392603999999</v>
      </c>
      <c r="M68" s="6">
        <f t="shared" ref="M68" si="766">(M69-M64)/5+M67</f>
        <v>819.13338400000021</v>
      </c>
      <c r="N68" s="6">
        <f t="shared" ref="N68" si="767">(N69-N64)/5+N67</f>
        <v>2865.7995373999997</v>
      </c>
      <c r="O68" s="6">
        <f t="shared" ref="O68" si="768">(O69-O64)/5+O67</f>
        <v>128.0989352</v>
      </c>
      <c r="P68" s="6">
        <f t="shared" ref="P68" si="769">(P69-P64)/5+P67</f>
        <v>2229.8303659999992</v>
      </c>
      <c r="Q68" s="6">
        <f t="shared" ref="Q68" si="770">(Q69-Q64)/5+Q67</f>
        <v>652.12978359999988</v>
      </c>
      <c r="R68" s="6">
        <f t="shared" ref="R68" si="771">(R69-R64)/5+R67</f>
        <v>40.999379399999988</v>
      </c>
    </row>
    <row r="69" spans="1:18" x14ac:dyDescent="0.3">
      <c r="A69" s="1" t="s">
        <v>28</v>
      </c>
      <c r="B69" s="2">
        <v>32.468224999999997</v>
      </c>
      <c r="C69" s="2">
        <v>942.30314699999906</v>
      </c>
      <c r="D69" s="2">
        <v>83.172694000000007</v>
      </c>
      <c r="E69" s="2">
        <v>129.934473</v>
      </c>
      <c r="F69" s="2">
        <v>5.307226</v>
      </c>
      <c r="G69" s="2">
        <v>20.258278000000001</v>
      </c>
      <c r="H69" s="2">
        <v>453.06948799999998</v>
      </c>
      <c r="I69" s="2">
        <v>669.56746400000009</v>
      </c>
      <c r="J69" s="2">
        <v>523.05823599999997</v>
      </c>
      <c r="K69" s="2">
        <v>87.798512000000002</v>
      </c>
      <c r="L69" s="2">
        <v>166.37941499999991</v>
      </c>
      <c r="M69" s="2">
        <v>819.65054400000008</v>
      </c>
      <c r="N69" s="2">
        <v>2882.9706700000002</v>
      </c>
      <c r="O69" s="2">
        <v>127.585306</v>
      </c>
      <c r="P69" s="2">
        <v>2223.545349</v>
      </c>
      <c r="Q69" s="2">
        <v>650.02820499999996</v>
      </c>
      <c r="R69" s="2">
        <v>41.047232999999999</v>
      </c>
    </row>
    <row r="70" spans="1:18" x14ac:dyDescent="0.3">
      <c r="A70" s="1">
        <v>2086</v>
      </c>
      <c r="B70" s="6">
        <f>(B74-B69)/5+B69</f>
        <v>32.124160599999996</v>
      </c>
      <c r="C70" s="6">
        <f t="shared" ref="C70" si="772">(C74-C69)/5+C69</f>
        <v>932.63098599999944</v>
      </c>
      <c r="D70" s="6">
        <f t="shared" ref="D70" si="773">(D74-D69)/5+D69</f>
        <v>82.62058660000001</v>
      </c>
      <c r="E70" s="6">
        <f t="shared" ref="E70" si="774">(E74-E69)/5+E69</f>
        <v>129.6563238</v>
      </c>
      <c r="F70" s="6">
        <f t="shared" ref="F70" si="775">(F74-F69)/5+F69</f>
        <v>5.3177626</v>
      </c>
      <c r="G70" s="6">
        <f t="shared" ref="G70" si="776">(G74-G69)/5+G69</f>
        <v>20.105059400000002</v>
      </c>
      <c r="H70" s="6">
        <f t="shared" ref="H70" si="777">(H74-H69)/5+H69</f>
        <v>453.16165179999996</v>
      </c>
      <c r="I70" s="6">
        <f t="shared" ref="I70" si="778">(I74-I69)/5+I69</f>
        <v>667.07453300000009</v>
      </c>
      <c r="J70" s="6">
        <f t="shared" ref="J70" si="779">(J74-J69)/5+J69</f>
        <v>522.35789739999996</v>
      </c>
      <c r="K70" s="6">
        <f t="shared" ref="K70" si="780">(K74-K69)/5+K69</f>
        <v>87.406667800000008</v>
      </c>
      <c r="L70" s="6">
        <f t="shared" ref="L70" si="781">(L74-L69)/5+L69</f>
        <v>166.18389179999994</v>
      </c>
      <c r="M70" s="6">
        <f t="shared" ref="M70" si="782">(M74-M69)/5+M69</f>
        <v>819.77000240000007</v>
      </c>
      <c r="N70" s="6">
        <f t="shared" ref="N70" si="783">(N74-N69)/5+N69</f>
        <v>2896.9616322000002</v>
      </c>
      <c r="O70" s="6">
        <f t="shared" ref="O70" si="784">(O74-O69)/5+O69</f>
        <v>127.0590534</v>
      </c>
      <c r="P70" s="6">
        <f t="shared" ref="P70" si="785">(P74-P69)/5+P69</f>
        <v>2216.3999159999998</v>
      </c>
      <c r="Q70" s="6">
        <f t="shared" ref="Q70" si="786">(Q74-Q69)/5+Q69</f>
        <v>647.6384933999999</v>
      </c>
      <c r="R70" s="6">
        <f t="shared" ref="R70" si="787">(R74-R69)/5+R69</f>
        <v>41.063605599999995</v>
      </c>
    </row>
    <row r="71" spans="1:18" x14ac:dyDescent="0.3">
      <c r="A71" s="1">
        <v>2087</v>
      </c>
      <c r="B71" s="6">
        <f>(B74-B69)/5+B70</f>
        <v>31.780096199999996</v>
      </c>
      <c r="C71" s="6">
        <f t="shared" ref="C71" si="788">(C74-C69)/5+C70</f>
        <v>922.95882499999982</v>
      </c>
      <c r="D71" s="6">
        <f t="shared" ref="D71" si="789">(D74-D69)/5+D70</f>
        <v>82.068479200000013</v>
      </c>
      <c r="E71" s="6">
        <f t="shared" ref="E71" si="790">(E74-E69)/5+E70</f>
        <v>129.37817459999999</v>
      </c>
      <c r="F71" s="6">
        <f t="shared" ref="F71" si="791">(F74-F69)/5+F70</f>
        <v>5.3282992</v>
      </c>
      <c r="G71" s="6">
        <f t="shared" ref="G71" si="792">(G74-G69)/5+G70</f>
        <v>19.951840800000003</v>
      </c>
      <c r="H71" s="6">
        <f t="shared" ref="H71" si="793">(H74-H69)/5+H70</f>
        <v>453.25381559999994</v>
      </c>
      <c r="I71" s="6">
        <f t="shared" ref="I71" si="794">(I74-I69)/5+I70</f>
        <v>664.58160200000009</v>
      </c>
      <c r="J71" s="6">
        <f t="shared" ref="J71" si="795">(J74-J69)/5+J70</f>
        <v>521.65755879999995</v>
      </c>
      <c r="K71" s="6">
        <f t="shared" ref="K71" si="796">(K74-K69)/5+K70</f>
        <v>87.014823600000014</v>
      </c>
      <c r="L71" s="6">
        <f t="shared" ref="L71" si="797">(L74-L69)/5+L70</f>
        <v>165.98836859999997</v>
      </c>
      <c r="M71" s="6">
        <f t="shared" ref="M71" si="798">(M74-M69)/5+M70</f>
        <v>819.88946080000005</v>
      </c>
      <c r="N71" s="6">
        <f t="shared" ref="N71" si="799">(N74-N69)/5+N70</f>
        <v>2910.9525944000002</v>
      </c>
      <c r="O71" s="6">
        <f t="shared" ref="O71" si="800">(O74-O69)/5+O70</f>
        <v>126.53280079999999</v>
      </c>
      <c r="P71" s="6">
        <f t="shared" ref="P71" si="801">(P74-P69)/5+P70</f>
        <v>2209.2544829999997</v>
      </c>
      <c r="Q71" s="6">
        <f t="shared" ref="Q71" si="802">(Q74-Q69)/5+Q70</f>
        <v>645.24878179999985</v>
      </c>
      <c r="R71" s="6">
        <f t="shared" ref="R71" si="803">(R74-R69)/5+R70</f>
        <v>41.079978199999992</v>
      </c>
    </row>
    <row r="72" spans="1:18" x14ac:dyDescent="0.3">
      <c r="A72" s="1">
        <v>2088</v>
      </c>
      <c r="B72" s="6">
        <f>(B74-B69)/5+B71</f>
        <v>31.436031799999995</v>
      </c>
      <c r="C72" s="6">
        <f t="shared" ref="C72" si="804">(C74-C69)/5+C71</f>
        <v>913.2866640000002</v>
      </c>
      <c r="D72" s="6">
        <f t="shared" ref="D72" si="805">(D74-D69)/5+D71</f>
        <v>81.516371800000016</v>
      </c>
      <c r="E72" s="6">
        <f t="shared" ref="E72" si="806">(E74-E69)/5+E71</f>
        <v>129.10002539999999</v>
      </c>
      <c r="F72" s="6">
        <f t="shared" ref="F72" si="807">(F74-F69)/5+F71</f>
        <v>5.3388358</v>
      </c>
      <c r="G72" s="6">
        <f t="shared" ref="G72" si="808">(G74-G69)/5+G71</f>
        <v>19.798622200000004</v>
      </c>
      <c r="H72" s="6">
        <f t="shared" ref="H72" si="809">(H74-H69)/5+H71</f>
        <v>453.34597939999992</v>
      </c>
      <c r="I72" s="6">
        <f t="shared" ref="I72" si="810">(I74-I69)/5+I71</f>
        <v>662.08867100000009</v>
      </c>
      <c r="J72" s="6">
        <f t="shared" ref="J72" si="811">(J74-J69)/5+J71</f>
        <v>520.95722019999994</v>
      </c>
      <c r="K72" s="6">
        <f t="shared" ref="K72" si="812">(K74-K69)/5+K71</f>
        <v>86.62297940000002</v>
      </c>
      <c r="L72" s="6">
        <f t="shared" ref="L72" si="813">(L74-L69)/5+L71</f>
        <v>165.7928454</v>
      </c>
      <c r="M72" s="6">
        <f t="shared" ref="M72" si="814">(M74-M69)/5+M71</f>
        <v>820.00891920000004</v>
      </c>
      <c r="N72" s="6">
        <f t="shared" ref="N72" si="815">(N74-N69)/5+N71</f>
        <v>2924.9435566000002</v>
      </c>
      <c r="O72" s="6">
        <f t="shared" ref="O72" si="816">(O74-O69)/5+O71</f>
        <v>126.00654819999998</v>
      </c>
      <c r="P72" s="6">
        <f t="shared" ref="P72" si="817">(P74-P69)/5+P71</f>
        <v>2202.1090499999996</v>
      </c>
      <c r="Q72" s="6">
        <f t="shared" ref="Q72" si="818">(Q74-Q69)/5+Q71</f>
        <v>642.85907019999979</v>
      </c>
      <c r="R72" s="6">
        <f t="shared" ref="R72" si="819">(R74-R69)/5+R71</f>
        <v>41.096350799999989</v>
      </c>
    </row>
    <row r="73" spans="1:18" x14ac:dyDescent="0.3">
      <c r="A73" s="1">
        <v>2089</v>
      </c>
      <c r="B73" s="6">
        <f>(B74-B69)/5+B72</f>
        <v>31.091967399999994</v>
      </c>
      <c r="C73" s="6">
        <f t="shared" ref="C73" si="820">(C74-C69)/5+C72</f>
        <v>903.61450300000058</v>
      </c>
      <c r="D73" s="6">
        <f t="shared" ref="D73" si="821">(D74-D69)/5+D72</f>
        <v>80.964264400000019</v>
      </c>
      <c r="E73" s="6">
        <f t="shared" ref="E73" si="822">(E74-E69)/5+E72</f>
        <v>128.82187619999999</v>
      </c>
      <c r="F73" s="6">
        <f t="shared" ref="F73" si="823">(F74-F69)/5+F72</f>
        <v>5.3493724</v>
      </c>
      <c r="G73" s="6">
        <f t="shared" ref="G73" si="824">(G74-G69)/5+G72</f>
        <v>19.645403600000005</v>
      </c>
      <c r="H73" s="6">
        <f t="shared" ref="H73" si="825">(H74-H69)/5+H72</f>
        <v>453.4381431999999</v>
      </c>
      <c r="I73" s="6">
        <f t="shared" ref="I73" si="826">(I74-I69)/5+I72</f>
        <v>659.59574000000009</v>
      </c>
      <c r="J73" s="6">
        <f t="shared" ref="J73" si="827">(J74-J69)/5+J72</f>
        <v>520.25688159999993</v>
      </c>
      <c r="K73" s="6">
        <f t="shared" ref="K73" si="828">(K74-K69)/5+K72</f>
        <v>86.231135200000026</v>
      </c>
      <c r="L73" s="6">
        <f t="shared" ref="L73" si="829">(L74-L69)/5+L72</f>
        <v>165.59732220000004</v>
      </c>
      <c r="M73" s="6">
        <f t="shared" ref="M73" si="830">(M74-M69)/5+M72</f>
        <v>820.12837760000002</v>
      </c>
      <c r="N73" s="6">
        <f t="shared" ref="N73" si="831">(N74-N69)/5+N72</f>
        <v>2938.9345188000002</v>
      </c>
      <c r="O73" s="6">
        <f t="shared" ref="O73" si="832">(O74-O69)/5+O72</f>
        <v>125.48029559999998</v>
      </c>
      <c r="P73" s="6">
        <f t="shared" ref="P73" si="833">(P74-P69)/5+P72</f>
        <v>2194.9636169999994</v>
      </c>
      <c r="Q73" s="6">
        <f t="shared" ref="Q73" si="834">(Q74-Q69)/5+Q72</f>
        <v>640.46935859999974</v>
      </c>
      <c r="R73" s="6">
        <f t="shared" ref="R73" si="835">(R74-R69)/5+R72</f>
        <v>41.112723399999986</v>
      </c>
    </row>
    <row r="74" spans="1:18" x14ac:dyDescent="0.3">
      <c r="A74" s="1" t="s">
        <v>29</v>
      </c>
      <c r="B74" s="2">
        <v>30.747903000000001</v>
      </c>
      <c r="C74" s="2">
        <v>893.94234200000096</v>
      </c>
      <c r="D74" s="2">
        <v>80.412157000000008</v>
      </c>
      <c r="E74" s="2">
        <v>128.54372699999999</v>
      </c>
      <c r="F74" s="2">
        <v>5.359909</v>
      </c>
      <c r="G74" s="2">
        <v>19.492184999999999</v>
      </c>
      <c r="H74" s="2">
        <v>453.53030699999999</v>
      </c>
      <c r="I74" s="2">
        <v>657.10280899999998</v>
      </c>
      <c r="J74" s="2">
        <v>519.55654300000015</v>
      </c>
      <c r="K74" s="2">
        <v>85.839291000000003</v>
      </c>
      <c r="L74" s="2">
        <v>165.40179900000001</v>
      </c>
      <c r="M74" s="2">
        <v>820.24783600000001</v>
      </c>
      <c r="N74" s="2">
        <v>2952.9254810000002</v>
      </c>
      <c r="O74" s="2">
        <v>124.954043</v>
      </c>
      <c r="P74" s="2">
        <v>2187.8181840000002</v>
      </c>
      <c r="Q74" s="2">
        <v>638.07964699999991</v>
      </c>
      <c r="R74" s="2">
        <v>41.129095999999997</v>
      </c>
    </row>
    <row r="75" spans="1:18" x14ac:dyDescent="0.3">
      <c r="A75" s="1">
        <v>2091</v>
      </c>
      <c r="B75" s="6">
        <f>(B79-B74)/5+B74</f>
        <v>30.412314200000001</v>
      </c>
      <c r="C75" s="6">
        <f t="shared" ref="C75" si="836">(C79-C74)/5+C74</f>
        <v>884.98235820000093</v>
      </c>
      <c r="D75" s="6">
        <f t="shared" ref="D75" si="837">(D79-D74)/5+D74</f>
        <v>79.876684000000012</v>
      </c>
      <c r="E75" s="6">
        <f t="shared" ref="E75" si="838">(E79-E74)/5+E74</f>
        <v>128.24393179999998</v>
      </c>
      <c r="F75" s="6">
        <f t="shared" ref="F75" si="839">(F79-F74)/5+F74</f>
        <v>5.367619600000002</v>
      </c>
      <c r="G75" s="6">
        <f t="shared" ref="G75" si="840">(G79-G74)/5+G74</f>
        <v>19.333682</v>
      </c>
      <c r="H75" s="6">
        <f t="shared" ref="H75" si="841">(H79-H74)/5+H74</f>
        <v>453.4280344</v>
      </c>
      <c r="I75" s="6">
        <f t="shared" ref="I75" si="842">(I79-I74)/5+I74</f>
        <v>654.51432239999997</v>
      </c>
      <c r="J75" s="6">
        <f t="shared" ref="J75" si="843">(J79-J74)/5+J74</f>
        <v>518.69700400000011</v>
      </c>
      <c r="K75" s="6">
        <f t="shared" ref="K75" si="844">(K79-K74)/5+K74</f>
        <v>85.484667400000006</v>
      </c>
      <c r="L75" s="6">
        <f t="shared" ref="L75" si="845">(L79-L74)/5+L74</f>
        <v>165.172394</v>
      </c>
      <c r="M75" s="6">
        <f t="shared" ref="M75" si="846">(M79-M74)/5+M74</f>
        <v>819.93917260000001</v>
      </c>
      <c r="N75" s="6">
        <f t="shared" ref="N75" si="847">(N79-N74)/5+N74</f>
        <v>2963.7160430000004</v>
      </c>
      <c r="O75" s="6">
        <f t="shared" ref="O75" si="848">(O79-O74)/5+O74</f>
        <v>124.42458419999998</v>
      </c>
      <c r="P75" s="6">
        <f t="shared" ref="P75" si="849">(P79-P74)/5+P74</f>
        <v>2180.0406894000002</v>
      </c>
      <c r="Q75" s="6">
        <f t="shared" ref="Q75" si="850">(Q79-Q74)/5+Q74</f>
        <v>635.47777739999992</v>
      </c>
      <c r="R75" s="6">
        <f t="shared" ref="R75" si="851">(R79-R74)/5+R74</f>
        <v>41.1200738</v>
      </c>
    </row>
    <row r="76" spans="1:18" x14ac:dyDescent="0.3">
      <c r="A76" s="1">
        <v>2092</v>
      </c>
      <c r="B76" s="6">
        <f>(B79-B74)/5+B75</f>
        <v>30.076725400000001</v>
      </c>
      <c r="C76" s="6">
        <f t="shared" ref="C76" si="852">(C79-C74)/5+C75</f>
        <v>876.0223744000009</v>
      </c>
      <c r="D76" s="6">
        <f t="shared" ref="D76" si="853">(D79-D74)/5+D75</f>
        <v>79.341211000000015</v>
      </c>
      <c r="E76" s="6">
        <f t="shared" ref="E76" si="854">(E79-E74)/5+E75</f>
        <v>127.94413659999999</v>
      </c>
      <c r="F76" s="6">
        <f t="shared" ref="F76" si="855">(F79-F74)/5+F75</f>
        <v>5.3753302000000041</v>
      </c>
      <c r="G76" s="6">
        <f t="shared" ref="G76" si="856">(G79-G74)/5+G75</f>
        <v>19.175179</v>
      </c>
      <c r="H76" s="6">
        <f t="shared" ref="H76" si="857">(H79-H74)/5+H75</f>
        <v>453.32576180000001</v>
      </c>
      <c r="I76" s="6">
        <f t="shared" ref="I76" si="858">(I79-I74)/5+I75</f>
        <v>651.92583579999996</v>
      </c>
      <c r="J76" s="6">
        <f t="shared" ref="J76" si="859">(J79-J74)/5+J75</f>
        <v>517.83746500000007</v>
      </c>
      <c r="K76" s="6">
        <f t="shared" ref="K76" si="860">(K79-K74)/5+K75</f>
        <v>85.13004380000001</v>
      </c>
      <c r="L76" s="6">
        <f t="shared" ref="L76" si="861">(L79-L74)/5+L75</f>
        <v>164.94298899999998</v>
      </c>
      <c r="M76" s="6">
        <f t="shared" ref="M76" si="862">(M79-M74)/5+M75</f>
        <v>819.63050920000001</v>
      </c>
      <c r="N76" s="6">
        <f t="shared" ref="N76" si="863">(N79-N74)/5+N75</f>
        <v>2974.5066050000005</v>
      </c>
      <c r="O76" s="6">
        <f t="shared" ref="O76" si="864">(O79-O74)/5+O75</f>
        <v>123.89512539999997</v>
      </c>
      <c r="P76" s="6">
        <f t="shared" ref="P76" si="865">(P79-P74)/5+P75</f>
        <v>2172.2631948000003</v>
      </c>
      <c r="Q76" s="6">
        <f t="shared" ref="Q76" si="866">(Q79-Q74)/5+Q75</f>
        <v>632.87590779999994</v>
      </c>
      <c r="R76" s="6">
        <f t="shared" ref="R76" si="867">(R79-R74)/5+R75</f>
        <v>41.111051600000003</v>
      </c>
    </row>
    <row r="77" spans="1:18" x14ac:dyDescent="0.3">
      <c r="A77" s="1">
        <v>2093</v>
      </c>
      <c r="B77" s="6">
        <f>(B79-B74)/5+B76</f>
        <v>29.741136600000001</v>
      </c>
      <c r="C77" s="6">
        <f t="shared" ref="C77" si="868">(C79-C74)/5+C76</f>
        <v>867.06239060000087</v>
      </c>
      <c r="D77" s="6">
        <f t="shared" ref="D77" si="869">(D79-D74)/5+D76</f>
        <v>78.805738000000019</v>
      </c>
      <c r="E77" s="6">
        <f t="shared" ref="E77" si="870">(E79-E74)/5+E76</f>
        <v>127.6443414</v>
      </c>
      <c r="F77" s="6">
        <f t="shared" ref="F77" si="871">(F79-F74)/5+F76</f>
        <v>5.3830408000000061</v>
      </c>
      <c r="G77" s="6">
        <f t="shared" ref="G77" si="872">(G79-G74)/5+G76</f>
        <v>19.016676</v>
      </c>
      <c r="H77" s="6">
        <f t="shared" ref="H77" si="873">(H79-H74)/5+H76</f>
        <v>453.22348920000002</v>
      </c>
      <c r="I77" s="6">
        <f t="shared" ref="I77" si="874">(I79-I74)/5+I76</f>
        <v>649.33734919999995</v>
      </c>
      <c r="J77" s="6">
        <f t="shared" ref="J77" si="875">(J79-J74)/5+J76</f>
        <v>516.97792600000002</v>
      </c>
      <c r="K77" s="6">
        <f t="shared" ref="K77" si="876">(K79-K74)/5+K76</f>
        <v>84.775420200000013</v>
      </c>
      <c r="L77" s="6">
        <f t="shared" ref="L77" si="877">(L79-L74)/5+L76</f>
        <v>164.71358399999997</v>
      </c>
      <c r="M77" s="6">
        <f t="shared" ref="M77" si="878">(M79-M74)/5+M76</f>
        <v>819.32184580000001</v>
      </c>
      <c r="N77" s="6">
        <f t="shared" ref="N77" si="879">(N79-N74)/5+N76</f>
        <v>2985.2971670000006</v>
      </c>
      <c r="O77" s="6">
        <f t="shared" ref="O77" si="880">(O79-O74)/5+O76</f>
        <v>123.36566659999995</v>
      </c>
      <c r="P77" s="6">
        <f t="shared" ref="P77" si="881">(P79-P74)/5+P76</f>
        <v>2164.4857002000003</v>
      </c>
      <c r="Q77" s="6">
        <f t="shared" ref="Q77" si="882">(Q79-Q74)/5+Q76</f>
        <v>630.27403819999995</v>
      </c>
      <c r="R77" s="6">
        <f t="shared" ref="R77" si="883">(R79-R74)/5+R76</f>
        <v>41.102029400000006</v>
      </c>
    </row>
    <row r="78" spans="1:18" x14ac:dyDescent="0.3">
      <c r="A78" s="1">
        <v>2094</v>
      </c>
      <c r="B78" s="6">
        <f>(B79-B74)/5+B77</f>
        <v>29.405547800000001</v>
      </c>
      <c r="C78" s="6">
        <f t="shared" ref="C78" si="884">(C79-C74)/5+C77</f>
        <v>858.10240680000084</v>
      </c>
      <c r="D78" s="6">
        <f t="shared" ref="D78" si="885">(D79-D74)/5+D77</f>
        <v>78.270265000000023</v>
      </c>
      <c r="E78" s="6">
        <f t="shared" ref="E78" si="886">(E79-E74)/5+E77</f>
        <v>127.34454620000001</v>
      </c>
      <c r="F78" s="6">
        <f t="shared" ref="F78" si="887">(F79-F74)/5+F77</f>
        <v>5.3907514000000081</v>
      </c>
      <c r="G78" s="6">
        <f t="shared" ref="G78" si="888">(G79-G74)/5+G77</f>
        <v>18.858173000000001</v>
      </c>
      <c r="H78" s="6">
        <f t="shared" ref="H78" si="889">(H79-H74)/5+H77</f>
        <v>453.12121660000003</v>
      </c>
      <c r="I78" s="6">
        <f t="shared" ref="I78" si="890">(I79-I74)/5+I77</f>
        <v>646.74886259999994</v>
      </c>
      <c r="J78" s="6">
        <f t="shared" ref="J78" si="891">(J79-J74)/5+J77</f>
        <v>516.11838699999998</v>
      </c>
      <c r="K78" s="6">
        <f t="shared" ref="K78" si="892">(K79-K74)/5+K77</f>
        <v>84.420796600000017</v>
      </c>
      <c r="L78" s="6">
        <f t="shared" ref="L78" si="893">(L79-L74)/5+L77</f>
        <v>164.48417899999995</v>
      </c>
      <c r="M78" s="6">
        <f t="shared" ref="M78" si="894">(M79-M74)/5+M77</f>
        <v>819.01318240000001</v>
      </c>
      <c r="N78" s="6">
        <f t="shared" ref="N78" si="895">(N79-N74)/5+N77</f>
        <v>2996.0877290000008</v>
      </c>
      <c r="O78" s="6">
        <f t="shared" ref="O78" si="896">(O79-O74)/5+O77</f>
        <v>122.83620779999994</v>
      </c>
      <c r="P78" s="6">
        <f t="shared" ref="P78" si="897">(P79-P74)/5+P77</f>
        <v>2156.7082056000004</v>
      </c>
      <c r="Q78" s="6">
        <f t="shared" ref="Q78" si="898">(Q79-Q74)/5+Q77</f>
        <v>627.67216859999996</v>
      </c>
      <c r="R78" s="6">
        <f t="shared" ref="R78" si="899">(R79-R74)/5+R77</f>
        <v>41.09300720000001</v>
      </c>
    </row>
    <row r="79" spans="1:18" x14ac:dyDescent="0.3">
      <c r="A79" s="1" t="s">
        <v>30</v>
      </c>
      <c r="B79" s="2">
        <v>29.069959000000001</v>
      </c>
      <c r="C79" s="2">
        <v>849.14242300000103</v>
      </c>
      <c r="D79" s="2">
        <v>77.734791999999999</v>
      </c>
      <c r="E79" s="2">
        <v>127.04475100000001</v>
      </c>
      <c r="F79" s="2">
        <v>5.398462000000011</v>
      </c>
      <c r="G79" s="2">
        <v>18.699670000000001</v>
      </c>
      <c r="H79" s="2">
        <v>453.01894399999998</v>
      </c>
      <c r="I79" s="2">
        <v>644.16037600000004</v>
      </c>
      <c r="J79" s="2">
        <v>515.25884799999994</v>
      </c>
      <c r="K79" s="2">
        <v>84.066173000000006</v>
      </c>
      <c r="L79" s="2">
        <v>164.254774</v>
      </c>
      <c r="M79" s="2">
        <v>818.70451900000012</v>
      </c>
      <c r="N79" s="2">
        <v>3006.8782910000009</v>
      </c>
      <c r="O79" s="2">
        <v>122.3067489999999</v>
      </c>
      <c r="P79" s="2">
        <v>2148.930711</v>
      </c>
      <c r="Q79" s="2">
        <v>625.07029899999998</v>
      </c>
      <c r="R79" s="2">
        <v>41.083984999999998</v>
      </c>
    </row>
    <row r="80" spans="1:18" x14ac:dyDescent="0.3">
      <c r="A80" s="1">
        <v>2096</v>
      </c>
      <c r="B80" s="6">
        <f>(B84-B79)/5+B79</f>
        <v>28.7575076</v>
      </c>
      <c r="C80" s="6">
        <f t="shared" ref="C80" si="900">(C84-C79)/5+C79</f>
        <v>840.59170320000101</v>
      </c>
      <c r="D80" s="6">
        <f t="shared" ref="D80" si="901">(D84-D79)/5+D79</f>
        <v>77.196013600000001</v>
      </c>
      <c r="E80" s="6">
        <f t="shared" ref="E80" si="902">(E84-E79)/5+E79</f>
        <v>126.69021240000001</v>
      </c>
      <c r="F80" s="6">
        <f t="shared" ref="F80" si="903">(F84-F79)/5+F79</f>
        <v>5.4018462000000085</v>
      </c>
      <c r="G80" s="6">
        <f t="shared" ref="G80" si="904">(G84-G79)/5+G79</f>
        <v>18.543456000000003</v>
      </c>
      <c r="H80" s="6">
        <f t="shared" ref="H80" si="905">(H84-H79)/5+H79</f>
        <v>452.76170639999998</v>
      </c>
      <c r="I80" s="6">
        <f t="shared" ref="I80" si="906">(I84-I79)/5+I79</f>
        <v>641.53741560000003</v>
      </c>
      <c r="J80" s="6">
        <f t="shared" ref="J80" si="907">(J84-J79)/5+J79</f>
        <v>514.23460539999996</v>
      </c>
      <c r="K80" s="6">
        <f t="shared" ref="K80" si="908">(K84-K79)/5+K79</f>
        <v>83.728960600000008</v>
      </c>
      <c r="L80" s="6">
        <f t="shared" ref="L80" si="909">(L84-L79)/5+L79</f>
        <v>163.9647004</v>
      </c>
      <c r="M80" s="6">
        <f t="shared" ref="M80" si="910">(M84-M79)/5+M79</f>
        <v>817.92748700000004</v>
      </c>
      <c r="N80" s="6">
        <f t="shared" ref="N80" si="911">(N84-N79)/5+N79</f>
        <v>3014.5960426000001</v>
      </c>
      <c r="O80" s="6">
        <f t="shared" ref="O80" si="912">(O84-O79)/5+O79</f>
        <v>121.77525259999993</v>
      </c>
      <c r="P80" s="6">
        <f t="shared" ref="P80" si="913">(P84-P79)/5+P79</f>
        <v>2140.8160693999998</v>
      </c>
      <c r="Q80" s="6">
        <f t="shared" ref="Q80" si="914">(Q84-Q79)/5+Q79</f>
        <v>622.33008080000002</v>
      </c>
      <c r="R80" s="6">
        <f t="shared" ref="R80" si="915">(R84-R79)/5+R79</f>
        <v>41.056683400000004</v>
      </c>
    </row>
    <row r="81" spans="1:18" x14ac:dyDescent="0.3">
      <c r="A81" s="1">
        <v>2097</v>
      </c>
      <c r="B81" s="6">
        <f>(B84-B79)/5+B80</f>
        <v>28.4450562</v>
      </c>
      <c r="C81" s="6">
        <f t="shared" ref="C81" si="916">(C84-C79)/5+C80</f>
        <v>832.04098340000098</v>
      </c>
      <c r="D81" s="6">
        <f t="shared" ref="D81" si="917">(D84-D79)/5+D80</f>
        <v>76.657235200000002</v>
      </c>
      <c r="E81" s="6">
        <f t="shared" ref="E81" si="918">(E84-E79)/5+E80</f>
        <v>126.33567380000001</v>
      </c>
      <c r="F81" s="6">
        <f t="shared" ref="F81" si="919">(F84-F79)/5+F80</f>
        <v>5.405230400000006</v>
      </c>
      <c r="G81" s="6">
        <f t="shared" ref="G81" si="920">(G84-G79)/5+G80</f>
        <v>18.387242000000004</v>
      </c>
      <c r="H81" s="6">
        <f t="shared" ref="H81" si="921">(H84-H79)/5+H80</f>
        <v>452.50446879999998</v>
      </c>
      <c r="I81" s="6">
        <f t="shared" ref="I81" si="922">(I84-I79)/5+I80</f>
        <v>638.91445520000002</v>
      </c>
      <c r="J81" s="6">
        <f t="shared" ref="J81" si="923">(J84-J79)/5+J80</f>
        <v>513.21036279999998</v>
      </c>
      <c r="K81" s="6">
        <f t="shared" ref="K81" si="924">(K84-K79)/5+K80</f>
        <v>83.391748200000009</v>
      </c>
      <c r="L81" s="6">
        <f t="shared" ref="L81" si="925">(L84-L79)/5+L80</f>
        <v>163.6746268</v>
      </c>
      <c r="M81" s="6">
        <f t="shared" ref="M81" si="926">(M84-M79)/5+M80</f>
        <v>817.15045499999997</v>
      </c>
      <c r="N81" s="6">
        <f t="shared" ref="N81" si="927">(N84-N79)/5+N80</f>
        <v>3022.3137941999994</v>
      </c>
      <c r="O81" s="6">
        <f t="shared" ref="O81" si="928">(O84-O79)/5+O80</f>
        <v>121.24375619999996</v>
      </c>
      <c r="P81" s="6">
        <f t="shared" ref="P81" si="929">(P84-P79)/5+P80</f>
        <v>2132.7014277999997</v>
      </c>
      <c r="Q81" s="6">
        <f t="shared" ref="Q81" si="930">(Q84-Q79)/5+Q80</f>
        <v>619.58986260000006</v>
      </c>
      <c r="R81" s="6">
        <f t="shared" ref="R81" si="931">(R84-R79)/5+R80</f>
        <v>41.02938180000001</v>
      </c>
    </row>
    <row r="82" spans="1:18" x14ac:dyDescent="0.3">
      <c r="A82" s="1">
        <v>2098</v>
      </c>
      <c r="B82" s="6">
        <f>(B84-B79)/5+B81</f>
        <v>28.132604799999999</v>
      </c>
      <c r="C82" s="6">
        <f t="shared" ref="C82" si="932">(C84-C79)/5+C81</f>
        <v>823.49026360000096</v>
      </c>
      <c r="D82" s="6">
        <f t="shared" ref="D82" si="933">(D84-D79)/5+D81</f>
        <v>76.118456800000004</v>
      </c>
      <c r="E82" s="6">
        <f t="shared" ref="E82" si="934">(E84-E79)/5+E81</f>
        <v>125.98113520000001</v>
      </c>
      <c r="F82" s="6">
        <f t="shared" ref="F82" si="935">(F84-F79)/5+F81</f>
        <v>5.4086146000000035</v>
      </c>
      <c r="G82" s="6">
        <f t="shared" ref="G82" si="936">(G84-G79)/5+G81</f>
        <v>18.231028000000006</v>
      </c>
      <c r="H82" s="6">
        <f t="shared" ref="H82" si="937">(H84-H79)/5+H81</f>
        <v>452.24723119999999</v>
      </c>
      <c r="I82" s="6">
        <f t="shared" ref="I82" si="938">(I84-I79)/5+I81</f>
        <v>636.29149480000001</v>
      </c>
      <c r="J82" s="6">
        <f t="shared" ref="J82" si="939">(J84-J79)/5+J81</f>
        <v>512.1861202</v>
      </c>
      <c r="K82" s="6">
        <f t="shared" ref="K82" si="940">(K84-K79)/5+K81</f>
        <v>83.054535800000011</v>
      </c>
      <c r="L82" s="6">
        <f t="shared" ref="L82" si="941">(L84-L79)/5+L81</f>
        <v>163.3845532</v>
      </c>
      <c r="M82" s="6">
        <f t="shared" ref="M82" si="942">(M84-M79)/5+M81</f>
        <v>816.37342299999989</v>
      </c>
      <c r="N82" s="6">
        <f t="shared" ref="N82" si="943">(N84-N79)/5+N81</f>
        <v>3030.0315457999986</v>
      </c>
      <c r="O82" s="6">
        <f t="shared" ref="O82" si="944">(O84-O79)/5+O81</f>
        <v>120.7122598</v>
      </c>
      <c r="P82" s="6">
        <f t="shared" ref="P82" si="945">(P84-P79)/5+P81</f>
        <v>2124.5867861999996</v>
      </c>
      <c r="Q82" s="6">
        <f t="shared" ref="Q82" si="946">(Q84-Q79)/5+Q81</f>
        <v>616.8496444000001</v>
      </c>
      <c r="R82" s="6">
        <f t="shared" ref="R82" si="947">(R84-R79)/5+R81</f>
        <v>41.002080200000016</v>
      </c>
    </row>
    <row r="83" spans="1:18" x14ac:dyDescent="0.3">
      <c r="A83" s="1">
        <v>2099</v>
      </c>
      <c r="B83" s="6">
        <f>(B84-B79)/5+B82</f>
        <v>27.820153399999999</v>
      </c>
      <c r="C83" s="6">
        <f t="shared" ref="C83" si="948">(C84-C79)/5+C82</f>
        <v>814.93954380000093</v>
      </c>
      <c r="D83" s="6">
        <f t="shared" ref="D83" si="949">(D84-D79)/5+D82</f>
        <v>75.579678400000006</v>
      </c>
      <c r="E83" s="6">
        <f t="shared" ref="E83" si="950">(E84-E79)/5+E82</f>
        <v>125.62659660000001</v>
      </c>
      <c r="F83" s="6">
        <f t="shared" ref="F83" si="951">(F84-F79)/5+F82</f>
        <v>5.411998800000001</v>
      </c>
      <c r="G83" s="6">
        <f t="shared" ref="G83" si="952">(G84-G79)/5+G82</f>
        <v>18.074814000000007</v>
      </c>
      <c r="H83" s="6">
        <f t="shared" ref="H83" si="953">(H84-H79)/5+H82</f>
        <v>451.98999359999999</v>
      </c>
      <c r="I83" s="6">
        <f t="shared" ref="I83" si="954">(I84-I79)/5+I82</f>
        <v>633.6685344</v>
      </c>
      <c r="J83" s="6">
        <f t="shared" ref="J83" si="955">(J84-J79)/5+J82</f>
        <v>511.16187760000003</v>
      </c>
      <c r="K83" s="6">
        <f t="shared" ref="K83" si="956">(K84-K79)/5+K82</f>
        <v>82.717323400000012</v>
      </c>
      <c r="L83" s="6">
        <f t="shared" ref="L83" si="957">(L84-L79)/5+L82</f>
        <v>163.0944796</v>
      </c>
      <c r="M83" s="6">
        <f t="shared" ref="M83" si="958">(M84-M79)/5+M82</f>
        <v>815.59639099999981</v>
      </c>
      <c r="N83" s="6">
        <f t="shared" ref="N83" si="959">(N84-N79)/5+N82</f>
        <v>3037.7492973999979</v>
      </c>
      <c r="O83" s="6">
        <f t="shared" ref="O83" si="960">(O84-O79)/5+O82</f>
        <v>120.18076340000003</v>
      </c>
      <c r="P83" s="6">
        <f t="shared" ref="P83" si="961">(P84-P79)/5+P82</f>
        <v>2116.4721445999994</v>
      </c>
      <c r="Q83" s="6">
        <f t="shared" ref="Q83" si="962">(Q84-Q79)/5+Q82</f>
        <v>614.10942620000014</v>
      </c>
      <c r="R83" s="6">
        <f t="shared" ref="R83" si="963">(R84-R79)/5+R82</f>
        <v>40.974778600000022</v>
      </c>
    </row>
    <row r="84" spans="1:18" x14ac:dyDescent="0.3">
      <c r="A84" s="1" t="s">
        <v>31</v>
      </c>
      <c r="B84" s="2">
        <v>27.507701999999998</v>
      </c>
      <c r="C84" s="2">
        <v>806.38882400000102</v>
      </c>
      <c r="D84" s="2">
        <v>75.040899999999993</v>
      </c>
      <c r="E84" s="2">
        <v>125.272058</v>
      </c>
      <c r="F84" s="2">
        <v>5.4153830000000003</v>
      </c>
      <c r="G84" s="2">
        <v>17.918600000000001</v>
      </c>
      <c r="H84" s="2">
        <v>451.73275599999999</v>
      </c>
      <c r="I84" s="2">
        <v>631.04557399999999</v>
      </c>
      <c r="J84" s="2">
        <v>510.13763499999999</v>
      </c>
      <c r="K84" s="2">
        <v>82.380111000000014</v>
      </c>
      <c r="L84" s="2">
        <v>162.804406</v>
      </c>
      <c r="M84" s="2">
        <v>814.81935899999996</v>
      </c>
      <c r="N84" s="2">
        <v>3045.467048999998</v>
      </c>
      <c r="O84" s="2">
        <v>119.64926700000009</v>
      </c>
      <c r="P84" s="2">
        <v>2108.3575030000002</v>
      </c>
      <c r="Q84" s="2">
        <v>611.36920799999996</v>
      </c>
      <c r="R84" s="2">
        <v>40.947477000000013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2440-5029-4E23-B863-52B4F42D57DA}">
  <dimension ref="A1:CF18"/>
  <sheetViews>
    <sheetView zoomScale="85" zoomScaleNormal="85" workbookViewId="0">
      <selection activeCell="C7" sqref="C7"/>
    </sheetView>
  </sheetViews>
  <sheetFormatPr defaultRowHeight="14.4" x14ac:dyDescent="0.3"/>
  <cols>
    <col min="1" max="1" width="9.6640625" bestFit="1" customWidth="1"/>
    <col min="2" max="2" width="9.6640625" customWidth="1"/>
  </cols>
  <sheetData>
    <row r="1" spans="1:84" x14ac:dyDescent="0.3">
      <c r="A1" s="1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8">
        <f t="array" ref="B2:CF2">TRANSPOSE(GDP!B2:B84)</f>
        <v>2164.8128972743229</v>
      </c>
      <c r="C2">
        <v>2213.3908194019677</v>
      </c>
      <c r="D2">
        <v>2197.6886849656321</v>
      </c>
      <c r="E2">
        <v>2292.293355002103</v>
      </c>
      <c r="F2">
        <v>2326.8750162515771</v>
      </c>
      <c r="G2">
        <v>2361.4566775010512</v>
      </c>
      <c r="H2">
        <v>2396.0383387505253</v>
      </c>
      <c r="I2">
        <v>2430.62</v>
      </c>
      <c r="J2">
        <v>2478.518</v>
      </c>
      <c r="K2">
        <v>2526.4160000000002</v>
      </c>
      <c r="L2">
        <v>2574.3140000000003</v>
      </c>
      <c r="M2">
        <v>2622.2120000000004</v>
      </c>
      <c r="N2">
        <v>2670.11</v>
      </c>
      <c r="O2">
        <v>2705.06</v>
      </c>
      <c r="P2">
        <v>2740.0099999999998</v>
      </c>
      <c r="Q2">
        <v>2774.9599999999996</v>
      </c>
      <c r="R2">
        <v>2809.9099999999994</v>
      </c>
      <c r="S2">
        <v>2844.86</v>
      </c>
      <c r="T2">
        <v>2869.73</v>
      </c>
      <c r="U2">
        <v>2894.6</v>
      </c>
      <c r="V2">
        <v>2919.47</v>
      </c>
      <c r="W2">
        <v>2944.3399999999997</v>
      </c>
      <c r="X2">
        <v>2969.21</v>
      </c>
      <c r="Y2">
        <v>2987.1120000000001</v>
      </c>
      <c r="Z2">
        <v>3005.0140000000001</v>
      </c>
      <c r="AA2">
        <v>3022.9160000000002</v>
      </c>
      <c r="AB2">
        <v>3040.8180000000002</v>
      </c>
      <c r="AC2">
        <v>3058.72</v>
      </c>
      <c r="AD2">
        <v>3071.018</v>
      </c>
      <c r="AE2">
        <v>3083.3160000000003</v>
      </c>
      <c r="AF2">
        <v>3095.6140000000005</v>
      </c>
      <c r="AG2">
        <v>3107.9120000000007</v>
      </c>
      <c r="AH2">
        <v>3120.21</v>
      </c>
      <c r="AI2">
        <v>3125.8360000000002</v>
      </c>
      <c r="AJ2">
        <v>3131.4620000000004</v>
      </c>
      <c r="AK2">
        <v>3137.0880000000006</v>
      </c>
      <c r="AL2">
        <v>3142.7140000000009</v>
      </c>
      <c r="AM2">
        <v>3148.34</v>
      </c>
      <c r="AN2">
        <v>3148.0940000000001</v>
      </c>
      <c r="AO2">
        <v>3147.848</v>
      </c>
      <c r="AP2">
        <v>3147.6019999999999</v>
      </c>
      <c r="AQ2">
        <v>3147.3559999999998</v>
      </c>
      <c r="AR2">
        <v>3147.11</v>
      </c>
      <c r="AS2">
        <v>3144.3679999999999</v>
      </c>
      <c r="AT2">
        <v>3141.6259999999997</v>
      </c>
      <c r="AU2">
        <v>3138.8839999999996</v>
      </c>
      <c r="AV2">
        <v>3136.1419999999994</v>
      </c>
      <c r="AW2">
        <v>3133.4</v>
      </c>
      <c r="AX2">
        <v>3127.558</v>
      </c>
      <c r="AY2">
        <v>3121.7159999999999</v>
      </c>
      <c r="AZ2">
        <v>3115.8739999999998</v>
      </c>
      <c r="BA2">
        <v>3110.0319999999997</v>
      </c>
      <c r="BB2">
        <v>3104.19</v>
      </c>
      <c r="BC2">
        <v>3095.18</v>
      </c>
      <c r="BD2">
        <v>3086.1699999999996</v>
      </c>
      <c r="BE2">
        <v>3077.1599999999994</v>
      </c>
      <c r="BF2">
        <v>3068.1499999999992</v>
      </c>
      <c r="BG2">
        <v>3059.14</v>
      </c>
      <c r="BH2">
        <v>3047.1659999999997</v>
      </c>
      <c r="BI2">
        <v>3035.1919999999996</v>
      </c>
      <c r="BJ2">
        <v>3023.2179999999994</v>
      </c>
      <c r="BK2">
        <v>3011.2439999999992</v>
      </c>
      <c r="BL2">
        <v>2999.27</v>
      </c>
      <c r="BM2">
        <v>2985.19</v>
      </c>
      <c r="BN2">
        <v>2971.11</v>
      </c>
      <c r="BO2">
        <v>2957.03</v>
      </c>
      <c r="BP2">
        <v>2942.9500000000003</v>
      </c>
      <c r="BQ2">
        <v>2928.87</v>
      </c>
      <c r="BR2">
        <v>2913.096</v>
      </c>
      <c r="BS2">
        <v>2897.3220000000001</v>
      </c>
      <c r="BT2">
        <v>2881.5480000000002</v>
      </c>
      <c r="BU2">
        <v>2865.7740000000003</v>
      </c>
      <c r="BV2">
        <v>2850</v>
      </c>
      <c r="BW2">
        <v>2832.902</v>
      </c>
      <c r="BX2">
        <v>2815.8040000000001</v>
      </c>
      <c r="BY2">
        <v>2798.7060000000001</v>
      </c>
      <c r="BZ2">
        <v>2781.6080000000002</v>
      </c>
      <c r="CA2">
        <v>2764.51</v>
      </c>
      <c r="CB2">
        <v>2746.806</v>
      </c>
      <c r="CC2">
        <v>2729.1019999999999</v>
      </c>
      <c r="CD2">
        <v>2711.3979999999997</v>
      </c>
      <c r="CE2">
        <v>2693.6939999999995</v>
      </c>
      <c r="CF2">
        <v>2675.99</v>
      </c>
    </row>
    <row r="3" spans="1:84" x14ac:dyDescent="0.3">
      <c r="A3" s="1" t="s">
        <v>1</v>
      </c>
      <c r="B3" s="8">
        <f t="array" ref="B3:CF3">TRANSPOSE(GDP!C2:C84)</f>
        <v>21684.384643520461</v>
      </c>
      <c r="C3">
        <v>22940.028175853218</v>
      </c>
      <c r="D3">
        <v>23414.2743771065</v>
      </c>
      <c r="E3">
        <v>25384.031403995308</v>
      </c>
      <c r="F3">
        <v>26693.289552996481</v>
      </c>
      <c r="G3">
        <v>28002.547701997653</v>
      </c>
      <c r="H3">
        <v>29311.805850998826</v>
      </c>
      <c r="I3">
        <v>30621.063999999998</v>
      </c>
      <c r="J3">
        <v>31849.823799999998</v>
      </c>
      <c r="K3">
        <v>33078.583599999998</v>
      </c>
      <c r="L3">
        <v>34307.343399999998</v>
      </c>
      <c r="M3">
        <v>35536.103199999998</v>
      </c>
      <c r="N3">
        <v>36764.862999999998</v>
      </c>
      <c r="O3">
        <v>37877.7984</v>
      </c>
      <c r="P3">
        <v>38990.733800000002</v>
      </c>
      <c r="Q3">
        <v>40103.669200000004</v>
      </c>
      <c r="R3">
        <v>41216.604600000006</v>
      </c>
      <c r="S3">
        <v>42329.54</v>
      </c>
      <c r="T3">
        <v>43218.370199999998</v>
      </c>
      <c r="U3">
        <v>44107.200399999994</v>
      </c>
      <c r="V3">
        <v>44996.030599999991</v>
      </c>
      <c r="W3">
        <v>45884.860799999988</v>
      </c>
      <c r="X3">
        <v>46773.690999999999</v>
      </c>
      <c r="Y3">
        <v>47622.001199999999</v>
      </c>
      <c r="Z3">
        <v>48470.311399999999</v>
      </c>
      <c r="AA3">
        <v>49318.621599999999</v>
      </c>
      <c r="AB3">
        <v>50166.931799999998</v>
      </c>
      <c r="AC3">
        <v>51015.241999999998</v>
      </c>
      <c r="AD3">
        <v>51805.8122</v>
      </c>
      <c r="AE3">
        <v>52596.382400000002</v>
      </c>
      <c r="AF3">
        <v>53386.952600000004</v>
      </c>
      <c r="AG3">
        <v>54177.522800000006</v>
      </c>
      <c r="AH3">
        <v>54968.092999999993</v>
      </c>
      <c r="AI3">
        <v>55653.318399999989</v>
      </c>
      <c r="AJ3">
        <v>56338.543799999985</v>
      </c>
      <c r="AK3">
        <v>57023.769199999981</v>
      </c>
      <c r="AL3">
        <v>57708.994599999976</v>
      </c>
      <c r="AM3">
        <v>58394.219999999987</v>
      </c>
      <c r="AN3">
        <v>59054.77659999999</v>
      </c>
      <c r="AO3">
        <v>59715.333199999994</v>
      </c>
      <c r="AP3">
        <v>60375.889799999997</v>
      </c>
      <c r="AQ3">
        <v>61036.446400000001</v>
      </c>
      <c r="AR3">
        <v>61697.002999999997</v>
      </c>
      <c r="AS3">
        <v>62322.84</v>
      </c>
      <c r="AT3">
        <v>62948.676999999996</v>
      </c>
      <c r="AU3">
        <v>63574.513999999996</v>
      </c>
      <c r="AV3">
        <v>64200.350999999995</v>
      </c>
      <c r="AW3">
        <v>64826.188000000002</v>
      </c>
      <c r="AX3">
        <v>65329.606</v>
      </c>
      <c r="AY3">
        <v>65833.024000000005</v>
      </c>
      <c r="AZ3">
        <v>66336.44200000001</v>
      </c>
      <c r="BA3">
        <v>66839.860000000015</v>
      </c>
      <c r="BB3">
        <v>67343.277999999991</v>
      </c>
      <c r="BC3">
        <v>67717.769</v>
      </c>
      <c r="BD3">
        <v>68092.260000000009</v>
      </c>
      <c r="BE3">
        <v>68466.751000000018</v>
      </c>
      <c r="BF3">
        <v>68841.242000000027</v>
      </c>
      <c r="BG3">
        <v>69215.733000000007</v>
      </c>
      <c r="BH3">
        <v>69490.551200000002</v>
      </c>
      <c r="BI3">
        <v>69765.369399999996</v>
      </c>
      <c r="BJ3">
        <v>70040.18759999999</v>
      </c>
      <c r="BK3">
        <v>70315.005799999984</v>
      </c>
      <c r="BL3">
        <v>70589.824000000008</v>
      </c>
      <c r="BM3">
        <v>70791.722800000003</v>
      </c>
      <c r="BN3">
        <v>70993.621599999999</v>
      </c>
      <c r="BO3">
        <v>71195.520399999994</v>
      </c>
      <c r="BP3">
        <v>71397.419199999989</v>
      </c>
      <c r="BQ3">
        <v>71599.317999999999</v>
      </c>
      <c r="BR3">
        <v>71762.502399999998</v>
      </c>
      <c r="BS3">
        <v>71925.686799999996</v>
      </c>
      <c r="BT3">
        <v>72088.871199999994</v>
      </c>
      <c r="BU3">
        <v>72252.055599999992</v>
      </c>
      <c r="BV3">
        <v>72415.240000000005</v>
      </c>
      <c r="BW3">
        <v>72547.917000000001</v>
      </c>
      <c r="BX3">
        <v>72680.593999999997</v>
      </c>
      <c r="BY3">
        <v>72813.270999999993</v>
      </c>
      <c r="BZ3">
        <v>72945.947999999989</v>
      </c>
      <c r="CA3">
        <v>73078.625</v>
      </c>
      <c r="CB3">
        <v>73153.642200000002</v>
      </c>
      <c r="CC3">
        <v>73228.659400000004</v>
      </c>
      <c r="CD3">
        <v>73303.676600000006</v>
      </c>
      <c r="CE3">
        <v>73378.693800000008</v>
      </c>
      <c r="CF3">
        <v>73453.710999999996</v>
      </c>
    </row>
    <row r="4" spans="1:84" x14ac:dyDescent="0.3">
      <c r="A4" s="1" t="s">
        <v>2</v>
      </c>
      <c r="B4" s="8">
        <f t="array" ref="B4:B18">TRANSPOSE(GDP!D2:R2)</f>
        <v>5296.1118375507285</v>
      </c>
      <c r="C4">
        <f t="array" ref="C4:CF7">TRANSPOSE(GDP!D3:G84)</f>
        <v>5274.8125068943018</v>
      </c>
      <c r="D4">
        <v>5049.1241844582455</v>
      </c>
      <c r="E4">
        <v>5157.3010323567678</v>
      </c>
      <c r="F4">
        <v>5239.3932742675761</v>
      </c>
      <c r="G4">
        <v>5321.4855161783844</v>
      </c>
      <c r="H4">
        <v>5403.5777580891927</v>
      </c>
      <c r="I4">
        <v>5485.67</v>
      </c>
      <c r="J4">
        <v>5529.576</v>
      </c>
      <c r="K4">
        <v>5573.482</v>
      </c>
      <c r="L4">
        <v>5617.3879999999999</v>
      </c>
      <c r="M4">
        <v>5661.2939999999999</v>
      </c>
      <c r="N4">
        <v>5705.2</v>
      </c>
      <c r="O4">
        <v>5753.91</v>
      </c>
      <c r="P4">
        <v>5802.62</v>
      </c>
      <c r="Q4">
        <v>5851.33</v>
      </c>
      <c r="R4">
        <v>5900.04</v>
      </c>
      <c r="S4">
        <v>5948.75</v>
      </c>
      <c r="T4">
        <v>5990.4120000000003</v>
      </c>
      <c r="U4">
        <v>6032.0740000000005</v>
      </c>
      <c r="V4">
        <v>6073.7360000000008</v>
      </c>
      <c r="W4">
        <v>6115.398000000001</v>
      </c>
      <c r="X4">
        <v>6157.06</v>
      </c>
      <c r="Y4">
        <v>6199.9320000000007</v>
      </c>
      <c r="Z4">
        <v>6242.804000000001</v>
      </c>
      <c r="AA4">
        <v>6285.6760000000013</v>
      </c>
      <c r="AB4">
        <v>6328.5480000000016</v>
      </c>
      <c r="AC4">
        <v>6371.42</v>
      </c>
      <c r="AD4">
        <v>6416.8559999999998</v>
      </c>
      <c r="AE4">
        <v>6462.2919999999995</v>
      </c>
      <c r="AF4">
        <v>6507.7279999999992</v>
      </c>
      <c r="AG4">
        <v>6553.1639999999989</v>
      </c>
      <c r="AH4">
        <v>6598.6</v>
      </c>
      <c r="AI4">
        <v>6642.0020000000004</v>
      </c>
      <c r="AJ4">
        <v>6685.4040000000005</v>
      </c>
      <c r="AK4">
        <v>6728.8060000000005</v>
      </c>
      <c r="AL4">
        <v>6772.2080000000005</v>
      </c>
      <c r="AM4">
        <v>6815.61</v>
      </c>
      <c r="AN4">
        <v>6854.0639999999994</v>
      </c>
      <c r="AO4">
        <v>6892.5179999999991</v>
      </c>
      <c r="AP4">
        <v>6930.9719999999988</v>
      </c>
      <c r="AQ4">
        <v>6969.4259999999986</v>
      </c>
      <c r="AR4">
        <v>7007.88</v>
      </c>
      <c r="AS4">
        <v>7041.0240000000003</v>
      </c>
      <c r="AT4">
        <v>7074.1680000000006</v>
      </c>
      <c r="AU4">
        <v>7107.3120000000008</v>
      </c>
      <c r="AV4">
        <v>7140.456000000001</v>
      </c>
      <c r="AW4">
        <v>7173.6</v>
      </c>
      <c r="AX4">
        <v>7200.2400000000007</v>
      </c>
      <c r="AY4">
        <v>7226.880000000001</v>
      </c>
      <c r="AZ4">
        <v>7253.5200000000013</v>
      </c>
      <c r="BA4">
        <v>7280.1600000000017</v>
      </c>
      <c r="BB4">
        <v>7306.8</v>
      </c>
      <c r="BC4">
        <v>7328.06</v>
      </c>
      <c r="BD4">
        <v>7349.3200000000006</v>
      </c>
      <c r="BE4">
        <v>7370.5800000000008</v>
      </c>
      <c r="BF4">
        <v>7391.8400000000011</v>
      </c>
      <c r="BG4">
        <v>7413.1</v>
      </c>
      <c r="BH4">
        <v>7432.1940000000004</v>
      </c>
      <c r="BI4">
        <v>7451.2880000000005</v>
      </c>
      <c r="BJ4">
        <v>7470.3820000000005</v>
      </c>
      <c r="BK4">
        <v>7489.4760000000006</v>
      </c>
      <c r="BL4">
        <v>7508.57</v>
      </c>
      <c r="BM4">
        <v>7527.2219999999998</v>
      </c>
      <c r="BN4">
        <v>7545.8739999999998</v>
      </c>
      <c r="BO4">
        <v>7564.5259999999998</v>
      </c>
      <c r="BP4">
        <v>7583.1779999999999</v>
      </c>
      <c r="BQ4">
        <v>7601.83</v>
      </c>
      <c r="BR4">
        <v>7618.8819999999996</v>
      </c>
      <c r="BS4">
        <v>7635.9339999999993</v>
      </c>
      <c r="BT4">
        <v>7652.985999999999</v>
      </c>
      <c r="BU4">
        <v>7670.0379999999986</v>
      </c>
      <c r="BV4">
        <v>7687.09</v>
      </c>
      <c r="BW4">
        <v>7700.0659999999998</v>
      </c>
      <c r="BX4">
        <v>7713.0419999999995</v>
      </c>
      <c r="BY4">
        <v>7726.0179999999991</v>
      </c>
      <c r="BZ4">
        <v>7738.9939999999988</v>
      </c>
      <c r="CA4">
        <v>7751.97</v>
      </c>
      <c r="CB4">
        <v>7758.134</v>
      </c>
      <c r="CC4">
        <v>7764.2979999999998</v>
      </c>
      <c r="CD4">
        <v>7770.4619999999995</v>
      </c>
      <c r="CE4">
        <v>7776.6259999999993</v>
      </c>
      <c r="CF4">
        <v>7782.79</v>
      </c>
    </row>
    <row r="5" spans="1:84" x14ac:dyDescent="0.3">
      <c r="A5" s="1" t="s">
        <v>3</v>
      </c>
      <c r="B5" s="8">
        <v>3913.975940445162</v>
      </c>
      <c r="C5">
        <v>4000.008095018452</v>
      </c>
      <c r="D5">
        <v>3893.8617001635221</v>
      </c>
      <c r="E5">
        <v>4112.4744028421201</v>
      </c>
      <c r="F5">
        <v>4066.9158021315898</v>
      </c>
      <c r="G5">
        <v>4021.3572014210595</v>
      </c>
      <c r="H5">
        <v>3975.7986007105292</v>
      </c>
      <c r="I5">
        <v>3930.24</v>
      </c>
      <c r="J5">
        <v>3989.154</v>
      </c>
      <c r="K5">
        <v>4048.0680000000002</v>
      </c>
      <c r="L5">
        <v>4106.982</v>
      </c>
      <c r="M5">
        <v>4165.8959999999997</v>
      </c>
      <c r="N5">
        <v>4224.8100000000004</v>
      </c>
      <c r="O5">
        <v>4306.92</v>
      </c>
      <c r="P5">
        <v>4389.03</v>
      </c>
      <c r="Q5">
        <v>4471.1399999999994</v>
      </c>
      <c r="R5">
        <v>4553.2499999999991</v>
      </c>
      <c r="S5">
        <v>4635.3599999999997</v>
      </c>
      <c r="T5">
        <v>4720.4459999999999</v>
      </c>
      <c r="U5">
        <v>4805.5320000000002</v>
      </c>
      <c r="V5">
        <v>4890.6180000000004</v>
      </c>
      <c r="W5">
        <v>4975.7040000000006</v>
      </c>
      <c r="X5">
        <v>5060.79</v>
      </c>
      <c r="Y5">
        <v>5147.0959999999995</v>
      </c>
      <c r="Z5">
        <v>5233.4019999999991</v>
      </c>
      <c r="AA5">
        <v>5319.7079999999987</v>
      </c>
      <c r="AB5">
        <v>5406.0139999999983</v>
      </c>
      <c r="AC5">
        <v>5492.32</v>
      </c>
      <c r="AD5">
        <v>5579.152</v>
      </c>
      <c r="AE5">
        <v>5665.9840000000004</v>
      </c>
      <c r="AF5">
        <v>5752.8160000000007</v>
      </c>
      <c r="AG5">
        <v>5839.648000000001</v>
      </c>
      <c r="AH5">
        <v>5926.48</v>
      </c>
      <c r="AI5">
        <v>6021.7559999999994</v>
      </c>
      <c r="AJ5">
        <v>6117.0319999999992</v>
      </c>
      <c r="AK5">
        <v>6212.3079999999991</v>
      </c>
      <c r="AL5">
        <v>6307.5839999999989</v>
      </c>
      <c r="AM5">
        <v>6402.86</v>
      </c>
      <c r="AN5">
        <v>6512.924</v>
      </c>
      <c r="AO5">
        <v>6622.9880000000003</v>
      </c>
      <c r="AP5">
        <v>6733.0520000000006</v>
      </c>
      <c r="AQ5">
        <v>6843.1160000000009</v>
      </c>
      <c r="AR5">
        <v>6953.18</v>
      </c>
      <c r="AS5">
        <v>7069.9140000000007</v>
      </c>
      <c r="AT5">
        <v>7186.648000000001</v>
      </c>
      <c r="AU5">
        <v>7303.3820000000014</v>
      </c>
      <c r="AV5">
        <v>7420.1160000000018</v>
      </c>
      <c r="AW5">
        <v>7536.85</v>
      </c>
      <c r="AX5">
        <v>7658.5300000000007</v>
      </c>
      <c r="AY5">
        <v>7780.2100000000009</v>
      </c>
      <c r="AZ5">
        <v>7901.8900000000012</v>
      </c>
      <c r="BA5">
        <v>8023.5700000000015</v>
      </c>
      <c r="BB5">
        <v>8145.25</v>
      </c>
      <c r="BC5">
        <v>8268.4699999999993</v>
      </c>
      <c r="BD5">
        <v>8391.6899999999987</v>
      </c>
      <c r="BE5">
        <v>8514.909999999998</v>
      </c>
      <c r="BF5">
        <v>8638.1299999999974</v>
      </c>
      <c r="BG5">
        <v>8761.35</v>
      </c>
      <c r="BH5">
        <v>8886.5879999999997</v>
      </c>
      <c r="BI5">
        <v>9011.8259999999991</v>
      </c>
      <c r="BJ5">
        <v>9137.0639999999985</v>
      </c>
      <c r="BK5">
        <v>9262.3019999999979</v>
      </c>
      <c r="BL5">
        <v>9387.5400000000009</v>
      </c>
      <c r="BM5">
        <v>9518.7520000000004</v>
      </c>
      <c r="BN5">
        <v>9649.9639999999999</v>
      </c>
      <c r="BO5">
        <v>9781.1759999999995</v>
      </c>
      <c r="BP5">
        <v>9912.387999999999</v>
      </c>
      <c r="BQ5">
        <v>10043.6</v>
      </c>
      <c r="BR5">
        <v>10184.32</v>
      </c>
      <c r="BS5">
        <v>10325.039999999999</v>
      </c>
      <c r="BT5">
        <v>10465.759999999998</v>
      </c>
      <c r="BU5">
        <v>10606.479999999998</v>
      </c>
      <c r="BV5">
        <v>10747.2</v>
      </c>
      <c r="BW5">
        <v>10896.44</v>
      </c>
      <c r="BX5">
        <v>11045.68</v>
      </c>
      <c r="BY5">
        <v>11194.92</v>
      </c>
      <c r="BZ5">
        <v>11344.16</v>
      </c>
      <c r="CA5">
        <v>11493.4</v>
      </c>
      <c r="CB5">
        <v>11645.199999999999</v>
      </c>
      <c r="CC5">
        <v>11796.999999999998</v>
      </c>
      <c r="CD5">
        <v>11948.799999999997</v>
      </c>
      <c r="CE5">
        <v>12100.599999999997</v>
      </c>
      <c r="CF5">
        <v>12252.4</v>
      </c>
    </row>
    <row r="6" spans="1:84" x14ac:dyDescent="0.3">
      <c r="A6" s="1" t="s">
        <v>4</v>
      </c>
      <c r="B6" s="8">
        <v>38.133349152167149</v>
      </c>
      <c r="C6">
        <v>40.26967250118188</v>
      </c>
      <c r="D6">
        <v>38.434280707097258</v>
      </c>
      <c r="E6">
        <v>39.063361320990722</v>
      </c>
      <c r="F6">
        <v>41.001670990743044</v>
      </c>
      <c r="G6">
        <v>42.939980660495365</v>
      </c>
      <c r="H6">
        <v>44.878290330247687</v>
      </c>
      <c r="I6">
        <v>46.816600000000001</v>
      </c>
      <c r="J6">
        <v>48.720120000000001</v>
      </c>
      <c r="K6">
        <v>50.623640000000002</v>
      </c>
      <c r="L6">
        <v>52.527160000000002</v>
      </c>
      <c r="M6">
        <v>54.430680000000002</v>
      </c>
      <c r="N6">
        <v>56.334200000000003</v>
      </c>
      <c r="O6">
        <v>58.669139999999999</v>
      </c>
      <c r="P6">
        <v>61.004079999999995</v>
      </c>
      <c r="Q6">
        <v>63.339019999999991</v>
      </c>
      <c r="R6">
        <v>65.673959999999994</v>
      </c>
      <c r="S6">
        <v>68.008899999999997</v>
      </c>
      <c r="T6">
        <v>70.547600000000003</v>
      </c>
      <c r="U6">
        <v>73.086300000000008</v>
      </c>
      <c r="V6">
        <v>75.625000000000014</v>
      </c>
      <c r="W6">
        <v>78.16370000000002</v>
      </c>
      <c r="X6">
        <v>80.702399999999997</v>
      </c>
      <c r="Y6">
        <v>83.496780000000001</v>
      </c>
      <c r="Z6">
        <v>86.291160000000005</v>
      </c>
      <c r="AA6">
        <v>89.085540000000009</v>
      </c>
      <c r="AB6">
        <v>91.879920000000013</v>
      </c>
      <c r="AC6">
        <v>94.674300000000002</v>
      </c>
      <c r="AD6">
        <v>97.852040000000002</v>
      </c>
      <c r="AE6">
        <v>101.02978</v>
      </c>
      <c r="AF6">
        <v>104.20752</v>
      </c>
      <c r="AG6">
        <v>107.38526</v>
      </c>
      <c r="AH6">
        <v>110.563</v>
      </c>
      <c r="AI6">
        <v>114.2586</v>
      </c>
      <c r="AJ6">
        <v>117.9542</v>
      </c>
      <c r="AK6">
        <v>121.6498</v>
      </c>
      <c r="AL6">
        <v>125.3454</v>
      </c>
      <c r="AM6">
        <v>129.041</v>
      </c>
      <c r="AN6">
        <v>133.334</v>
      </c>
      <c r="AO6">
        <v>137.62700000000001</v>
      </c>
      <c r="AP6">
        <v>141.92000000000002</v>
      </c>
      <c r="AQ6">
        <v>146.21300000000002</v>
      </c>
      <c r="AR6">
        <v>150.506</v>
      </c>
      <c r="AS6">
        <v>155.4462</v>
      </c>
      <c r="AT6">
        <v>160.38640000000001</v>
      </c>
      <c r="AU6">
        <v>165.32660000000001</v>
      </c>
      <c r="AV6">
        <v>170.26680000000002</v>
      </c>
      <c r="AW6">
        <v>175.20699999999999</v>
      </c>
      <c r="AX6">
        <v>180.63339999999999</v>
      </c>
      <c r="AY6">
        <v>186.0598</v>
      </c>
      <c r="AZ6">
        <v>191.4862</v>
      </c>
      <c r="BA6">
        <v>196.9126</v>
      </c>
      <c r="BB6">
        <v>202.339</v>
      </c>
      <c r="BC6">
        <v>208.17599999999999</v>
      </c>
      <c r="BD6">
        <v>214.01299999999998</v>
      </c>
      <c r="BE6">
        <v>219.84999999999997</v>
      </c>
      <c r="BF6">
        <v>225.68699999999995</v>
      </c>
      <c r="BG6">
        <v>231.524</v>
      </c>
      <c r="BH6">
        <v>237.7938</v>
      </c>
      <c r="BI6">
        <v>244.06360000000001</v>
      </c>
      <c r="BJ6">
        <v>250.33340000000001</v>
      </c>
      <c r="BK6">
        <v>256.60320000000002</v>
      </c>
      <c r="BL6">
        <v>262.87299999999999</v>
      </c>
      <c r="BM6">
        <v>269.60899999999998</v>
      </c>
      <c r="BN6">
        <v>276.34499999999997</v>
      </c>
      <c r="BO6">
        <v>283.08099999999996</v>
      </c>
      <c r="BP6">
        <v>289.81699999999995</v>
      </c>
      <c r="BQ6">
        <v>296.553</v>
      </c>
      <c r="BR6">
        <v>303.79680000000002</v>
      </c>
      <c r="BS6">
        <v>311.04060000000004</v>
      </c>
      <c r="BT6">
        <v>318.28440000000006</v>
      </c>
      <c r="BU6">
        <v>325.52820000000008</v>
      </c>
      <c r="BV6">
        <v>332.77199999999999</v>
      </c>
      <c r="BW6">
        <v>340.5136</v>
      </c>
      <c r="BX6">
        <v>348.2552</v>
      </c>
      <c r="BY6">
        <v>355.99680000000001</v>
      </c>
      <c r="BZ6">
        <v>363.73840000000001</v>
      </c>
      <c r="CA6">
        <v>371.48</v>
      </c>
      <c r="CB6">
        <v>379.67340000000002</v>
      </c>
      <c r="CC6">
        <v>387.86680000000001</v>
      </c>
      <c r="CD6">
        <v>396.06020000000001</v>
      </c>
      <c r="CE6">
        <v>404.25360000000001</v>
      </c>
      <c r="CF6">
        <v>412.447</v>
      </c>
    </row>
    <row r="7" spans="1:84" x14ac:dyDescent="0.3">
      <c r="A7" s="1" t="s">
        <v>5</v>
      </c>
      <c r="B7" s="8">
        <v>49.164943368621707</v>
      </c>
      <c r="C7">
        <v>49.339269538163229</v>
      </c>
      <c r="D7">
        <v>47.20000000000001</v>
      </c>
      <c r="E7">
        <v>49.522280000000009</v>
      </c>
      <c r="F7">
        <v>51.844560000000001</v>
      </c>
      <c r="G7">
        <v>54.166840000000001</v>
      </c>
      <c r="H7">
        <v>56.48912</v>
      </c>
      <c r="I7">
        <v>58.811399999999999</v>
      </c>
      <c r="J7">
        <v>62.38402</v>
      </c>
      <c r="K7">
        <v>65.956639999999993</v>
      </c>
      <c r="L7">
        <v>69.529259999999994</v>
      </c>
      <c r="M7">
        <v>73.101879999999994</v>
      </c>
      <c r="N7">
        <v>76.674499999999995</v>
      </c>
      <c r="O7">
        <v>81.419399999999996</v>
      </c>
      <c r="P7">
        <v>86.164299999999997</v>
      </c>
      <c r="Q7">
        <v>90.909199999999998</v>
      </c>
      <c r="R7">
        <v>95.6541</v>
      </c>
      <c r="S7">
        <v>100.399</v>
      </c>
      <c r="T7">
        <v>106.5598</v>
      </c>
      <c r="U7">
        <v>112.72059999999999</v>
      </c>
      <c r="V7">
        <v>118.88139999999999</v>
      </c>
      <c r="W7">
        <v>125.04219999999998</v>
      </c>
      <c r="X7">
        <v>131.203</v>
      </c>
      <c r="Y7">
        <v>138.798</v>
      </c>
      <c r="Z7">
        <v>146.393</v>
      </c>
      <c r="AA7">
        <v>153.988</v>
      </c>
      <c r="AB7">
        <v>161.583</v>
      </c>
      <c r="AC7">
        <v>169.178</v>
      </c>
      <c r="AD7">
        <v>178.2884</v>
      </c>
      <c r="AE7">
        <v>187.39879999999999</v>
      </c>
      <c r="AF7">
        <v>196.50919999999999</v>
      </c>
      <c r="AG7">
        <v>205.61959999999999</v>
      </c>
      <c r="AH7">
        <v>214.73</v>
      </c>
      <c r="AI7">
        <v>213.22689</v>
      </c>
      <c r="AJ7">
        <v>211.73430177</v>
      </c>
      <c r="AK7">
        <v>210.25216165761</v>
      </c>
      <c r="AL7">
        <v>208.78039652600674</v>
      </c>
      <c r="AM7">
        <v>207.3189337503247</v>
      </c>
      <c r="AN7">
        <v>205.86770121407244</v>
      </c>
      <c r="AO7">
        <v>204.42662730557393</v>
      </c>
      <c r="AP7">
        <v>202.99564091443492</v>
      </c>
      <c r="AQ7">
        <v>201.57467142803387</v>
      </c>
      <c r="AR7">
        <v>200.16364872803763</v>
      </c>
      <c r="AS7">
        <v>198.76250318694136</v>
      </c>
      <c r="AT7">
        <v>197.37116566463277</v>
      </c>
      <c r="AU7">
        <v>195.98956750498033</v>
      </c>
      <c r="AV7">
        <v>194.61764053244548</v>
      </c>
      <c r="AW7">
        <v>193.25531704871835</v>
      </c>
      <c r="AX7">
        <v>191.90252982937733</v>
      </c>
      <c r="AY7">
        <v>190.55921212057169</v>
      </c>
      <c r="AZ7">
        <v>189.22529763572769</v>
      </c>
      <c r="BA7">
        <v>187.90072055227759</v>
      </c>
      <c r="BB7">
        <v>186.58541550841164</v>
      </c>
      <c r="BC7">
        <v>185.27931759985276</v>
      </c>
      <c r="BD7">
        <v>183.98236237665378</v>
      </c>
      <c r="BE7">
        <v>182.69448584001719</v>
      </c>
      <c r="BF7">
        <v>181.41562443913708</v>
      </c>
      <c r="BG7">
        <v>180.14571506806311</v>
      </c>
      <c r="BH7">
        <v>178.88469506258667</v>
      </c>
      <c r="BI7">
        <v>177.63250219714857</v>
      </c>
      <c r="BJ7">
        <v>176.38907468176853</v>
      </c>
      <c r="BK7">
        <v>175.15435115899615</v>
      </c>
      <c r="BL7">
        <v>173.92827070088319</v>
      </c>
      <c r="BM7">
        <v>172.710772805977</v>
      </c>
      <c r="BN7">
        <v>171.50179739633515</v>
      </c>
      <c r="BO7">
        <v>170.3012848145608</v>
      </c>
      <c r="BP7">
        <v>169.10917582085887</v>
      </c>
      <c r="BQ7">
        <v>167.92541159011284</v>
      </c>
      <c r="BR7">
        <v>166.74993370898204</v>
      </c>
      <c r="BS7">
        <v>165.58268417301917</v>
      </c>
      <c r="BT7">
        <v>164.42360538380805</v>
      </c>
      <c r="BU7">
        <v>163.2726401461214</v>
      </c>
      <c r="BV7">
        <v>162.12973166509855</v>
      </c>
      <c r="BW7">
        <v>160.99482354344286</v>
      </c>
      <c r="BX7">
        <v>159.86785977863877</v>
      </c>
      <c r="BY7">
        <v>158.7487847601883</v>
      </c>
      <c r="BZ7">
        <v>157.63754326686697</v>
      </c>
      <c r="CA7">
        <v>156.53408046399889</v>
      </c>
      <c r="CB7">
        <v>155.43834190075088</v>
      </c>
      <c r="CC7">
        <v>154.35027350744562</v>
      </c>
      <c r="CD7">
        <v>153.26982159289349</v>
      </c>
      <c r="CE7">
        <v>152.19693284174323</v>
      </c>
      <c r="CF7">
        <v>151.13155431185103</v>
      </c>
    </row>
    <row r="8" spans="1:84" x14ac:dyDescent="0.3">
      <c r="A8" s="1" t="s">
        <v>6</v>
      </c>
      <c r="B8" s="8">
        <v>21975.104005454268</v>
      </c>
      <c r="C8">
        <f t="array" ref="C8:CF18">TRANSPOSE(GDP!H3:R84)</f>
        <v>22471.260492484409</v>
      </c>
      <c r="D8">
        <v>21805.056121635749</v>
      </c>
      <c r="E8">
        <v>23079.215786517871</v>
      </c>
      <c r="F8">
        <v>23418.653069888402</v>
      </c>
      <c r="G8">
        <v>23758.090353258933</v>
      </c>
      <c r="H8">
        <v>24097.527636629464</v>
      </c>
      <c r="I8">
        <v>24436.964919999999</v>
      </c>
      <c r="J8">
        <v>24914.996756</v>
      </c>
      <c r="K8">
        <v>25393.028592000002</v>
      </c>
      <c r="L8">
        <v>25871.060428000004</v>
      </c>
      <c r="M8">
        <v>26349.092264000006</v>
      </c>
      <c r="N8">
        <v>26827.124100000001</v>
      </c>
      <c r="O8">
        <v>27266.257734000003</v>
      </c>
      <c r="P8">
        <v>27705.391368000004</v>
      </c>
      <c r="Q8">
        <v>28144.525002000006</v>
      </c>
      <c r="R8">
        <v>28583.658636000007</v>
      </c>
      <c r="S8">
        <v>29022.792270000002</v>
      </c>
      <c r="T8">
        <v>29443.005194000001</v>
      </c>
      <c r="U8">
        <v>29863.218118000001</v>
      </c>
      <c r="V8">
        <v>30283.431042</v>
      </c>
      <c r="W8">
        <v>30703.643966</v>
      </c>
      <c r="X8">
        <v>31123.856889999999</v>
      </c>
      <c r="Y8">
        <v>31536.281638</v>
      </c>
      <c r="Z8">
        <v>31948.706386000002</v>
      </c>
      <c r="AA8">
        <v>32361.131134000003</v>
      </c>
      <c r="AB8">
        <v>32773.555882000008</v>
      </c>
      <c r="AC8">
        <v>33185.980630000013</v>
      </c>
      <c r="AD8">
        <v>33594.990798000013</v>
      </c>
      <c r="AE8">
        <v>34004.000966000014</v>
      </c>
      <c r="AF8">
        <v>34413.011134000015</v>
      </c>
      <c r="AG8">
        <v>34822.021302000016</v>
      </c>
      <c r="AH8">
        <v>35231.031470000002</v>
      </c>
      <c r="AI8">
        <v>35646.203895999999</v>
      </c>
      <c r="AJ8">
        <v>36061.376321999996</v>
      </c>
      <c r="AK8">
        <v>36476.548747999994</v>
      </c>
      <c r="AL8">
        <v>36891.721173999991</v>
      </c>
      <c r="AM8">
        <v>37306.893600000003</v>
      </c>
      <c r="AN8">
        <v>37733.159478000001</v>
      </c>
      <c r="AO8">
        <v>38159.425356</v>
      </c>
      <c r="AP8">
        <v>38585.691233999998</v>
      </c>
      <c r="AQ8">
        <v>39011.957111999996</v>
      </c>
      <c r="AR8">
        <v>39438.222990000002</v>
      </c>
      <c r="AS8">
        <v>39876.915574000006</v>
      </c>
      <c r="AT8">
        <v>40315.60815800001</v>
      </c>
      <c r="AU8">
        <v>40754.300742000014</v>
      </c>
      <c r="AV8">
        <v>41192.993326000018</v>
      </c>
      <c r="AW8">
        <v>41631.685910000007</v>
      </c>
      <c r="AX8">
        <v>42066.690824000005</v>
      </c>
      <c r="AY8">
        <v>42501.695738000002</v>
      </c>
      <c r="AZ8">
        <v>42936.700652</v>
      </c>
      <c r="BA8">
        <v>43371.705565999997</v>
      </c>
      <c r="BB8">
        <v>43806.710480000002</v>
      </c>
      <c r="BC8">
        <v>44232.836614</v>
      </c>
      <c r="BD8">
        <v>44658.962747999998</v>
      </c>
      <c r="BE8">
        <v>45085.088881999996</v>
      </c>
      <c r="BF8">
        <v>45511.215015999995</v>
      </c>
      <c r="BG8">
        <v>45937.34115</v>
      </c>
      <c r="BH8">
        <v>46351.629827999997</v>
      </c>
      <c r="BI8">
        <v>46765.918505999995</v>
      </c>
      <c r="BJ8">
        <v>47180.207183999992</v>
      </c>
      <c r="BK8">
        <v>47594.495861999989</v>
      </c>
      <c r="BL8">
        <v>48008.784540000001</v>
      </c>
      <c r="BM8">
        <v>48411.809792</v>
      </c>
      <c r="BN8">
        <v>48814.835043999999</v>
      </c>
      <c r="BO8">
        <v>49217.860295999999</v>
      </c>
      <c r="BP8">
        <v>49620.885547999998</v>
      </c>
      <c r="BQ8">
        <v>50023.910799999998</v>
      </c>
      <c r="BR8">
        <v>50417.186326000003</v>
      </c>
      <c r="BS8">
        <v>50810.461852000008</v>
      </c>
      <c r="BT8">
        <v>51203.737378000013</v>
      </c>
      <c r="BU8">
        <v>51597.012904000017</v>
      </c>
      <c r="BV8">
        <v>51990.288430000008</v>
      </c>
      <c r="BW8">
        <v>52374.408198000005</v>
      </c>
      <c r="BX8">
        <v>52758.527966000001</v>
      </c>
      <c r="BY8">
        <v>53142.647733999998</v>
      </c>
      <c r="BZ8">
        <v>53526.767501999995</v>
      </c>
      <c r="CA8">
        <v>53910.887270000007</v>
      </c>
      <c r="CB8">
        <v>54281.258362000008</v>
      </c>
      <c r="CC8">
        <v>54651.629454000009</v>
      </c>
      <c r="CD8">
        <v>55022.00054600001</v>
      </c>
      <c r="CE8">
        <v>55392.371638000011</v>
      </c>
      <c r="CF8">
        <v>55762.742729999998</v>
      </c>
    </row>
    <row r="9" spans="1:84" x14ac:dyDescent="0.3">
      <c r="A9" s="1" t="s">
        <v>7</v>
      </c>
      <c r="B9" s="8">
        <v>9585.6290912519707</v>
      </c>
      <c r="C9">
        <v>9657.5729678508524</v>
      </c>
      <c r="D9">
        <v>9010.8669946892223</v>
      </c>
      <c r="E9">
        <v>9674.2144611962631</v>
      </c>
      <c r="F9">
        <v>9849.2317683971978</v>
      </c>
      <c r="G9">
        <v>10024.249075598133</v>
      </c>
      <c r="H9">
        <v>10199.266382799067</v>
      </c>
      <c r="I9">
        <v>10374.28369</v>
      </c>
      <c r="J9">
        <v>10651.89345</v>
      </c>
      <c r="K9">
        <v>10929.503209999999</v>
      </c>
      <c r="L9">
        <v>11207.112969999998</v>
      </c>
      <c r="M9">
        <v>11484.722729999998</v>
      </c>
      <c r="N9">
        <v>11762.332490000001</v>
      </c>
      <c r="O9">
        <v>12120.366682</v>
      </c>
      <c r="P9">
        <v>12478.400873999999</v>
      </c>
      <c r="Q9">
        <v>12836.435065999998</v>
      </c>
      <c r="R9">
        <v>13194.469257999997</v>
      </c>
      <c r="S9">
        <v>13552.50345</v>
      </c>
      <c r="T9">
        <v>13976.933376000001</v>
      </c>
      <c r="U9">
        <v>14401.363302000002</v>
      </c>
      <c r="V9">
        <v>14825.793228000002</v>
      </c>
      <c r="W9">
        <v>15250.223154000003</v>
      </c>
      <c r="X9">
        <v>15674.65308</v>
      </c>
      <c r="Y9">
        <v>16158.704806</v>
      </c>
      <c r="Z9">
        <v>16642.756531999999</v>
      </c>
      <c r="AA9">
        <v>17126.808258000001</v>
      </c>
      <c r="AB9">
        <v>17610.859984000002</v>
      </c>
      <c r="AC9">
        <v>18094.91171</v>
      </c>
      <c r="AD9">
        <v>18627.560175999999</v>
      </c>
      <c r="AE9">
        <v>19160.208641999998</v>
      </c>
      <c r="AF9">
        <v>19692.857107999997</v>
      </c>
      <c r="AG9">
        <v>20225.505573999995</v>
      </c>
      <c r="AH9">
        <v>20758.154040000001</v>
      </c>
      <c r="AI9">
        <v>21332.940164</v>
      </c>
      <c r="AJ9">
        <v>21907.726287999998</v>
      </c>
      <c r="AK9">
        <v>22482.512411999996</v>
      </c>
      <c r="AL9">
        <v>23057.298535999995</v>
      </c>
      <c r="AM9">
        <v>23632.08466</v>
      </c>
      <c r="AN9">
        <v>24240.384512000001</v>
      </c>
      <c r="AO9">
        <v>24848.684364000001</v>
      </c>
      <c r="AP9">
        <v>25456.984216000001</v>
      </c>
      <c r="AQ9">
        <v>26065.284068000001</v>
      </c>
      <c r="AR9">
        <v>26673.583920000001</v>
      </c>
      <c r="AS9">
        <v>27318.845670000002</v>
      </c>
      <c r="AT9">
        <v>27964.107420000004</v>
      </c>
      <c r="AU9">
        <v>28609.369170000005</v>
      </c>
      <c r="AV9">
        <v>29254.630920000007</v>
      </c>
      <c r="AW9">
        <v>29899.892670000001</v>
      </c>
      <c r="AX9">
        <v>30567.527312000002</v>
      </c>
      <c r="AY9">
        <v>31235.161954000003</v>
      </c>
      <c r="AZ9">
        <v>31902.796596000004</v>
      </c>
      <c r="BA9">
        <v>32570.431238000005</v>
      </c>
      <c r="BB9">
        <v>33238.065880000002</v>
      </c>
      <c r="BC9">
        <v>33919.444007999999</v>
      </c>
      <c r="BD9">
        <v>34600.822135999995</v>
      </c>
      <c r="BE9">
        <v>35282.200263999992</v>
      </c>
      <c r="BF9">
        <v>35963.578391999989</v>
      </c>
      <c r="BG9">
        <v>36644.95652</v>
      </c>
      <c r="BH9">
        <v>37324.181213999997</v>
      </c>
      <c r="BI9">
        <v>38003.405907999993</v>
      </c>
      <c r="BJ9">
        <v>38682.63060199999</v>
      </c>
      <c r="BK9">
        <v>39361.855295999987</v>
      </c>
      <c r="BL9">
        <v>40041.079989999998</v>
      </c>
      <c r="BM9">
        <v>40715.44427</v>
      </c>
      <c r="BN9">
        <v>41389.808550000002</v>
      </c>
      <c r="BO9">
        <v>42064.172830000003</v>
      </c>
      <c r="BP9">
        <v>42738.537110000005</v>
      </c>
      <c r="BQ9">
        <v>43412.901389999999</v>
      </c>
      <c r="BR9">
        <v>44081.031234000002</v>
      </c>
      <c r="BS9">
        <v>44749.161078000005</v>
      </c>
      <c r="BT9">
        <v>45417.290922000007</v>
      </c>
      <c r="BU9">
        <v>46085.42076600001</v>
      </c>
      <c r="BV9">
        <v>46753.550609999998</v>
      </c>
      <c r="BW9">
        <v>47414.346537999998</v>
      </c>
      <c r="BX9">
        <v>48075.142465999998</v>
      </c>
      <c r="BY9">
        <v>48735.938393999997</v>
      </c>
      <c r="BZ9">
        <v>49396.734321999997</v>
      </c>
      <c r="CA9">
        <v>50057.530250000003</v>
      </c>
      <c r="CB9">
        <v>50710.368376000006</v>
      </c>
      <c r="CC9">
        <v>51363.206502000008</v>
      </c>
      <c r="CD9">
        <v>52016.044628000011</v>
      </c>
      <c r="CE9">
        <v>52668.882754000013</v>
      </c>
      <c r="CF9">
        <v>53321.720880000001</v>
      </c>
    </row>
    <row r="10" spans="1:84" x14ac:dyDescent="0.3">
      <c r="A10" s="1" t="s">
        <v>8</v>
      </c>
      <c r="B10" s="8">
        <v>22625.326956452482</v>
      </c>
      <c r="C10">
        <v>22959.583984287321</v>
      </c>
      <c r="D10">
        <v>21647.744706924768</v>
      </c>
      <c r="E10">
        <v>23137.90804159168</v>
      </c>
      <c r="F10">
        <v>23256.56180619376</v>
      </c>
      <c r="G10">
        <v>23375.215570795841</v>
      </c>
      <c r="H10">
        <v>23493.869335397922</v>
      </c>
      <c r="I10">
        <v>23612.523099999999</v>
      </c>
      <c r="J10">
        <v>24056.213479999999</v>
      </c>
      <c r="K10">
        <v>24499.903859999999</v>
      </c>
      <c r="L10">
        <v>24943.594239999999</v>
      </c>
      <c r="M10">
        <v>25387.284619999999</v>
      </c>
      <c r="N10">
        <v>25830.974999999999</v>
      </c>
      <c r="O10">
        <v>26283.4421</v>
      </c>
      <c r="P10">
        <v>26735.909200000002</v>
      </c>
      <c r="Q10">
        <v>27188.376300000004</v>
      </c>
      <c r="R10">
        <v>27640.843400000005</v>
      </c>
      <c r="S10">
        <v>28093.3105</v>
      </c>
      <c r="T10">
        <v>28563.244459999998</v>
      </c>
      <c r="U10">
        <v>29033.178419999997</v>
      </c>
      <c r="V10">
        <v>29503.112379999995</v>
      </c>
      <c r="W10">
        <v>29973.046339999994</v>
      </c>
      <c r="X10">
        <v>30442.980299999999</v>
      </c>
      <c r="Y10">
        <v>30926.463299999999</v>
      </c>
      <c r="Z10">
        <v>31409.9463</v>
      </c>
      <c r="AA10">
        <v>31893.4293</v>
      </c>
      <c r="AB10">
        <v>32376.9123</v>
      </c>
      <c r="AC10">
        <v>32860.395299999996</v>
      </c>
      <c r="AD10">
        <v>33342.218679999998</v>
      </c>
      <c r="AE10">
        <v>33824.04206</v>
      </c>
      <c r="AF10">
        <v>34305.865440000001</v>
      </c>
      <c r="AG10">
        <v>34787.688820000003</v>
      </c>
      <c r="AH10">
        <v>35269.512199999997</v>
      </c>
      <c r="AI10">
        <v>35747.529119999999</v>
      </c>
      <c r="AJ10">
        <v>36225.546040000001</v>
      </c>
      <c r="AK10">
        <v>36703.562960000003</v>
      </c>
      <c r="AL10">
        <v>37181.579880000005</v>
      </c>
      <c r="AM10">
        <v>37659.596799999999</v>
      </c>
      <c r="AN10">
        <v>38136.56162</v>
      </c>
      <c r="AO10">
        <v>38613.526440000001</v>
      </c>
      <c r="AP10">
        <v>39090.491260000003</v>
      </c>
      <c r="AQ10">
        <v>39567.456080000004</v>
      </c>
      <c r="AR10">
        <v>40044.420899999997</v>
      </c>
      <c r="AS10">
        <v>40512.958679999996</v>
      </c>
      <c r="AT10">
        <v>40981.496459999995</v>
      </c>
      <c r="AU10">
        <v>41450.034239999994</v>
      </c>
      <c r="AV10">
        <v>41918.572019999992</v>
      </c>
      <c r="AW10">
        <v>42387.109799999998</v>
      </c>
      <c r="AX10">
        <v>42826.903480000001</v>
      </c>
      <c r="AY10">
        <v>43266.697160000003</v>
      </c>
      <c r="AZ10">
        <v>43706.490840000006</v>
      </c>
      <c r="BA10">
        <v>44146.284520000008</v>
      </c>
      <c r="BB10">
        <v>44586.078200000004</v>
      </c>
      <c r="BC10">
        <v>44994.813480000004</v>
      </c>
      <c r="BD10">
        <v>45403.548760000005</v>
      </c>
      <c r="BE10">
        <v>45812.284040000006</v>
      </c>
      <c r="BF10">
        <v>46221.019320000007</v>
      </c>
      <c r="BG10">
        <v>46629.7546</v>
      </c>
      <c r="BH10">
        <v>47005.413099999998</v>
      </c>
      <c r="BI10">
        <v>47381.071599999996</v>
      </c>
      <c r="BJ10">
        <v>47756.730099999993</v>
      </c>
      <c r="BK10">
        <v>48132.388599999991</v>
      </c>
      <c r="BL10">
        <v>48508.047100000003</v>
      </c>
      <c r="BM10">
        <v>48852.361720000001</v>
      </c>
      <c r="BN10">
        <v>49196.676339999998</v>
      </c>
      <c r="BO10">
        <v>49540.990959999996</v>
      </c>
      <c r="BP10">
        <v>49885.305579999993</v>
      </c>
      <c r="BQ10">
        <v>50229.620199999998</v>
      </c>
      <c r="BR10">
        <v>50545.098399999995</v>
      </c>
      <c r="BS10">
        <v>50860.576599999993</v>
      </c>
      <c r="BT10">
        <v>51176.054799999991</v>
      </c>
      <c r="BU10">
        <v>51491.532999999989</v>
      </c>
      <c r="BV10">
        <v>51807.011200000001</v>
      </c>
      <c r="BW10">
        <v>52092.875599999999</v>
      </c>
      <c r="BX10">
        <v>52378.74</v>
      </c>
      <c r="BY10">
        <v>52664.604399999997</v>
      </c>
      <c r="BZ10">
        <v>52950.468799999995</v>
      </c>
      <c r="CA10">
        <v>53236.333200000001</v>
      </c>
      <c r="CB10">
        <v>53485.151859999998</v>
      </c>
      <c r="CC10">
        <v>53733.970519999995</v>
      </c>
      <c r="CD10">
        <v>53982.789179999992</v>
      </c>
      <c r="CE10">
        <v>54231.60783999999</v>
      </c>
      <c r="CF10">
        <v>54480.426500000001</v>
      </c>
    </row>
    <row r="11" spans="1:84" x14ac:dyDescent="0.3">
      <c r="A11" s="1" t="s">
        <v>9</v>
      </c>
      <c r="B11" s="8">
        <v>3472.990086320794</v>
      </c>
      <c r="C11">
        <v>3609.1440612861688</v>
      </c>
      <c r="D11">
        <v>3487.3467147824281</v>
      </c>
      <c r="E11">
        <v>3716.723373660529</v>
      </c>
      <c r="F11">
        <v>3775.4881802453965</v>
      </c>
      <c r="G11">
        <v>3834.2529868302645</v>
      </c>
      <c r="H11">
        <v>3893.0177934151325</v>
      </c>
      <c r="I11">
        <v>3951.7826</v>
      </c>
      <c r="J11">
        <v>4068.44022</v>
      </c>
      <c r="K11">
        <v>4185.0978400000004</v>
      </c>
      <c r="L11">
        <v>4301.7554600000003</v>
      </c>
      <c r="M11">
        <v>4418.4130800000003</v>
      </c>
      <c r="N11">
        <v>4535.0707000000002</v>
      </c>
      <c r="O11">
        <v>4630.3486600000006</v>
      </c>
      <c r="P11">
        <v>4725.6266200000009</v>
      </c>
      <c r="Q11">
        <v>4820.9045800000013</v>
      </c>
      <c r="R11">
        <v>4916.1825400000016</v>
      </c>
      <c r="S11">
        <v>5011.4605000000001</v>
      </c>
      <c r="T11">
        <v>5090.0270200000004</v>
      </c>
      <c r="U11">
        <v>5168.5935400000008</v>
      </c>
      <c r="V11">
        <v>5247.1600600000011</v>
      </c>
      <c r="W11">
        <v>5325.7265800000014</v>
      </c>
      <c r="X11">
        <v>5404.2930999999999</v>
      </c>
      <c r="Y11">
        <v>5463.7973199999997</v>
      </c>
      <c r="Z11">
        <v>5523.3015399999995</v>
      </c>
      <c r="AA11">
        <v>5582.8057599999993</v>
      </c>
      <c r="AB11">
        <v>5642.3099799999991</v>
      </c>
      <c r="AC11">
        <v>5701.8142000000007</v>
      </c>
      <c r="AD11">
        <v>5751.5446600000005</v>
      </c>
      <c r="AE11">
        <v>5801.2751200000002</v>
      </c>
      <c r="AF11">
        <v>5851.00558</v>
      </c>
      <c r="AG11">
        <v>5900.7360399999998</v>
      </c>
      <c r="AH11">
        <v>5950.4665000000005</v>
      </c>
      <c r="AI11">
        <v>5994.5823600000003</v>
      </c>
      <c r="AJ11">
        <v>6038.6982200000002</v>
      </c>
      <c r="AK11">
        <v>6082.8140800000001</v>
      </c>
      <c r="AL11">
        <v>6126.92994</v>
      </c>
      <c r="AM11">
        <v>6171.0457999999999</v>
      </c>
      <c r="AN11">
        <v>6212.4034000000001</v>
      </c>
      <c r="AO11">
        <v>6253.7610000000004</v>
      </c>
      <c r="AP11">
        <v>6295.1186000000007</v>
      </c>
      <c r="AQ11">
        <v>6336.476200000001</v>
      </c>
      <c r="AR11">
        <v>6377.8338000000003</v>
      </c>
      <c r="AS11">
        <v>6417.26746</v>
      </c>
      <c r="AT11">
        <v>6456.7011199999997</v>
      </c>
      <c r="AU11">
        <v>6496.1347799999994</v>
      </c>
      <c r="AV11">
        <v>6535.5684399999991</v>
      </c>
      <c r="AW11">
        <v>6575.0020999999997</v>
      </c>
      <c r="AX11">
        <v>6609.6416199999994</v>
      </c>
      <c r="AY11">
        <v>6644.2811399999991</v>
      </c>
      <c r="AZ11">
        <v>6678.9206599999989</v>
      </c>
      <c r="BA11">
        <v>6713.5601799999986</v>
      </c>
      <c r="BB11">
        <v>6748.1997000000001</v>
      </c>
      <c r="BC11">
        <v>6777.3133399999997</v>
      </c>
      <c r="BD11">
        <v>6806.4269799999993</v>
      </c>
      <c r="BE11">
        <v>6835.5406199999989</v>
      </c>
      <c r="BF11">
        <v>6864.6542599999984</v>
      </c>
      <c r="BG11">
        <v>6893.7678999999998</v>
      </c>
      <c r="BH11">
        <v>6918.4346599999999</v>
      </c>
      <c r="BI11">
        <v>6943.10142</v>
      </c>
      <c r="BJ11">
        <v>6967.76818</v>
      </c>
      <c r="BK11">
        <v>6992.4349400000001</v>
      </c>
      <c r="BL11">
        <v>7017.1017000000002</v>
      </c>
      <c r="BM11">
        <v>7039.7509</v>
      </c>
      <c r="BN11">
        <v>7062.4000999999998</v>
      </c>
      <c r="BO11">
        <v>7085.0492999999997</v>
      </c>
      <c r="BP11">
        <v>7107.6984999999995</v>
      </c>
      <c r="BQ11">
        <v>7130.3476999999993</v>
      </c>
      <c r="BR11">
        <v>7153.2662599999994</v>
      </c>
      <c r="BS11">
        <v>7176.1848199999995</v>
      </c>
      <c r="BT11">
        <v>7199.1033799999996</v>
      </c>
      <c r="BU11">
        <v>7222.0219399999996</v>
      </c>
      <c r="BV11">
        <v>7244.9405000000006</v>
      </c>
      <c r="BW11">
        <v>7268.9374200000002</v>
      </c>
      <c r="BX11">
        <v>7292.9343399999998</v>
      </c>
      <c r="BY11">
        <v>7316.9312599999994</v>
      </c>
      <c r="BZ11">
        <v>7340.928179999999</v>
      </c>
      <c r="CA11">
        <v>7364.9250999999986</v>
      </c>
      <c r="CB11">
        <v>7388.4467799999984</v>
      </c>
      <c r="CC11">
        <v>7411.9684599999982</v>
      </c>
      <c r="CD11">
        <v>7435.4901399999981</v>
      </c>
      <c r="CE11">
        <v>7459.0118199999979</v>
      </c>
      <c r="CF11">
        <v>7482.5334999999995</v>
      </c>
    </row>
    <row r="12" spans="1:84" x14ac:dyDescent="0.3">
      <c r="A12" s="1" t="s">
        <v>10</v>
      </c>
      <c r="B12" s="8">
        <v>1784.7278732711279</v>
      </c>
      <c r="C12">
        <v>1857.013276648961</v>
      </c>
      <c r="D12">
        <v>1810.968937790313</v>
      </c>
      <c r="E12">
        <v>1899.4803472506351</v>
      </c>
      <c r="F12">
        <v>1938.2091354379763</v>
      </c>
      <c r="G12">
        <v>1976.9379236253176</v>
      </c>
      <c r="H12">
        <v>2015.6667118126588</v>
      </c>
      <c r="I12">
        <v>2054.3955000000001</v>
      </c>
      <c r="J12">
        <v>2134.8368</v>
      </c>
      <c r="K12">
        <v>2215.2781</v>
      </c>
      <c r="L12">
        <v>2295.7194</v>
      </c>
      <c r="M12">
        <v>2376.1606999999999</v>
      </c>
      <c r="N12">
        <v>2456.6019999999999</v>
      </c>
      <c r="O12">
        <v>2546.2138</v>
      </c>
      <c r="P12">
        <v>2635.8256000000001</v>
      </c>
      <c r="Q12">
        <v>2725.4374000000003</v>
      </c>
      <c r="R12">
        <v>2815.0492000000004</v>
      </c>
      <c r="S12">
        <v>2904.6610000000001</v>
      </c>
      <c r="T12">
        <v>2993.9790000000003</v>
      </c>
      <c r="U12">
        <v>3083.2970000000005</v>
      </c>
      <c r="V12">
        <v>3172.6150000000007</v>
      </c>
      <c r="W12">
        <v>3261.9330000000009</v>
      </c>
      <c r="X12">
        <v>3351.2510000000002</v>
      </c>
      <c r="Y12">
        <v>3438.4934800000001</v>
      </c>
      <c r="Z12">
        <v>3525.73596</v>
      </c>
      <c r="AA12">
        <v>3612.9784399999999</v>
      </c>
      <c r="AB12">
        <v>3700.2209199999998</v>
      </c>
      <c r="AC12">
        <v>3787.4634000000001</v>
      </c>
      <c r="AD12">
        <v>3875.72532</v>
      </c>
      <c r="AE12">
        <v>3963.9872399999999</v>
      </c>
      <c r="AF12">
        <v>4052.2491599999998</v>
      </c>
      <c r="AG12">
        <v>4140.5110800000002</v>
      </c>
      <c r="AH12">
        <v>4228.7730000000001</v>
      </c>
      <c r="AI12">
        <v>4322.4436800000003</v>
      </c>
      <c r="AJ12">
        <v>4416.1143600000005</v>
      </c>
      <c r="AK12">
        <v>4509.7850400000007</v>
      </c>
      <c r="AL12">
        <v>4603.4557200000008</v>
      </c>
      <c r="AM12">
        <v>4697.1264000000001</v>
      </c>
      <c r="AN12">
        <v>4799.75198</v>
      </c>
      <c r="AO12">
        <v>4902.3775599999999</v>
      </c>
      <c r="AP12">
        <v>5005.0031399999998</v>
      </c>
      <c r="AQ12">
        <v>5107.6287199999997</v>
      </c>
      <c r="AR12">
        <v>5210.2542999999996</v>
      </c>
      <c r="AS12">
        <v>5322.1086999999998</v>
      </c>
      <c r="AT12">
        <v>5433.9630999999999</v>
      </c>
      <c r="AU12">
        <v>5545.8175000000001</v>
      </c>
      <c r="AV12">
        <v>5657.6719000000003</v>
      </c>
      <c r="AW12">
        <v>5769.5263000000004</v>
      </c>
      <c r="AX12">
        <v>5887.5141400000002</v>
      </c>
      <c r="AY12">
        <v>6005.50198</v>
      </c>
      <c r="AZ12">
        <v>6123.4898199999998</v>
      </c>
      <c r="BA12">
        <v>6241.4776599999996</v>
      </c>
      <c r="BB12">
        <v>6359.4655000000002</v>
      </c>
      <c r="BC12">
        <v>6481.2070000000003</v>
      </c>
      <c r="BD12">
        <v>6602.9485000000004</v>
      </c>
      <c r="BE12">
        <v>6724.6900000000005</v>
      </c>
      <c r="BF12">
        <v>6846.4315000000006</v>
      </c>
      <c r="BG12">
        <v>6968.1729999999998</v>
      </c>
      <c r="BH12">
        <v>7094.5455999999995</v>
      </c>
      <c r="BI12">
        <v>7220.9181999999992</v>
      </c>
      <c r="BJ12">
        <v>7347.2907999999989</v>
      </c>
      <c r="BK12">
        <v>7473.6633999999985</v>
      </c>
      <c r="BL12">
        <v>7600.0360000000001</v>
      </c>
      <c r="BM12">
        <v>7733.9542000000001</v>
      </c>
      <c r="BN12">
        <v>7867.8724000000002</v>
      </c>
      <c r="BO12">
        <v>8001.7906000000003</v>
      </c>
      <c r="BP12">
        <v>8135.7088000000003</v>
      </c>
      <c r="BQ12">
        <v>8269.6270000000004</v>
      </c>
      <c r="BR12">
        <v>8413.2242000000006</v>
      </c>
      <c r="BS12">
        <v>8556.8214000000007</v>
      </c>
      <c r="BT12">
        <v>8700.4186000000009</v>
      </c>
      <c r="BU12">
        <v>8844.015800000001</v>
      </c>
      <c r="BV12">
        <v>8987.6130000000012</v>
      </c>
      <c r="BW12">
        <v>9140.4244000000017</v>
      </c>
      <c r="BX12">
        <v>9293.2358000000022</v>
      </c>
      <c r="BY12">
        <v>9446.0472000000027</v>
      </c>
      <c r="BZ12">
        <v>9598.8586000000032</v>
      </c>
      <c r="CA12">
        <v>9751.67</v>
      </c>
      <c r="CB12">
        <v>9911.3955999999998</v>
      </c>
      <c r="CC12">
        <v>10071.1212</v>
      </c>
      <c r="CD12">
        <v>10230.846799999999</v>
      </c>
      <c r="CE12">
        <v>10390.572399999999</v>
      </c>
      <c r="CF12">
        <v>10550.298000000001</v>
      </c>
    </row>
    <row r="13" spans="1:84" x14ac:dyDescent="0.3">
      <c r="A13" s="1" t="s">
        <v>11</v>
      </c>
      <c r="B13" s="8">
        <v>7693.5895831997013</v>
      </c>
      <c r="C13">
        <v>7766.4345822986488</v>
      </c>
      <c r="D13">
        <v>7518.6201954634307</v>
      </c>
      <c r="E13">
        <v>7839.3150356476644</v>
      </c>
      <c r="F13">
        <v>8141.1630342357485</v>
      </c>
      <c r="G13">
        <v>8443.0110328238316</v>
      </c>
      <c r="H13">
        <v>8744.8590314119156</v>
      </c>
      <c r="I13">
        <v>9046.7070299999996</v>
      </c>
      <c r="J13">
        <v>9421.6885259999999</v>
      </c>
      <c r="K13">
        <v>9796.6700220000002</v>
      </c>
      <c r="L13">
        <v>10171.651518000001</v>
      </c>
      <c r="M13">
        <v>10546.633014000001</v>
      </c>
      <c r="N13">
        <v>10921.614509999999</v>
      </c>
      <c r="O13">
        <v>11346.631454</v>
      </c>
      <c r="P13">
        <v>11771.648398000001</v>
      </c>
      <c r="Q13">
        <v>12196.665342000002</v>
      </c>
      <c r="R13">
        <v>12621.682286000003</v>
      </c>
      <c r="S13">
        <v>13046.69923</v>
      </c>
      <c r="T13">
        <v>13522.139356</v>
      </c>
      <c r="U13">
        <v>13997.579481999999</v>
      </c>
      <c r="V13">
        <v>14473.019607999999</v>
      </c>
      <c r="W13">
        <v>14948.459733999998</v>
      </c>
      <c r="X13">
        <v>15423.89986</v>
      </c>
      <c r="Y13">
        <v>15943.351848</v>
      </c>
      <c r="Z13">
        <v>16462.803835999999</v>
      </c>
      <c r="AA13">
        <v>16982.255824</v>
      </c>
      <c r="AB13">
        <v>17501.707812000001</v>
      </c>
      <c r="AC13">
        <v>18021.159800000001</v>
      </c>
      <c r="AD13">
        <v>18588.184982000002</v>
      </c>
      <c r="AE13">
        <v>19155.210164000004</v>
      </c>
      <c r="AF13">
        <v>19722.235346000005</v>
      </c>
      <c r="AG13">
        <v>20289.260528000006</v>
      </c>
      <c r="AH13">
        <v>20856.28571</v>
      </c>
      <c r="AI13">
        <v>21483.535717999999</v>
      </c>
      <c r="AJ13">
        <v>22110.785725999998</v>
      </c>
      <c r="AK13">
        <v>22738.035733999997</v>
      </c>
      <c r="AL13">
        <v>23365.285741999996</v>
      </c>
      <c r="AM13">
        <v>23992.535749999999</v>
      </c>
      <c r="AN13">
        <v>24685.544355999999</v>
      </c>
      <c r="AO13">
        <v>25378.552961999998</v>
      </c>
      <c r="AP13">
        <v>26071.561567999997</v>
      </c>
      <c r="AQ13">
        <v>26764.570173999997</v>
      </c>
      <c r="AR13">
        <v>27457.57878</v>
      </c>
      <c r="AS13">
        <v>28211.438303999999</v>
      </c>
      <c r="AT13">
        <v>28965.297827999999</v>
      </c>
      <c r="AU13">
        <v>29719.157351999998</v>
      </c>
      <c r="AV13">
        <v>30473.016875999998</v>
      </c>
      <c r="AW13">
        <v>31226.876400000001</v>
      </c>
      <c r="AX13">
        <v>32014.023983999999</v>
      </c>
      <c r="AY13">
        <v>32801.171567999998</v>
      </c>
      <c r="AZ13">
        <v>33588.319151999996</v>
      </c>
      <c r="BA13">
        <v>34375.466735999995</v>
      </c>
      <c r="BB13">
        <v>35162.614320000001</v>
      </c>
      <c r="BC13">
        <v>35982.545923999998</v>
      </c>
      <c r="BD13">
        <v>36802.477527999996</v>
      </c>
      <c r="BE13">
        <v>37622.409131999993</v>
      </c>
      <c r="BF13">
        <v>38442.340735999991</v>
      </c>
      <c r="BG13">
        <v>39262.272340000003</v>
      </c>
      <c r="BH13">
        <v>40114.778792000005</v>
      </c>
      <c r="BI13">
        <v>40967.285244000006</v>
      </c>
      <c r="BJ13">
        <v>41819.791696000008</v>
      </c>
      <c r="BK13">
        <v>42672.298148000009</v>
      </c>
      <c r="BL13">
        <v>43524.804600000003</v>
      </c>
      <c r="BM13">
        <v>44412.80212</v>
      </c>
      <c r="BN13">
        <v>45300.799639999997</v>
      </c>
      <c r="BO13">
        <v>46188.797159999995</v>
      </c>
      <c r="BP13">
        <v>47076.794679999992</v>
      </c>
      <c r="BQ13">
        <v>47964.792200000004</v>
      </c>
      <c r="BR13">
        <v>48895.882980000002</v>
      </c>
      <c r="BS13">
        <v>49826.973760000001</v>
      </c>
      <c r="BT13">
        <v>50758.064539999999</v>
      </c>
      <c r="BU13">
        <v>51689.155319999998</v>
      </c>
      <c r="BV13">
        <v>52620.246099999997</v>
      </c>
      <c r="BW13">
        <v>53596.033159999999</v>
      </c>
      <c r="BX13">
        <v>54571.820220000001</v>
      </c>
      <c r="BY13">
        <v>55547.607280000004</v>
      </c>
      <c r="BZ13">
        <v>56523.394340000006</v>
      </c>
      <c r="CA13">
        <v>57499.181400000001</v>
      </c>
      <c r="CB13">
        <v>58511.337220000001</v>
      </c>
      <c r="CC13">
        <v>59523.493040000001</v>
      </c>
      <c r="CD13">
        <v>60535.648860000001</v>
      </c>
      <c r="CE13">
        <v>61547.804680000001</v>
      </c>
      <c r="CF13">
        <v>62559.960500000001</v>
      </c>
    </row>
    <row r="14" spans="1:84" x14ac:dyDescent="0.3">
      <c r="A14" s="1" t="s">
        <v>12</v>
      </c>
      <c r="B14" s="8">
        <v>3973.8030880207957</v>
      </c>
      <c r="C14">
        <v>4092.0867797098053</v>
      </c>
      <c r="D14">
        <v>4019.66245441511</v>
      </c>
      <c r="E14">
        <v>4202.5456239864889</v>
      </c>
      <c r="F14">
        <v>4377.0314627398666</v>
      </c>
      <c r="G14">
        <v>4551.5173014932443</v>
      </c>
      <c r="H14">
        <v>4726.003140246622</v>
      </c>
      <c r="I14">
        <v>4900.4889789999997</v>
      </c>
      <c r="J14">
        <v>5142.2429943999996</v>
      </c>
      <c r="K14">
        <v>5383.9970097999994</v>
      </c>
      <c r="L14">
        <v>5625.7510251999993</v>
      </c>
      <c r="M14">
        <v>5867.5050405999991</v>
      </c>
      <c r="N14">
        <v>6109.2590559999999</v>
      </c>
      <c r="O14">
        <v>6457.7654788</v>
      </c>
      <c r="P14">
        <v>6806.2719016000001</v>
      </c>
      <c r="Q14">
        <v>7154.7783244000002</v>
      </c>
      <c r="R14">
        <v>7503.2847472000003</v>
      </c>
      <c r="S14">
        <v>7851.7911700000004</v>
      </c>
      <c r="T14">
        <v>8283.5034379999997</v>
      </c>
      <c r="U14">
        <v>8715.215705999999</v>
      </c>
      <c r="V14">
        <v>9146.9279739999984</v>
      </c>
      <c r="W14">
        <v>9578.6402419999977</v>
      </c>
      <c r="X14">
        <v>10010.352510000001</v>
      </c>
      <c r="Y14">
        <v>10549.574280000001</v>
      </c>
      <c r="Z14">
        <v>11088.796050000001</v>
      </c>
      <c r="AA14">
        <v>11628.017820000001</v>
      </c>
      <c r="AB14">
        <v>12167.239590000001</v>
      </c>
      <c r="AC14">
        <v>12706.461359999999</v>
      </c>
      <c r="AD14">
        <v>13375.645278</v>
      </c>
      <c r="AE14">
        <v>14044.829196000001</v>
      </c>
      <c r="AF14">
        <v>14714.013114000001</v>
      </c>
      <c r="AG14">
        <v>15383.197032000002</v>
      </c>
      <c r="AH14">
        <v>16052.380950000001</v>
      </c>
      <c r="AI14">
        <v>16877.119350000001</v>
      </c>
      <c r="AJ14">
        <v>17701.857750000003</v>
      </c>
      <c r="AK14">
        <v>18526.596150000005</v>
      </c>
      <c r="AL14">
        <v>19351.334550000007</v>
      </c>
      <c r="AM14">
        <v>20176.072950000002</v>
      </c>
      <c r="AN14">
        <v>21181.827412000002</v>
      </c>
      <c r="AO14">
        <v>22187.581874000003</v>
      </c>
      <c r="AP14">
        <v>23193.336336000004</v>
      </c>
      <c r="AQ14">
        <v>24199.090798000005</v>
      </c>
      <c r="AR14">
        <v>25204.845259999998</v>
      </c>
      <c r="AS14">
        <v>26417.704497999999</v>
      </c>
      <c r="AT14">
        <v>27630.563736</v>
      </c>
      <c r="AU14">
        <v>28843.422974000001</v>
      </c>
      <c r="AV14">
        <v>30056.282212000002</v>
      </c>
      <c r="AW14">
        <v>31269.141449999999</v>
      </c>
      <c r="AX14">
        <v>32700.140414000001</v>
      </c>
      <c r="AY14">
        <v>34131.139378</v>
      </c>
      <c r="AZ14">
        <v>35562.138341999998</v>
      </c>
      <c r="BA14">
        <v>36993.137305999997</v>
      </c>
      <c r="BB14">
        <v>38424.136270000003</v>
      </c>
      <c r="BC14">
        <v>40094.010898</v>
      </c>
      <c r="BD14">
        <v>41763.885525999998</v>
      </c>
      <c r="BE14">
        <v>43433.760153999996</v>
      </c>
      <c r="BF14">
        <v>45103.634781999994</v>
      </c>
      <c r="BG14">
        <v>46773.509409999999</v>
      </c>
      <c r="BH14">
        <v>48690.982087999997</v>
      </c>
      <c r="BI14">
        <v>50608.454765999995</v>
      </c>
      <c r="BJ14">
        <v>52525.927443999994</v>
      </c>
      <c r="BK14">
        <v>54443.400121999992</v>
      </c>
      <c r="BL14">
        <v>56360.872799999997</v>
      </c>
      <c r="BM14">
        <v>58537.933239999998</v>
      </c>
      <c r="BN14">
        <v>60714.99368</v>
      </c>
      <c r="BO14">
        <v>62892.054120000001</v>
      </c>
      <c r="BP14">
        <v>65069.114560000002</v>
      </c>
      <c r="BQ14">
        <v>67246.175000000003</v>
      </c>
      <c r="BR14">
        <v>69696.558418000001</v>
      </c>
      <c r="BS14">
        <v>72146.941835999998</v>
      </c>
      <c r="BT14">
        <v>74597.325253999996</v>
      </c>
      <c r="BU14">
        <v>77047.708671999993</v>
      </c>
      <c r="BV14">
        <v>79498.092090000006</v>
      </c>
      <c r="BW14">
        <v>82230.469852000009</v>
      </c>
      <c r="BX14">
        <v>84962.847614000013</v>
      </c>
      <c r="BY14">
        <v>87695.225376000017</v>
      </c>
      <c r="BZ14">
        <v>90427.60313800002</v>
      </c>
      <c r="CA14">
        <v>93159.980899999995</v>
      </c>
      <c r="CB14">
        <v>96179.556459999993</v>
      </c>
      <c r="CC14">
        <v>99199.13201999999</v>
      </c>
      <c r="CD14">
        <v>102218.70757999999</v>
      </c>
      <c r="CE14">
        <v>105238.28313999998</v>
      </c>
      <c r="CF14">
        <v>108257.8587</v>
      </c>
    </row>
    <row r="15" spans="1:84" x14ac:dyDescent="0.3">
      <c r="A15" s="1" t="s">
        <v>13</v>
      </c>
      <c r="B15" s="8">
        <v>1035.8008802977561</v>
      </c>
      <c r="C15">
        <v>1110.8024009509791</v>
      </c>
      <c r="D15">
        <v>1136.9822641424628</v>
      </c>
      <c r="E15">
        <v>1166.413836438674</v>
      </c>
      <c r="F15">
        <v>1245.2883773290055</v>
      </c>
      <c r="G15">
        <v>1324.1629182193369</v>
      </c>
      <c r="H15">
        <v>1403.0374591096684</v>
      </c>
      <c r="I15">
        <v>1481.912</v>
      </c>
      <c r="J15">
        <v>1595.2162600000001</v>
      </c>
      <c r="K15">
        <v>1708.5205200000003</v>
      </c>
      <c r="L15">
        <v>1821.8247800000004</v>
      </c>
      <c r="M15">
        <v>1935.1290400000005</v>
      </c>
      <c r="N15">
        <v>2048.4333000000001</v>
      </c>
      <c r="O15">
        <v>2175.7444399999999</v>
      </c>
      <c r="P15">
        <v>2303.0555799999997</v>
      </c>
      <c r="Q15">
        <v>2430.3667199999995</v>
      </c>
      <c r="R15">
        <v>2557.6778599999993</v>
      </c>
      <c r="S15">
        <v>2684.989</v>
      </c>
      <c r="T15">
        <v>2806.9882000000002</v>
      </c>
      <c r="U15">
        <v>2928.9874000000004</v>
      </c>
      <c r="V15">
        <v>3050.9866000000006</v>
      </c>
      <c r="W15">
        <v>3172.9858000000008</v>
      </c>
      <c r="X15">
        <v>3294.9850000000001</v>
      </c>
      <c r="Y15">
        <v>3412.5282000000002</v>
      </c>
      <c r="Z15">
        <v>3530.0714000000003</v>
      </c>
      <c r="AA15">
        <v>3647.6146000000003</v>
      </c>
      <c r="AB15">
        <v>3765.1578000000004</v>
      </c>
      <c r="AC15">
        <v>3882.701</v>
      </c>
      <c r="AD15">
        <v>3997.011</v>
      </c>
      <c r="AE15">
        <v>4111.3209999999999</v>
      </c>
      <c r="AF15">
        <v>4225.6310000000003</v>
      </c>
      <c r="AG15">
        <v>4339.9410000000007</v>
      </c>
      <c r="AH15">
        <v>4454.2510000000002</v>
      </c>
      <c r="AI15">
        <v>4568.3928000000005</v>
      </c>
      <c r="AJ15">
        <v>4682.5346000000009</v>
      </c>
      <c r="AK15">
        <v>4796.6764000000012</v>
      </c>
      <c r="AL15">
        <v>4910.8182000000015</v>
      </c>
      <c r="AM15">
        <v>5024.96</v>
      </c>
      <c r="AN15">
        <v>5139.3432000000003</v>
      </c>
      <c r="AO15">
        <v>5253.7264000000005</v>
      </c>
      <c r="AP15">
        <v>5368.1096000000007</v>
      </c>
      <c r="AQ15">
        <v>5482.4928000000009</v>
      </c>
      <c r="AR15">
        <v>5596.8760000000002</v>
      </c>
      <c r="AS15">
        <v>5711.4768000000004</v>
      </c>
      <c r="AT15">
        <v>5826.0776000000005</v>
      </c>
      <c r="AU15">
        <v>5940.6784000000007</v>
      </c>
      <c r="AV15">
        <v>6055.2792000000009</v>
      </c>
      <c r="AW15">
        <v>6169.8799999999992</v>
      </c>
      <c r="AX15">
        <v>6281.8271999999997</v>
      </c>
      <c r="AY15">
        <v>6393.7744000000002</v>
      </c>
      <c r="AZ15">
        <v>6505.7216000000008</v>
      </c>
      <c r="BA15">
        <v>6617.6688000000013</v>
      </c>
      <c r="BB15">
        <v>6729.616</v>
      </c>
      <c r="BC15">
        <v>6834.2695999999996</v>
      </c>
      <c r="BD15">
        <v>6938.9231999999993</v>
      </c>
      <c r="BE15">
        <v>7043.5767999999989</v>
      </c>
      <c r="BF15">
        <v>7148.2303999999986</v>
      </c>
      <c r="BG15">
        <v>7252.884</v>
      </c>
      <c r="BH15">
        <v>7349.9179999999997</v>
      </c>
      <c r="BI15">
        <v>7446.9519999999993</v>
      </c>
      <c r="BJ15">
        <v>7543.985999999999</v>
      </c>
      <c r="BK15">
        <v>7641.0199999999986</v>
      </c>
      <c r="BL15">
        <v>7738.0540000000001</v>
      </c>
      <c r="BM15">
        <v>7830.0652</v>
      </c>
      <c r="BN15">
        <v>7922.0763999999999</v>
      </c>
      <c r="BO15">
        <v>8014.0875999999998</v>
      </c>
      <c r="BP15">
        <v>8106.0987999999998</v>
      </c>
      <c r="BQ15">
        <v>8198.11</v>
      </c>
      <c r="BR15">
        <v>8287.9704000000002</v>
      </c>
      <c r="BS15">
        <v>8377.8307999999997</v>
      </c>
      <c r="BT15">
        <v>8467.6911999999993</v>
      </c>
      <c r="BU15">
        <v>8557.5515999999989</v>
      </c>
      <c r="BV15">
        <v>8647.4120000000003</v>
      </c>
      <c r="BW15">
        <v>8737.2766000000011</v>
      </c>
      <c r="BX15">
        <v>8827.1412000000018</v>
      </c>
      <c r="BY15">
        <v>8917.0058000000026</v>
      </c>
      <c r="BZ15">
        <v>9006.8704000000034</v>
      </c>
      <c r="CA15">
        <v>9096.7350000000006</v>
      </c>
      <c r="CB15">
        <v>9187.3628000000008</v>
      </c>
      <c r="CC15">
        <v>9277.990600000001</v>
      </c>
      <c r="CD15">
        <v>9368.6184000000012</v>
      </c>
      <c r="CE15">
        <v>9459.2462000000014</v>
      </c>
      <c r="CF15">
        <v>9549.8739999999998</v>
      </c>
    </row>
    <row r="16" spans="1:84" x14ac:dyDescent="0.3">
      <c r="A16" s="1" t="s">
        <v>14</v>
      </c>
      <c r="B16" s="8">
        <v>11196.511439113528</v>
      </c>
      <c r="C16">
        <v>11639.449121047501</v>
      </c>
      <c r="D16">
        <v>11101.40732075228</v>
      </c>
      <c r="E16">
        <v>12038.78788193135</v>
      </c>
      <c r="F16">
        <v>12783.486153948514</v>
      </c>
      <c r="G16">
        <v>13528.184425965675</v>
      </c>
      <c r="H16">
        <v>14272.882697982837</v>
      </c>
      <c r="I16">
        <v>15017.580970000001</v>
      </c>
      <c r="J16">
        <v>15991.775996</v>
      </c>
      <c r="K16">
        <v>16965.971022000002</v>
      </c>
      <c r="L16">
        <v>17940.166048000003</v>
      </c>
      <c r="M16">
        <v>18914.361074000004</v>
      </c>
      <c r="N16">
        <v>19888.556100000002</v>
      </c>
      <c r="O16">
        <v>20952.16948</v>
      </c>
      <c r="P16">
        <v>22015.782859999999</v>
      </c>
      <c r="Q16">
        <v>23079.396239999998</v>
      </c>
      <c r="R16">
        <v>24143.009619999997</v>
      </c>
      <c r="S16">
        <v>25206.623</v>
      </c>
      <c r="T16">
        <v>26373.007440000001</v>
      </c>
      <c r="U16">
        <v>27539.391880000003</v>
      </c>
      <c r="V16">
        <v>28705.776320000004</v>
      </c>
      <c r="W16">
        <v>29872.160760000006</v>
      </c>
      <c r="X16">
        <v>31038.5452</v>
      </c>
      <c r="Y16">
        <v>32320.066940000001</v>
      </c>
      <c r="Z16">
        <v>33601.588680000001</v>
      </c>
      <c r="AA16">
        <v>34883.110419999997</v>
      </c>
      <c r="AB16">
        <v>36164.632159999994</v>
      </c>
      <c r="AC16">
        <v>37446.153899999998</v>
      </c>
      <c r="AD16">
        <v>38851.405999999995</v>
      </c>
      <c r="AE16">
        <v>40256.658099999993</v>
      </c>
      <c r="AF16">
        <v>41661.910199999991</v>
      </c>
      <c r="AG16">
        <v>43067.162299999989</v>
      </c>
      <c r="AH16">
        <v>44472.414400000001</v>
      </c>
      <c r="AI16">
        <v>46014.082260000003</v>
      </c>
      <c r="AJ16">
        <v>47555.750120000004</v>
      </c>
      <c r="AK16">
        <v>49097.417980000006</v>
      </c>
      <c r="AL16">
        <v>50639.085840000007</v>
      </c>
      <c r="AM16">
        <v>52180.753700000001</v>
      </c>
      <c r="AN16">
        <v>53855.116600000001</v>
      </c>
      <c r="AO16">
        <v>55529.479500000001</v>
      </c>
      <c r="AP16">
        <v>57203.842400000001</v>
      </c>
      <c r="AQ16">
        <v>58878.205300000001</v>
      </c>
      <c r="AR16">
        <v>60552.568199999987</v>
      </c>
      <c r="AS16">
        <v>62347.467779999992</v>
      </c>
      <c r="AT16">
        <v>64142.367359999997</v>
      </c>
      <c r="AU16">
        <v>65937.266940000001</v>
      </c>
      <c r="AV16">
        <v>67732.166519999999</v>
      </c>
      <c r="AW16">
        <v>69527.066099999996</v>
      </c>
      <c r="AX16">
        <v>71387.577619999996</v>
      </c>
      <c r="AY16">
        <v>73248.089139999996</v>
      </c>
      <c r="AZ16">
        <v>75108.600659999996</v>
      </c>
      <c r="BA16">
        <v>76969.112179999996</v>
      </c>
      <c r="BB16">
        <v>78829.623699999996</v>
      </c>
      <c r="BC16">
        <v>80749.214540000001</v>
      </c>
      <c r="BD16">
        <v>82668.805380000005</v>
      </c>
      <c r="BE16">
        <v>84588.39622000001</v>
      </c>
      <c r="BF16">
        <v>86507.987060000014</v>
      </c>
      <c r="BG16">
        <v>88427.577900000004</v>
      </c>
      <c r="BH16">
        <v>90357.012119999999</v>
      </c>
      <c r="BI16">
        <v>92286.446339999995</v>
      </c>
      <c r="BJ16">
        <v>94215.880559999991</v>
      </c>
      <c r="BK16">
        <v>96145.314779999986</v>
      </c>
      <c r="BL16">
        <v>98074.749000000011</v>
      </c>
      <c r="BM16">
        <v>99997.000140000004</v>
      </c>
      <c r="BN16">
        <v>101919.25128</v>
      </c>
      <c r="BO16">
        <v>103841.50241999999</v>
      </c>
      <c r="BP16">
        <v>105763.75355999998</v>
      </c>
      <c r="BQ16">
        <v>107686.0047</v>
      </c>
      <c r="BR16">
        <v>109600.54126</v>
      </c>
      <c r="BS16">
        <v>111515.07781999999</v>
      </c>
      <c r="BT16">
        <v>113429.61437999998</v>
      </c>
      <c r="BU16">
        <v>115344.15093999998</v>
      </c>
      <c r="BV16">
        <v>117258.6875</v>
      </c>
      <c r="BW16">
        <v>119167.07670000001</v>
      </c>
      <c r="BX16">
        <v>121075.46590000001</v>
      </c>
      <c r="BY16">
        <v>122983.85510000002</v>
      </c>
      <c r="BZ16">
        <v>124892.24430000002</v>
      </c>
      <c r="CA16">
        <v>126800.6335</v>
      </c>
      <c r="CB16">
        <v>128715.61254</v>
      </c>
      <c r="CC16">
        <v>130630.59158000001</v>
      </c>
      <c r="CD16">
        <v>132545.57062000001</v>
      </c>
      <c r="CE16">
        <v>134460.54966000002</v>
      </c>
      <c r="CF16">
        <v>136375.5287</v>
      </c>
    </row>
    <row r="17" spans="1:84" x14ac:dyDescent="0.3">
      <c r="A17" s="1" t="s">
        <v>15</v>
      </c>
      <c r="B17" s="8">
        <v>7058.7981255028526</v>
      </c>
      <c r="C17">
        <v>7357.9834935818435</v>
      </c>
      <c r="D17">
        <v>6980.1052785842048</v>
      </c>
      <c r="E17">
        <v>7217.6319606552443</v>
      </c>
      <c r="F17">
        <v>7955.0798962414337</v>
      </c>
      <c r="G17">
        <v>8692.5278318276232</v>
      </c>
      <c r="H17">
        <v>9429.9757674138127</v>
      </c>
      <c r="I17">
        <v>10167.423703</v>
      </c>
      <c r="J17">
        <v>10607.013887200001</v>
      </c>
      <c r="K17">
        <v>11046.604071400001</v>
      </c>
      <c r="L17">
        <v>11486.194255600001</v>
      </c>
      <c r="M17">
        <v>11925.784439800002</v>
      </c>
      <c r="N17">
        <v>12365.374624</v>
      </c>
      <c r="O17">
        <v>12803.841502200001</v>
      </c>
      <c r="P17">
        <v>13242.308380400002</v>
      </c>
      <c r="Q17">
        <v>13680.775258600002</v>
      </c>
      <c r="R17">
        <v>14119.242136800003</v>
      </c>
      <c r="S17">
        <v>14557.709015</v>
      </c>
      <c r="T17">
        <v>14975.813914</v>
      </c>
      <c r="U17">
        <v>15393.918813</v>
      </c>
      <c r="V17">
        <v>15812.023712</v>
      </c>
      <c r="W17">
        <v>16230.128611</v>
      </c>
      <c r="X17">
        <v>16648.233509999998</v>
      </c>
      <c r="Y17">
        <v>17051.3340164</v>
      </c>
      <c r="Z17">
        <v>17454.434522800002</v>
      </c>
      <c r="AA17">
        <v>17857.535029200004</v>
      </c>
      <c r="AB17">
        <v>18260.635535600006</v>
      </c>
      <c r="AC17">
        <v>18663.736042</v>
      </c>
      <c r="AD17">
        <v>19055.6466826</v>
      </c>
      <c r="AE17">
        <v>19447.557323199999</v>
      </c>
      <c r="AF17">
        <v>19839.467963799998</v>
      </c>
      <c r="AG17">
        <v>20231.378604399997</v>
      </c>
      <c r="AH17">
        <v>20623.289245</v>
      </c>
      <c r="AI17">
        <v>21019.496383999998</v>
      </c>
      <c r="AJ17">
        <v>21415.703522999996</v>
      </c>
      <c r="AK17">
        <v>21811.910661999995</v>
      </c>
      <c r="AL17">
        <v>22208.117800999993</v>
      </c>
      <c r="AM17">
        <v>22604.324939999999</v>
      </c>
      <c r="AN17">
        <v>23007.638177999997</v>
      </c>
      <c r="AO17">
        <v>23410.951415999996</v>
      </c>
      <c r="AP17">
        <v>23814.264653999995</v>
      </c>
      <c r="AQ17">
        <v>24217.577891999994</v>
      </c>
      <c r="AR17">
        <v>24620.89113</v>
      </c>
      <c r="AS17">
        <v>25029.608307999999</v>
      </c>
      <c r="AT17">
        <v>25438.325485999998</v>
      </c>
      <c r="AU17">
        <v>25847.042663999997</v>
      </c>
      <c r="AV17">
        <v>26255.759841999996</v>
      </c>
      <c r="AW17">
        <v>26664.477019999998</v>
      </c>
      <c r="AX17">
        <v>27070.129161999997</v>
      </c>
      <c r="AY17">
        <v>27475.781303999996</v>
      </c>
      <c r="AZ17">
        <v>27881.433445999995</v>
      </c>
      <c r="BA17">
        <v>28287.085587999994</v>
      </c>
      <c r="BB17">
        <v>28692.737730000001</v>
      </c>
      <c r="BC17">
        <v>29093.015943999999</v>
      </c>
      <c r="BD17">
        <v>29493.294157999997</v>
      </c>
      <c r="BE17">
        <v>29893.572371999995</v>
      </c>
      <c r="BF17">
        <v>30293.850585999993</v>
      </c>
      <c r="BG17">
        <v>30694.128799999999</v>
      </c>
      <c r="BH17">
        <v>31084.229987999999</v>
      </c>
      <c r="BI17">
        <v>31474.331176</v>
      </c>
      <c r="BJ17">
        <v>31864.432364</v>
      </c>
      <c r="BK17">
        <v>32254.533552000001</v>
      </c>
      <c r="BL17">
        <v>32644.634740000001</v>
      </c>
      <c r="BM17">
        <v>33025.296225999999</v>
      </c>
      <c r="BN17">
        <v>33405.957711999996</v>
      </c>
      <c r="BO17">
        <v>33786.619197999993</v>
      </c>
      <c r="BP17">
        <v>34167.28068399999</v>
      </c>
      <c r="BQ17">
        <v>34547.942170000002</v>
      </c>
      <c r="BR17">
        <v>34918.762174000003</v>
      </c>
      <c r="BS17">
        <v>35289.582178000004</v>
      </c>
      <c r="BT17">
        <v>35660.402182000005</v>
      </c>
      <c r="BU17">
        <v>36031.222186000006</v>
      </c>
      <c r="BV17">
        <v>36402.04219</v>
      </c>
      <c r="BW17">
        <v>36763.437932000001</v>
      </c>
      <c r="BX17">
        <v>37124.833674000001</v>
      </c>
      <c r="BY17">
        <v>37486.229416000002</v>
      </c>
      <c r="BZ17">
        <v>37847.625158000003</v>
      </c>
      <c r="CA17">
        <v>38209.020900000003</v>
      </c>
      <c r="CB17">
        <v>38559.874452000004</v>
      </c>
      <c r="CC17">
        <v>38910.728004000004</v>
      </c>
      <c r="CD17">
        <v>39261.581556000005</v>
      </c>
      <c r="CE17">
        <v>39612.435108000005</v>
      </c>
      <c r="CF17">
        <v>39963.288659999998</v>
      </c>
    </row>
    <row r="18" spans="1:84" x14ac:dyDescent="0.3">
      <c r="A18" s="1" t="s">
        <v>16</v>
      </c>
      <c r="B18" s="8">
        <v>1435.6632311504479</v>
      </c>
      <c r="C18">
        <v>1467.5336915124669</v>
      </c>
      <c r="D18">
        <v>1461.9342237117719</v>
      </c>
      <c r="E18">
        <v>1499.3493218542228</v>
      </c>
      <c r="F18">
        <v>1526.177491390667</v>
      </c>
      <c r="G18">
        <v>1553.0056609271114</v>
      </c>
      <c r="H18">
        <v>1579.8338304635558</v>
      </c>
      <c r="I18">
        <v>1606.662</v>
      </c>
      <c r="J18">
        <v>1650.9870000000001</v>
      </c>
      <c r="K18">
        <v>1695.3120000000001</v>
      </c>
      <c r="L18">
        <v>1739.6370000000002</v>
      </c>
      <c r="M18">
        <v>1783.9620000000002</v>
      </c>
      <c r="N18">
        <v>1828.287</v>
      </c>
      <c r="O18">
        <v>1875.4674</v>
      </c>
      <c r="P18">
        <v>1922.6478</v>
      </c>
      <c r="Q18">
        <v>1969.8281999999999</v>
      </c>
      <c r="R18">
        <v>2017.0085999999999</v>
      </c>
      <c r="S18">
        <v>2064.1889999999999</v>
      </c>
      <c r="T18">
        <v>2114.3575999999998</v>
      </c>
      <c r="U18">
        <v>2164.5261999999998</v>
      </c>
      <c r="V18">
        <v>2214.6947999999998</v>
      </c>
      <c r="W18">
        <v>2264.8633999999997</v>
      </c>
      <c r="X18">
        <v>2315.0320000000002</v>
      </c>
      <c r="Y18">
        <v>2369.0262000000002</v>
      </c>
      <c r="Z18">
        <v>2423.0204000000003</v>
      </c>
      <c r="AA18">
        <v>2477.0146000000004</v>
      </c>
      <c r="AB18">
        <v>2531.0088000000005</v>
      </c>
      <c r="AC18">
        <v>2585.0030000000002</v>
      </c>
      <c r="AD18">
        <v>2641.0050000000001</v>
      </c>
      <c r="AE18">
        <v>2697.0070000000001</v>
      </c>
      <c r="AF18">
        <v>2753.009</v>
      </c>
      <c r="AG18">
        <v>2809.011</v>
      </c>
      <c r="AH18">
        <v>2865.0129999999999</v>
      </c>
      <c r="AI18">
        <v>2921.8669999999997</v>
      </c>
      <c r="AJ18">
        <v>2978.7209999999995</v>
      </c>
      <c r="AK18">
        <v>3035.5749999999994</v>
      </c>
      <c r="AL18">
        <v>3092.4289999999992</v>
      </c>
      <c r="AM18">
        <v>3149.2829999999999</v>
      </c>
      <c r="AN18">
        <v>3208.3141999999998</v>
      </c>
      <c r="AO18">
        <v>3267.3453999999997</v>
      </c>
      <c r="AP18">
        <v>3326.3765999999996</v>
      </c>
      <c r="AQ18">
        <v>3385.4077999999995</v>
      </c>
      <c r="AR18">
        <v>3444.4389999999999</v>
      </c>
      <c r="AS18">
        <v>3505.4856</v>
      </c>
      <c r="AT18">
        <v>3566.5322000000001</v>
      </c>
      <c r="AU18">
        <v>3627.5788000000002</v>
      </c>
      <c r="AV18">
        <v>3688.6254000000004</v>
      </c>
      <c r="AW18">
        <v>3749.672</v>
      </c>
      <c r="AX18">
        <v>3810.8249999999998</v>
      </c>
      <c r="AY18">
        <v>3871.9779999999996</v>
      </c>
      <c r="AZ18">
        <v>3933.1309999999994</v>
      </c>
      <c r="BA18">
        <v>3994.2839999999992</v>
      </c>
      <c r="BB18">
        <v>4055.4369999999999</v>
      </c>
      <c r="BC18">
        <v>4115.4156000000003</v>
      </c>
      <c r="BD18">
        <v>4175.3942000000006</v>
      </c>
      <c r="BE18">
        <v>4235.372800000001</v>
      </c>
      <c r="BF18">
        <v>4295.3514000000014</v>
      </c>
      <c r="BG18">
        <v>4355.33</v>
      </c>
      <c r="BH18">
        <v>4413.1728000000003</v>
      </c>
      <c r="BI18">
        <v>4471.0156000000006</v>
      </c>
      <c r="BJ18">
        <v>4528.858400000001</v>
      </c>
      <c r="BK18">
        <v>4586.7012000000013</v>
      </c>
      <c r="BL18">
        <v>4644.5439999999999</v>
      </c>
      <c r="BM18">
        <v>4699.4838</v>
      </c>
      <c r="BN18">
        <v>4754.4236000000001</v>
      </c>
      <c r="BO18">
        <v>4809.3634000000002</v>
      </c>
      <c r="BP18">
        <v>4864.3032000000003</v>
      </c>
      <c r="BQ18">
        <v>4919.2429999999986</v>
      </c>
      <c r="BR18">
        <v>4970.9731999999985</v>
      </c>
      <c r="BS18">
        <v>5022.7033999999985</v>
      </c>
      <c r="BT18">
        <v>5074.4335999999985</v>
      </c>
      <c r="BU18">
        <v>5126.1637999999984</v>
      </c>
      <c r="BV18">
        <v>5177.8940000000002</v>
      </c>
      <c r="BW18">
        <v>5226.4153999999999</v>
      </c>
      <c r="BX18">
        <v>5274.9367999999995</v>
      </c>
      <c r="BY18">
        <v>5323.4581999999991</v>
      </c>
      <c r="BZ18">
        <v>5371.9795999999988</v>
      </c>
      <c r="CA18">
        <v>5420.5010000000002</v>
      </c>
      <c r="CB18">
        <v>5465.5637999999999</v>
      </c>
      <c r="CC18">
        <v>5510.6265999999996</v>
      </c>
      <c r="CD18">
        <v>5555.6893999999993</v>
      </c>
      <c r="CE18">
        <v>5600.752199999999</v>
      </c>
      <c r="CF18">
        <v>5645.8149999999996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E163-7C54-4125-8610-44285D843B1F}">
  <dimension ref="A1:CF18"/>
  <sheetViews>
    <sheetView topLeftCell="BJ1" workbookViewId="0">
      <selection sqref="A1:CF18"/>
    </sheetView>
  </sheetViews>
  <sheetFormatPr defaultRowHeight="14.4" x14ac:dyDescent="0.3"/>
  <sheetData>
    <row r="1" spans="1:84" x14ac:dyDescent="0.3">
      <c r="A1" s="2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8">
        <f t="array" ref="B2:CF2">TRANSPOSE(TOT_POP!B2:B84)</f>
        <v>51.585057999999997</v>
      </c>
      <c r="C2" s="9">
        <v>51.764822000000002</v>
      </c>
      <c r="D2" s="9">
        <v>51.858125000000001</v>
      </c>
      <c r="E2" s="9">
        <v>51.786591800000004</v>
      </c>
      <c r="F2" s="9">
        <v>51.715058600000006</v>
      </c>
      <c r="G2" s="9">
        <v>51.643525400000009</v>
      </c>
      <c r="H2" s="9">
        <v>51.571992200000011</v>
      </c>
      <c r="I2" s="9">
        <v>51.500459000000014</v>
      </c>
      <c r="J2" s="9">
        <v>51.396673600000014</v>
      </c>
      <c r="K2" s="9">
        <v>51.292888200000014</v>
      </c>
      <c r="L2" s="9">
        <v>51.189102800000015</v>
      </c>
      <c r="M2" s="9">
        <v>51.085317400000015</v>
      </c>
      <c r="N2" s="9">
        <v>50.981532000000001</v>
      </c>
      <c r="O2" s="9">
        <v>50.8360342</v>
      </c>
      <c r="P2" s="9">
        <v>50.690536399999999</v>
      </c>
      <c r="Q2" s="9">
        <v>50.545038599999998</v>
      </c>
      <c r="R2" s="9">
        <v>50.399540799999997</v>
      </c>
      <c r="S2" s="9">
        <v>50.254043000000003</v>
      </c>
      <c r="T2" s="9">
        <v>50.0485392</v>
      </c>
      <c r="U2" s="9">
        <v>49.843035399999998</v>
      </c>
      <c r="V2" s="9">
        <v>49.637531599999996</v>
      </c>
      <c r="W2" s="9">
        <v>49.432027799999993</v>
      </c>
      <c r="X2" s="9">
        <v>49.226523999999998</v>
      </c>
      <c r="Y2" s="9">
        <v>48.965570399999997</v>
      </c>
      <c r="Z2" s="9">
        <v>48.704616799999997</v>
      </c>
      <c r="AA2" s="9">
        <v>48.443663199999996</v>
      </c>
      <c r="AB2" s="9">
        <v>48.182709599999995</v>
      </c>
      <c r="AC2" s="9">
        <v>47.921756000000002</v>
      </c>
      <c r="AD2" s="9">
        <v>47.630087000000003</v>
      </c>
      <c r="AE2" s="9">
        <v>47.338418000000004</v>
      </c>
      <c r="AF2" s="9">
        <v>47.046749000000005</v>
      </c>
      <c r="AG2" s="9">
        <v>46.755080000000007</v>
      </c>
      <c r="AH2" s="9">
        <v>46.463411000000001</v>
      </c>
      <c r="AI2" s="9">
        <v>46.094152600000001</v>
      </c>
      <c r="AJ2" s="9">
        <v>45.724894200000001</v>
      </c>
      <c r="AK2" s="9">
        <v>45.355635800000002</v>
      </c>
      <c r="AL2" s="9">
        <v>44.986377400000002</v>
      </c>
      <c r="AM2" s="9">
        <v>44.617119000000002</v>
      </c>
      <c r="AN2" s="9">
        <v>44.188614000000001</v>
      </c>
      <c r="AO2" s="9">
        <v>43.760109</v>
      </c>
      <c r="AP2" s="9">
        <v>43.331603999999999</v>
      </c>
      <c r="AQ2" s="9">
        <v>42.903098999999997</v>
      </c>
      <c r="AR2" s="9">
        <v>42.474594000000003</v>
      </c>
      <c r="AS2" s="9">
        <v>42.033860600000004</v>
      </c>
      <c r="AT2" s="9">
        <v>41.593127200000005</v>
      </c>
      <c r="AU2" s="9">
        <v>41.152393800000006</v>
      </c>
      <c r="AV2" s="9">
        <v>40.711660400000007</v>
      </c>
      <c r="AW2" s="9">
        <v>40.270927000000007</v>
      </c>
      <c r="AX2" s="9">
        <v>39.847233800000005</v>
      </c>
      <c r="AY2" s="9">
        <v>39.423540600000003</v>
      </c>
      <c r="AZ2" s="9">
        <v>38.9998474</v>
      </c>
      <c r="BA2" s="9">
        <v>38.576154199999998</v>
      </c>
      <c r="BB2" s="9">
        <v>38.152461000000002</v>
      </c>
      <c r="BC2" s="9">
        <v>37.751594000000004</v>
      </c>
      <c r="BD2" s="9">
        <v>37.350727000000006</v>
      </c>
      <c r="BE2" s="9">
        <v>36.949860000000008</v>
      </c>
      <c r="BF2" s="9">
        <v>36.54899300000001</v>
      </c>
      <c r="BG2" s="9">
        <v>36.148125999999998</v>
      </c>
      <c r="BH2" s="9">
        <v>35.768675600000002</v>
      </c>
      <c r="BI2" s="9">
        <v>35.389225200000006</v>
      </c>
      <c r="BJ2" s="9">
        <v>35.00977480000001</v>
      </c>
      <c r="BK2" s="9">
        <v>34.630324400000013</v>
      </c>
      <c r="BL2" s="9">
        <v>34.250874000000003</v>
      </c>
      <c r="BM2" s="9">
        <v>33.894344199999999</v>
      </c>
      <c r="BN2" s="9">
        <v>33.537814399999995</v>
      </c>
      <c r="BO2" s="9">
        <v>33.181284599999991</v>
      </c>
      <c r="BP2" s="9">
        <v>32.824754799999987</v>
      </c>
      <c r="BQ2" s="9">
        <v>32.468224999999997</v>
      </c>
      <c r="BR2" s="9">
        <v>32.124160599999996</v>
      </c>
      <c r="BS2" s="9">
        <v>31.780096199999996</v>
      </c>
      <c r="BT2" s="9">
        <v>31.436031799999995</v>
      </c>
      <c r="BU2" s="9">
        <v>31.091967399999994</v>
      </c>
      <c r="BV2" s="9">
        <v>30.747903000000001</v>
      </c>
      <c r="BW2" s="9">
        <v>30.412314200000001</v>
      </c>
      <c r="BX2" s="9">
        <v>30.076725400000001</v>
      </c>
      <c r="BY2" s="9">
        <v>29.741136600000001</v>
      </c>
      <c r="BZ2" s="9">
        <v>29.405547800000001</v>
      </c>
      <c r="CA2" s="9">
        <v>29.069959000000001</v>
      </c>
      <c r="CB2" s="9">
        <v>28.7575076</v>
      </c>
      <c r="CC2" s="9">
        <v>28.4450562</v>
      </c>
      <c r="CD2" s="9">
        <v>28.132604799999999</v>
      </c>
      <c r="CE2" s="9">
        <v>27.820153399999999</v>
      </c>
      <c r="CF2" s="9">
        <v>27.507701999999998</v>
      </c>
    </row>
    <row r="3" spans="1:84" x14ac:dyDescent="0.3">
      <c r="A3" s="1" t="s">
        <v>1</v>
      </c>
      <c r="B3" s="8">
        <f t="array" ref="B3:B18">TRANSPOSE(TOT_POP!C2:R2)</f>
        <v>1410.2126000000001</v>
      </c>
      <c r="C3">
        <f t="array" ref="C3:CF3">TRANSPOSE(TOT_POP!C3:C84)</f>
        <v>1415.2529</v>
      </c>
      <c r="D3">
        <v>1431.4999250000001</v>
      </c>
      <c r="E3">
        <v>1431.9812556000002</v>
      </c>
      <c r="F3">
        <v>1432.4625862000003</v>
      </c>
      <c r="G3">
        <v>1432.9439168000004</v>
      </c>
      <c r="H3">
        <v>1433.4252474000004</v>
      </c>
      <c r="I3">
        <v>1433.9065780000001</v>
      </c>
      <c r="J3">
        <v>1431.8894828</v>
      </c>
      <c r="K3">
        <v>1429.8723875999999</v>
      </c>
      <c r="L3">
        <v>1427.8552923999998</v>
      </c>
      <c r="M3">
        <v>1425.8381971999997</v>
      </c>
      <c r="N3">
        <v>1423.8211020000001</v>
      </c>
      <c r="O3">
        <v>1420.3343966</v>
      </c>
      <c r="P3">
        <v>1416.8476911999999</v>
      </c>
      <c r="Q3">
        <v>1413.3609857999998</v>
      </c>
      <c r="R3">
        <v>1409.8742803999996</v>
      </c>
      <c r="S3">
        <v>1406.387575</v>
      </c>
      <c r="T3">
        <v>1401.750082</v>
      </c>
      <c r="U3">
        <v>1397.1125890000001</v>
      </c>
      <c r="V3">
        <v>1392.4750960000001</v>
      </c>
      <c r="W3">
        <v>1387.8376030000002</v>
      </c>
      <c r="X3">
        <v>1383.20011</v>
      </c>
      <c r="Y3">
        <v>1377.11652</v>
      </c>
      <c r="Z3">
        <v>1371.0329300000001</v>
      </c>
      <c r="AA3">
        <v>1364.9493400000001</v>
      </c>
      <c r="AB3">
        <v>1358.8657500000002</v>
      </c>
      <c r="AC3">
        <v>1352.78216</v>
      </c>
      <c r="AD3">
        <v>1344.9169870000001</v>
      </c>
      <c r="AE3">
        <v>1337.0518140000001</v>
      </c>
      <c r="AF3">
        <v>1329.1866410000002</v>
      </c>
      <c r="AG3">
        <v>1321.3214680000003</v>
      </c>
      <c r="AH3">
        <v>1313.456295</v>
      </c>
      <c r="AI3">
        <v>1303.7605493999999</v>
      </c>
      <c r="AJ3">
        <v>1294.0648037999999</v>
      </c>
      <c r="AK3">
        <v>1284.3690581999999</v>
      </c>
      <c r="AL3">
        <v>1274.6733125999999</v>
      </c>
      <c r="AM3">
        <v>1264.9775669999999</v>
      </c>
      <c r="AN3">
        <v>1254.088763</v>
      </c>
      <c r="AO3">
        <v>1243.199959</v>
      </c>
      <c r="AP3">
        <v>1232.3111550000001</v>
      </c>
      <c r="AQ3">
        <v>1221.4223510000002</v>
      </c>
      <c r="AR3">
        <v>1210.533547</v>
      </c>
      <c r="AS3">
        <v>1199.2212674</v>
      </c>
      <c r="AT3">
        <v>1187.9089878</v>
      </c>
      <c r="AU3">
        <v>1176.5967082</v>
      </c>
      <c r="AV3">
        <v>1165.2844286</v>
      </c>
      <c r="AW3">
        <v>1153.9721489999999</v>
      </c>
      <c r="AX3">
        <v>1142.9318842</v>
      </c>
      <c r="AY3">
        <v>1131.8916194000001</v>
      </c>
      <c r="AZ3">
        <v>1120.8513546000001</v>
      </c>
      <c r="BA3">
        <v>1109.8110898000002</v>
      </c>
      <c r="BB3">
        <v>1098.7708250000001</v>
      </c>
      <c r="BC3">
        <v>1088.1562566</v>
      </c>
      <c r="BD3">
        <v>1077.5416882</v>
      </c>
      <c r="BE3">
        <v>1066.9271197999999</v>
      </c>
      <c r="BF3">
        <v>1056.3125513999998</v>
      </c>
      <c r="BG3">
        <v>1045.697983</v>
      </c>
      <c r="BH3">
        <v>1035.2578791999999</v>
      </c>
      <c r="BI3">
        <v>1024.8177753999998</v>
      </c>
      <c r="BJ3">
        <v>1014.3776715999999</v>
      </c>
      <c r="BK3">
        <v>1003.9375677999999</v>
      </c>
      <c r="BL3">
        <v>993.49746400000004</v>
      </c>
      <c r="BM3">
        <v>983.2586005999998</v>
      </c>
      <c r="BN3">
        <v>973.01973719999955</v>
      </c>
      <c r="BO3">
        <v>962.78087379999931</v>
      </c>
      <c r="BP3">
        <v>952.54201039999907</v>
      </c>
      <c r="BQ3">
        <v>942.30314699999906</v>
      </c>
      <c r="BR3">
        <v>932.63098599999944</v>
      </c>
      <c r="BS3">
        <v>922.95882499999982</v>
      </c>
      <c r="BT3">
        <v>913.2866640000002</v>
      </c>
      <c r="BU3">
        <v>903.61450300000058</v>
      </c>
      <c r="BV3">
        <v>893.94234200000096</v>
      </c>
      <c r="BW3">
        <v>884.98235820000093</v>
      </c>
      <c r="BX3">
        <v>876.0223744000009</v>
      </c>
      <c r="BY3">
        <v>867.06239060000087</v>
      </c>
      <c r="BZ3">
        <v>858.10240680000084</v>
      </c>
      <c r="CA3">
        <v>849.14242300000103</v>
      </c>
      <c r="CB3">
        <v>840.59170320000101</v>
      </c>
      <c r="CC3">
        <v>832.04098340000098</v>
      </c>
      <c r="CD3">
        <v>823.49026360000096</v>
      </c>
      <c r="CE3">
        <v>814.93954380000093</v>
      </c>
      <c r="CF3">
        <v>806.38882400000102</v>
      </c>
    </row>
    <row r="4" spans="1:84" x14ac:dyDescent="0.3">
      <c r="A4" s="1" t="s">
        <v>2</v>
      </c>
      <c r="B4" s="8">
        <v>126.81100000000001</v>
      </c>
      <c r="C4">
        <f t="array" ref="C4:CF7">TRANSPOSE(TOT_POP!D3:G84)</f>
        <v>126.633</v>
      </c>
      <c r="D4">
        <v>125.542768</v>
      </c>
      <c r="E4">
        <v>124.9287686</v>
      </c>
      <c r="F4">
        <v>124.3147692</v>
      </c>
      <c r="G4">
        <v>123.7007698</v>
      </c>
      <c r="H4">
        <v>123.08677040000001</v>
      </c>
      <c r="I4">
        <v>122.47277099999999</v>
      </c>
      <c r="J4">
        <v>121.84777779999999</v>
      </c>
      <c r="K4">
        <v>121.22278459999998</v>
      </c>
      <c r="L4">
        <v>120.59779139999998</v>
      </c>
      <c r="M4">
        <v>119.97279819999997</v>
      </c>
      <c r="N4">
        <v>119.34780499999999</v>
      </c>
      <c r="O4">
        <v>118.6883792</v>
      </c>
      <c r="P4">
        <v>118.02895340000001</v>
      </c>
      <c r="Q4">
        <v>117.36952760000001</v>
      </c>
      <c r="R4">
        <v>116.71010180000002</v>
      </c>
      <c r="S4">
        <v>116.050676</v>
      </c>
      <c r="T4">
        <v>115.3736818</v>
      </c>
      <c r="U4">
        <v>114.6966876</v>
      </c>
      <c r="V4">
        <v>114.01969340000001</v>
      </c>
      <c r="W4">
        <v>113.34269920000001</v>
      </c>
      <c r="X4">
        <v>112.665705</v>
      </c>
      <c r="Y4">
        <v>111.9851592</v>
      </c>
      <c r="Z4">
        <v>111.30461339999999</v>
      </c>
      <c r="AA4">
        <v>110.62406759999999</v>
      </c>
      <c r="AB4">
        <v>109.94352179999998</v>
      </c>
      <c r="AC4">
        <v>109.26297599999999</v>
      </c>
      <c r="AD4">
        <v>108.60671979999999</v>
      </c>
      <c r="AE4">
        <v>107.95046359999999</v>
      </c>
      <c r="AF4">
        <v>107.29420739999999</v>
      </c>
      <c r="AG4">
        <v>106.63795119999999</v>
      </c>
      <c r="AH4">
        <v>105.981695</v>
      </c>
      <c r="AI4">
        <v>105.3557656</v>
      </c>
      <c r="AJ4">
        <v>104.72983619999999</v>
      </c>
      <c r="AK4">
        <v>104.10390679999999</v>
      </c>
      <c r="AL4">
        <v>103.47797739999999</v>
      </c>
      <c r="AM4">
        <v>102.852048</v>
      </c>
      <c r="AN4">
        <v>102.2283642</v>
      </c>
      <c r="AO4">
        <v>101.60468040000001</v>
      </c>
      <c r="AP4">
        <v>100.98099660000001</v>
      </c>
      <c r="AQ4">
        <v>100.35731280000002</v>
      </c>
      <c r="AR4">
        <v>99.733629000000008</v>
      </c>
      <c r="AS4">
        <v>99.074901400000002</v>
      </c>
      <c r="AT4">
        <v>98.416173799999996</v>
      </c>
      <c r="AU4">
        <v>97.75744619999999</v>
      </c>
      <c r="AV4">
        <v>97.098718599999984</v>
      </c>
      <c r="AW4">
        <v>96.439990999999992</v>
      </c>
      <c r="AX4">
        <v>95.742952599999995</v>
      </c>
      <c r="AY4">
        <v>95.045914199999999</v>
      </c>
      <c r="AZ4">
        <v>94.348875800000002</v>
      </c>
      <c r="BA4">
        <v>93.651837400000005</v>
      </c>
      <c r="BB4">
        <v>92.954798999999994</v>
      </c>
      <c r="BC4">
        <v>92.250977999999989</v>
      </c>
      <c r="BD4">
        <v>91.547156999999984</v>
      </c>
      <c r="BE4">
        <v>90.843335999999979</v>
      </c>
      <c r="BF4">
        <v>90.139514999999975</v>
      </c>
      <c r="BG4">
        <v>89.435693999999998</v>
      </c>
      <c r="BH4">
        <v>88.778216799999981</v>
      </c>
      <c r="BI4">
        <v>88.120739599999965</v>
      </c>
      <c r="BJ4">
        <v>87.463262399999948</v>
      </c>
      <c r="BK4">
        <v>86.805785199999931</v>
      </c>
      <c r="BL4">
        <v>86.148307999999901</v>
      </c>
      <c r="BM4">
        <v>85.553185199999916</v>
      </c>
      <c r="BN4">
        <v>84.958062399999932</v>
      </c>
      <c r="BO4">
        <v>84.362939599999947</v>
      </c>
      <c r="BP4">
        <v>83.767816799999963</v>
      </c>
      <c r="BQ4">
        <v>83.172694000000007</v>
      </c>
      <c r="BR4">
        <v>82.62058660000001</v>
      </c>
      <c r="BS4">
        <v>82.068479200000013</v>
      </c>
      <c r="BT4">
        <v>81.516371800000016</v>
      </c>
      <c r="BU4">
        <v>80.964264400000019</v>
      </c>
      <c r="BV4">
        <v>80.412157000000008</v>
      </c>
      <c r="BW4">
        <v>79.876684000000012</v>
      </c>
      <c r="BX4">
        <v>79.341211000000015</v>
      </c>
      <c r="BY4">
        <v>78.805738000000019</v>
      </c>
      <c r="BZ4">
        <v>78.270265000000023</v>
      </c>
      <c r="CA4">
        <v>77.734791999999999</v>
      </c>
      <c r="CB4">
        <v>77.196013600000001</v>
      </c>
      <c r="CC4">
        <v>76.657235200000002</v>
      </c>
      <c r="CD4">
        <v>76.118456800000004</v>
      </c>
      <c r="CE4">
        <v>75.579678400000006</v>
      </c>
      <c r="CF4">
        <v>75.040899999999993</v>
      </c>
    </row>
    <row r="5" spans="1:84" x14ac:dyDescent="0.3">
      <c r="A5" s="1" t="s">
        <v>3</v>
      </c>
      <c r="B5" s="8">
        <v>144.477859</v>
      </c>
      <c r="C5">
        <v>144.406261</v>
      </c>
      <c r="D5">
        <v>145.761661</v>
      </c>
      <c r="E5">
        <v>145.68342799999999</v>
      </c>
      <c r="F5">
        <v>145.60519499999998</v>
      </c>
      <c r="G5">
        <v>145.52696199999997</v>
      </c>
      <c r="H5">
        <v>145.44872899999996</v>
      </c>
      <c r="I5">
        <v>145.370496</v>
      </c>
      <c r="J5">
        <v>144.97634300000001</v>
      </c>
      <c r="K5">
        <v>144.58219000000003</v>
      </c>
      <c r="L5">
        <v>144.18803700000004</v>
      </c>
      <c r="M5">
        <v>143.79388400000005</v>
      </c>
      <c r="N5">
        <v>143.399731</v>
      </c>
      <c r="O5">
        <v>143.0333282</v>
      </c>
      <c r="P5">
        <v>142.6669254</v>
      </c>
      <c r="Q5">
        <v>142.30052259999999</v>
      </c>
      <c r="R5">
        <v>141.93411979999999</v>
      </c>
      <c r="S5">
        <v>141.56771699999999</v>
      </c>
      <c r="T5">
        <v>141.292202</v>
      </c>
      <c r="U5">
        <v>141.01668700000002</v>
      </c>
      <c r="V5">
        <v>140.74117200000003</v>
      </c>
      <c r="W5">
        <v>140.46565700000005</v>
      </c>
      <c r="X5">
        <v>140.19014200000001</v>
      </c>
      <c r="Y5">
        <v>140.01852100000002</v>
      </c>
      <c r="Z5">
        <v>139.84690000000003</v>
      </c>
      <c r="AA5">
        <v>139.67527900000005</v>
      </c>
      <c r="AB5">
        <v>139.50365800000006</v>
      </c>
      <c r="AC5">
        <v>139.33203700000001</v>
      </c>
      <c r="AD5">
        <v>139.21691320000002</v>
      </c>
      <c r="AE5">
        <v>139.10178940000003</v>
      </c>
      <c r="AF5">
        <v>138.98666560000004</v>
      </c>
      <c r="AG5">
        <v>138.87154180000005</v>
      </c>
      <c r="AH5">
        <v>138.756418</v>
      </c>
      <c r="AI5">
        <v>138.59886560000001</v>
      </c>
      <c r="AJ5">
        <v>138.44131320000002</v>
      </c>
      <c r="AK5">
        <v>138.28376080000004</v>
      </c>
      <c r="AL5">
        <v>138.12620840000005</v>
      </c>
      <c r="AM5">
        <v>137.96865600000001</v>
      </c>
      <c r="AN5">
        <v>137.7633864</v>
      </c>
      <c r="AO5">
        <v>137.55811679999999</v>
      </c>
      <c r="AP5">
        <v>137.35284719999999</v>
      </c>
      <c r="AQ5">
        <v>137.14757759999998</v>
      </c>
      <c r="AR5">
        <v>136.942308</v>
      </c>
      <c r="AS5">
        <v>136.67845739999999</v>
      </c>
      <c r="AT5">
        <v>136.41460679999997</v>
      </c>
      <c r="AU5">
        <v>136.15075619999996</v>
      </c>
      <c r="AV5">
        <v>135.88690559999995</v>
      </c>
      <c r="AW5">
        <v>135.62305499999999</v>
      </c>
      <c r="AX5">
        <v>135.33412200000001</v>
      </c>
      <c r="AY5">
        <v>135.04518900000002</v>
      </c>
      <c r="AZ5">
        <v>134.75625600000004</v>
      </c>
      <c r="BA5">
        <v>134.46732300000005</v>
      </c>
      <c r="BB5">
        <v>134.17839000000001</v>
      </c>
      <c r="BC5">
        <v>133.88929680000001</v>
      </c>
      <c r="BD5">
        <v>133.60020360000001</v>
      </c>
      <c r="BE5">
        <v>133.31111040000002</v>
      </c>
      <c r="BF5">
        <v>133.02201720000002</v>
      </c>
      <c r="BG5">
        <v>132.732924</v>
      </c>
      <c r="BH5">
        <v>132.4496264</v>
      </c>
      <c r="BI5">
        <v>132.1663288</v>
      </c>
      <c r="BJ5">
        <v>131.8830312</v>
      </c>
      <c r="BK5">
        <v>131.59973360000001</v>
      </c>
      <c r="BL5">
        <v>131.31643600000001</v>
      </c>
      <c r="BM5">
        <v>131.0400434</v>
      </c>
      <c r="BN5">
        <v>130.76365079999999</v>
      </c>
      <c r="BO5">
        <v>130.48725819999999</v>
      </c>
      <c r="BP5">
        <v>130.21086559999998</v>
      </c>
      <c r="BQ5">
        <v>129.934473</v>
      </c>
      <c r="BR5">
        <v>129.6563238</v>
      </c>
      <c r="BS5">
        <v>129.37817459999999</v>
      </c>
      <c r="BT5">
        <v>129.10002539999999</v>
      </c>
      <c r="BU5">
        <v>128.82187619999999</v>
      </c>
      <c r="BV5">
        <v>128.54372699999999</v>
      </c>
      <c r="BW5">
        <v>128.24393179999998</v>
      </c>
      <c r="BX5">
        <v>127.94413659999999</v>
      </c>
      <c r="BY5">
        <v>127.6443414</v>
      </c>
      <c r="BZ5">
        <v>127.34454620000001</v>
      </c>
      <c r="CA5">
        <v>127.04475100000001</v>
      </c>
      <c r="CB5">
        <v>126.69021240000001</v>
      </c>
      <c r="CC5">
        <v>126.33567380000001</v>
      </c>
      <c r="CD5">
        <v>125.98113520000001</v>
      </c>
      <c r="CE5">
        <v>125.62659660000001</v>
      </c>
      <c r="CF5">
        <v>125.272058</v>
      </c>
    </row>
    <row r="6" spans="1:84" x14ac:dyDescent="0.3">
      <c r="A6" s="1" t="s">
        <v>4</v>
      </c>
      <c r="B6" s="8">
        <v>3.1639910000000002</v>
      </c>
      <c r="C6">
        <v>3.2324299999999999</v>
      </c>
      <c r="D6">
        <v>3.2664599999999999</v>
      </c>
      <c r="E6">
        <v>3.3146955999999999</v>
      </c>
      <c r="F6">
        <v>3.3629311999999998</v>
      </c>
      <c r="G6">
        <v>3.4111667999999997</v>
      </c>
      <c r="H6">
        <v>3.4594023999999997</v>
      </c>
      <c r="I6">
        <v>3.507638</v>
      </c>
      <c r="J6">
        <v>3.5508772</v>
      </c>
      <c r="K6">
        <v>3.5941163999999999</v>
      </c>
      <c r="L6">
        <v>3.6373555999999998</v>
      </c>
      <c r="M6">
        <v>3.6805947999999997</v>
      </c>
      <c r="N6">
        <v>3.7238340000000001</v>
      </c>
      <c r="O6">
        <v>3.7658628000000003</v>
      </c>
      <c r="P6">
        <v>3.8078916000000005</v>
      </c>
      <c r="Q6">
        <v>3.8499204000000007</v>
      </c>
      <c r="R6">
        <v>3.8919492000000009</v>
      </c>
      <c r="S6">
        <v>3.9339780000000002</v>
      </c>
      <c r="T6">
        <v>3.9761666</v>
      </c>
      <c r="U6">
        <v>4.0183552000000002</v>
      </c>
      <c r="V6">
        <v>4.0605438000000005</v>
      </c>
      <c r="W6">
        <v>4.1027324000000007</v>
      </c>
      <c r="X6">
        <v>4.1449210000000001</v>
      </c>
      <c r="Y6">
        <v>4.1871994000000017</v>
      </c>
      <c r="Z6">
        <v>4.2294778000000033</v>
      </c>
      <c r="AA6">
        <v>4.2717562000000049</v>
      </c>
      <c r="AB6">
        <v>4.3140346000000065</v>
      </c>
      <c r="AC6">
        <v>4.3563130000000099</v>
      </c>
      <c r="AD6">
        <v>4.3974436000000079</v>
      </c>
      <c r="AE6">
        <v>4.4385742000000059</v>
      </c>
      <c r="AF6">
        <v>4.4797048000000039</v>
      </c>
      <c r="AG6">
        <v>4.5208354000000019</v>
      </c>
      <c r="AH6">
        <v>4.5619660000000009</v>
      </c>
      <c r="AI6">
        <v>4.5982444000000005</v>
      </c>
      <c r="AJ6">
        <v>4.6345228000000001</v>
      </c>
      <c r="AK6">
        <v>4.6708011999999997</v>
      </c>
      <c r="AL6">
        <v>4.7070795999999993</v>
      </c>
      <c r="AM6">
        <v>4.7433580000000006</v>
      </c>
      <c r="AN6">
        <v>4.7721718000000006</v>
      </c>
      <c r="AO6">
        <v>4.8009856000000006</v>
      </c>
      <c r="AP6">
        <v>4.8297994000000006</v>
      </c>
      <c r="AQ6">
        <v>4.8586132000000006</v>
      </c>
      <c r="AR6">
        <v>4.8874269999999997</v>
      </c>
      <c r="AS6">
        <v>4.9108445999999999</v>
      </c>
      <c r="AT6">
        <v>4.9342622</v>
      </c>
      <c r="AU6">
        <v>4.9576798000000002</v>
      </c>
      <c r="AV6">
        <v>4.9810974000000003</v>
      </c>
      <c r="AW6">
        <v>5.0045149999999996</v>
      </c>
      <c r="AX6">
        <v>5.0233847999999997</v>
      </c>
      <c r="AY6">
        <v>5.0422545999999997</v>
      </c>
      <c r="AZ6">
        <v>5.0611243999999997</v>
      </c>
      <c r="BA6">
        <v>5.0799941999999998</v>
      </c>
      <c r="BB6">
        <v>5.0988639999999998</v>
      </c>
      <c r="BC6">
        <v>5.1144004000000001</v>
      </c>
      <c r="BD6">
        <v>5.1299368000000003</v>
      </c>
      <c r="BE6">
        <v>5.1454732000000005</v>
      </c>
      <c r="BF6">
        <v>5.1610096000000008</v>
      </c>
      <c r="BG6">
        <v>5.1765460000000001</v>
      </c>
      <c r="BH6">
        <v>5.1901777999999998</v>
      </c>
      <c r="BI6">
        <v>5.2038095999999996</v>
      </c>
      <c r="BJ6">
        <v>5.2174413999999993</v>
      </c>
      <c r="BK6">
        <v>5.2310731999999991</v>
      </c>
      <c r="BL6">
        <v>5.2447049999999997</v>
      </c>
      <c r="BM6">
        <v>5.2572092000000001</v>
      </c>
      <c r="BN6">
        <v>5.2697134000000005</v>
      </c>
      <c r="BO6">
        <v>5.282217600000001</v>
      </c>
      <c r="BP6">
        <v>5.2947218000000014</v>
      </c>
      <c r="BQ6">
        <v>5.307226</v>
      </c>
      <c r="BR6">
        <v>5.3177626</v>
      </c>
      <c r="BS6">
        <v>5.3282992</v>
      </c>
      <c r="BT6">
        <v>5.3388358</v>
      </c>
      <c r="BU6">
        <v>5.3493724</v>
      </c>
      <c r="BV6">
        <v>5.359909</v>
      </c>
      <c r="BW6">
        <v>5.367619600000002</v>
      </c>
      <c r="BX6">
        <v>5.3753302000000041</v>
      </c>
      <c r="BY6">
        <v>5.3830408000000061</v>
      </c>
      <c r="BZ6">
        <v>5.3907514000000081</v>
      </c>
      <c r="CA6">
        <v>5.398462000000011</v>
      </c>
      <c r="CB6">
        <v>5.4018462000000085</v>
      </c>
      <c r="CC6">
        <v>5.405230400000006</v>
      </c>
      <c r="CD6">
        <v>5.4086146000000035</v>
      </c>
      <c r="CE6">
        <v>5.411998800000001</v>
      </c>
      <c r="CF6">
        <v>5.4153830000000003</v>
      </c>
    </row>
    <row r="7" spans="1:84" x14ac:dyDescent="0.3">
      <c r="A7" s="1" t="s">
        <v>5</v>
      </c>
      <c r="B7" s="8">
        <v>25.638148999999999</v>
      </c>
      <c r="C7">
        <v>25.755441000000001</v>
      </c>
      <c r="D7">
        <v>25.813237999999998</v>
      </c>
      <c r="E7">
        <v>25.930334799999997</v>
      </c>
      <c r="F7">
        <v>26.047431599999996</v>
      </c>
      <c r="G7">
        <v>26.164528399999995</v>
      </c>
      <c r="H7">
        <v>26.281625199999993</v>
      </c>
      <c r="I7">
        <v>26.398721999999999</v>
      </c>
      <c r="J7">
        <v>26.425372599999999</v>
      </c>
      <c r="K7">
        <v>26.452023199999999</v>
      </c>
      <c r="L7">
        <v>26.478673799999999</v>
      </c>
      <c r="M7">
        <v>26.505324399999999</v>
      </c>
      <c r="N7">
        <v>26.531974999999999</v>
      </c>
      <c r="O7">
        <v>26.5008762</v>
      </c>
      <c r="P7">
        <v>26.469777400000002</v>
      </c>
      <c r="Q7">
        <v>26.438678600000003</v>
      </c>
      <c r="R7">
        <v>26.407579800000004</v>
      </c>
      <c r="S7">
        <v>26.376480999999998</v>
      </c>
      <c r="T7">
        <v>26.316701199999997</v>
      </c>
      <c r="U7">
        <v>26.256921399999996</v>
      </c>
      <c r="V7">
        <v>26.197141599999995</v>
      </c>
      <c r="W7">
        <v>26.137361799999994</v>
      </c>
      <c r="X7">
        <v>26.077582</v>
      </c>
      <c r="Y7">
        <v>25.996516</v>
      </c>
      <c r="Z7">
        <v>25.91545</v>
      </c>
      <c r="AA7">
        <v>25.834384</v>
      </c>
      <c r="AB7">
        <v>25.753318</v>
      </c>
      <c r="AC7">
        <v>25.672252</v>
      </c>
      <c r="AD7">
        <v>25.580050400000001</v>
      </c>
      <c r="AE7">
        <v>25.487848800000002</v>
      </c>
      <c r="AF7">
        <v>25.395647200000003</v>
      </c>
      <c r="AG7">
        <v>25.303445600000003</v>
      </c>
      <c r="AH7">
        <v>25.211244000000001</v>
      </c>
      <c r="AI7">
        <v>25.105476400000001</v>
      </c>
      <c r="AJ7">
        <v>24.999708800000001</v>
      </c>
      <c r="AK7">
        <v>24.8939412</v>
      </c>
      <c r="AL7">
        <v>24.7881736</v>
      </c>
      <c r="AM7">
        <v>24.682406</v>
      </c>
      <c r="AN7">
        <v>24.549861199999999</v>
      </c>
      <c r="AO7">
        <v>24.417316399999997</v>
      </c>
      <c r="AP7">
        <v>24.284771599999996</v>
      </c>
      <c r="AQ7">
        <v>24.152226799999994</v>
      </c>
      <c r="AR7">
        <v>24.019682</v>
      </c>
      <c r="AS7">
        <v>23.867063599999998</v>
      </c>
      <c r="AT7">
        <v>23.714445199999997</v>
      </c>
      <c r="AU7">
        <v>23.561826799999995</v>
      </c>
      <c r="AV7">
        <v>23.409208399999994</v>
      </c>
      <c r="AW7">
        <v>23.256589999999999</v>
      </c>
      <c r="AX7">
        <v>23.102252</v>
      </c>
      <c r="AY7">
        <v>22.947914000000001</v>
      </c>
      <c r="AZ7">
        <v>22.793576000000002</v>
      </c>
      <c r="BA7">
        <v>22.639238000000002</v>
      </c>
      <c r="BB7">
        <v>22.4849</v>
      </c>
      <c r="BC7">
        <v>22.334504800000001</v>
      </c>
      <c r="BD7">
        <v>22.184109600000003</v>
      </c>
      <c r="BE7">
        <v>22.033714400000004</v>
      </c>
      <c r="BF7">
        <v>21.883319200000006</v>
      </c>
      <c r="BG7">
        <v>21.732924000000001</v>
      </c>
      <c r="BH7">
        <v>21.585802600000001</v>
      </c>
      <c r="BI7">
        <v>21.438681200000001</v>
      </c>
      <c r="BJ7">
        <v>21.291559800000002</v>
      </c>
      <c r="BK7">
        <v>21.144438400000002</v>
      </c>
      <c r="BL7">
        <v>20.997316999999999</v>
      </c>
      <c r="BM7">
        <v>20.8495092</v>
      </c>
      <c r="BN7">
        <v>20.701701400000001</v>
      </c>
      <c r="BO7">
        <v>20.553893600000002</v>
      </c>
      <c r="BP7">
        <v>20.406085800000003</v>
      </c>
      <c r="BQ7">
        <v>20.258278000000001</v>
      </c>
      <c r="BR7">
        <v>20.105059400000002</v>
      </c>
      <c r="BS7">
        <v>19.951840800000003</v>
      </c>
      <c r="BT7">
        <v>19.798622200000004</v>
      </c>
      <c r="BU7">
        <v>19.645403600000005</v>
      </c>
      <c r="BV7">
        <v>19.492184999999999</v>
      </c>
      <c r="BW7">
        <v>19.333682</v>
      </c>
      <c r="BX7">
        <v>19.175179</v>
      </c>
      <c r="BY7">
        <v>19.016676</v>
      </c>
      <c r="BZ7">
        <v>18.858173000000001</v>
      </c>
      <c r="CA7">
        <v>18.699670000000001</v>
      </c>
      <c r="CB7">
        <v>18.543456000000003</v>
      </c>
      <c r="CC7">
        <v>18.387242000000004</v>
      </c>
      <c r="CD7">
        <v>18.231028000000006</v>
      </c>
      <c r="CE7">
        <v>18.074814000000007</v>
      </c>
      <c r="CF7">
        <v>17.918600000000001</v>
      </c>
    </row>
    <row r="8" spans="1:84" x14ac:dyDescent="0.3">
      <c r="A8" s="1" t="s">
        <v>6</v>
      </c>
      <c r="B8" s="8">
        <v>367.37231600000001</v>
      </c>
      <c r="C8">
        <f t="array" ref="C8:CF18">TRANSPOSE(TOT_POP!H3:R84)</f>
        <v>369.40017</v>
      </c>
      <c r="D8">
        <v>376.695806</v>
      </c>
      <c r="E8">
        <v>378.16361560000001</v>
      </c>
      <c r="F8">
        <v>379.63142520000002</v>
      </c>
      <c r="G8">
        <v>381.09923480000003</v>
      </c>
      <c r="H8">
        <v>382.56704440000004</v>
      </c>
      <c r="I8">
        <v>384.034854</v>
      </c>
      <c r="J8">
        <v>385.70267460000002</v>
      </c>
      <c r="K8">
        <v>387.37049520000005</v>
      </c>
      <c r="L8">
        <v>389.03831580000008</v>
      </c>
      <c r="M8">
        <v>390.7061364000001</v>
      </c>
      <c r="N8">
        <v>392.37395700000002</v>
      </c>
      <c r="O8">
        <v>394.00155480000001</v>
      </c>
      <c r="P8">
        <v>395.6291526</v>
      </c>
      <c r="Q8">
        <v>397.25675039999999</v>
      </c>
      <c r="R8">
        <v>398.88434819999998</v>
      </c>
      <c r="S8">
        <v>400.51194600000002</v>
      </c>
      <c r="T8">
        <v>402.03982860000002</v>
      </c>
      <c r="U8">
        <v>403.56771120000002</v>
      </c>
      <c r="V8">
        <v>405.09559380000002</v>
      </c>
      <c r="W8">
        <v>406.62347640000002</v>
      </c>
      <c r="X8">
        <v>408.15135900000001</v>
      </c>
      <c r="Y8">
        <v>409.55808680000001</v>
      </c>
      <c r="Z8">
        <v>410.96481460000001</v>
      </c>
      <c r="AA8">
        <v>412.37154240000001</v>
      </c>
      <c r="AB8">
        <v>413.77827020000001</v>
      </c>
      <c r="AC8">
        <v>415.18499800000001</v>
      </c>
      <c r="AD8">
        <v>416.51918020000005</v>
      </c>
      <c r="AE8">
        <v>417.85336240000009</v>
      </c>
      <c r="AF8">
        <v>419.18754460000014</v>
      </c>
      <c r="AG8">
        <v>420.52172680000018</v>
      </c>
      <c r="AH8">
        <v>421.85590900000011</v>
      </c>
      <c r="AI8">
        <v>422.99721720000008</v>
      </c>
      <c r="AJ8">
        <v>424.13852540000005</v>
      </c>
      <c r="AK8">
        <v>425.27983360000002</v>
      </c>
      <c r="AL8">
        <v>426.42114179999999</v>
      </c>
      <c r="AM8">
        <v>427.56245000000001</v>
      </c>
      <c r="AN8">
        <v>428.66315159999999</v>
      </c>
      <c r="AO8">
        <v>429.76385319999997</v>
      </c>
      <c r="AP8">
        <v>430.86455479999995</v>
      </c>
      <c r="AQ8">
        <v>431.96525639999993</v>
      </c>
      <c r="AR8">
        <v>433.06595800000002</v>
      </c>
      <c r="AS8">
        <v>434.1310694</v>
      </c>
      <c r="AT8">
        <v>435.19618079999998</v>
      </c>
      <c r="AU8">
        <v>436.26129219999996</v>
      </c>
      <c r="AV8">
        <v>437.32640359999994</v>
      </c>
      <c r="AW8">
        <v>438.39151500000003</v>
      </c>
      <c r="AX8">
        <v>439.41379320000004</v>
      </c>
      <c r="AY8">
        <v>440.43607140000006</v>
      </c>
      <c r="AZ8">
        <v>441.45834960000008</v>
      </c>
      <c r="BA8">
        <v>442.48062780000009</v>
      </c>
      <c r="BB8">
        <v>443.502906</v>
      </c>
      <c r="BC8">
        <v>444.39908359999998</v>
      </c>
      <c r="BD8">
        <v>445.29526119999997</v>
      </c>
      <c r="BE8">
        <v>446.19143879999996</v>
      </c>
      <c r="BF8">
        <v>447.08761639999994</v>
      </c>
      <c r="BG8">
        <v>447.98379399999999</v>
      </c>
      <c r="BH8">
        <v>448.6389494</v>
      </c>
      <c r="BI8">
        <v>449.29410480000001</v>
      </c>
      <c r="BJ8">
        <v>449.94926020000003</v>
      </c>
      <c r="BK8">
        <v>450.60441560000004</v>
      </c>
      <c r="BL8">
        <v>451.25957099999999</v>
      </c>
      <c r="BM8">
        <v>451.62155439999998</v>
      </c>
      <c r="BN8">
        <v>451.98353779999997</v>
      </c>
      <c r="BO8">
        <v>452.34552119999995</v>
      </c>
      <c r="BP8">
        <v>452.70750459999994</v>
      </c>
      <c r="BQ8">
        <v>453.06948799999998</v>
      </c>
      <c r="BR8">
        <v>453.16165179999996</v>
      </c>
      <c r="BS8">
        <v>453.25381559999994</v>
      </c>
      <c r="BT8">
        <v>453.34597939999992</v>
      </c>
      <c r="BU8">
        <v>453.4381431999999</v>
      </c>
      <c r="BV8">
        <v>453.53030699999999</v>
      </c>
      <c r="BW8">
        <v>453.4280344</v>
      </c>
      <c r="BX8">
        <v>453.32576180000001</v>
      </c>
      <c r="BY8">
        <v>453.22348920000002</v>
      </c>
      <c r="BZ8">
        <v>453.12121660000003</v>
      </c>
      <c r="CA8">
        <v>453.01894399999998</v>
      </c>
      <c r="CB8">
        <v>452.76170639999998</v>
      </c>
      <c r="CC8">
        <v>452.50446879999998</v>
      </c>
      <c r="CD8">
        <v>452.24723119999999</v>
      </c>
      <c r="CE8">
        <v>451.98999359999999</v>
      </c>
      <c r="CF8">
        <v>451.73275599999999</v>
      </c>
    </row>
    <row r="9" spans="1:84" x14ac:dyDescent="0.3">
      <c r="A9" s="1" t="s">
        <v>7</v>
      </c>
      <c r="B9" s="8">
        <v>606.01284499999997</v>
      </c>
      <c r="C9">
        <v>612.53262400000006</v>
      </c>
      <c r="D9">
        <v>616.16249000000005</v>
      </c>
      <c r="E9">
        <v>620.40692440000009</v>
      </c>
      <c r="F9">
        <v>624.65135880000014</v>
      </c>
      <c r="G9">
        <v>628.89579320000018</v>
      </c>
      <c r="H9">
        <v>633.14022760000023</v>
      </c>
      <c r="I9">
        <v>637.38466200000005</v>
      </c>
      <c r="J9">
        <v>641.62507120000009</v>
      </c>
      <c r="K9">
        <v>645.86548040000014</v>
      </c>
      <c r="L9">
        <v>650.10588960000018</v>
      </c>
      <c r="M9">
        <v>654.34629880000023</v>
      </c>
      <c r="N9">
        <v>658.58670800000004</v>
      </c>
      <c r="O9">
        <v>662.13350539999999</v>
      </c>
      <c r="P9">
        <v>665.68030279999994</v>
      </c>
      <c r="Q9">
        <v>669.22710019999988</v>
      </c>
      <c r="R9">
        <v>672.77389759999983</v>
      </c>
      <c r="S9">
        <v>676.32069499999989</v>
      </c>
      <c r="T9">
        <v>679.09036079999987</v>
      </c>
      <c r="U9">
        <v>681.86002659999986</v>
      </c>
      <c r="V9">
        <v>684.62969239999984</v>
      </c>
      <c r="W9">
        <v>687.39935819999982</v>
      </c>
      <c r="X9">
        <v>690.16902399999992</v>
      </c>
      <c r="Y9">
        <v>692.14720419999992</v>
      </c>
      <c r="Z9">
        <v>694.12538439999992</v>
      </c>
      <c r="AA9">
        <v>696.10356459999991</v>
      </c>
      <c r="AB9">
        <v>698.08174479999991</v>
      </c>
      <c r="AC9">
        <v>700.05992500000002</v>
      </c>
      <c r="AD9">
        <v>701.26522020000004</v>
      </c>
      <c r="AE9">
        <v>702.47051540000007</v>
      </c>
      <c r="AF9">
        <v>703.67581060000009</v>
      </c>
      <c r="AG9">
        <v>704.88110580000011</v>
      </c>
      <c r="AH9">
        <v>706.08640100000002</v>
      </c>
      <c r="AI9">
        <v>706.61199039999997</v>
      </c>
      <c r="AJ9">
        <v>707.13757979999991</v>
      </c>
      <c r="AK9">
        <v>707.66316919999986</v>
      </c>
      <c r="AL9">
        <v>708.1887585999998</v>
      </c>
      <c r="AM9">
        <v>708.71434799999997</v>
      </c>
      <c r="AN9">
        <v>708.60744179999995</v>
      </c>
      <c r="AO9">
        <v>708.50053559999992</v>
      </c>
      <c r="AP9">
        <v>708.3936293999999</v>
      </c>
      <c r="AQ9">
        <v>708.28672319999987</v>
      </c>
      <c r="AR9">
        <v>708.17981700000007</v>
      </c>
      <c r="AS9">
        <v>707.52293000000009</v>
      </c>
      <c r="AT9">
        <v>706.8660430000001</v>
      </c>
      <c r="AU9">
        <v>706.20915600000012</v>
      </c>
      <c r="AV9">
        <v>705.55226900000014</v>
      </c>
      <c r="AW9">
        <v>704.89538200000004</v>
      </c>
      <c r="AX9">
        <v>703.74402520000001</v>
      </c>
      <c r="AY9">
        <v>702.59266839999998</v>
      </c>
      <c r="AZ9">
        <v>701.44131159999995</v>
      </c>
      <c r="BA9">
        <v>700.28995479999992</v>
      </c>
      <c r="BB9">
        <v>699.13859799999989</v>
      </c>
      <c r="BC9">
        <v>697.53636819999986</v>
      </c>
      <c r="BD9">
        <v>695.93413839999982</v>
      </c>
      <c r="BE9">
        <v>694.33190859999979</v>
      </c>
      <c r="BF9">
        <v>692.72967879999976</v>
      </c>
      <c r="BG9">
        <v>691.12744899999996</v>
      </c>
      <c r="BH9">
        <v>689.11490300000003</v>
      </c>
      <c r="BI9">
        <v>687.1023570000001</v>
      </c>
      <c r="BJ9">
        <v>685.08981100000017</v>
      </c>
      <c r="BK9">
        <v>683.07726500000024</v>
      </c>
      <c r="BL9">
        <v>681.06471900000008</v>
      </c>
      <c r="BM9">
        <v>678.76526800000011</v>
      </c>
      <c r="BN9">
        <v>676.46581700000013</v>
      </c>
      <c r="BO9">
        <v>674.16636600000015</v>
      </c>
      <c r="BP9">
        <v>671.86691500000018</v>
      </c>
      <c r="BQ9">
        <v>669.56746400000009</v>
      </c>
      <c r="BR9">
        <v>667.07453300000009</v>
      </c>
      <c r="BS9">
        <v>664.58160200000009</v>
      </c>
      <c r="BT9">
        <v>662.08867100000009</v>
      </c>
      <c r="BU9">
        <v>659.59574000000009</v>
      </c>
      <c r="BV9">
        <v>657.10280899999998</v>
      </c>
      <c r="BW9">
        <v>654.51432239999997</v>
      </c>
      <c r="BX9">
        <v>651.92583579999996</v>
      </c>
      <c r="BY9">
        <v>649.33734919999995</v>
      </c>
      <c r="BZ9">
        <v>646.74886259999994</v>
      </c>
      <c r="CA9">
        <v>644.16037600000004</v>
      </c>
      <c r="CB9">
        <v>641.53741560000003</v>
      </c>
      <c r="CC9">
        <v>638.91445520000002</v>
      </c>
      <c r="CD9">
        <v>636.29149480000001</v>
      </c>
      <c r="CE9">
        <v>633.6685344</v>
      </c>
      <c r="CF9">
        <v>631.04557399999999</v>
      </c>
    </row>
    <row r="10" spans="1:84" x14ac:dyDescent="0.3">
      <c r="A10" s="1" t="s">
        <v>8</v>
      </c>
      <c r="B10" s="8">
        <v>506.509163</v>
      </c>
      <c r="C10">
        <v>508.66816</v>
      </c>
      <c r="D10">
        <v>507.43511699999999</v>
      </c>
      <c r="E10">
        <v>508.62260179999998</v>
      </c>
      <c r="F10">
        <v>509.81008659999998</v>
      </c>
      <c r="G10">
        <v>510.99757139999997</v>
      </c>
      <c r="H10">
        <v>512.18505619999996</v>
      </c>
      <c r="I10">
        <v>513.37254099999996</v>
      </c>
      <c r="J10">
        <v>514.18462539999996</v>
      </c>
      <c r="K10">
        <v>514.99670979999996</v>
      </c>
      <c r="L10">
        <v>515.80879419999997</v>
      </c>
      <c r="M10">
        <v>516.62087859999997</v>
      </c>
      <c r="N10">
        <v>517.43296299999997</v>
      </c>
      <c r="O10">
        <v>518.174395</v>
      </c>
      <c r="P10">
        <v>518.91582700000004</v>
      </c>
      <c r="Q10">
        <v>519.65725900000007</v>
      </c>
      <c r="R10">
        <v>520.3986910000001</v>
      </c>
      <c r="S10">
        <v>521.14012300000013</v>
      </c>
      <c r="T10">
        <v>521.86162000000013</v>
      </c>
      <c r="U10">
        <v>522.58311700000013</v>
      </c>
      <c r="V10">
        <v>523.30461400000013</v>
      </c>
      <c r="W10">
        <v>524.02611100000013</v>
      </c>
      <c r="X10">
        <v>524.74760800000024</v>
      </c>
      <c r="Y10">
        <v>525.42650360000016</v>
      </c>
      <c r="Z10">
        <v>526.10539920000008</v>
      </c>
      <c r="AA10">
        <v>526.7842948</v>
      </c>
      <c r="AB10">
        <v>527.46319039999992</v>
      </c>
      <c r="AC10">
        <v>528.14208599999995</v>
      </c>
      <c r="AD10">
        <v>528.72987279999995</v>
      </c>
      <c r="AE10">
        <v>529.31765959999996</v>
      </c>
      <c r="AF10">
        <v>529.90544639999996</v>
      </c>
      <c r="AG10">
        <v>530.49323319999996</v>
      </c>
      <c r="AH10">
        <v>531.08102000000008</v>
      </c>
      <c r="AI10">
        <v>531.34096280000006</v>
      </c>
      <c r="AJ10">
        <v>531.60090560000003</v>
      </c>
      <c r="AK10">
        <v>531.86084840000001</v>
      </c>
      <c r="AL10">
        <v>532.12079119999999</v>
      </c>
      <c r="AM10">
        <v>532.38073400000007</v>
      </c>
      <c r="AN10">
        <v>532.35941960000014</v>
      </c>
      <c r="AO10">
        <v>532.3381052000002</v>
      </c>
      <c r="AP10">
        <v>532.31679080000026</v>
      </c>
      <c r="AQ10">
        <v>532.29547640000033</v>
      </c>
      <c r="AR10">
        <v>532.27416200000027</v>
      </c>
      <c r="AS10">
        <v>532.02679320000027</v>
      </c>
      <c r="AT10">
        <v>531.77942440000027</v>
      </c>
      <c r="AU10">
        <v>531.53205560000026</v>
      </c>
      <c r="AV10">
        <v>531.28468680000026</v>
      </c>
      <c r="AW10">
        <v>531.03731800000003</v>
      </c>
      <c r="AX10">
        <v>530.71746040000005</v>
      </c>
      <c r="AY10">
        <v>530.39760280000007</v>
      </c>
      <c r="AZ10">
        <v>530.07774520000009</v>
      </c>
      <c r="BA10">
        <v>529.75788760000012</v>
      </c>
      <c r="BB10">
        <v>529.43803000000003</v>
      </c>
      <c r="BC10">
        <v>529.09808380000004</v>
      </c>
      <c r="BD10">
        <v>528.75813760000005</v>
      </c>
      <c r="BE10">
        <v>528.41819140000007</v>
      </c>
      <c r="BF10">
        <v>528.07824520000008</v>
      </c>
      <c r="BG10">
        <v>527.7382990000001</v>
      </c>
      <c r="BH10">
        <v>527.33684240000002</v>
      </c>
      <c r="BI10">
        <v>526.93538579999995</v>
      </c>
      <c r="BJ10">
        <v>526.53392919999987</v>
      </c>
      <c r="BK10">
        <v>526.1324725999998</v>
      </c>
      <c r="BL10">
        <v>525.73101599999995</v>
      </c>
      <c r="BM10">
        <v>525.19646</v>
      </c>
      <c r="BN10">
        <v>524.66190400000005</v>
      </c>
      <c r="BO10">
        <v>524.1273480000001</v>
      </c>
      <c r="BP10">
        <v>523.59279200000014</v>
      </c>
      <c r="BQ10">
        <v>523.05823599999997</v>
      </c>
      <c r="BR10">
        <v>522.35789739999996</v>
      </c>
      <c r="BS10">
        <v>521.65755879999995</v>
      </c>
      <c r="BT10">
        <v>520.95722019999994</v>
      </c>
      <c r="BU10">
        <v>520.25688159999993</v>
      </c>
      <c r="BV10">
        <v>519.55654300000015</v>
      </c>
      <c r="BW10">
        <v>518.69700400000011</v>
      </c>
      <c r="BX10">
        <v>517.83746500000007</v>
      </c>
      <c r="BY10">
        <v>516.97792600000002</v>
      </c>
      <c r="BZ10">
        <v>516.11838699999998</v>
      </c>
      <c r="CA10">
        <v>515.25884799999994</v>
      </c>
      <c r="CB10">
        <v>514.23460539999996</v>
      </c>
      <c r="CC10">
        <v>513.21036279999998</v>
      </c>
      <c r="CD10">
        <v>512.1861202</v>
      </c>
      <c r="CE10">
        <v>511.16187760000003</v>
      </c>
      <c r="CF10">
        <v>510.13763499999999</v>
      </c>
    </row>
    <row r="11" spans="1:84" x14ac:dyDescent="0.3">
      <c r="A11" s="1" t="s">
        <v>9</v>
      </c>
      <c r="B11" s="8">
        <v>118.48600399999999</v>
      </c>
      <c r="C11">
        <v>118.257396</v>
      </c>
      <c r="D11">
        <v>119.397716</v>
      </c>
      <c r="E11">
        <v>119.19675120000001</v>
      </c>
      <c r="F11">
        <v>118.99578640000001</v>
      </c>
      <c r="G11">
        <v>118.79482160000002</v>
      </c>
      <c r="H11">
        <v>118.59385680000003</v>
      </c>
      <c r="I11">
        <v>118.392892</v>
      </c>
      <c r="J11">
        <v>117.85040600000001</v>
      </c>
      <c r="K11">
        <v>117.30792000000001</v>
      </c>
      <c r="L11">
        <v>116.76543400000001</v>
      </c>
      <c r="M11">
        <v>116.22294800000002</v>
      </c>
      <c r="N11">
        <v>115.68046200000001</v>
      </c>
      <c r="O11">
        <v>115.1140968</v>
      </c>
      <c r="P11">
        <v>114.54773159999999</v>
      </c>
      <c r="Q11">
        <v>113.98136639999998</v>
      </c>
      <c r="R11">
        <v>113.41500119999998</v>
      </c>
      <c r="S11">
        <v>112.848636</v>
      </c>
      <c r="T11">
        <v>112.293153</v>
      </c>
      <c r="U11">
        <v>111.73767000000001</v>
      </c>
      <c r="V11">
        <v>111.18218700000001</v>
      </c>
      <c r="W11">
        <v>110.62670400000002</v>
      </c>
      <c r="X11">
        <v>110.07122099999999</v>
      </c>
      <c r="Y11">
        <v>109.54293319999999</v>
      </c>
      <c r="Z11">
        <v>109.01464539999999</v>
      </c>
      <c r="AA11">
        <v>108.48635759999999</v>
      </c>
      <c r="AB11">
        <v>107.95806979999999</v>
      </c>
      <c r="AC11">
        <v>107.429782</v>
      </c>
      <c r="AD11">
        <v>106.9398666</v>
      </c>
      <c r="AE11">
        <v>106.4499512</v>
      </c>
      <c r="AF11">
        <v>105.9600358</v>
      </c>
      <c r="AG11">
        <v>105.4701204</v>
      </c>
      <c r="AH11">
        <v>104.980205</v>
      </c>
      <c r="AI11">
        <v>104.49840879999999</v>
      </c>
      <c r="AJ11">
        <v>104.01661259999999</v>
      </c>
      <c r="AK11">
        <v>103.53481639999998</v>
      </c>
      <c r="AL11">
        <v>103.05302019999998</v>
      </c>
      <c r="AM11">
        <v>102.571224</v>
      </c>
      <c r="AN11">
        <v>102.0802982</v>
      </c>
      <c r="AO11">
        <v>101.5893724</v>
      </c>
      <c r="AP11">
        <v>101.0984466</v>
      </c>
      <c r="AQ11">
        <v>100.6075208</v>
      </c>
      <c r="AR11">
        <v>100.116595</v>
      </c>
      <c r="AS11">
        <v>99.606427400000001</v>
      </c>
      <c r="AT11">
        <v>99.096259799999999</v>
      </c>
      <c r="AU11">
        <v>98.586092199999996</v>
      </c>
      <c r="AV11">
        <v>98.075924599999993</v>
      </c>
      <c r="AW11">
        <v>97.565757000000005</v>
      </c>
      <c r="AX11">
        <v>97.043602000000007</v>
      </c>
      <c r="AY11">
        <v>96.521447000000009</v>
      </c>
      <c r="AZ11">
        <v>95.999292000000011</v>
      </c>
      <c r="BA11">
        <v>95.477137000000013</v>
      </c>
      <c r="BB11">
        <v>94.954982000000015</v>
      </c>
      <c r="BC11">
        <v>94.442020200000016</v>
      </c>
      <c r="BD11">
        <v>93.929058400000017</v>
      </c>
      <c r="BE11">
        <v>93.416096600000017</v>
      </c>
      <c r="BF11">
        <v>92.903134800000018</v>
      </c>
      <c r="BG11">
        <v>92.390173000000019</v>
      </c>
      <c r="BH11">
        <v>91.909008800000024</v>
      </c>
      <c r="BI11">
        <v>91.427844600000029</v>
      </c>
      <c r="BJ11">
        <v>90.946680400000034</v>
      </c>
      <c r="BK11">
        <v>90.465516200000039</v>
      </c>
      <c r="BL11">
        <v>89.984352000000015</v>
      </c>
      <c r="BM11">
        <v>89.547184000000016</v>
      </c>
      <c r="BN11">
        <v>89.110016000000016</v>
      </c>
      <c r="BO11">
        <v>88.672848000000016</v>
      </c>
      <c r="BP11">
        <v>88.235680000000016</v>
      </c>
      <c r="BQ11">
        <v>87.798512000000002</v>
      </c>
      <c r="BR11">
        <v>87.406667800000008</v>
      </c>
      <c r="BS11">
        <v>87.014823600000014</v>
      </c>
      <c r="BT11">
        <v>86.62297940000002</v>
      </c>
      <c r="BU11">
        <v>86.231135200000026</v>
      </c>
      <c r="BV11">
        <v>85.839291000000003</v>
      </c>
      <c r="BW11">
        <v>85.484667400000006</v>
      </c>
      <c r="BX11">
        <v>85.13004380000001</v>
      </c>
      <c r="BY11">
        <v>84.775420200000013</v>
      </c>
      <c r="BZ11">
        <v>84.420796600000017</v>
      </c>
      <c r="CA11">
        <v>84.066173000000006</v>
      </c>
      <c r="CB11">
        <v>83.728960600000008</v>
      </c>
      <c r="CC11">
        <v>83.391748200000009</v>
      </c>
      <c r="CD11">
        <v>83.054535800000011</v>
      </c>
      <c r="CE11">
        <v>82.717323400000012</v>
      </c>
      <c r="CF11">
        <v>82.380111000000014</v>
      </c>
    </row>
    <row r="12" spans="1:84" x14ac:dyDescent="0.3">
      <c r="A12" s="1" t="s">
        <v>10</v>
      </c>
      <c r="B12" s="8">
        <v>139.69713300000001</v>
      </c>
      <c r="C12">
        <v>140.62467699999999</v>
      </c>
      <c r="D12">
        <v>147.82600099999999</v>
      </c>
      <c r="E12">
        <v>147.37806279999998</v>
      </c>
      <c r="F12">
        <v>146.93012459999997</v>
      </c>
      <c r="G12">
        <v>146.48218639999996</v>
      </c>
      <c r="H12">
        <v>146.03424819999995</v>
      </c>
      <c r="I12">
        <v>145.58631</v>
      </c>
      <c r="J12">
        <v>146.66807320000001</v>
      </c>
      <c r="K12">
        <v>147.74983640000002</v>
      </c>
      <c r="L12">
        <v>148.83159960000003</v>
      </c>
      <c r="M12">
        <v>149.91336280000004</v>
      </c>
      <c r="N12">
        <v>150.995126</v>
      </c>
      <c r="O12">
        <v>151.8730114</v>
      </c>
      <c r="P12">
        <v>152.75089679999999</v>
      </c>
      <c r="Q12">
        <v>153.62878219999999</v>
      </c>
      <c r="R12">
        <v>154.50666759999999</v>
      </c>
      <c r="S12">
        <v>155.38455300000001</v>
      </c>
      <c r="T12">
        <v>156.14106000000001</v>
      </c>
      <c r="U12">
        <v>156.89756700000001</v>
      </c>
      <c r="V12">
        <v>157.65407400000001</v>
      </c>
      <c r="W12">
        <v>158.41058100000001</v>
      </c>
      <c r="X12">
        <v>159.16708800000001</v>
      </c>
      <c r="Y12">
        <v>159.81764760000002</v>
      </c>
      <c r="Z12">
        <v>160.46820720000002</v>
      </c>
      <c r="AA12">
        <v>161.11876680000003</v>
      </c>
      <c r="AB12">
        <v>161.76932640000004</v>
      </c>
      <c r="AC12">
        <v>162.41988599999999</v>
      </c>
      <c r="AD12">
        <v>162.94489879999998</v>
      </c>
      <c r="AE12">
        <v>163.46991159999996</v>
      </c>
      <c r="AF12">
        <v>163.99492439999995</v>
      </c>
      <c r="AG12">
        <v>164.51993719999993</v>
      </c>
      <c r="AH12">
        <v>165.04494999999989</v>
      </c>
      <c r="AI12">
        <v>165.39844419999989</v>
      </c>
      <c r="AJ12">
        <v>165.75193839999989</v>
      </c>
      <c r="AK12">
        <v>166.10543259999989</v>
      </c>
      <c r="AL12">
        <v>166.45892679999989</v>
      </c>
      <c r="AM12">
        <v>166.81242099999989</v>
      </c>
      <c r="AN12">
        <v>167.00173259999988</v>
      </c>
      <c r="AO12">
        <v>167.19104419999988</v>
      </c>
      <c r="AP12">
        <v>167.38035579999988</v>
      </c>
      <c r="AQ12">
        <v>167.56966739999987</v>
      </c>
      <c r="AR12">
        <v>167.7589789999999</v>
      </c>
      <c r="AS12">
        <v>167.82671079999992</v>
      </c>
      <c r="AT12">
        <v>167.89444259999993</v>
      </c>
      <c r="AU12">
        <v>167.96217439999995</v>
      </c>
      <c r="AV12">
        <v>168.02990619999997</v>
      </c>
      <c r="AW12">
        <v>168.09763799999999</v>
      </c>
      <c r="AX12">
        <v>168.091927</v>
      </c>
      <c r="AY12">
        <v>168.08621600000001</v>
      </c>
      <c r="AZ12">
        <v>168.08050500000002</v>
      </c>
      <c r="BA12">
        <v>168.07479400000003</v>
      </c>
      <c r="BB12">
        <v>168.06908300000001</v>
      </c>
      <c r="BC12">
        <v>168.00684600000002</v>
      </c>
      <c r="BD12">
        <v>167.94460900000004</v>
      </c>
      <c r="BE12">
        <v>167.88237200000006</v>
      </c>
      <c r="BF12">
        <v>167.82013500000008</v>
      </c>
      <c r="BG12">
        <v>167.7578980000001</v>
      </c>
      <c r="BH12">
        <v>167.64204680000009</v>
      </c>
      <c r="BI12">
        <v>167.52619560000008</v>
      </c>
      <c r="BJ12">
        <v>167.41034440000007</v>
      </c>
      <c r="BK12">
        <v>167.29449320000006</v>
      </c>
      <c r="BL12">
        <v>167.178642</v>
      </c>
      <c r="BM12">
        <v>167.01879659999997</v>
      </c>
      <c r="BN12">
        <v>166.85895119999995</v>
      </c>
      <c r="BO12">
        <v>166.69910579999993</v>
      </c>
      <c r="BP12">
        <v>166.5392603999999</v>
      </c>
      <c r="BQ12">
        <v>166.37941499999991</v>
      </c>
      <c r="BR12">
        <v>166.18389179999994</v>
      </c>
      <c r="BS12">
        <v>165.98836859999997</v>
      </c>
      <c r="BT12">
        <v>165.7928454</v>
      </c>
      <c r="BU12">
        <v>165.59732220000004</v>
      </c>
      <c r="BV12">
        <v>165.40179900000001</v>
      </c>
      <c r="BW12">
        <v>165.172394</v>
      </c>
      <c r="BX12">
        <v>164.94298899999998</v>
      </c>
      <c r="BY12">
        <v>164.71358399999997</v>
      </c>
      <c r="BZ12">
        <v>164.48417899999995</v>
      </c>
      <c r="CA12">
        <v>164.254774</v>
      </c>
      <c r="CB12">
        <v>163.9647004</v>
      </c>
      <c r="CC12">
        <v>163.6746268</v>
      </c>
      <c r="CD12">
        <v>163.3845532</v>
      </c>
      <c r="CE12">
        <v>163.0944796</v>
      </c>
      <c r="CF12">
        <v>162.804406</v>
      </c>
    </row>
    <row r="13" spans="1:84" x14ac:dyDescent="0.3">
      <c r="A13" s="1" t="s">
        <v>11</v>
      </c>
      <c r="B13" s="8">
        <v>492.02350000000001</v>
      </c>
      <c r="C13">
        <v>500.51992100000001</v>
      </c>
      <c r="D13">
        <v>504.77669399999991</v>
      </c>
      <c r="E13">
        <v>513.0981119999999</v>
      </c>
      <c r="F13">
        <v>521.4195299999999</v>
      </c>
      <c r="G13">
        <v>529.74094799999989</v>
      </c>
      <c r="H13">
        <v>538.06236599999988</v>
      </c>
      <c r="I13">
        <v>546.38378399999976</v>
      </c>
      <c r="J13">
        <v>554.46670679999988</v>
      </c>
      <c r="K13">
        <v>562.5496296</v>
      </c>
      <c r="L13">
        <v>570.63255240000012</v>
      </c>
      <c r="M13">
        <v>578.71547520000024</v>
      </c>
      <c r="N13">
        <v>586.79839800000013</v>
      </c>
      <c r="O13">
        <v>594.4909662</v>
      </c>
      <c r="P13">
        <v>602.18353439999987</v>
      </c>
      <c r="Q13">
        <v>609.87610259999974</v>
      </c>
      <c r="R13">
        <v>617.56867079999961</v>
      </c>
      <c r="S13">
        <v>625.2612389999997</v>
      </c>
      <c r="T13">
        <v>632.60257699999977</v>
      </c>
      <c r="U13">
        <v>639.94391499999983</v>
      </c>
      <c r="V13">
        <v>647.2852529999999</v>
      </c>
      <c r="W13">
        <v>654.62659099999996</v>
      </c>
      <c r="X13">
        <v>661.96792900000003</v>
      </c>
      <c r="Y13">
        <v>668.82609280000008</v>
      </c>
      <c r="Z13">
        <v>675.68425660000014</v>
      </c>
      <c r="AA13">
        <v>682.5424204000002</v>
      </c>
      <c r="AB13">
        <v>689.40058420000025</v>
      </c>
      <c r="AC13">
        <v>696.2587480000002</v>
      </c>
      <c r="AD13">
        <v>702.40502260000017</v>
      </c>
      <c r="AE13">
        <v>708.55129720000014</v>
      </c>
      <c r="AF13">
        <v>714.69757180000011</v>
      </c>
      <c r="AG13">
        <v>720.84384640000007</v>
      </c>
      <c r="AH13">
        <v>726.99012100000004</v>
      </c>
      <c r="AI13">
        <v>732.26911540000003</v>
      </c>
      <c r="AJ13">
        <v>737.54810980000002</v>
      </c>
      <c r="AK13">
        <v>742.82710420000001</v>
      </c>
      <c r="AL13">
        <v>748.1060986</v>
      </c>
      <c r="AM13">
        <v>753.38509299999987</v>
      </c>
      <c r="AN13">
        <v>757.72274219999986</v>
      </c>
      <c r="AO13">
        <v>762.06039139999984</v>
      </c>
      <c r="AP13">
        <v>766.39804059999983</v>
      </c>
      <c r="AQ13">
        <v>770.73568979999982</v>
      </c>
      <c r="AR13">
        <v>775.07333900000003</v>
      </c>
      <c r="AS13">
        <v>778.39789359999997</v>
      </c>
      <c r="AT13">
        <v>781.72244819999992</v>
      </c>
      <c r="AU13">
        <v>785.04700279999986</v>
      </c>
      <c r="AV13">
        <v>788.3715573999998</v>
      </c>
      <c r="AW13">
        <v>791.69611199999974</v>
      </c>
      <c r="AX13">
        <v>794.09978139999976</v>
      </c>
      <c r="AY13">
        <v>796.50345079999977</v>
      </c>
      <c r="AZ13">
        <v>798.90712019999978</v>
      </c>
      <c r="BA13">
        <v>801.31078959999979</v>
      </c>
      <c r="BB13">
        <v>803.71445900000003</v>
      </c>
      <c r="BC13">
        <v>805.35151040000005</v>
      </c>
      <c r="BD13">
        <v>806.98856180000007</v>
      </c>
      <c r="BE13">
        <v>808.62561320000009</v>
      </c>
      <c r="BF13">
        <v>810.26266460000011</v>
      </c>
      <c r="BG13">
        <v>811.89971600000001</v>
      </c>
      <c r="BH13">
        <v>812.93272160000004</v>
      </c>
      <c r="BI13">
        <v>813.96572720000006</v>
      </c>
      <c r="BJ13">
        <v>814.99873280000008</v>
      </c>
      <c r="BK13">
        <v>816.03173840000011</v>
      </c>
      <c r="BL13">
        <v>817.06474400000025</v>
      </c>
      <c r="BM13">
        <v>817.58190400000024</v>
      </c>
      <c r="BN13">
        <v>818.09906400000023</v>
      </c>
      <c r="BO13">
        <v>818.61622400000022</v>
      </c>
      <c r="BP13">
        <v>819.13338400000021</v>
      </c>
      <c r="BQ13">
        <v>819.65054400000008</v>
      </c>
      <c r="BR13">
        <v>819.77000240000007</v>
      </c>
      <c r="BS13">
        <v>819.88946080000005</v>
      </c>
      <c r="BT13">
        <v>820.00891920000004</v>
      </c>
      <c r="BU13">
        <v>820.12837760000002</v>
      </c>
      <c r="BV13">
        <v>820.24783600000001</v>
      </c>
      <c r="BW13">
        <v>819.93917260000001</v>
      </c>
      <c r="BX13">
        <v>819.63050920000001</v>
      </c>
      <c r="BY13">
        <v>819.32184580000001</v>
      </c>
      <c r="BZ13">
        <v>819.01318240000001</v>
      </c>
      <c r="CA13">
        <v>818.70451900000012</v>
      </c>
      <c r="CB13">
        <v>817.92748700000004</v>
      </c>
      <c r="CC13">
        <v>817.15045499999997</v>
      </c>
      <c r="CD13">
        <v>816.37342299999989</v>
      </c>
      <c r="CE13">
        <v>815.59639099999981</v>
      </c>
      <c r="CF13">
        <v>814.81935899999996</v>
      </c>
    </row>
    <row r="14" spans="1:84" x14ac:dyDescent="0.3">
      <c r="A14" s="1" t="s">
        <v>12</v>
      </c>
      <c r="B14" s="8">
        <v>1041.066783</v>
      </c>
      <c r="C14">
        <v>1068.9432839999999</v>
      </c>
      <c r="D14">
        <v>1056.871729</v>
      </c>
      <c r="E14">
        <v>1085.1595133999999</v>
      </c>
      <c r="F14">
        <v>1113.4472977999999</v>
      </c>
      <c r="G14">
        <v>1141.7350821999999</v>
      </c>
      <c r="H14">
        <v>1170.0228665999998</v>
      </c>
      <c r="I14">
        <v>1198.310651</v>
      </c>
      <c r="J14">
        <v>1228.6481516000001</v>
      </c>
      <c r="K14">
        <v>1258.9856522000002</v>
      </c>
      <c r="L14">
        <v>1289.3231528000003</v>
      </c>
      <c r="M14">
        <v>1319.6606534000005</v>
      </c>
      <c r="N14">
        <v>1349.9981540000001</v>
      </c>
      <c r="O14">
        <v>1381.7114498000001</v>
      </c>
      <c r="P14">
        <v>1413.4247456000001</v>
      </c>
      <c r="Q14">
        <v>1445.1380414</v>
      </c>
      <c r="R14">
        <v>1476.8513372</v>
      </c>
      <c r="S14">
        <v>1508.564633</v>
      </c>
      <c r="T14">
        <v>1541.1849973999999</v>
      </c>
      <c r="U14">
        <v>1573.8053617999999</v>
      </c>
      <c r="V14">
        <v>1606.4257261999999</v>
      </c>
      <c r="W14">
        <v>1639.0460905999998</v>
      </c>
      <c r="X14">
        <v>1671.666455</v>
      </c>
      <c r="Y14">
        <v>1704.6282092000001</v>
      </c>
      <c r="Z14">
        <v>1737.5899634000002</v>
      </c>
      <c r="AA14">
        <v>1770.5517176000003</v>
      </c>
      <c r="AB14">
        <v>1803.5134718000004</v>
      </c>
      <c r="AC14">
        <v>1836.475226</v>
      </c>
      <c r="AD14">
        <v>1869.19048</v>
      </c>
      <c r="AE14">
        <v>1901.9057339999999</v>
      </c>
      <c r="AF14">
        <v>1934.6209879999999</v>
      </c>
      <c r="AG14">
        <v>1967.3362419999999</v>
      </c>
      <c r="AH14">
        <v>2000.051496</v>
      </c>
      <c r="AI14">
        <v>2031.6708791999999</v>
      </c>
      <c r="AJ14">
        <v>2063.2902623999998</v>
      </c>
      <c r="AK14">
        <v>2094.9096455999997</v>
      </c>
      <c r="AL14">
        <v>2126.5290287999997</v>
      </c>
      <c r="AM14">
        <v>2158.148412</v>
      </c>
      <c r="AN14">
        <v>2188.31709</v>
      </c>
      <c r="AO14">
        <v>2218.485768</v>
      </c>
      <c r="AP14">
        <v>2248.654446</v>
      </c>
      <c r="AQ14">
        <v>2278.823124</v>
      </c>
      <c r="AR14">
        <v>2308.991802</v>
      </c>
      <c r="AS14">
        <v>2337.1647010000002</v>
      </c>
      <c r="AT14">
        <v>2365.3376000000003</v>
      </c>
      <c r="AU14">
        <v>2393.5104990000004</v>
      </c>
      <c r="AV14">
        <v>2421.6833980000006</v>
      </c>
      <c r="AW14">
        <v>2449.8562969999998</v>
      </c>
      <c r="AX14">
        <v>2475.7480791999997</v>
      </c>
      <c r="AY14">
        <v>2501.6398613999995</v>
      </c>
      <c r="AZ14">
        <v>2527.5316435999994</v>
      </c>
      <c r="BA14">
        <v>2553.4234257999992</v>
      </c>
      <c r="BB14">
        <v>2579.3152079999991</v>
      </c>
      <c r="BC14">
        <v>2602.5817695999995</v>
      </c>
      <c r="BD14">
        <v>2625.8483311999998</v>
      </c>
      <c r="BE14">
        <v>2649.1148928000002</v>
      </c>
      <c r="BF14">
        <v>2672.3814544000006</v>
      </c>
      <c r="BG14">
        <v>2695.6480160000001</v>
      </c>
      <c r="BH14">
        <v>2715.9414142000001</v>
      </c>
      <c r="BI14">
        <v>2736.2348124</v>
      </c>
      <c r="BJ14">
        <v>2756.5282106</v>
      </c>
      <c r="BK14">
        <v>2776.8216087999999</v>
      </c>
      <c r="BL14">
        <v>2797.1150069999999</v>
      </c>
      <c r="BM14">
        <v>2814.2861395999998</v>
      </c>
      <c r="BN14">
        <v>2831.4572721999998</v>
      </c>
      <c r="BO14">
        <v>2848.6284047999998</v>
      </c>
      <c r="BP14">
        <v>2865.7995373999997</v>
      </c>
      <c r="BQ14">
        <v>2882.9706700000002</v>
      </c>
      <c r="BR14">
        <v>2896.9616322000002</v>
      </c>
      <c r="BS14">
        <v>2910.9525944000002</v>
      </c>
      <c r="BT14">
        <v>2924.9435566000002</v>
      </c>
      <c r="BU14">
        <v>2938.9345188000002</v>
      </c>
      <c r="BV14">
        <v>2952.9254810000002</v>
      </c>
      <c r="BW14">
        <v>2963.7160430000004</v>
      </c>
      <c r="BX14">
        <v>2974.5066050000005</v>
      </c>
      <c r="BY14">
        <v>2985.2971670000006</v>
      </c>
      <c r="BZ14">
        <v>2996.0877290000008</v>
      </c>
      <c r="CA14">
        <v>3006.8782910000009</v>
      </c>
      <c r="CB14">
        <v>3014.5960426000001</v>
      </c>
      <c r="CC14">
        <v>3022.3137941999994</v>
      </c>
      <c r="CD14">
        <v>3030.0315457999986</v>
      </c>
      <c r="CE14">
        <v>3037.7492973999979</v>
      </c>
      <c r="CF14">
        <v>3045.467048999998</v>
      </c>
    </row>
    <row r="15" spans="1:84" x14ac:dyDescent="0.3">
      <c r="A15" s="1" t="s">
        <v>13</v>
      </c>
      <c r="B15" s="8">
        <v>118.044574</v>
      </c>
      <c r="C15">
        <v>119.19651500000001</v>
      </c>
      <c r="D15">
        <v>119.765513</v>
      </c>
      <c r="E15">
        <v>120.78738419999998</v>
      </c>
      <c r="F15">
        <v>121.80925539999996</v>
      </c>
      <c r="G15">
        <v>122.83112659999993</v>
      </c>
      <c r="H15">
        <v>123.85299779999991</v>
      </c>
      <c r="I15">
        <v>124.8748689999999</v>
      </c>
      <c r="J15">
        <v>125.72371079999992</v>
      </c>
      <c r="K15">
        <v>126.57255259999994</v>
      </c>
      <c r="L15">
        <v>127.42139439999995</v>
      </c>
      <c r="M15">
        <v>128.27023619999997</v>
      </c>
      <c r="N15">
        <v>129.119078</v>
      </c>
      <c r="O15">
        <v>129.76599580000001</v>
      </c>
      <c r="P15">
        <v>130.41291360000002</v>
      </c>
      <c r="Q15">
        <v>131.05983140000004</v>
      </c>
      <c r="R15">
        <v>131.70674920000005</v>
      </c>
      <c r="S15">
        <v>132.353667</v>
      </c>
      <c r="T15">
        <v>132.83418879999999</v>
      </c>
      <c r="U15">
        <v>133.31471059999998</v>
      </c>
      <c r="V15">
        <v>133.79523239999997</v>
      </c>
      <c r="W15">
        <v>134.27575419999997</v>
      </c>
      <c r="X15">
        <v>134.75627600000001</v>
      </c>
      <c r="Y15">
        <v>135.07856360000002</v>
      </c>
      <c r="Z15">
        <v>135.40085120000003</v>
      </c>
      <c r="AA15">
        <v>135.72313880000004</v>
      </c>
      <c r="AB15">
        <v>136.04542640000005</v>
      </c>
      <c r="AC15">
        <v>136.36771400000001</v>
      </c>
      <c r="AD15">
        <v>136.551435</v>
      </c>
      <c r="AE15">
        <v>136.73515599999999</v>
      </c>
      <c r="AF15">
        <v>136.91887699999998</v>
      </c>
      <c r="AG15">
        <v>137.10259799999997</v>
      </c>
      <c r="AH15">
        <v>137.28631899999999</v>
      </c>
      <c r="AI15">
        <v>137.34491679999999</v>
      </c>
      <c r="AJ15">
        <v>137.40351459999999</v>
      </c>
      <c r="AK15">
        <v>137.4621124</v>
      </c>
      <c r="AL15">
        <v>137.5207102</v>
      </c>
      <c r="AM15">
        <v>137.579308</v>
      </c>
      <c r="AN15">
        <v>137.5060794</v>
      </c>
      <c r="AO15">
        <v>137.43285080000001</v>
      </c>
      <c r="AP15">
        <v>137.35962220000002</v>
      </c>
      <c r="AQ15">
        <v>137.28639360000003</v>
      </c>
      <c r="AR15">
        <v>137.213165</v>
      </c>
      <c r="AS15">
        <v>137.01333880000001</v>
      </c>
      <c r="AT15">
        <v>136.81351260000002</v>
      </c>
      <c r="AU15">
        <v>136.61368640000003</v>
      </c>
      <c r="AV15">
        <v>136.41386020000004</v>
      </c>
      <c r="AW15">
        <v>136.214034</v>
      </c>
      <c r="AX15">
        <v>135.89816500000001</v>
      </c>
      <c r="AY15">
        <v>135.58229600000001</v>
      </c>
      <c r="AZ15">
        <v>135.26642700000002</v>
      </c>
      <c r="BA15">
        <v>134.95055800000003</v>
      </c>
      <c r="BB15">
        <v>134.63468900000001</v>
      </c>
      <c r="BC15">
        <v>134.21868380000001</v>
      </c>
      <c r="BD15">
        <v>133.80267860000001</v>
      </c>
      <c r="BE15">
        <v>133.38667340000001</v>
      </c>
      <c r="BF15">
        <v>132.97066820000001</v>
      </c>
      <c r="BG15">
        <v>132.55466300000001</v>
      </c>
      <c r="BH15">
        <v>132.07442080000001</v>
      </c>
      <c r="BI15">
        <v>131.59417860000002</v>
      </c>
      <c r="BJ15">
        <v>131.11393640000003</v>
      </c>
      <c r="BK15">
        <v>130.63369420000004</v>
      </c>
      <c r="BL15">
        <v>130.15345199999999</v>
      </c>
      <c r="BM15">
        <v>129.63982279999999</v>
      </c>
      <c r="BN15">
        <v>129.12619359999999</v>
      </c>
      <c r="BO15">
        <v>128.6125644</v>
      </c>
      <c r="BP15">
        <v>128.0989352</v>
      </c>
      <c r="BQ15">
        <v>127.585306</v>
      </c>
      <c r="BR15">
        <v>127.0590534</v>
      </c>
      <c r="BS15">
        <v>126.53280079999999</v>
      </c>
      <c r="BT15">
        <v>126.00654819999998</v>
      </c>
      <c r="BU15">
        <v>125.48029559999998</v>
      </c>
      <c r="BV15">
        <v>124.954043</v>
      </c>
      <c r="BW15">
        <v>124.42458419999998</v>
      </c>
      <c r="BX15">
        <v>123.89512539999997</v>
      </c>
      <c r="BY15">
        <v>123.36566659999995</v>
      </c>
      <c r="BZ15">
        <v>122.83620779999994</v>
      </c>
      <c r="CA15">
        <v>122.3067489999999</v>
      </c>
      <c r="CB15">
        <v>121.77525259999993</v>
      </c>
      <c r="CC15">
        <v>121.24375619999996</v>
      </c>
      <c r="CD15">
        <v>120.7122598</v>
      </c>
      <c r="CE15">
        <v>120.18076340000003</v>
      </c>
      <c r="CF15">
        <v>119.64926700000009</v>
      </c>
    </row>
    <row r="16" spans="1:84" x14ac:dyDescent="0.3">
      <c r="A16" s="1" t="s">
        <v>14</v>
      </c>
      <c r="B16" s="8">
        <v>1803.847309</v>
      </c>
      <c r="C16">
        <v>1823.829015</v>
      </c>
      <c r="D16">
        <v>1833.469503</v>
      </c>
      <c r="E16">
        <v>1851.5553206</v>
      </c>
      <c r="F16">
        <v>1869.6411381999999</v>
      </c>
      <c r="G16">
        <v>1887.7269557999998</v>
      </c>
      <c r="H16">
        <v>1905.8127733999997</v>
      </c>
      <c r="I16">
        <v>1923.8985909999999</v>
      </c>
      <c r="J16">
        <v>1942.0604865999999</v>
      </c>
      <c r="K16">
        <v>1960.2223821999999</v>
      </c>
      <c r="L16">
        <v>1978.3842777999998</v>
      </c>
      <c r="M16">
        <v>1996.5461733999998</v>
      </c>
      <c r="N16">
        <v>2014.708069</v>
      </c>
      <c r="O16">
        <v>2030.5372244</v>
      </c>
      <c r="P16">
        <v>2046.3663798</v>
      </c>
      <c r="Q16">
        <v>2062.1955352</v>
      </c>
      <c r="R16">
        <v>2078.0246906000002</v>
      </c>
      <c r="S16">
        <v>2093.853846</v>
      </c>
      <c r="T16">
        <v>2107.063318</v>
      </c>
      <c r="U16">
        <v>2120.27279</v>
      </c>
      <c r="V16">
        <v>2133.482262</v>
      </c>
      <c r="W16">
        <v>2146.691734</v>
      </c>
      <c r="X16">
        <v>2159.901206</v>
      </c>
      <c r="Y16">
        <v>2170.2584185999999</v>
      </c>
      <c r="Z16">
        <v>2180.6156311999998</v>
      </c>
      <c r="AA16">
        <v>2190.9728437999997</v>
      </c>
      <c r="AB16">
        <v>2201.3300563999996</v>
      </c>
      <c r="AC16">
        <v>2211.687269</v>
      </c>
      <c r="AD16">
        <v>2219.3023956000002</v>
      </c>
      <c r="AE16">
        <v>2226.9175222000003</v>
      </c>
      <c r="AF16">
        <v>2234.5326488000005</v>
      </c>
      <c r="AG16">
        <v>2242.1477754000007</v>
      </c>
      <c r="AH16">
        <v>2249.7629019999999</v>
      </c>
      <c r="AI16">
        <v>2255.2217196000001</v>
      </c>
      <c r="AJ16">
        <v>2260.6805372000003</v>
      </c>
      <c r="AK16">
        <v>2266.1393548000005</v>
      </c>
      <c r="AL16">
        <v>2271.5981724000007</v>
      </c>
      <c r="AM16">
        <v>2277.05699</v>
      </c>
      <c r="AN16">
        <v>2280.4906758000002</v>
      </c>
      <c r="AO16">
        <v>2283.9243616000003</v>
      </c>
      <c r="AP16">
        <v>2287.3580474000005</v>
      </c>
      <c r="AQ16">
        <v>2290.7917332000006</v>
      </c>
      <c r="AR16">
        <v>2294.2254189999999</v>
      </c>
      <c r="AS16">
        <v>2295.3792565999997</v>
      </c>
      <c r="AT16">
        <v>2296.5330941999996</v>
      </c>
      <c r="AU16">
        <v>2297.6869317999995</v>
      </c>
      <c r="AV16">
        <v>2298.8407693999993</v>
      </c>
      <c r="AW16">
        <v>2299.9946070000001</v>
      </c>
      <c r="AX16">
        <v>2299.0391336000002</v>
      </c>
      <c r="AY16">
        <v>2298.0836602000004</v>
      </c>
      <c r="AZ16">
        <v>2297.1281868000005</v>
      </c>
      <c r="BA16">
        <v>2296.1727134000007</v>
      </c>
      <c r="BB16">
        <v>2295.2172399999999</v>
      </c>
      <c r="BC16">
        <v>2292.1168785999998</v>
      </c>
      <c r="BD16">
        <v>2289.0165171999997</v>
      </c>
      <c r="BE16">
        <v>2285.9161557999996</v>
      </c>
      <c r="BF16">
        <v>2282.8157943999995</v>
      </c>
      <c r="BG16">
        <v>2279.7154329999998</v>
      </c>
      <c r="BH16">
        <v>2274.7664331999999</v>
      </c>
      <c r="BI16">
        <v>2269.8174334</v>
      </c>
      <c r="BJ16">
        <v>2264.8684336000001</v>
      </c>
      <c r="BK16">
        <v>2259.9194338000002</v>
      </c>
      <c r="BL16">
        <v>2254.9704339999998</v>
      </c>
      <c r="BM16">
        <v>2248.6854169999997</v>
      </c>
      <c r="BN16">
        <v>2242.4003999999995</v>
      </c>
      <c r="BO16">
        <v>2236.1153829999994</v>
      </c>
      <c r="BP16">
        <v>2229.8303659999992</v>
      </c>
      <c r="BQ16">
        <v>2223.545349</v>
      </c>
      <c r="BR16">
        <v>2216.3999159999998</v>
      </c>
      <c r="BS16">
        <v>2209.2544829999997</v>
      </c>
      <c r="BT16">
        <v>2202.1090499999996</v>
      </c>
      <c r="BU16">
        <v>2194.9636169999994</v>
      </c>
      <c r="BV16">
        <v>2187.8181840000002</v>
      </c>
      <c r="BW16">
        <v>2180.0406894000002</v>
      </c>
      <c r="BX16">
        <v>2172.2631948000003</v>
      </c>
      <c r="BY16">
        <v>2164.4857002000003</v>
      </c>
      <c r="BZ16">
        <v>2156.7082056000004</v>
      </c>
      <c r="CA16">
        <v>2148.930711</v>
      </c>
      <c r="CB16">
        <v>2140.8160693999998</v>
      </c>
      <c r="CC16">
        <v>2132.7014277999997</v>
      </c>
      <c r="CD16">
        <v>2124.5867861999996</v>
      </c>
      <c r="CE16">
        <v>2116.4721445999994</v>
      </c>
      <c r="CF16">
        <v>2108.3575030000002</v>
      </c>
    </row>
    <row r="17" spans="1:84" x14ac:dyDescent="0.3">
      <c r="A17" s="1" t="s">
        <v>15</v>
      </c>
      <c r="B17" s="8">
        <v>552.13613899999996</v>
      </c>
      <c r="C17">
        <v>557.76516600000002</v>
      </c>
      <c r="D17">
        <v>585.76562899999999</v>
      </c>
      <c r="E17">
        <v>590.5134908</v>
      </c>
      <c r="F17">
        <v>595.26135260000001</v>
      </c>
      <c r="G17">
        <v>600.00921440000002</v>
      </c>
      <c r="H17">
        <v>604.75707620000003</v>
      </c>
      <c r="I17">
        <v>609.50493799999981</v>
      </c>
      <c r="J17">
        <v>613.99773659999983</v>
      </c>
      <c r="K17">
        <v>618.49053519999984</v>
      </c>
      <c r="L17">
        <v>622.98333379999985</v>
      </c>
      <c r="M17">
        <v>627.47613239999987</v>
      </c>
      <c r="N17">
        <v>631.96893100000011</v>
      </c>
      <c r="O17">
        <v>635.69516900000008</v>
      </c>
      <c r="P17">
        <v>639.42140700000004</v>
      </c>
      <c r="Q17">
        <v>643.14764500000001</v>
      </c>
      <c r="R17">
        <v>646.87388299999998</v>
      </c>
      <c r="S17">
        <v>650.60012099999994</v>
      </c>
      <c r="T17">
        <v>653.4594118</v>
      </c>
      <c r="U17">
        <v>656.31870260000005</v>
      </c>
      <c r="V17">
        <v>659.1779934000001</v>
      </c>
      <c r="W17">
        <v>662.03728420000016</v>
      </c>
      <c r="X17">
        <v>664.8965750000001</v>
      </c>
      <c r="Y17">
        <v>666.93770800000004</v>
      </c>
      <c r="Z17">
        <v>668.97884099999999</v>
      </c>
      <c r="AA17">
        <v>671.01997399999993</v>
      </c>
      <c r="AB17">
        <v>673.06110699999988</v>
      </c>
      <c r="AC17">
        <v>675.10224000000005</v>
      </c>
      <c r="AD17">
        <v>676.35948560000008</v>
      </c>
      <c r="AE17">
        <v>677.61673120000012</v>
      </c>
      <c r="AF17">
        <v>678.87397680000015</v>
      </c>
      <c r="AG17">
        <v>680.13122240000018</v>
      </c>
      <c r="AH17">
        <v>681.38846799999999</v>
      </c>
      <c r="AI17">
        <v>681.96027919999995</v>
      </c>
      <c r="AJ17">
        <v>682.5320903999999</v>
      </c>
      <c r="AK17">
        <v>683.10390159999986</v>
      </c>
      <c r="AL17">
        <v>683.67571279999981</v>
      </c>
      <c r="AM17">
        <v>684.247524</v>
      </c>
      <c r="AN17">
        <v>684.18706680000003</v>
      </c>
      <c r="AO17">
        <v>684.12660960000005</v>
      </c>
      <c r="AP17">
        <v>684.06615240000008</v>
      </c>
      <c r="AQ17">
        <v>684.0056952000001</v>
      </c>
      <c r="AR17">
        <v>683.9452379999999</v>
      </c>
      <c r="AS17">
        <v>683.3751011999999</v>
      </c>
      <c r="AT17">
        <v>682.8049643999999</v>
      </c>
      <c r="AU17">
        <v>682.2348275999999</v>
      </c>
      <c r="AV17">
        <v>681.6646907999999</v>
      </c>
      <c r="AW17">
        <v>681.09455400000002</v>
      </c>
      <c r="AX17">
        <v>680.10343139999998</v>
      </c>
      <c r="AY17">
        <v>679.11230879999994</v>
      </c>
      <c r="AZ17">
        <v>678.1211861999999</v>
      </c>
      <c r="BA17">
        <v>677.13006359999986</v>
      </c>
      <c r="BB17">
        <v>676.13894100000005</v>
      </c>
      <c r="BC17">
        <v>674.76137600000004</v>
      </c>
      <c r="BD17">
        <v>673.38381100000004</v>
      </c>
      <c r="BE17">
        <v>672.00624600000003</v>
      </c>
      <c r="BF17">
        <v>670.62868100000003</v>
      </c>
      <c r="BG17">
        <v>669.25111600000002</v>
      </c>
      <c r="BH17">
        <v>667.50811240000007</v>
      </c>
      <c r="BI17">
        <v>665.76510880000012</v>
      </c>
      <c r="BJ17">
        <v>664.02210520000017</v>
      </c>
      <c r="BK17">
        <v>662.27910160000022</v>
      </c>
      <c r="BL17">
        <v>660.53609800000004</v>
      </c>
      <c r="BM17">
        <v>658.4345194</v>
      </c>
      <c r="BN17">
        <v>656.33294079999996</v>
      </c>
      <c r="BO17">
        <v>654.23136219999992</v>
      </c>
      <c r="BP17">
        <v>652.12978359999988</v>
      </c>
      <c r="BQ17">
        <v>650.02820499999996</v>
      </c>
      <c r="BR17">
        <v>647.6384933999999</v>
      </c>
      <c r="BS17">
        <v>645.24878179999985</v>
      </c>
      <c r="BT17">
        <v>642.85907019999979</v>
      </c>
      <c r="BU17">
        <v>640.46935859999974</v>
      </c>
      <c r="BV17">
        <v>638.07964699999991</v>
      </c>
      <c r="BW17">
        <v>635.47777739999992</v>
      </c>
      <c r="BX17">
        <v>632.87590779999994</v>
      </c>
      <c r="BY17">
        <v>630.27403819999995</v>
      </c>
      <c r="BZ17">
        <v>627.67216859999996</v>
      </c>
      <c r="CA17">
        <v>625.07029899999998</v>
      </c>
      <c r="CB17">
        <v>622.33008080000002</v>
      </c>
      <c r="CC17">
        <v>619.58986260000006</v>
      </c>
      <c r="CD17">
        <v>616.8496444000001</v>
      </c>
      <c r="CE17">
        <v>614.10942620000014</v>
      </c>
      <c r="CF17">
        <v>611.36920799999996</v>
      </c>
    </row>
    <row r="18" spans="1:84" x14ac:dyDescent="0.3">
      <c r="A18" s="1" t="s">
        <v>16</v>
      </c>
      <c r="B18" s="8">
        <v>29.863858</v>
      </c>
      <c r="C18">
        <v>30.314025999999998</v>
      </c>
      <c r="D18">
        <v>30.570668000000001</v>
      </c>
      <c r="E18">
        <v>30.805843800000002</v>
      </c>
      <c r="F18">
        <v>31.041019600000002</v>
      </c>
      <c r="G18">
        <v>31.276195400000002</v>
      </c>
      <c r="H18">
        <v>31.511371200000003</v>
      </c>
      <c r="I18">
        <v>31.746547</v>
      </c>
      <c r="J18">
        <v>31.972086999999998</v>
      </c>
      <c r="K18">
        <v>32.197626999999997</v>
      </c>
      <c r="L18">
        <v>32.423166999999999</v>
      </c>
      <c r="M18">
        <v>32.648707000000002</v>
      </c>
      <c r="N18">
        <v>32.874246999999997</v>
      </c>
      <c r="O18">
        <v>33.0833552</v>
      </c>
      <c r="P18">
        <v>33.292463400000003</v>
      </c>
      <c r="Q18">
        <v>33.501571600000005</v>
      </c>
      <c r="R18">
        <v>33.710679800000008</v>
      </c>
      <c r="S18">
        <v>33.919787999999997</v>
      </c>
      <c r="T18">
        <v>34.116764400000001</v>
      </c>
      <c r="U18">
        <v>34.313740800000005</v>
      </c>
      <c r="V18">
        <v>34.510717200000009</v>
      </c>
      <c r="W18">
        <v>34.707693600000013</v>
      </c>
      <c r="X18">
        <v>34.904670000000003</v>
      </c>
      <c r="Y18">
        <v>35.097880600000003</v>
      </c>
      <c r="Z18">
        <v>35.291091200000004</v>
      </c>
      <c r="AA18">
        <v>35.484301800000004</v>
      </c>
      <c r="AB18">
        <v>35.677512400000005</v>
      </c>
      <c r="AC18">
        <v>35.870723000000012</v>
      </c>
      <c r="AD18">
        <v>36.065335200000007</v>
      </c>
      <c r="AE18">
        <v>36.259947400000001</v>
      </c>
      <c r="AF18">
        <v>36.454559599999996</v>
      </c>
      <c r="AG18">
        <v>36.649171799999991</v>
      </c>
      <c r="AH18">
        <v>36.843783999999999</v>
      </c>
      <c r="AI18">
        <v>37.023302199999996</v>
      </c>
      <c r="AJ18">
        <v>37.202820399999993</v>
      </c>
      <c r="AK18">
        <v>37.38233859999999</v>
      </c>
      <c r="AL18">
        <v>37.561856799999987</v>
      </c>
      <c r="AM18">
        <v>37.741374999999998</v>
      </c>
      <c r="AN18">
        <v>37.906806799999998</v>
      </c>
      <c r="AO18">
        <v>38.072238599999999</v>
      </c>
      <c r="AP18">
        <v>38.237670399999999</v>
      </c>
      <c r="AQ18">
        <v>38.403102199999999</v>
      </c>
      <c r="AR18">
        <v>38.568534000000007</v>
      </c>
      <c r="AS18">
        <v>38.711483200000011</v>
      </c>
      <c r="AT18">
        <v>38.854432400000015</v>
      </c>
      <c r="AU18">
        <v>38.997381600000018</v>
      </c>
      <c r="AV18">
        <v>39.140330800000022</v>
      </c>
      <c r="AW18">
        <v>39.283280000000012</v>
      </c>
      <c r="AX18">
        <v>39.406643800000012</v>
      </c>
      <c r="AY18">
        <v>39.530007600000012</v>
      </c>
      <c r="AZ18">
        <v>39.653371400000012</v>
      </c>
      <c r="BA18">
        <v>39.776735200000012</v>
      </c>
      <c r="BB18">
        <v>39.900098999999997</v>
      </c>
      <c r="BC18">
        <v>40.003051399999997</v>
      </c>
      <c r="BD18">
        <v>40.106003799999996</v>
      </c>
      <c r="BE18">
        <v>40.208956199999996</v>
      </c>
      <c r="BF18">
        <v>40.311908599999995</v>
      </c>
      <c r="BG18">
        <v>40.414860999999988</v>
      </c>
      <c r="BH18">
        <v>40.493481799999991</v>
      </c>
      <c r="BI18">
        <v>40.572102599999994</v>
      </c>
      <c r="BJ18">
        <v>40.650723399999997</v>
      </c>
      <c r="BK18">
        <v>40.7293442</v>
      </c>
      <c r="BL18">
        <v>40.807965000000003</v>
      </c>
      <c r="BM18">
        <v>40.855818599999999</v>
      </c>
      <c r="BN18">
        <v>40.903672199999995</v>
      </c>
      <c r="BO18">
        <v>40.951525799999992</v>
      </c>
      <c r="BP18">
        <v>40.999379399999988</v>
      </c>
      <c r="BQ18">
        <v>41.047232999999999</v>
      </c>
      <c r="BR18">
        <v>41.063605599999995</v>
      </c>
      <c r="BS18">
        <v>41.079978199999992</v>
      </c>
      <c r="BT18">
        <v>41.096350799999989</v>
      </c>
      <c r="BU18">
        <v>41.112723399999986</v>
      </c>
      <c r="BV18">
        <v>41.129095999999997</v>
      </c>
      <c r="BW18">
        <v>41.1200738</v>
      </c>
      <c r="BX18">
        <v>41.111051600000003</v>
      </c>
      <c r="BY18">
        <v>41.102029400000006</v>
      </c>
      <c r="BZ18">
        <v>41.09300720000001</v>
      </c>
      <c r="CA18">
        <v>41.083984999999998</v>
      </c>
      <c r="CB18">
        <v>41.056683400000004</v>
      </c>
      <c r="CC18">
        <v>41.02938180000001</v>
      </c>
      <c r="CD18">
        <v>41.002080200000016</v>
      </c>
      <c r="CE18">
        <v>40.974778600000022</v>
      </c>
      <c r="CF18">
        <v>40.947477000000013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E4B7-1D71-4454-A021-9D95831358FB}">
  <dimension ref="A1:AK37"/>
  <sheetViews>
    <sheetView workbookViewId="0">
      <selection activeCell="I20" sqref="I20:J37"/>
    </sheetView>
  </sheetViews>
  <sheetFormatPr defaultRowHeight="14.4" x14ac:dyDescent="0.3"/>
  <cols>
    <col min="1" max="1" width="24" bestFit="1" customWidth="1"/>
    <col min="2" max="2" width="12.77734375" bestFit="1" customWidth="1"/>
    <col min="3" max="3" width="22.33203125" bestFit="1" customWidth="1"/>
    <col min="4" max="4" width="14.44140625" bestFit="1" customWidth="1"/>
    <col min="5" max="15" width="12" bestFit="1" customWidth="1"/>
    <col min="16" max="16" width="12" style="16" bestFit="1" customWidth="1"/>
    <col min="17" max="37" width="12" bestFit="1" customWidth="1"/>
  </cols>
  <sheetData>
    <row r="1" spans="1:37" x14ac:dyDescent="0.3">
      <c r="A1" t="s">
        <v>38</v>
      </c>
      <c r="B1" t="s">
        <v>39</v>
      </c>
      <c r="C1" t="s">
        <v>40</v>
      </c>
      <c r="D1" t="s">
        <v>41</v>
      </c>
      <c r="E1" s="12">
        <v>1990</v>
      </c>
      <c r="F1" s="12">
        <v>1991</v>
      </c>
      <c r="G1" s="12">
        <v>1992</v>
      </c>
      <c r="H1" s="12">
        <v>1993</v>
      </c>
      <c r="I1" s="12">
        <v>1994</v>
      </c>
      <c r="J1" s="12">
        <v>1995</v>
      </c>
      <c r="K1" s="12">
        <v>1996</v>
      </c>
      <c r="L1" s="12">
        <v>1997</v>
      </c>
      <c r="M1" s="12">
        <v>1998</v>
      </c>
      <c r="N1" s="12">
        <v>1999</v>
      </c>
      <c r="O1" s="13">
        <v>2000</v>
      </c>
      <c r="P1" s="14">
        <v>2001</v>
      </c>
      <c r="Q1" s="12">
        <v>2002</v>
      </c>
      <c r="R1" s="12">
        <v>2003</v>
      </c>
      <c r="S1" s="12">
        <v>2004</v>
      </c>
      <c r="T1" s="12">
        <v>2005</v>
      </c>
      <c r="U1" s="12">
        <v>2006</v>
      </c>
      <c r="V1" s="12">
        <v>2007</v>
      </c>
      <c r="W1" s="12">
        <v>2008</v>
      </c>
      <c r="X1" s="12">
        <v>2009</v>
      </c>
      <c r="Y1" s="12">
        <v>2010</v>
      </c>
      <c r="Z1" s="12">
        <v>2011</v>
      </c>
      <c r="AA1" s="12">
        <v>2012</v>
      </c>
      <c r="AB1" s="12">
        <v>2013</v>
      </c>
      <c r="AC1" s="12">
        <v>2014</v>
      </c>
      <c r="AD1" s="12">
        <v>2015</v>
      </c>
      <c r="AE1" s="12">
        <v>2016</v>
      </c>
      <c r="AF1" s="12">
        <v>2017</v>
      </c>
      <c r="AG1" s="12">
        <v>2018</v>
      </c>
      <c r="AH1" s="12">
        <v>2019</v>
      </c>
      <c r="AI1" s="12">
        <v>2020</v>
      </c>
      <c r="AJ1" s="12">
        <v>2021</v>
      </c>
      <c r="AK1" s="12">
        <v>2022</v>
      </c>
    </row>
    <row r="2" spans="1:37" x14ac:dyDescent="0.3">
      <c r="A2" t="s">
        <v>42</v>
      </c>
      <c r="B2" t="s">
        <v>43</v>
      </c>
      <c r="C2" t="s">
        <v>44</v>
      </c>
      <c r="D2" t="s">
        <v>45</v>
      </c>
      <c r="E2">
        <v>39.026192440652544</v>
      </c>
      <c r="F2">
        <v>39.03767404634835</v>
      </c>
      <c r="G2">
        <v>38.133504278952863</v>
      </c>
      <c r="H2">
        <v>38.197922180776587</v>
      </c>
      <c r="I2">
        <v>37.896597969123754</v>
      </c>
      <c r="J2">
        <v>37.682640300536306</v>
      </c>
      <c r="K2">
        <v>35.965810904207366</v>
      </c>
      <c r="L2">
        <v>35.91391945615679</v>
      </c>
      <c r="M2">
        <v>37.723447121906247</v>
      </c>
      <c r="N2">
        <v>35.375721389430772</v>
      </c>
      <c r="O2" s="15">
        <v>33.893581402048447</v>
      </c>
      <c r="P2" s="16">
        <v>31.937637184407315</v>
      </c>
      <c r="Q2">
        <v>31.454400861146215</v>
      </c>
      <c r="R2">
        <v>32.981863271075341</v>
      </c>
      <c r="S2">
        <v>35.462260619603384</v>
      </c>
      <c r="T2">
        <v>33.765623625266045</v>
      </c>
      <c r="U2">
        <v>32.890553463484288</v>
      </c>
      <c r="V2">
        <v>33.453472607513788</v>
      </c>
      <c r="W2">
        <v>33.321905140018359</v>
      </c>
      <c r="X2">
        <v>33.281454755503333</v>
      </c>
      <c r="Y2">
        <v>35.044507441793932</v>
      </c>
      <c r="Z2">
        <v>34.671316676558163</v>
      </c>
      <c r="AA2">
        <v>34.663786943394101</v>
      </c>
      <c r="AB2">
        <v>34.84908939476783</v>
      </c>
      <c r="AC2">
        <v>34.987081526997166</v>
      </c>
      <c r="AD2">
        <v>36.348664684523783</v>
      </c>
      <c r="AE2">
        <v>36.785225542495439</v>
      </c>
      <c r="AF2">
        <v>37.014063947339494</v>
      </c>
      <c r="AG2">
        <v>35.855122849375768</v>
      </c>
      <c r="AH2">
        <v>34.780382326942799</v>
      </c>
      <c r="AI2">
        <v>36.228746360175897</v>
      </c>
      <c r="AJ2">
        <v>36.75142807388189</v>
      </c>
      <c r="AK2">
        <v>34.46754277841498</v>
      </c>
    </row>
    <row r="3" spans="1:37" x14ac:dyDescent="0.3">
      <c r="A3" t="s">
        <v>46</v>
      </c>
      <c r="B3" t="s">
        <v>47</v>
      </c>
      <c r="C3" t="s">
        <v>44</v>
      </c>
      <c r="D3" t="s">
        <v>45</v>
      </c>
      <c r="E3">
        <v>36.687703026478651</v>
      </c>
      <c r="F3">
        <v>38.485437642300852</v>
      </c>
      <c r="G3">
        <v>40.569222269614514</v>
      </c>
      <c r="H3">
        <v>41.633008101463851</v>
      </c>
      <c r="I3">
        <v>41.69672689004652</v>
      </c>
      <c r="J3">
        <v>39.530099733356813</v>
      </c>
      <c r="K3">
        <v>38.759124188298486</v>
      </c>
      <c r="L3">
        <v>39.742242181975293</v>
      </c>
      <c r="M3">
        <v>38.347084943467294</v>
      </c>
      <c r="N3">
        <v>36.55790945495405</v>
      </c>
      <c r="O3" s="15">
        <v>35.739553532797231</v>
      </c>
      <c r="P3" s="16">
        <v>37.26929737125063</v>
      </c>
      <c r="Q3">
        <v>38.883220894083671</v>
      </c>
      <c r="R3">
        <v>42.413504346459824</v>
      </c>
      <c r="S3">
        <v>45.672367332991854</v>
      </c>
      <c r="T3">
        <v>45.954784309928812</v>
      </c>
      <c r="U3">
        <v>48.260505427362652</v>
      </c>
      <c r="V3">
        <v>50.275226216185622</v>
      </c>
      <c r="W3">
        <v>51.787587383578703</v>
      </c>
      <c r="X3">
        <v>50.373042080963785</v>
      </c>
      <c r="Y3">
        <v>51.326713575162117</v>
      </c>
      <c r="Z3">
        <v>49.233328250646089</v>
      </c>
      <c r="AA3">
        <v>48.665363405982639</v>
      </c>
      <c r="AB3">
        <v>47.378391543749231</v>
      </c>
      <c r="AC3">
        <v>47.615818412863973</v>
      </c>
      <c r="AD3">
        <v>45.417589432033687</v>
      </c>
      <c r="AE3">
        <v>44.380661438072757</v>
      </c>
      <c r="AF3">
        <v>44.905047503789206</v>
      </c>
      <c r="AG3">
        <v>44.485747986041289</v>
      </c>
      <c r="AH3">
        <v>43.77302795897802</v>
      </c>
      <c r="AI3">
        <v>43.926416655980098</v>
      </c>
      <c r="AJ3">
        <v>45.470684635345734</v>
      </c>
      <c r="AK3">
        <v>46.017434634732126</v>
      </c>
    </row>
    <row r="4" spans="1:37" x14ac:dyDescent="0.3">
      <c r="A4" t="s">
        <v>48</v>
      </c>
      <c r="B4" t="s">
        <v>49</v>
      </c>
      <c r="C4" t="s">
        <v>44</v>
      </c>
      <c r="D4" t="s">
        <v>45</v>
      </c>
      <c r="K4">
        <v>33.427340662550591</v>
      </c>
      <c r="L4">
        <v>33.210080234917129</v>
      </c>
      <c r="M4">
        <v>32.354470968369441</v>
      </c>
      <c r="N4">
        <v>30.651830649459207</v>
      </c>
      <c r="O4" s="15">
        <v>31.030854227400319</v>
      </c>
      <c r="P4" s="16">
        <v>29.722942026635845</v>
      </c>
      <c r="Q4">
        <v>28.504410929851719</v>
      </c>
      <c r="R4">
        <v>28.715876806283081</v>
      </c>
      <c r="S4">
        <v>29.315884376402725</v>
      </c>
      <c r="T4">
        <v>29.514876978896659</v>
      </c>
      <c r="U4">
        <v>29.815932177796473</v>
      </c>
      <c r="V4">
        <v>30.343379938352932</v>
      </c>
      <c r="W4">
        <v>28.642107407024241</v>
      </c>
      <c r="X4">
        <v>25.3311155031213</v>
      </c>
      <c r="Y4">
        <v>26.377322723445886</v>
      </c>
      <c r="Z4">
        <v>25.580571408526591</v>
      </c>
      <c r="AA4">
        <v>24.895748835137983</v>
      </c>
      <c r="AB4">
        <v>25.252523131586447</v>
      </c>
      <c r="AC4">
        <v>25.772088625781432</v>
      </c>
      <c r="AD4">
        <v>28.178915820503512</v>
      </c>
      <c r="AE4">
        <v>28.727223241371885</v>
      </c>
      <c r="AF4">
        <v>29.289667171355404</v>
      </c>
      <c r="AG4">
        <v>29.125467458636205</v>
      </c>
      <c r="AH4">
        <v>29.171701898643391</v>
      </c>
      <c r="AI4">
        <v>28.167667151929781</v>
      </c>
      <c r="AJ4">
        <v>29.550450386397298</v>
      </c>
      <c r="AK4">
        <v>28.457254565881325</v>
      </c>
    </row>
    <row r="5" spans="1:37" x14ac:dyDescent="0.3">
      <c r="A5" t="s">
        <v>50</v>
      </c>
      <c r="B5" t="s">
        <v>51</v>
      </c>
      <c r="C5" t="s">
        <v>44</v>
      </c>
      <c r="D5" t="s">
        <v>45</v>
      </c>
      <c r="I5">
        <v>29.576019747850999</v>
      </c>
      <c r="J5">
        <v>28.022708872617368</v>
      </c>
      <c r="K5">
        <v>27.11592260421488</v>
      </c>
      <c r="L5">
        <v>21.945356804697859</v>
      </c>
      <c r="M5">
        <v>19.323508143562783</v>
      </c>
      <c r="N5">
        <v>28.24599054555414</v>
      </c>
      <c r="O5" s="15">
        <v>36.154207555873597</v>
      </c>
      <c r="P5" s="16">
        <v>32.512918640968749</v>
      </c>
      <c r="Q5">
        <v>28.774776224551037</v>
      </c>
      <c r="R5">
        <v>28.266238558418461</v>
      </c>
      <c r="S5">
        <v>30.260439743493894</v>
      </c>
      <c r="T5">
        <v>30.546576821905465</v>
      </c>
      <c r="U5">
        <v>30.660876496889227</v>
      </c>
      <c r="V5">
        <v>31.266854689758162</v>
      </c>
      <c r="W5">
        <v>30.063881910679015</v>
      </c>
      <c r="X5">
        <v>20.876204365361577</v>
      </c>
      <c r="Y5">
        <v>26.283714313898045</v>
      </c>
      <c r="Z5">
        <v>28.757564309685129</v>
      </c>
      <c r="AA5">
        <v>27.244171350790385</v>
      </c>
      <c r="AB5">
        <v>24.282095838187701</v>
      </c>
      <c r="AC5">
        <v>24.512180821126243</v>
      </c>
      <c r="AD5">
        <v>26.366709537342004</v>
      </c>
      <c r="AE5">
        <v>25.0134122865718</v>
      </c>
      <c r="AF5">
        <v>25.668685135584518</v>
      </c>
      <c r="AG5">
        <v>28.949268495211189</v>
      </c>
      <c r="AH5">
        <v>26.537277231081259</v>
      </c>
      <c r="AI5">
        <v>25.76849841541874</v>
      </c>
      <c r="AJ5">
        <v>30.842383798788575</v>
      </c>
      <c r="AK5">
        <v>31.558791816472155</v>
      </c>
    </row>
    <row r="6" spans="1:37" x14ac:dyDescent="0.3">
      <c r="A6" t="s">
        <v>52</v>
      </c>
      <c r="B6" t="s">
        <v>53</v>
      </c>
      <c r="C6" t="s">
        <v>44</v>
      </c>
      <c r="D6" t="s">
        <v>45</v>
      </c>
      <c r="E6">
        <v>23.384450692370713</v>
      </c>
      <c r="F6">
        <v>25.482098783947333</v>
      </c>
      <c r="G6">
        <v>36.49696871021743</v>
      </c>
      <c r="H6">
        <v>41.80193837610522</v>
      </c>
      <c r="I6">
        <v>40.562270614229874</v>
      </c>
      <c r="J6">
        <v>38.793438344130152</v>
      </c>
      <c r="K6">
        <v>33.032632858656882</v>
      </c>
      <c r="L6">
        <v>37.163973725802414</v>
      </c>
      <c r="M6">
        <v>30.866900481529335</v>
      </c>
      <c r="N6">
        <v>33.437759640241801</v>
      </c>
      <c r="O6" s="15">
        <v>17.423610400329149</v>
      </c>
      <c r="P6" s="16">
        <v>17.91789010489002</v>
      </c>
      <c r="Q6">
        <v>16.282913045996068</v>
      </c>
      <c r="R6">
        <v>25.038073118947128</v>
      </c>
      <c r="S6">
        <v>33.657794660217235</v>
      </c>
      <c r="T6">
        <v>39.557573643807878</v>
      </c>
      <c r="U6">
        <v>45.957424720229653</v>
      </c>
      <c r="V6">
        <v>41.031679970481896</v>
      </c>
      <c r="W6">
        <v>29.961488725963886</v>
      </c>
      <c r="X6">
        <v>27.228455914048901</v>
      </c>
      <c r="Y6">
        <v>26.630448355137382</v>
      </c>
      <c r="Z6">
        <v>30.403588523709001</v>
      </c>
      <c r="AA6">
        <v>27.69827510446104</v>
      </c>
      <c r="AB6">
        <v>26.280052017443033</v>
      </c>
      <c r="AC6">
        <v>23.445575523213758</v>
      </c>
      <c r="AD6">
        <v>16.400559409387821</v>
      </c>
      <c r="AE6">
        <v>16.976093238103516</v>
      </c>
      <c r="AF6">
        <v>17.358321189065503</v>
      </c>
      <c r="AG6">
        <v>22.140894480847194</v>
      </c>
      <c r="AH6">
        <v>20.258626658086794</v>
      </c>
      <c r="AI6">
        <v>16.30696649764052</v>
      </c>
      <c r="AJ6">
        <v>20.292334368325847</v>
      </c>
      <c r="AK6">
        <v>24.630550974780192</v>
      </c>
    </row>
    <row r="7" spans="1:37" x14ac:dyDescent="0.3">
      <c r="A7" t="s">
        <v>54</v>
      </c>
      <c r="B7" t="s">
        <v>55</v>
      </c>
      <c r="C7" t="s">
        <v>44</v>
      </c>
      <c r="D7" t="s">
        <v>45</v>
      </c>
      <c r="O7" s="15"/>
    </row>
    <row r="8" spans="1:37" x14ac:dyDescent="0.3">
      <c r="A8" t="s">
        <v>56</v>
      </c>
      <c r="B8" t="s">
        <v>57</v>
      </c>
      <c r="C8" t="s">
        <v>44</v>
      </c>
      <c r="D8" t="s">
        <v>45</v>
      </c>
      <c r="E8">
        <v>18.759265246655122</v>
      </c>
      <c r="F8">
        <v>18.814188530314972</v>
      </c>
      <c r="G8">
        <v>17.688024695693944</v>
      </c>
      <c r="H8">
        <v>17.05100444568604</v>
      </c>
      <c r="I8">
        <v>17.861705041527404</v>
      </c>
      <c r="J8">
        <v>18.758936975547233</v>
      </c>
      <c r="K8">
        <v>19.651122576866793</v>
      </c>
      <c r="L8">
        <v>20.847651961459299</v>
      </c>
      <c r="M8">
        <v>21.390497489756445</v>
      </c>
      <c r="N8">
        <v>20.926097874167588</v>
      </c>
      <c r="O8" s="15">
        <v>20.813343318338951</v>
      </c>
      <c r="P8" s="16">
        <v>19.657274659966951</v>
      </c>
      <c r="Q8">
        <v>18.380851293891673</v>
      </c>
      <c r="R8">
        <v>17.428726936811813</v>
      </c>
      <c r="S8">
        <v>17.733164769422352</v>
      </c>
      <c r="T8">
        <v>18.12245495312758</v>
      </c>
      <c r="U8">
        <v>19.199748877726801</v>
      </c>
      <c r="V8">
        <v>17.427949807313041</v>
      </c>
      <c r="W8">
        <v>15.05881108269519</v>
      </c>
      <c r="X8">
        <v>13.893051379237583</v>
      </c>
      <c r="Y8">
        <v>15.383257822254976</v>
      </c>
      <c r="Z8">
        <v>16.337329598984578</v>
      </c>
      <c r="AA8">
        <v>18.379291890792164</v>
      </c>
      <c r="AB8">
        <v>18.604639710505715</v>
      </c>
      <c r="AC8">
        <v>19.721013463213033</v>
      </c>
      <c r="AD8">
        <v>19.794720940222618</v>
      </c>
      <c r="AE8">
        <v>18.667693545627817</v>
      </c>
      <c r="AF8">
        <v>19.110374720054338</v>
      </c>
      <c r="AG8">
        <v>19.347732486375872</v>
      </c>
      <c r="AH8">
        <v>19.636914501153136</v>
      </c>
      <c r="AI8">
        <v>18.849728040064281</v>
      </c>
      <c r="AJ8">
        <v>18.159924385009287</v>
      </c>
      <c r="AK8">
        <v>18.583147600011007</v>
      </c>
    </row>
    <row r="9" spans="1:37" x14ac:dyDescent="0.3">
      <c r="A9" t="s">
        <v>58</v>
      </c>
      <c r="B9" t="s">
        <v>59</v>
      </c>
      <c r="C9" t="s">
        <v>44</v>
      </c>
      <c r="D9" t="s">
        <v>45</v>
      </c>
      <c r="E9">
        <v>18.92126167626791</v>
      </c>
      <c r="F9">
        <v>18.662661314401355</v>
      </c>
      <c r="G9">
        <v>20.091829459241374</v>
      </c>
      <c r="H9">
        <v>20.184838177731439</v>
      </c>
      <c r="I9">
        <v>19.097427357209039</v>
      </c>
      <c r="J9">
        <v>14.439362707423125</v>
      </c>
      <c r="K9">
        <v>14.041321016100468</v>
      </c>
      <c r="L9">
        <v>13.711158574772009</v>
      </c>
      <c r="M9">
        <v>13.890452939410197</v>
      </c>
      <c r="N9">
        <v>12.736901451250182</v>
      </c>
      <c r="O9" s="15">
        <v>13.991703128315214</v>
      </c>
      <c r="P9">
        <v>13.594597375319994</v>
      </c>
      <c r="Q9">
        <v>15.405872269643609</v>
      </c>
      <c r="R9">
        <v>16.417941808670435</v>
      </c>
      <c r="S9">
        <v>18.855018861684663</v>
      </c>
      <c r="T9">
        <v>18.114095552394609</v>
      </c>
      <c r="U9">
        <v>18.409816355954622</v>
      </c>
      <c r="V9">
        <v>19.346360326195075</v>
      </c>
      <c r="W9">
        <v>19.226846634159227</v>
      </c>
      <c r="X9">
        <v>16.380365067051546</v>
      </c>
      <c r="Y9">
        <v>17.802399379775085</v>
      </c>
      <c r="Z9">
        <v>18.601266433430361</v>
      </c>
      <c r="AA9">
        <v>17.678108528340992</v>
      </c>
      <c r="AB9">
        <v>18.151690825189569</v>
      </c>
      <c r="AC9">
        <v>16.13440500048328</v>
      </c>
      <c r="AD9">
        <v>14.529347178497881</v>
      </c>
      <c r="AE9">
        <v>13.421753005251002</v>
      </c>
      <c r="AF9">
        <v>13.577769686877444</v>
      </c>
      <c r="AG9">
        <v>12.707419953344271</v>
      </c>
      <c r="AH9">
        <v>12.250795843097817</v>
      </c>
      <c r="AI9">
        <v>14.793333920497915</v>
      </c>
      <c r="AJ9">
        <v>17.401875558104365</v>
      </c>
      <c r="AK9">
        <v>15.946297735285366</v>
      </c>
    </row>
    <row r="10" spans="1:37" x14ac:dyDescent="0.3">
      <c r="A10" t="s">
        <v>60</v>
      </c>
      <c r="B10" t="s">
        <v>61</v>
      </c>
      <c r="C10" t="s">
        <v>44</v>
      </c>
      <c r="D10" t="s">
        <v>45</v>
      </c>
      <c r="E10">
        <v>24.40255623946415</v>
      </c>
      <c r="F10">
        <v>23.716941789457575</v>
      </c>
      <c r="G10">
        <v>23.509816965586474</v>
      </c>
      <c r="H10">
        <v>22.513156844831901</v>
      </c>
      <c r="I10">
        <v>22.748057207100398</v>
      </c>
      <c r="J10">
        <v>23.038072905414431</v>
      </c>
      <c r="K10">
        <v>22.521541031625425</v>
      </c>
      <c r="L10">
        <v>22.785680667802861</v>
      </c>
      <c r="M10">
        <v>23.226001372923776</v>
      </c>
      <c r="N10">
        <v>22.563416009633581</v>
      </c>
      <c r="O10" s="15">
        <v>22.6689179170166</v>
      </c>
      <c r="P10">
        <v>22.540647689815117</v>
      </c>
      <c r="Q10">
        <v>22.639589649841234</v>
      </c>
      <c r="R10">
        <v>21.796395428576655</v>
      </c>
      <c r="S10">
        <v>24.320947270900721</v>
      </c>
      <c r="T10">
        <v>24.130960154079524</v>
      </c>
      <c r="U10">
        <v>26.338421875858508</v>
      </c>
      <c r="V10">
        <v>28.267438095519339</v>
      </c>
      <c r="W10">
        <v>27.148700022264695</v>
      </c>
      <c r="X10">
        <v>24.396838769595437</v>
      </c>
      <c r="Y10">
        <v>25.776368507764637</v>
      </c>
      <c r="Z10">
        <v>27.822586882658641</v>
      </c>
      <c r="AA10">
        <v>26.800263607892873</v>
      </c>
      <c r="AB10">
        <v>26.582385466817549</v>
      </c>
      <c r="AC10">
        <v>27.574904363388747</v>
      </c>
      <c r="AD10">
        <v>28.310644984339866</v>
      </c>
      <c r="AE10">
        <v>28.603994946207973</v>
      </c>
      <c r="AF10">
        <v>28.839017924295973</v>
      </c>
      <c r="AG10">
        <v>29.878431742982976</v>
      </c>
      <c r="AH10">
        <v>30.087281919586662</v>
      </c>
      <c r="AI10">
        <v>29.031497466695022</v>
      </c>
      <c r="AJ10">
        <v>30.836994346151826</v>
      </c>
      <c r="AK10">
        <v>29.11095414989725</v>
      </c>
    </row>
    <row r="11" spans="1:37" x14ac:dyDescent="0.3">
      <c r="A11" t="s">
        <v>62</v>
      </c>
      <c r="B11" t="s">
        <v>63</v>
      </c>
      <c r="C11" t="s">
        <v>44</v>
      </c>
      <c r="D11" t="s">
        <v>45</v>
      </c>
      <c r="J11">
        <v>21.092022753723992</v>
      </c>
      <c r="K11">
        <v>20.645939517986928</v>
      </c>
      <c r="L11">
        <v>20.361849282983339</v>
      </c>
      <c r="M11">
        <v>21.2853887725806</v>
      </c>
      <c r="N11">
        <v>20.201499875765347</v>
      </c>
      <c r="O11" s="15">
        <v>18.424617379419438</v>
      </c>
      <c r="P11">
        <v>17.228498006520393</v>
      </c>
      <c r="Q11">
        <v>15.518120311026404</v>
      </c>
      <c r="R11">
        <v>16.234278529708952</v>
      </c>
      <c r="S11">
        <v>14.10288373416955</v>
      </c>
      <c r="T11">
        <v>16.518816440491456</v>
      </c>
      <c r="U11">
        <v>17.106708945785186</v>
      </c>
      <c r="V11">
        <v>18.567864822805404</v>
      </c>
      <c r="W11">
        <v>17.958376506781811</v>
      </c>
      <c r="X11">
        <v>16.67393824952169</v>
      </c>
      <c r="Y11">
        <v>15.891722946970374</v>
      </c>
      <c r="Z11">
        <v>17.537650514629828</v>
      </c>
      <c r="AA11">
        <v>16.931510796601309</v>
      </c>
      <c r="AB11">
        <v>17.39417003452494</v>
      </c>
      <c r="AC11">
        <v>18.089313424464525</v>
      </c>
      <c r="AD11">
        <v>19.716784980130345</v>
      </c>
      <c r="AE11">
        <v>19.249536575824813</v>
      </c>
      <c r="AF11">
        <v>18.886346404784639</v>
      </c>
      <c r="AG11">
        <v>19.518309144204</v>
      </c>
      <c r="AH11">
        <v>20.255840336125274</v>
      </c>
      <c r="AI11">
        <v>21.159510935813124</v>
      </c>
      <c r="AJ11">
        <v>20.471551437906104</v>
      </c>
      <c r="AK11">
        <v>19.583710946013181</v>
      </c>
    </row>
    <row r="12" spans="1:37" x14ac:dyDescent="0.3">
      <c r="A12" t="s">
        <v>64</v>
      </c>
      <c r="B12" t="s">
        <v>65</v>
      </c>
      <c r="C12" t="s">
        <v>44</v>
      </c>
      <c r="D12" t="s">
        <v>45</v>
      </c>
      <c r="I12">
        <v>32.270299625592621</v>
      </c>
      <c r="J12">
        <v>23.406279818080495</v>
      </c>
      <c r="K12">
        <v>19.97886900109177</v>
      </c>
      <c r="L12">
        <v>18.787762662668023</v>
      </c>
      <c r="M12">
        <v>18.330679621416664</v>
      </c>
      <c r="N12">
        <v>22.452694110792535</v>
      </c>
      <c r="O12" s="15">
        <v>20.930412872456394</v>
      </c>
      <c r="P12">
        <v>21.886008097549425</v>
      </c>
      <c r="Q12">
        <v>23.871722338962492</v>
      </c>
      <c r="R12">
        <v>23.911806382434065</v>
      </c>
      <c r="S12">
        <v>27.904745709618954</v>
      </c>
      <c r="T12">
        <v>21.933385230416004</v>
      </c>
      <c r="U12">
        <v>19.403390688438243</v>
      </c>
      <c r="V12">
        <v>20.207127888740072</v>
      </c>
      <c r="W12">
        <v>16.208772749311429</v>
      </c>
      <c r="X12">
        <v>12.070582892838965</v>
      </c>
      <c r="Y12">
        <v>13.944102948459955</v>
      </c>
      <c r="Z12">
        <v>11.722376410229044</v>
      </c>
      <c r="AA12">
        <v>12.298114880994808</v>
      </c>
      <c r="AB12">
        <v>7.8864745638709186</v>
      </c>
      <c r="AC12">
        <v>9.9016230559922871</v>
      </c>
      <c r="AD12">
        <v>21.457078490292396</v>
      </c>
      <c r="AE12">
        <v>19.732085269226914</v>
      </c>
      <c r="AF12">
        <v>16.863610303341545</v>
      </c>
      <c r="AG12">
        <v>13.622164546266019</v>
      </c>
      <c r="AH12">
        <v>12.285006723502324</v>
      </c>
      <c r="AI12">
        <v>12.219560426771412</v>
      </c>
      <c r="AJ12">
        <v>12.556590093726683</v>
      </c>
      <c r="AK12">
        <v>16.819282387188046</v>
      </c>
    </row>
    <row r="13" spans="1:37" x14ac:dyDescent="0.3">
      <c r="A13" t="s">
        <v>66</v>
      </c>
      <c r="B13" t="s">
        <v>67</v>
      </c>
      <c r="C13" t="s">
        <v>44</v>
      </c>
      <c r="D13" t="s">
        <v>45</v>
      </c>
      <c r="E13">
        <v>15.192293445301388</v>
      </c>
      <c r="F13">
        <v>8.5851149037527321</v>
      </c>
      <c r="G13">
        <v>16.719143485153843</v>
      </c>
      <c r="H13">
        <v>15.50817276823779</v>
      </c>
      <c r="I13">
        <v>15.396782433545933</v>
      </c>
      <c r="J13">
        <v>19.802536381768991</v>
      </c>
      <c r="K13">
        <v>22.154593923915435</v>
      </c>
      <c r="L13">
        <v>22.762746792385602</v>
      </c>
      <c r="M13">
        <v>16.768094165836906</v>
      </c>
      <c r="N13">
        <v>25.621286827081857</v>
      </c>
      <c r="O13" s="15">
        <v>30.258205393145417</v>
      </c>
      <c r="P13">
        <v>28.027597577404666</v>
      </c>
      <c r="Q13">
        <v>29.270317119371253</v>
      </c>
      <c r="R13">
        <v>34.816382256345143</v>
      </c>
      <c r="S13">
        <v>42.139735574480547</v>
      </c>
      <c r="T13">
        <v>48.653107962521801</v>
      </c>
      <c r="U13">
        <v>48.50552785940112</v>
      </c>
      <c r="V13">
        <v>48.927727753970416</v>
      </c>
      <c r="W13">
        <v>52.752269343226551</v>
      </c>
      <c r="X13">
        <v>36.598621488756891</v>
      </c>
      <c r="Y13">
        <v>43.563651405824217</v>
      </c>
      <c r="Z13">
        <v>50.972545871355393</v>
      </c>
      <c r="AA13">
        <v>49.25621949132919</v>
      </c>
      <c r="AB13">
        <v>44.85548429775163</v>
      </c>
      <c r="AC13">
        <v>39.055791313494765</v>
      </c>
      <c r="AD13">
        <v>25.75074698138619</v>
      </c>
      <c r="AE13">
        <v>27.317567691058141</v>
      </c>
      <c r="AF13">
        <v>30.259679298846603</v>
      </c>
      <c r="AG13">
        <v>34.624505656024894</v>
      </c>
      <c r="AH13">
        <v>32.854529067618252</v>
      </c>
      <c r="AI13">
        <v>24.584440684475943</v>
      </c>
      <c r="AJ13">
        <v>30.518557632977146</v>
      </c>
      <c r="AK13">
        <v>40.291829974806667</v>
      </c>
    </row>
    <row r="14" spans="1:37" x14ac:dyDescent="0.3">
      <c r="A14" t="s">
        <v>68</v>
      </c>
      <c r="B14" t="s">
        <v>69</v>
      </c>
      <c r="C14" t="s">
        <v>44</v>
      </c>
      <c r="D14" t="s">
        <v>45</v>
      </c>
      <c r="E14">
        <v>14.53396526090842</v>
      </c>
      <c r="F14">
        <v>14.919015349846413</v>
      </c>
      <c r="G14">
        <v>14.765270875913449</v>
      </c>
      <c r="H14">
        <v>15.818170849511221</v>
      </c>
      <c r="I14">
        <v>15.371343978796915</v>
      </c>
      <c r="J14">
        <v>16.722924375095165</v>
      </c>
      <c r="K14">
        <v>15.667634046853438</v>
      </c>
      <c r="L14">
        <v>14.872100567822677</v>
      </c>
      <c r="M14">
        <v>14.770726942676196</v>
      </c>
      <c r="N14">
        <v>14.413492540398263</v>
      </c>
      <c r="O14" s="15">
        <v>15.107131138490349</v>
      </c>
      <c r="P14">
        <v>14.759870986180029</v>
      </c>
      <c r="Q14">
        <v>17.946274668955308</v>
      </c>
      <c r="R14">
        <v>18.38560219361311</v>
      </c>
      <c r="S14">
        <v>16.981241346682172</v>
      </c>
      <c r="T14">
        <v>17.698097525412088</v>
      </c>
      <c r="U14">
        <v>18.106624401937804</v>
      </c>
      <c r="V14">
        <v>17.007036591815396</v>
      </c>
      <c r="W14">
        <v>16.323646336866172</v>
      </c>
      <c r="X14">
        <v>17.377436226823413</v>
      </c>
      <c r="Y14">
        <v>17.142405911840022</v>
      </c>
      <c r="Z14">
        <v>16.102056856890158</v>
      </c>
      <c r="AA14">
        <v>13.497377204014086</v>
      </c>
      <c r="AB14">
        <v>13.837843683824612</v>
      </c>
      <c r="AC14">
        <v>13.681773416440098</v>
      </c>
      <c r="AD14">
        <v>14.288975935154994</v>
      </c>
      <c r="AE14">
        <v>14.287918390862947</v>
      </c>
      <c r="AF14">
        <v>14.243708084735104</v>
      </c>
      <c r="AG14">
        <v>13.230236526880541</v>
      </c>
      <c r="AH14">
        <v>13.216023152561576</v>
      </c>
      <c r="AI14">
        <v>14.475139005600299</v>
      </c>
      <c r="AJ14">
        <v>16.340361162951929</v>
      </c>
      <c r="AK14">
        <v>14.86974172960368</v>
      </c>
    </row>
    <row r="15" spans="1:37" x14ac:dyDescent="0.3">
      <c r="A15" t="s">
        <v>70</v>
      </c>
      <c r="B15" t="s">
        <v>71</v>
      </c>
      <c r="C15" t="s">
        <v>44</v>
      </c>
      <c r="D15" t="s">
        <v>45</v>
      </c>
      <c r="K15">
        <v>21.196503227514004</v>
      </c>
      <c r="L15">
        <v>21.795506172378939</v>
      </c>
      <c r="M15">
        <v>23.344799829370917</v>
      </c>
      <c r="N15">
        <v>26.871376208600246</v>
      </c>
      <c r="O15" s="15">
        <v>31.247793312653123</v>
      </c>
      <c r="P15">
        <v>31.301895580413259</v>
      </c>
      <c r="Q15">
        <v>32.527674508457117</v>
      </c>
      <c r="R15">
        <v>31.493220573482294</v>
      </c>
      <c r="S15">
        <v>33.466382686035509</v>
      </c>
      <c r="T15">
        <v>33.075033652529925</v>
      </c>
      <c r="U15">
        <v>33.330763377654691</v>
      </c>
      <c r="V15">
        <v>31.840216892624056</v>
      </c>
      <c r="W15">
        <v>27.90047255741943</v>
      </c>
      <c r="X15">
        <v>27.502746171331605</v>
      </c>
      <c r="Y15">
        <v>33.436208245426506</v>
      </c>
      <c r="Z15">
        <v>35.765899697637039</v>
      </c>
      <c r="AA15">
        <v>34.865017516768262</v>
      </c>
      <c r="AB15">
        <v>33.201341868005194</v>
      </c>
      <c r="AC15">
        <v>32.991551838695109</v>
      </c>
      <c r="AD15">
        <v>28.072939959332878</v>
      </c>
      <c r="AE15">
        <v>28.46944740499044</v>
      </c>
      <c r="AF15">
        <v>28.856870717815003</v>
      </c>
      <c r="AG15">
        <v>30.931697782421519</v>
      </c>
      <c r="AH15">
        <v>31.333031481977315</v>
      </c>
      <c r="AI15">
        <v>33.00732585528128</v>
      </c>
      <c r="AJ15">
        <v>32.652751566644113</v>
      </c>
      <c r="AK15">
        <v>32.567269399467918</v>
      </c>
    </row>
    <row r="16" spans="1:37" x14ac:dyDescent="0.3">
      <c r="A16" t="s">
        <v>72</v>
      </c>
      <c r="B16" t="s">
        <v>73</v>
      </c>
      <c r="C16" t="s">
        <v>44</v>
      </c>
      <c r="D16" t="s">
        <v>45</v>
      </c>
      <c r="E16">
        <v>21.213563235421848</v>
      </c>
      <c r="F16">
        <v>21.759966096649659</v>
      </c>
      <c r="G16">
        <v>23.246801620774754</v>
      </c>
      <c r="H16">
        <v>24.08307927744228</v>
      </c>
      <c r="I16">
        <v>25.951000890711175</v>
      </c>
      <c r="J16">
        <v>26.967391093044473</v>
      </c>
      <c r="K16">
        <v>27.047935038252952</v>
      </c>
      <c r="L16">
        <v>27.550434015696045</v>
      </c>
      <c r="M16">
        <v>25.889504645605648</v>
      </c>
      <c r="N16">
        <v>25.637536503504503</v>
      </c>
      <c r="O16" s="15">
        <v>26.119027312103562</v>
      </c>
      <c r="P16">
        <v>26.259879026633609</v>
      </c>
      <c r="Q16">
        <v>28.111485574287688</v>
      </c>
      <c r="R16">
        <v>30.470966542202259</v>
      </c>
      <c r="S16">
        <v>33.332571242167546</v>
      </c>
      <c r="T16">
        <v>34.418022902624024</v>
      </c>
      <c r="U16">
        <v>36.360532109844712</v>
      </c>
      <c r="V16">
        <v>37.011389004127913</v>
      </c>
      <c r="W16">
        <v>36.254082632816072</v>
      </c>
      <c r="X16">
        <v>35.617434813018015</v>
      </c>
      <c r="Y16">
        <v>36.305875040972069</v>
      </c>
      <c r="Z16">
        <v>35.131793094080734</v>
      </c>
      <c r="AA16">
        <v>35.261292313664704</v>
      </c>
      <c r="AB16">
        <v>34.304657487068653</v>
      </c>
      <c r="AC16">
        <v>33.466025744283002</v>
      </c>
      <c r="AD16">
        <v>32.453924110912517</v>
      </c>
      <c r="AE16">
        <v>31.726414740149096</v>
      </c>
      <c r="AF16">
        <v>31.706753170877462</v>
      </c>
      <c r="AG16">
        <v>31.410492230485694</v>
      </c>
      <c r="AH16">
        <v>29.70220057867175</v>
      </c>
      <c r="AI16">
        <v>28.507688200731952</v>
      </c>
      <c r="AJ16">
        <v>28.181403643947846</v>
      </c>
      <c r="AK16">
        <v>29.947491987302854</v>
      </c>
    </row>
    <row r="17" spans="1:37" x14ac:dyDescent="0.3">
      <c r="A17" t="s">
        <v>74</v>
      </c>
      <c r="B17" t="s">
        <v>75</v>
      </c>
      <c r="C17" t="s">
        <v>44</v>
      </c>
      <c r="D17" t="s">
        <v>45</v>
      </c>
      <c r="E17">
        <v>22.453641772306558</v>
      </c>
      <c r="F17">
        <v>22.073000513431072</v>
      </c>
      <c r="G17">
        <v>23.30042165654358</v>
      </c>
      <c r="H17">
        <v>28.998147454634331</v>
      </c>
      <c r="I17">
        <v>29.871695323396462</v>
      </c>
      <c r="J17">
        <v>28.138461864681425</v>
      </c>
      <c r="K17">
        <v>27.80807992594373</v>
      </c>
      <c r="L17">
        <v>29.030941232456868</v>
      </c>
      <c r="M17">
        <v>22.422492329421534</v>
      </c>
      <c r="N17">
        <v>13.201804408333814</v>
      </c>
      <c r="O17" s="15">
        <v>26.286899208031489</v>
      </c>
      <c r="P17">
        <v>27.199793928040812</v>
      </c>
      <c r="Q17">
        <v>23.017407782340378</v>
      </c>
      <c r="R17">
        <v>20.684050355951669</v>
      </c>
      <c r="S17">
        <v>20.764289949093573</v>
      </c>
      <c r="T17">
        <v>24.338486631846173</v>
      </c>
      <c r="U17">
        <v>25.777143586168265</v>
      </c>
      <c r="V17">
        <v>25.179123444794708</v>
      </c>
      <c r="W17">
        <v>28.452412614187196</v>
      </c>
      <c r="X17">
        <v>29.056376798112009</v>
      </c>
      <c r="Y17">
        <v>32.727422989199297</v>
      </c>
      <c r="Z17">
        <v>33.220073049974872</v>
      </c>
      <c r="AA17">
        <v>31.985369769024231</v>
      </c>
      <c r="AB17">
        <v>31.121766640459896</v>
      </c>
      <c r="AC17">
        <v>30.668909461555177</v>
      </c>
      <c r="AD17">
        <v>30.123356488241043</v>
      </c>
      <c r="AE17">
        <v>29.922768322558653</v>
      </c>
      <c r="AF17">
        <v>30.87836343288755</v>
      </c>
      <c r="AG17">
        <v>31.680522797273721</v>
      </c>
      <c r="AH17">
        <v>30.902713507646666</v>
      </c>
      <c r="AI17">
        <v>29.224608731533664</v>
      </c>
      <c r="AJ17">
        <v>32.939199923352945</v>
      </c>
      <c r="AK17">
        <v>37.033591082204467</v>
      </c>
    </row>
    <row r="18" spans="1:37" x14ac:dyDescent="0.3">
      <c r="A18" t="s">
        <v>76</v>
      </c>
      <c r="B18" t="s">
        <v>77</v>
      </c>
      <c r="C18" t="s">
        <v>44</v>
      </c>
      <c r="D18" t="s">
        <v>45</v>
      </c>
      <c r="E18">
        <v>24.447637527662732</v>
      </c>
      <c r="F18">
        <v>20.836339140039602</v>
      </c>
      <c r="G18">
        <v>18.342148684487043</v>
      </c>
      <c r="H18">
        <v>20.331848009137861</v>
      </c>
      <c r="I18">
        <v>21.877939344479945</v>
      </c>
      <c r="J18">
        <v>20.636648721364402</v>
      </c>
      <c r="K18">
        <v>20.900087603319552</v>
      </c>
      <c r="L18">
        <v>21.814165832526172</v>
      </c>
      <c r="M18">
        <v>21.628200705438186</v>
      </c>
      <c r="N18">
        <v>20.630597348838428</v>
      </c>
      <c r="O18" s="15">
        <v>21.195907959463682</v>
      </c>
      <c r="P18">
        <v>20.747578198498353</v>
      </c>
      <c r="Q18">
        <v>21.779979953355735</v>
      </c>
      <c r="R18">
        <v>21.082940551502617</v>
      </c>
      <c r="S18">
        <v>21.521083947643145</v>
      </c>
      <c r="T18">
        <v>20.98001199723662</v>
      </c>
      <c r="U18">
        <v>21.65708047885132</v>
      </c>
      <c r="V18">
        <v>21.360623464153804</v>
      </c>
      <c r="W18">
        <v>21.893339705951654</v>
      </c>
      <c r="X18">
        <v>23.996967996184697</v>
      </c>
      <c r="Y18">
        <v>21.784200579349942</v>
      </c>
      <c r="Z18">
        <v>23.239969897215492</v>
      </c>
      <c r="AA18">
        <v>24.288352752714278</v>
      </c>
      <c r="AB18">
        <v>23.893559871141214</v>
      </c>
      <c r="AC18">
        <v>23.57955584817584</v>
      </c>
      <c r="AD18">
        <v>22.651987163429371</v>
      </c>
      <c r="AE18">
        <v>20.705244881028925</v>
      </c>
      <c r="AF18">
        <v>21.796346002112372</v>
      </c>
      <c r="AG18">
        <v>21.704589005439455</v>
      </c>
      <c r="AH18">
        <v>22.341726694538391</v>
      </c>
      <c r="AI18">
        <v>23.695550319764497</v>
      </c>
      <c r="AJ18">
        <v>25.776588965615048</v>
      </c>
      <c r="AK18">
        <v>25.428671177507251</v>
      </c>
    </row>
    <row r="20" spans="1:37" x14ac:dyDescent="0.3">
      <c r="E20" s="2"/>
      <c r="F20" s="17" t="s">
        <v>78</v>
      </c>
      <c r="G20">
        <v>2019</v>
      </c>
      <c r="J20" t="s">
        <v>82</v>
      </c>
    </row>
    <row r="21" spans="1:37" x14ac:dyDescent="0.3">
      <c r="A21" t="s">
        <v>79</v>
      </c>
      <c r="B21" t="s">
        <v>80</v>
      </c>
      <c r="E21" s="2" t="s">
        <v>0</v>
      </c>
      <c r="F21" s="18">
        <f>(AH2/O2)^(1/($AH$1-$O$1))-1</f>
        <v>1.3602845753750703E-3</v>
      </c>
      <c r="G21">
        <f>AH2</f>
        <v>34.780382326942799</v>
      </c>
      <c r="I21" t="s">
        <v>0</v>
      </c>
      <c r="J21">
        <v>0.37574400000000002</v>
      </c>
    </row>
    <row r="22" spans="1:37" x14ac:dyDescent="0.3">
      <c r="A22" t="s">
        <v>81</v>
      </c>
      <c r="B22" s="20">
        <v>45343</v>
      </c>
      <c r="E22" s="2" t="s">
        <v>1</v>
      </c>
      <c r="F22" s="18">
        <f>(AH3/O3)^(1/($AH$1-$O$1))-1</f>
        <v>1.0728713237301735E-2</v>
      </c>
      <c r="G22">
        <f t="shared" ref="G22:G37" si="0">AH3</f>
        <v>43.77302795897802</v>
      </c>
      <c r="I22" t="s">
        <v>1</v>
      </c>
      <c r="J22">
        <v>0.51434100000000005</v>
      </c>
    </row>
    <row r="23" spans="1:37" x14ac:dyDescent="0.3">
      <c r="E23" s="2" t="s">
        <v>2</v>
      </c>
      <c r="F23" s="18">
        <f>(AH4/O4)^(1/($AH$1-$O$1))-1</f>
        <v>-3.2464494206494443E-3</v>
      </c>
      <c r="G23">
        <f t="shared" si="0"/>
        <v>29.171701898643391</v>
      </c>
      <c r="I23" t="s">
        <v>2</v>
      </c>
      <c r="J23">
        <v>0.17566899999999999</v>
      </c>
    </row>
    <row r="24" spans="1:37" x14ac:dyDescent="0.3">
      <c r="E24" s="2" t="s">
        <v>3</v>
      </c>
      <c r="F24" s="18">
        <f>(AH5/O5)^(1/($AH$1-$O$1))-1</f>
        <v>-1.6144204692628006E-2</v>
      </c>
      <c r="G24">
        <f t="shared" si="0"/>
        <v>26.537277231081259</v>
      </c>
      <c r="I24" t="s">
        <v>3</v>
      </c>
      <c r="J24">
        <v>0.357103</v>
      </c>
    </row>
    <row r="25" spans="1:37" x14ac:dyDescent="0.3">
      <c r="E25" s="2" t="s">
        <v>4</v>
      </c>
      <c r="F25" s="18">
        <f>(AH6/O6)^(1/($AH$1-$O$1))-1</f>
        <v>7.966008760690535E-3</v>
      </c>
      <c r="G25">
        <f t="shared" si="0"/>
        <v>20.258626658086794</v>
      </c>
      <c r="I25" t="s">
        <v>4</v>
      </c>
      <c r="J25">
        <v>0.42583500000000002</v>
      </c>
    </row>
    <row r="26" spans="1:37" x14ac:dyDescent="0.3">
      <c r="E26" s="2" t="s">
        <v>5</v>
      </c>
      <c r="F26" s="19">
        <v>1E-4</v>
      </c>
      <c r="G26">
        <f t="shared" si="0"/>
        <v>0</v>
      </c>
      <c r="I26" t="s">
        <v>5</v>
      </c>
      <c r="J26">
        <v>0.51399300000000003</v>
      </c>
    </row>
    <row r="27" spans="1:37" x14ac:dyDescent="0.3">
      <c r="E27" s="2" t="s">
        <v>6</v>
      </c>
      <c r="F27" s="18">
        <f>(AH8/O8)^(1/($AH$1-$O$1))-1</f>
        <v>-3.0575844032679766E-3</v>
      </c>
      <c r="G27">
        <f t="shared" si="0"/>
        <v>19.636914501153136</v>
      </c>
      <c r="I27" t="s">
        <v>6</v>
      </c>
      <c r="J27">
        <v>-2.2784599999999999E-2</v>
      </c>
    </row>
    <row r="28" spans="1:37" x14ac:dyDescent="0.3">
      <c r="E28" s="2" t="s">
        <v>7</v>
      </c>
      <c r="F28" s="18">
        <f t="shared" ref="F28:F37" si="1">(AH9/O9)^(1/($AH$1-$O$1))-1</f>
        <v>-6.9689517902462583E-3</v>
      </c>
      <c r="G28">
        <f t="shared" si="0"/>
        <v>12.250795843097817</v>
      </c>
      <c r="I28" t="s">
        <v>7</v>
      </c>
      <c r="J28">
        <v>0.14488200000000001</v>
      </c>
    </row>
    <row r="29" spans="1:37" x14ac:dyDescent="0.3">
      <c r="E29" s="2" t="s">
        <v>8</v>
      </c>
      <c r="F29" s="18">
        <f t="shared" si="1"/>
        <v>1.5011976325467691E-2</v>
      </c>
      <c r="G29">
        <f t="shared" si="0"/>
        <v>30.087281919586662</v>
      </c>
      <c r="I29" t="s">
        <v>8</v>
      </c>
      <c r="J29">
        <v>7.9581200000000005E-2</v>
      </c>
    </row>
    <row r="30" spans="1:37" x14ac:dyDescent="0.3">
      <c r="E30" s="2" t="s">
        <v>9</v>
      </c>
      <c r="F30" s="18">
        <f t="shared" si="1"/>
        <v>4.9995876032256081E-3</v>
      </c>
      <c r="G30">
        <f t="shared" si="0"/>
        <v>20.255840336125274</v>
      </c>
      <c r="I30" t="s">
        <v>9</v>
      </c>
      <c r="J30">
        <v>0.139679</v>
      </c>
    </row>
    <row r="31" spans="1:37" x14ac:dyDescent="0.3">
      <c r="E31" s="2" t="s">
        <v>10</v>
      </c>
      <c r="F31" s="18">
        <f t="shared" si="1"/>
        <v>-2.7653788357814513E-2</v>
      </c>
      <c r="G31">
        <f t="shared" si="0"/>
        <v>12.285006723502324</v>
      </c>
      <c r="I31" t="s">
        <v>10</v>
      </c>
      <c r="J31">
        <v>0.261019</v>
      </c>
    </row>
    <row r="32" spans="1:37" x14ac:dyDescent="0.3">
      <c r="E32" s="2" t="s">
        <v>11</v>
      </c>
      <c r="F32" s="18">
        <f t="shared" si="1"/>
        <v>4.342147618393799E-3</v>
      </c>
      <c r="G32">
        <f t="shared" si="0"/>
        <v>32.854529067618252</v>
      </c>
      <c r="I32" t="s">
        <v>11</v>
      </c>
      <c r="J32">
        <v>0.42131000000000002</v>
      </c>
    </row>
    <row r="33" spans="5:10" x14ac:dyDescent="0.3">
      <c r="E33" s="2" t="s">
        <v>12</v>
      </c>
      <c r="F33" s="18">
        <f t="shared" si="1"/>
        <v>-7.0140712710908826E-3</v>
      </c>
      <c r="G33">
        <f t="shared" si="0"/>
        <v>13.216023152561576</v>
      </c>
      <c r="I33" t="s">
        <v>12</v>
      </c>
      <c r="J33">
        <v>0.15913099999999999</v>
      </c>
    </row>
    <row r="34" spans="5:10" x14ac:dyDescent="0.3">
      <c r="E34" s="2" t="s">
        <v>13</v>
      </c>
      <c r="F34" s="18">
        <f t="shared" si="1"/>
        <v>1.4338397889757104E-4</v>
      </c>
      <c r="G34">
        <f t="shared" si="0"/>
        <v>31.333031481977315</v>
      </c>
      <c r="I34" t="s">
        <v>13</v>
      </c>
      <c r="J34">
        <v>0.10109600000000001</v>
      </c>
    </row>
    <row r="35" spans="5:10" x14ac:dyDescent="0.3">
      <c r="E35" s="2" t="s">
        <v>14</v>
      </c>
      <c r="F35" s="18">
        <f t="shared" si="1"/>
        <v>6.7891038761587197E-3</v>
      </c>
      <c r="G35">
        <f t="shared" si="0"/>
        <v>29.70220057867175</v>
      </c>
      <c r="I35" t="s">
        <v>14</v>
      </c>
      <c r="J35">
        <v>0.26511099999999999</v>
      </c>
    </row>
    <row r="36" spans="5:10" x14ac:dyDescent="0.3">
      <c r="E36" s="2" t="s">
        <v>15</v>
      </c>
      <c r="F36" s="18">
        <f t="shared" si="1"/>
        <v>8.5507351900411255E-3</v>
      </c>
      <c r="G36">
        <f t="shared" si="0"/>
        <v>30.902713507646666</v>
      </c>
      <c r="I36" t="s">
        <v>15</v>
      </c>
      <c r="J36">
        <v>0.33238400000000001</v>
      </c>
    </row>
    <row r="37" spans="5:10" x14ac:dyDescent="0.3">
      <c r="E37" s="2" t="s">
        <v>16</v>
      </c>
      <c r="F37" s="18">
        <f t="shared" si="1"/>
        <v>2.7747868246208451E-3</v>
      </c>
      <c r="G37">
        <f t="shared" si="0"/>
        <v>22.341726694538391</v>
      </c>
      <c r="I37" t="s">
        <v>16</v>
      </c>
      <c r="J37">
        <v>0.201984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E434-BB18-47C8-B628-7F6219499EB5}">
  <dimension ref="A1:AG18"/>
  <sheetViews>
    <sheetView workbookViewId="0">
      <selection activeCell="K36" sqref="K36"/>
    </sheetView>
  </sheetViews>
  <sheetFormatPr defaultRowHeight="14.4" x14ac:dyDescent="0.3"/>
  <sheetData>
    <row r="1" spans="1:33" x14ac:dyDescent="0.3">
      <c r="A1" s="1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21">
        <f>'Saving rate'!F21</f>
        <v>1.3602845753750703E-3</v>
      </c>
      <c r="C2" s="6">
        <f>B2</f>
        <v>1.3602845753750703E-3</v>
      </c>
      <c r="D2" s="6">
        <f t="shared" ref="D2:AG3" si="0">C2</f>
        <v>1.3602845753750703E-3</v>
      </c>
      <c r="E2" s="6">
        <f t="shared" si="0"/>
        <v>1.3602845753750703E-3</v>
      </c>
      <c r="F2" s="6">
        <f t="shared" si="0"/>
        <v>1.3602845753750703E-3</v>
      </c>
      <c r="G2" s="6">
        <f t="shared" si="0"/>
        <v>1.3602845753750703E-3</v>
      </c>
      <c r="H2" s="6">
        <f t="shared" si="0"/>
        <v>1.3602845753750703E-3</v>
      </c>
      <c r="I2" s="6">
        <f t="shared" si="0"/>
        <v>1.3602845753750703E-3</v>
      </c>
      <c r="J2" s="6">
        <f t="shared" si="0"/>
        <v>1.3602845753750703E-3</v>
      </c>
      <c r="K2" s="6">
        <f t="shared" si="0"/>
        <v>1.3602845753750703E-3</v>
      </c>
      <c r="L2" s="6">
        <f t="shared" si="0"/>
        <v>1.3602845753750703E-3</v>
      </c>
      <c r="M2" s="6">
        <f t="shared" si="0"/>
        <v>1.3602845753750703E-3</v>
      </c>
      <c r="N2" s="6">
        <f t="shared" si="0"/>
        <v>1.3602845753750703E-3</v>
      </c>
      <c r="O2" s="6">
        <f t="shared" si="0"/>
        <v>1.3602845753750703E-3</v>
      </c>
      <c r="P2" s="6">
        <f t="shared" si="0"/>
        <v>1.3602845753750703E-3</v>
      </c>
      <c r="Q2" s="6">
        <f t="shared" si="0"/>
        <v>1.3602845753750703E-3</v>
      </c>
      <c r="R2" s="6">
        <f t="shared" si="0"/>
        <v>1.3602845753750703E-3</v>
      </c>
      <c r="S2" s="6">
        <f t="shared" si="0"/>
        <v>1.3602845753750703E-3</v>
      </c>
      <c r="T2" s="6">
        <f t="shared" si="0"/>
        <v>1.3602845753750703E-3</v>
      </c>
      <c r="U2" s="6">
        <f t="shared" si="0"/>
        <v>1.3602845753750703E-3</v>
      </c>
      <c r="V2" s="6">
        <f t="shared" si="0"/>
        <v>1.3602845753750703E-3</v>
      </c>
      <c r="W2" s="6">
        <f t="shared" si="0"/>
        <v>1.3602845753750703E-3</v>
      </c>
      <c r="X2" s="6">
        <f t="shared" si="0"/>
        <v>1.3602845753750703E-3</v>
      </c>
      <c r="Y2" s="6">
        <f t="shared" si="0"/>
        <v>1.3602845753750703E-3</v>
      </c>
      <c r="Z2" s="6">
        <f t="shared" si="0"/>
        <v>1.3602845753750703E-3</v>
      </c>
      <c r="AA2" s="6">
        <f t="shared" si="0"/>
        <v>1.3602845753750703E-3</v>
      </c>
      <c r="AB2" s="6">
        <f t="shared" si="0"/>
        <v>1.3602845753750703E-3</v>
      </c>
      <c r="AC2" s="6">
        <f t="shared" si="0"/>
        <v>1.3602845753750703E-3</v>
      </c>
      <c r="AD2" s="6">
        <f t="shared" si="0"/>
        <v>1.3602845753750703E-3</v>
      </c>
      <c r="AE2" s="6">
        <f t="shared" si="0"/>
        <v>1.3602845753750703E-3</v>
      </c>
      <c r="AF2" s="6">
        <f t="shared" si="0"/>
        <v>1.3602845753750703E-3</v>
      </c>
      <c r="AG2" s="6">
        <f t="shared" si="0"/>
        <v>1.3602845753750703E-3</v>
      </c>
    </row>
    <row r="3" spans="1:33" x14ac:dyDescent="0.3">
      <c r="A3" s="1" t="s">
        <v>1</v>
      </c>
      <c r="B3" s="21">
        <f>'Saving rate'!F22</f>
        <v>1.0728713237301735E-2</v>
      </c>
      <c r="C3" s="6">
        <f t="shared" ref="C3:R18" si="1">B3</f>
        <v>1.0728713237301735E-2</v>
      </c>
      <c r="D3" s="6">
        <f t="shared" si="1"/>
        <v>1.0728713237301735E-2</v>
      </c>
      <c r="E3" s="6">
        <f t="shared" si="1"/>
        <v>1.0728713237301735E-2</v>
      </c>
      <c r="F3" s="6">
        <f t="shared" si="1"/>
        <v>1.0728713237301735E-2</v>
      </c>
      <c r="G3" s="6">
        <f t="shared" si="1"/>
        <v>1.0728713237301735E-2</v>
      </c>
      <c r="H3" s="6">
        <f t="shared" si="1"/>
        <v>1.0728713237301735E-2</v>
      </c>
      <c r="I3" s="6">
        <f t="shared" si="1"/>
        <v>1.0728713237301735E-2</v>
      </c>
      <c r="J3" s="6">
        <f t="shared" si="1"/>
        <v>1.0728713237301735E-2</v>
      </c>
      <c r="K3" s="6">
        <f t="shared" si="1"/>
        <v>1.0728713237301735E-2</v>
      </c>
      <c r="L3" s="6">
        <f t="shared" si="1"/>
        <v>1.0728713237301735E-2</v>
      </c>
      <c r="M3" s="6">
        <f t="shared" si="1"/>
        <v>1.0728713237301735E-2</v>
      </c>
      <c r="N3" s="6">
        <f t="shared" si="1"/>
        <v>1.0728713237301735E-2</v>
      </c>
      <c r="O3" s="6">
        <f t="shared" si="1"/>
        <v>1.0728713237301735E-2</v>
      </c>
      <c r="P3" s="6">
        <f t="shared" si="1"/>
        <v>1.0728713237301735E-2</v>
      </c>
      <c r="Q3" s="6">
        <f t="shared" si="1"/>
        <v>1.0728713237301735E-2</v>
      </c>
      <c r="R3" s="6">
        <f t="shared" si="1"/>
        <v>1.0728713237301735E-2</v>
      </c>
      <c r="S3" s="6">
        <f t="shared" si="0"/>
        <v>1.0728713237301735E-2</v>
      </c>
      <c r="T3" s="6">
        <f t="shared" si="0"/>
        <v>1.0728713237301735E-2</v>
      </c>
      <c r="U3" s="6">
        <f t="shared" si="0"/>
        <v>1.0728713237301735E-2</v>
      </c>
      <c r="V3" s="6">
        <f t="shared" si="0"/>
        <v>1.0728713237301735E-2</v>
      </c>
      <c r="W3" s="6">
        <f t="shared" si="0"/>
        <v>1.0728713237301735E-2</v>
      </c>
      <c r="X3" s="6">
        <f t="shared" si="0"/>
        <v>1.0728713237301735E-2</v>
      </c>
      <c r="Y3" s="6">
        <f t="shared" si="0"/>
        <v>1.0728713237301735E-2</v>
      </c>
      <c r="Z3" s="6">
        <f t="shared" si="0"/>
        <v>1.0728713237301735E-2</v>
      </c>
      <c r="AA3" s="6">
        <f t="shared" si="0"/>
        <v>1.0728713237301735E-2</v>
      </c>
      <c r="AB3" s="6">
        <f t="shared" si="0"/>
        <v>1.0728713237301735E-2</v>
      </c>
      <c r="AC3" s="6">
        <f t="shared" si="0"/>
        <v>1.0728713237301735E-2</v>
      </c>
      <c r="AD3" s="6">
        <f t="shared" si="0"/>
        <v>1.0728713237301735E-2</v>
      </c>
      <c r="AE3" s="6">
        <f t="shared" si="0"/>
        <v>1.0728713237301735E-2</v>
      </c>
      <c r="AF3" s="6">
        <f t="shared" si="0"/>
        <v>1.0728713237301735E-2</v>
      </c>
      <c r="AG3" s="6">
        <f t="shared" si="0"/>
        <v>1.0728713237301735E-2</v>
      </c>
    </row>
    <row r="4" spans="1:33" x14ac:dyDescent="0.3">
      <c r="A4" s="1" t="s">
        <v>2</v>
      </c>
      <c r="B4" s="21">
        <f>'Saving rate'!F23</f>
        <v>-3.2464494206494443E-3</v>
      </c>
      <c r="C4" s="6">
        <f t="shared" si="1"/>
        <v>-3.2464494206494443E-3</v>
      </c>
      <c r="D4" s="6">
        <f t="shared" ref="D4:AG7" si="2">C4</f>
        <v>-3.2464494206494443E-3</v>
      </c>
      <c r="E4" s="6">
        <f t="shared" si="2"/>
        <v>-3.2464494206494443E-3</v>
      </c>
      <c r="F4" s="6">
        <f t="shared" si="2"/>
        <v>-3.2464494206494443E-3</v>
      </c>
      <c r="G4" s="6">
        <f t="shared" si="2"/>
        <v>-3.2464494206494443E-3</v>
      </c>
      <c r="H4" s="6">
        <f t="shared" si="2"/>
        <v>-3.2464494206494443E-3</v>
      </c>
      <c r="I4" s="6">
        <f t="shared" si="2"/>
        <v>-3.2464494206494443E-3</v>
      </c>
      <c r="J4" s="6">
        <f t="shared" si="2"/>
        <v>-3.2464494206494443E-3</v>
      </c>
      <c r="K4" s="6">
        <f t="shared" si="2"/>
        <v>-3.2464494206494443E-3</v>
      </c>
      <c r="L4" s="6">
        <f t="shared" si="2"/>
        <v>-3.2464494206494443E-3</v>
      </c>
      <c r="M4" s="6">
        <f t="shared" si="2"/>
        <v>-3.2464494206494443E-3</v>
      </c>
      <c r="N4" s="6">
        <f t="shared" si="2"/>
        <v>-3.2464494206494443E-3</v>
      </c>
      <c r="O4" s="6">
        <f t="shared" si="2"/>
        <v>-3.2464494206494443E-3</v>
      </c>
      <c r="P4" s="6">
        <f t="shared" si="2"/>
        <v>-3.2464494206494443E-3</v>
      </c>
      <c r="Q4" s="6">
        <f t="shared" si="2"/>
        <v>-3.2464494206494443E-3</v>
      </c>
      <c r="R4" s="6">
        <f t="shared" si="2"/>
        <v>-3.2464494206494443E-3</v>
      </c>
      <c r="S4" s="6">
        <f t="shared" si="2"/>
        <v>-3.2464494206494443E-3</v>
      </c>
      <c r="T4" s="6">
        <f t="shared" si="2"/>
        <v>-3.2464494206494443E-3</v>
      </c>
      <c r="U4" s="6">
        <f t="shared" si="2"/>
        <v>-3.2464494206494443E-3</v>
      </c>
      <c r="V4" s="6">
        <f t="shared" si="2"/>
        <v>-3.2464494206494443E-3</v>
      </c>
      <c r="W4" s="6">
        <f t="shared" si="2"/>
        <v>-3.2464494206494443E-3</v>
      </c>
      <c r="X4" s="6">
        <f t="shared" si="2"/>
        <v>-3.2464494206494443E-3</v>
      </c>
      <c r="Y4" s="6">
        <f t="shared" si="2"/>
        <v>-3.2464494206494443E-3</v>
      </c>
      <c r="Z4" s="6">
        <f t="shared" si="2"/>
        <v>-3.2464494206494443E-3</v>
      </c>
      <c r="AA4" s="6">
        <f t="shared" si="2"/>
        <v>-3.2464494206494443E-3</v>
      </c>
      <c r="AB4" s="6">
        <f t="shared" si="2"/>
        <v>-3.2464494206494443E-3</v>
      </c>
      <c r="AC4" s="6">
        <f t="shared" si="2"/>
        <v>-3.2464494206494443E-3</v>
      </c>
      <c r="AD4" s="6">
        <f t="shared" si="2"/>
        <v>-3.2464494206494443E-3</v>
      </c>
      <c r="AE4" s="6">
        <f t="shared" si="2"/>
        <v>-3.2464494206494443E-3</v>
      </c>
      <c r="AF4" s="6">
        <f t="shared" si="2"/>
        <v>-3.2464494206494443E-3</v>
      </c>
      <c r="AG4" s="6">
        <f t="shared" si="2"/>
        <v>-3.2464494206494443E-3</v>
      </c>
    </row>
    <row r="5" spans="1:33" x14ac:dyDescent="0.3">
      <c r="A5" s="1" t="s">
        <v>3</v>
      </c>
      <c r="B5" s="21">
        <f>'Saving rate'!F24</f>
        <v>-1.6144204692628006E-2</v>
      </c>
      <c r="C5" s="6">
        <f t="shared" si="1"/>
        <v>-1.6144204692628006E-2</v>
      </c>
      <c r="D5" s="6">
        <f t="shared" si="2"/>
        <v>-1.6144204692628006E-2</v>
      </c>
      <c r="E5" s="6">
        <f t="shared" si="2"/>
        <v>-1.6144204692628006E-2</v>
      </c>
      <c r="F5" s="6">
        <f t="shared" si="2"/>
        <v>-1.6144204692628006E-2</v>
      </c>
      <c r="G5" s="6">
        <f t="shared" si="2"/>
        <v>-1.6144204692628006E-2</v>
      </c>
      <c r="H5" s="6">
        <f t="shared" si="2"/>
        <v>-1.6144204692628006E-2</v>
      </c>
      <c r="I5" s="6">
        <f t="shared" si="2"/>
        <v>-1.6144204692628006E-2</v>
      </c>
      <c r="J5" s="6">
        <f t="shared" si="2"/>
        <v>-1.6144204692628006E-2</v>
      </c>
      <c r="K5" s="6">
        <f t="shared" si="2"/>
        <v>-1.6144204692628006E-2</v>
      </c>
      <c r="L5" s="6">
        <f t="shared" si="2"/>
        <v>-1.6144204692628006E-2</v>
      </c>
      <c r="M5" s="6">
        <f t="shared" si="2"/>
        <v>-1.6144204692628006E-2</v>
      </c>
      <c r="N5" s="6">
        <f t="shared" si="2"/>
        <v>-1.6144204692628006E-2</v>
      </c>
      <c r="O5" s="6">
        <f t="shared" si="2"/>
        <v>-1.6144204692628006E-2</v>
      </c>
      <c r="P5" s="6">
        <f t="shared" si="2"/>
        <v>-1.6144204692628006E-2</v>
      </c>
      <c r="Q5" s="6">
        <f t="shared" si="2"/>
        <v>-1.6144204692628006E-2</v>
      </c>
      <c r="R5" s="6">
        <f t="shared" si="2"/>
        <v>-1.6144204692628006E-2</v>
      </c>
      <c r="S5" s="6">
        <f t="shared" si="2"/>
        <v>-1.6144204692628006E-2</v>
      </c>
      <c r="T5" s="6">
        <f t="shared" si="2"/>
        <v>-1.6144204692628006E-2</v>
      </c>
      <c r="U5" s="6">
        <f t="shared" si="2"/>
        <v>-1.6144204692628006E-2</v>
      </c>
      <c r="V5" s="6">
        <f t="shared" si="2"/>
        <v>-1.6144204692628006E-2</v>
      </c>
      <c r="W5" s="6">
        <f t="shared" si="2"/>
        <v>-1.6144204692628006E-2</v>
      </c>
      <c r="X5" s="6">
        <f t="shared" si="2"/>
        <v>-1.6144204692628006E-2</v>
      </c>
      <c r="Y5" s="6">
        <f t="shared" si="2"/>
        <v>-1.6144204692628006E-2</v>
      </c>
      <c r="Z5" s="6">
        <f t="shared" si="2"/>
        <v>-1.6144204692628006E-2</v>
      </c>
      <c r="AA5" s="6">
        <f t="shared" si="2"/>
        <v>-1.6144204692628006E-2</v>
      </c>
      <c r="AB5" s="6">
        <f t="shared" si="2"/>
        <v>-1.6144204692628006E-2</v>
      </c>
      <c r="AC5" s="6">
        <f t="shared" si="2"/>
        <v>-1.6144204692628006E-2</v>
      </c>
      <c r="AD5" s="6">
        <f t="shared" si="2"/>
        <v>-1.6144204692628006E-2</v>
      </c>
      <c r="AE5" s="6">
        <f t="shared" si="2"/>
        <v>-1.6144204692628006E-2</v>
      </c>
      <c r="AF5" s="6">
        <f t="shared" si="2"/>
        <v>-1.6144204692628006E-2</v>
      </c>
      <c r="AG5" s="6">
        <f t="shared" si="2"/>
        <v>-1.6144204692628006E-2</v>
      </c>
    </row>
    <row r="6" spans="1:33" x14ac:dyDescent="0.3">
      <c r="A6" s="1" t="s">
        <v>4</v>
      </c>
      <c r="B6" s="21">
        <f>'Saving rate'!F25</f>
        <v>7.966008760690535E-3</v>
      </c>
      <c r="C6" s="6">
        <f t="shared" si="1"/>
        <v>7.966008760690535E-3</v>
      </c>
      <c r="D6" s="6">
        <f t="shared" si="2"/>
        <v>7.966008760690535E-3</v>
      </c>
      <c r="E6" s="6">
        <f t="shared" si="2"/>
        <v>7.966008760690535E-3</v>
      </c>
      <c r="F6" s="6">
        <f t="shared" si="2"/>
        <v>7.966008760690535E-3</v>
      </c>
      <c r="G6" s="6">
        <f t="shared" si="2"/>
        <v>7.966008760690535E-3</v>
      </c>
      <c r="H6" s="6">
        <f t="shared" si="2"/>
        <v>7.966008760690535E-3</v>
      </c>
      <c r="I6" s="6">
        <f t="shared" si="2"/>
        <v>7.966008760690535E-3</v>
      </c>
      <c r="J6" s="6">
        <f t="shared" si="2"/>
        <v>7.966008760690535E-3</v>
      </c>
      <c r="K6" s="6">
        <f t="shared" si="2"/>
        <v>7.966008760690535E-3</v>
      </c>
      <c r="L6" s="6">
        <f t="shared" si="2"/>
        <v>7.966008760690535E-3</v>
      </c>
      <c r="M6" s="6">
        <f t="shared" si="2"/>
        <v>7.966008760690535E-3</v>
      </c>
      <c r="N6" s="6">
        <f t="shared" si="2"/>
        <v>7.966008760690535E-3</v>
      </c>
      <c r="O6" s="6">
        <f t="shared" si="2"/>
        <v>7.966008760690535E-3</v>
      </c>
      <c r="P6" s="6">
        <f t="shared" si="2"/>
        <v>7.966008760690535E-3</v>
      </c>
      <c r="Q6" s="6">
        <f t="shared" si="2"/>
        <v>7.966008760690535E-3</v>
      </c>
      <c r="R6" s="6">
        <f t="shared" si="2"/>
        <v>7.966008760690535E-3</v>
      </c>
      <c r="S6" s="6">
        <f t="shared" si="2"/>
        <v>7.966008760690535E-3</v>
      </c>
      <c r="T6" s="6">
        <f t="shared" si="2"/>
        <v>7.966008760690535E-3</v>
      </c>
      <c r="U6" s="6">
        <f t="shared" si="2"/>
        <v>7.966008760690535E-3</v>
      </c>
      <c r="V6" s="6">
        <f t="shared" si="2"/>
        <v>7.966008760690535E-3</v>
      </c>
      <c r="W6" s="6">
        <f t="shared" si="2"/>
        <v>7.966008760690535E-3</v>
      </c>
      <c r="X6" s="6">
        <f t="shared" si="2"/>
        <v>7.966008760690535E-3</v>
      </c>
      <c r="Y6" s="6">
        <f t="shared" si="2"/>
        <v>7.966008760690535E-3</v>
      </c>
      <c r="Z6" s="6">
        <f t="shared" si="2"/>
        <v>7.966008760690535E-3</v>
      </c>
      <c r="AA6" s="6">
        <f t="shared" si="2"/>
        <v>7.966008760690535E-3</v>
      </c>
      <c r="AB6" s="6">
        <f t="shared" si="2"/>
        <v>7.966008760690535E-3</v>
      </c>
      <c r="AC6" s="6">
        <f t="shared" si="2"/>
        <v>7.966008760690535E-3</v>
      </c>
      <c r="AD6" s="6">
        <f t="shared" si="2"/>
        <v>7.966008760690535E-3</v>
      </c>
      <c r="AE6" s="6">
        <f t="shared" si="2"/>
        <v>7.966008760690535E-3</v>
      </c>
      <c r="AF6" s="6">
        <f t="shared" si="2"/>
        <v>7.966008760690535E-3</v>
      </c>
      <c r="AG6" s="6">
        <f t="shared" si="2"/>
        <v>7.966008760690535E-3</v>
      </c>
    </row>
    <row r="7" spans="1:33" x14ac:dyDescent="0.3">
      <c r="A7" s="1" t="s">
        <v>5</v>
      </c>
      <c r="B7" s="21">
        <f>'Saving rate'!F26</f>
        <v>1E-4</v>
      </c>
      <c r="C7" s="6">
        <f t="shared" si="1"/>
        <v>1E-4</v>
      </c>
      <c r="D7" s="6">
        <f t="shared" si="2"/>
        <v>1E-4</v>
      </c>
      <c r="E7" s="6">
        <f t="shared" si="2"/>
        <v>1E-4</v>
      </c>
      <c r="F7" s="6">
        <f t="shared" si="2"/>
        <v>1E-4</v>
      </c>
      <c r="G7" s="6">
        <f t="shared" si="2"/>
        <v>1E-4</v>
      </c>
      <c r="H7" s="6">
        <f t="shared" si="2"/>
        <v>1E-4</v>
      </c>
      <c r="I7" s="6">
        <f t="shared" si="2"/>
        <v>1E-4</v>
      </c>
      <c r="J7" s="6">
        <f t="shared" si="2"/>
        <v>1E-4</v>
      </c>
      <c r="K7" s="6">
        <f t="shared" si="2"/>
        <v>1E-4</v>
      </c>
      <c r="L7" s="6">
        <f t="shared" si="2"/>
        <v>1E-4</v>
      </c>
      <c r="M7" s="6">
        <f t="shared" si="2"/>
        <v>1E-4</v>
      </c>
      <c r="N7" s="6">
        <f t="shared" si="2"/>
        <v>1E-4</v>
      </c>
      <c r="O7" s="6">
        <f t="shared" si="2"/>
        <v>1E-4</v>
      </c>
      <c r="P7" s="6">
        <f t="shared" si="2"/>
        <v>1E-4</v>
      </c>
      <c r="Q7" s="6">
        <f t="shared" si="2"/>
        <v>1E-4</v>
      </c>
      <c r="R7" s="6">
        <f t="shared" si="2"/>
        <v>1E-4</v>
      </c>
      <c r="S7" s="6">
        <f t="shared" si="2"/>
        <v>1E-4</v>
      </c>
      <c r="T7" s="6">
        <f t="shared" si="2"/>
        <v>1E-4</v>
      </c>
      <c r="U7" s="6">
        <f t="shared" si="2"/>
        <v>1E-4</v>
      </c>
      <c r="V7" s="6">
        <f t="shared" si="2"/>
        <v>1E-4</v>
      </c>
      <c r="W7" s="6">
        <f t="shared" si="2"/>
        <v>1E-4</v>
      </c>
      <c r="X7" s="6">
        <f t="shared" si="2"/>
        <v>1E-4</v>
      </c>
      <c r="Y7" s="6">
        <f t="shared" si="2"/>
        <v>1E-4</v>
      </c>
      <c r="Z7" s="6">
        <f t="shared" si="2"/>
        <v>1E-4</v>
      </c>
      <c r="AA7" s="6">
        <f t="shared" si="2"/>
        <v>1E-4</v>
      </c>
      <c r="AB7" s="6">
        <f t="shared" si="2"/>
        <v>1E-4</v>
      </c>
      <c r="AC7" s="6">
        <f t="shared" si="2"/>
        <v>1E-4</v>
      </c>
      <c r="AD7" s="6">
        <f t="shared" si="2"/>
        <v>1E-4</v>
      </c>
      <c r="AE7" s="6">
        <f t="shared" si="2"/>
        <v>1E-4</v>
      </c>
      <c r="AF7" s="6">
        <f t="shared" si="2"/>
        <v>1E-4</v>
      </c>
      <c r="AG7" s="6">
        <f t="shared" si="2"/>
        <v>1E-4</v>
      </c>
    </row>
    <row r="8" spans="1:33" x14ac:dyDescent="0.3">
      <c r="A8" s="1" t="s">
        <v>6</v>
      </c>
      <c r="B8" s="21">
        <f>'Saving rate'!F27</f>
        <v>-3.0575844032679766E-3</v>
      </c>
      <c r="C8" s="6">
        <f t="shared" si="1"/>
        <v>-3.0575844032679766E-3</v>
      </c>
      <c r="D8" s="6">
        <f t="shared" ref="D8:AG11" si="3">C8</f>
        <v>-3.0575844032679766E-3</v>
      </c>
      <c r="E8" s="6">
        <f t="shared" si="3"/>
        <v>-3.0575844032679766E-3</v>
      </c>
      <c r="F8" s="6">
        <f t="shared" si="3"/>
        <v>-3.0575844032679766E-3</v>
      </c>
      <c r="G8" s="6">
        <f t="shared" si="3"/>
        <v>-3.0575844032679766E-3</v>
      </c>
      <c r="H8" s="6">
        <f t="shared" si="3"/>
        <v>-3.0575844032679766E-3</v>
      </c>
      <c r="I8" s="6">
        <f t="shared" si="3"/>
        <v>-3.0575844032679766E-3</v>
      </c>
      <c r="J8" s="6">
        <f t="shared" si="3"/>
        <v>-3.0575844032679766E-3</v>
      </c>
      <c r="K8" s="6">
        <f t="shared" si="3"/>
        <v>-3.0575844032679766E-3</v>
      </c>
      <c r="L8" s="6">
        <f t="shared" si="3"/>
        <v>-3.0575844032679766E-3</v>
      </c>
      <c r="M8" s="6">
        <f t="shared" si="3"/>
        <v>-3.0575844032679766E-3</v>
      </c>
      <c r="N8" s="6">
        <f t="shared" si="3"/>
        <v>-3.0575844032679766E-3</v>
      </c>
      <c r="O8" s="6">
        <f t="shared" si="3"/>
        <v>-3.0575844032679766E-3</v>
      </c>
      <c r="P8" s="6">
        <f t="shared" si="3"/>
        <v>-3.0575844032679766E-3</v>
      </c>
      <c r="Q8" s="6">
        <f t="shared" si="3"/>
        <v>-3.0575844032679766E-3</v>
      </c>
      <c r="R8" s="6">
        <f t="shared" si="3"/>
        <v>-3.0575844032679766E-3</v>
      </c>
      <c r="S8" s="6">
        <f t="shared" si="3"/>
        <v>-3.0575844032679766E-3</v>
      </c>
      <c r="T8" s="6">
        <f t="shared" si="3"/>
        <v>-3.0575844032679766E-3</v>
      </c>
      <c r="U8" s="6">
        <f t="shared" si="3"/>
        <v>-3.0575844032679766E-3</v>
      </c>
      <c r="V8" s="6">
        <f t="shared" si="3"/>
        <v>-3.0575844032679766E-3</v>
      </c>
      <c r="W8" s="6">
        <f t="shared" si="3"/>
        <v>-3.0575844032679766E-3</v>
      </c>
      <c r="X8" s="6">
        <f t="shared" si="3"/>
        <v>-3.0575844032679766E-3</v>
      </c>
      <c r="Y8" s="6">
        <f t="shared" si="3"/>
        <v>-3.0575844032679766E-3</v>
      </c>
      <c r="Z8" s="6">
        <f t="shared" si="3"/>
        <v>-3.0575844032679766E-3</v>
      </c>
      <c r="AA8" s="6">
        <f t="shared" si="3"/>
        <v>-3.0575844032679766E-3</v>
      </c>
      <c r="AB8" s="6">
        <f t="shared" si="3"/>
        <v>-3.0575844032679766E-3</v>
      </c>
      <c r="AC8" s="6">
        <f t="shared" si="3"/>
        <v>-3.0575844032679766E-3</v>
      </c>
      <c r="AD8" s="6">
        <f t="shared" si="3"/>
        <v>-3.0575844032679766E-3</v>
      </c>
      <c r="AE8" s="6">
        <f t="shared" si="3"/>
        <v>-3.0575844032679766E-3</v>
      </c>
      <c r="AF8" s="6">
        <f t="shared" si="3"/>
        <v>-3.0575844032679766E-3</v>
      </c>
      <c r="AG8" s="6">
        <f t="shared" si="3"/>
        <v>-3.0575844032679766E-3</v>
      </c>
    </row>
    <row r="9" spans="1:33" x14ac:dyDescent="0.3">
      <c r="A9" s="1" t="s">
        <v>7</v>
      </c>
      <c r="B9" s="21">
        <f>'Saving rate'!F28</f>
        <v>-6.9689517902462583E-3</v>
      </c>
      <c r="C9" s="6">
        <f t="shared" si="1"/>
        <v>-6.9689517902462583E-3</v>
      </c>
      <c r="D9" s="6">
        <f t="shared" si="3"/>
        <v>-6.9689517902462583E-3</v>
      </c>
      <c r="E9" s="6">
        <f t="shared" si="3"/>
        <v>-6.9689517902462583E-3</v>
      </c>
      <c r="F9" s="6">
        <f t="shared" si="3"/>
        <v>-6.9689517902462583E-3</v>
      </c>
      <c r="G9" s="6">
        <f t="shared" si="3"/>
        <v>-6.9689517902462583E-3</v>
      </c>
      <c r="H9" s="6">
        <f t="shared" si="3"/>
        <v>-6.9689517902462583E-3</v>
      </c>
      <c r="I9" s="6">
        <f t="shared" si="3"/>
        <v>-6.9689517902462583E-3</v>
      </c>
      <c r="J9" s="6">
        <f t="shared" si="3"/>
        <v>-6.9689517902462583E-3</v>
      </c>
      <c r="K9" s="6">
        <f t="shared" si="3"/>
        <v>-6.9689517902462583E-3</v>
      </c>
      <c r="L9" s="6">
        <f t="shared" si="3"/>
        <v>-6.9689517902462583E-3</v>
      </c>
      <c r="M9" s="6">
        <f t="shared" si="3"/>
        <v>-6.9689517902462583E-3</v>
      </c>
      <c r="N9" s="6">
        <f t="shared" si="3"/>
        <v>-6.9689517902462583E-3</v>
      </c>
      <c r="O9" s="6">
        <f t="shared" si="3"/>
        <v>-6.9689517902462583E-3</v>
      </c>
      <c r="P9" s="6">
        <f t="shared" si="3"/>
        <v>-6.9689517902462583E-3</v>
      </c>
      <c r="Q9" s="6">
        <f t="shared" si="3"/>
        <v>-6.9689517902462583E-3</v>
      </c>
      <c r="R9" s="6">
        <f t="shared" si="3"/>
        <v>-6.9689517902462583E-3</v>
      </c>
      <c r="S9" s="6">
        <f t="shared" si="3"/>
        <v>-6.9689517902462583E-3</v>
      </c>
      <c r="T9" s="6">
        <f t="shared" si="3"/>
        <v>-6.9689517902462583E-3</v>
      </c>
      <c r="U9" s="6">
        <f t="shared" si="3"/>
        <v>-6.9689517902462583E-3</v>
      </c>
      <c r="V9" s="6">
        <f t="shared" si="3"/>
        <v>-6.9689517902462583E-3</v>
      </c>
      <c r="W9" s="6">
        <f t="shared" si="3"/>
        <v>-6.9689517902462583E-3</v>
      </c>
      <c r="X9" s="6">
        <f t="shared" si="3"/>
        <v>-6.9689517902462583E-3</v>
      </c>
      <c r="Y9" s="6">
        <f t="shared" si="3"/>
        <v>-6.9689517902462583E-3</v>
      </c>
      <c r="Z9" s="6">
        <f t="shared" si="3"/>
        <v>-6.9689517902462583E-3</v>
      </c>
      <c r="AA9" s="6">
        <f t="shared" si="3"/>
        <v>-6.9689517902462583E-3</v>
      </c>
      <c r="AB9" s="6">
        <f t="shared" si="3"/>
        <v>-6.9689517902462583E-3</v>
      </c>
      <c r="AC9" s="6">
        <f t="shared" si="3"/>
        <v>-6.9689517902462583E-3</v>
      </c>
      <c r="AD9" s="6">
        <f t="shared" si="3"/>
        <v>-6.9689517902462583E-3</v>
      </c>
      <c r="AE9" s="6">
        <f t="shared" si="3"/>
        <v>-6.9689517902462583E-3</v>
      </c>
      <c r="AF9" s="6">
        <f t="shared" si="3"/>
        <v>-6.9689517902462583E-3</v>
      </c>
      <c r="AG9" s="6">
        <f t="shared" si="3"/>
        <v>-6.9689517902462583E-3</v>
      </c>
    </row>
    <row r="10" spans="1:33" x14ac:dyDescent="0.3">
      <c r="A10" s="1" t="s">
        <v>8</v>
      </c>
      <c r="B10" s="21">
        <f>'Saving rate'!F29</f>
        <v>1.5011976325467691E-2</v>
      </c>
      <c r="C10" s="6">
        <f t="shared" si="1"/>
        <v>1.5011976325467691E-2</v>
      </c>
      <c r="D10" s="6">
        <f t="shared" si="3"/>
        <v>1.5011976325467691E-2</v>
      </c>
      <c r="E10" s="6">
        <f t="shared" si="3"/>
        <v>1.5011976325467691E-2</v>
      </c>
      <c r="F10" s="6">
        <f t="shared" si="3"/>
        <v>1.5011976325467691E-2</v>
      </c>
      <c r="G10" s="6">
        <f t="shared" si="3"/>
        <v>1.5011976325467691E-2</v>
      </c>
      <c r="H10" s="6">
        <f t="shared" si="3"/>
        <v>1.5011976325467691E-2</v>
      </c>
      <c r="I10" s="6">
        <f t="shared" si="3"/>
        <v>1.5011976325467691E-2</v>
      </c>
      <c r="J10" s="6">
        <f t="shared" si="3"/>
        <v>1.5011976325467691E-2</v>
      </c>
      <c r="K10" s="6">
        <f t="shared" si="3"/>
        <v>1.5011976325467691E-2</v>
      </c>
      <c r="L10" s="6">
        <f t="shared" si="3"/>
        <v>1.5011976325467691E-2</v>
      </c>
      <c r="M10" s="6">
        <f t="shared" si="3"/>
        <v>1.5011976325467691E-2</v>
      </c>
      <c r="N10" s="6">
        <f t="shared" si="3"/>
        <v>1.5011976325467691E-2</v>
      </c>
      <c r="O10" s="6">
        <f t="shared" si="3"/>
        <v>1.5011976325467691E-2</v>
      </c>
      <c r="P10" s="6">
        <f t="shared" si="3"/>
        <v>1.5011976325467691E-2</v>
      </c>
      <c r="Q10" s="6">
        <f t="shared" si="3"/>
        <v>1.5011976325467691E-2</v>
      </c>
      <c r="R10" s="6">
        <f t="shared" si="3"/>
        <v>1.5011976325467691E-2</v>
      </c>
      <c r="S10" s="6">
        <f t="shared" si="3"/>
        <v>1.5011976325467691E-2</v>
      </c>
      <c r="T10" s="6">
        <f t="shared" si="3"/>
        <v>1.5011976325467691E-2</v>
      </c>
      <c r="U10" s="6">
        <f t="shared" si="3"/>
        <v>1.5011976325467691E-2</v>
      </c>
      <c r="V10" s="6">
        <f t="shared" si="3"/>
        <v>1.5011976325467691E-2</v>
      </c>
      <c r="W10" s="6">
        <f t="shared" si="3"/>
        <v>1.5011976325467691E-2</v>
      </c>
      <c r="X10" s="6">
        <f t="shared" si="3"/>
        <v>1.5011976325467691E-2</v>
      </c>
      <c r="Y10" s="6">
        <f t="shared" si="3"/>
        <v>1.5011976325467691E-2</v>
      </c>
      <c r="Z10" s="6">
        <f t="shared" si="3"/>
        <v>1.5011976325467691E-2</v>
      </c>
      <c r="AA10" s="6">
        <f t="shared" si="3"/>
        <v>1.5011976325467691E-2</v>
      </c>
      <c r="AB10" s="6">
        <f t="shared" si="3"/>
        <v>1.5011976325467691E-2</v>
      </c>
      <c r="AC10" s="6">
        <f t="shared" si="3"/>
        <v>1.5011976325467691E-2</v>
      </c>
      <c r="AD10" s="6">
        <f t="shared" si="3"/>
        <v>1.5011976325467691E-2</v>
      </c>
      <c r="AE10" s="6">
        <f t="shared" si="3"/>
        <v>1.5011976325467691E-2</v>
      </c>
      <c r="AF10" s="6">
        <f t="shared" si="3"/>
        <v>1.5011976325467691E-2</v>
      </c>
      <c r="AG10" s="6">
        <f t="shared" si="3"/>
        <v>1.5011976325467691E-2</v>
      </c>
    </row>
    <row r="11" spans="1:33" x14ac:dyDescent="0.3">
      <c r="A11" s="1" t="s">
        <v>9</v>
      </c>
      <c r="B11" s="21">
        <f>'Saving rate'!F30</f>
        <v>4.9995876032256081E-3</v>
      </c>
      <c r="C11" s="6">
        <f t="shared" si="1"/>
        <v>4.9995876032256081E-3</v>
      </c>
      <c r="D11" s="6">
        <f t="shared" si="3"/>
        <v>4.9995876032256081E-3</v>
      </c>
      <c r="E11" s="6">
        <f t="shared" si="3"/>
        <v>4.9995876032256081E-3</v>
      </c>
      <c r="F11" s="6">
        <f t="shared" si="3"/>
        <v>4.9995876032256081E-3</v>
      </c>
      <c r="G11" s="6">
        <f t="shared" si="3"/>
        <v>4.9995876032256081E-3</v>
      </c>
      <c r="H11" s="6">
        <f t="shared" si="3"/>
        <v>4.9995876032256081E-3</v>
      </c>
      <c r="I11" s="6">
        <f t="shared" si="3"/>
        <v>4.9995876032256081E-3</v>
      </c>
      <c r="J11" s="6">
        <f t="shared" si="3"/>
        <v>4.9995876032256081E-3</v>
      </c>
      <c r="K11" s="6">
        <f t="shared" si="3"/>
        <v>4.9995876032256081E-3</v>
      </c>
      <c r="L11" s="6">
        <f t="shared" si="3"/>
        <v>4.9995876032256081E-3</v>
      </c>
      <c r="M11" s="6">
        <f t="shared" si="3"/>
        <v>4.9995876032256081E-3</v>
      </c>
      <c r="N11" s="6">
        <f t="shared" si="3"/>
        <v>4.9995876032256081E-3</v>
      </c>
      <c r="O11" s="6">
        <f t="shared" si="3"/>
        <v>4.9995876032256081E-3</v>
      </c>
      <c r="P11" s="6">
        <f t="shared" si="3"/>
        <v>4.9995876032256081E-3</v>
      </c>
      <c r="Q11" s="6">
        <f t="shared" si="3"/>
        <v>4.9995876032256081E-3</v>
      </c>
      <c r="R11" s="6">
        <f t="shared" si="3"/>
        <v>4.9995876032256081E-3</v>
      </c>
      <c r="S11" s="6">
        <f t="shared" si="3"/>
        <v>4.9995876032256081E-3</v>
      </c>
      <c r="T11" s="6">
        <f t="shared" si="3"/>
        <v>4.9995876032256081E-3</v>
      </c>
      <c r="U11" s="6">
        <f t="shared" si="3"/>
        <v>4.9995876032256081E-3</v>
      </c>
      <c r="V11" s="6">
        <f t="shared" si="3"/>
        <v>4.9995876032256081E-3</v>
      </c>
      <c r="W11" s="6">
        <f t="shared" si="3"/>
        <v>4.9995876032256081E-3</v>
      </c>
      <c r="X11" s="6">
        <f t="shared" si="3"/>
        <v>4.9995876032256081E-3</v>
      </c>
      <c r="Y11" s="6">
        <f t="shared" si="3"/>
        <v>4.9995876032256081E-3</v>
      </c>
      <c r="Z11" s="6">
        <f t="shared" si="3"/>
        <v>4.9995876032256081E-3</v>
      </c>
      <c r="AA11" s="6">
        <f t="shared" si="3"/>
        <v>4.9995876032256081E-3</v>
      </c>
      <c r="AB11" s="6">
        <f t="shared" si="3"/>
        <v>4.9995876032256081E-3</v>
      </c>
      <c r="AC11" s="6">
        <f t="shared" si="3"/>
        <v>4.9995876032256081E-3</v>
      </c>
      <c r="AD11" s="6">
        <f t="shared" si="3"/>
        <v>4.9995876032256081E-3</v>
      </c>
      <c r="AE11" s="6">
        <f t="shared" si="3"/>
        <v>4.9995876032256081E-3</v>
      </c>
      <c r="AF11" s="6">
        <f t="shared" si="3"/>
        <v>4.9995876032256081E-3</v>
      </c>
      <c r="AG11" s="6">
        <f t="shared" si="3"/>
        <v>4.9995876032256081E-3</v>
      </c>
    </row>
    <row r="12" spans="1:33" x14ac:dyDescent="0.3">
      <c r="A12" s="1" t="s">
        <v>10</v>
      </c>
      <c r="B12" s="21">
        <f>'Saving rate'!F31</f>
        <v>-2.7653788357814513E-2</v>
      </c>
      <c r="C12" s="6">
        <f t="shared" si="1"/>
        <v>-2.7653788357814513E-2</v>
      </c>
      <c r="D12" s="6">
        <f t="shared" ref="D12:AG15" si="4">C12</f>
        <v>-2.7653788357814513E-2</v>
      </c>
      <c r="E12" s="6">
        <f t="shared" si="4"/>
        <v>-2.7653788357814513E-2</v>
      </c>
      <c r="F12" s="6">
        <f t="shared" si="4"/>
        <v>-2.7653788357814513E-2</v>
      </c>
      <c r="G12" s="6">
        <f t="shared" si="4"/>
        <v>-2.7653788357814513E-2</v>
      </c>
      <c r="H12" s="6">
        <f t="shared" si="4"/>
        <v>-2.7653788357814513E-2</v>
      </c>
      <c r="I12" s="6">
        <f t="shared" si="4"/>
        <v>-2.7653788357814513E-2</v>
      </c>
      <c r="J12" s="6">
        <f t="shared" si="4"/>
        <v>-2.7653788357814513E-2</v>
      </c>
      <c r="K12" s="6">
        <f t="shared" si="4"/>
        <v>-2.7653788357814513E-2</v>
      </c>
      <c r="L12" s="6">
        <f t="shared" si="4"/>
        <v>-2.7653788357814513E-2</v>
      </c>
      <c r="M12" s="6">
        <f t="shared" si="4"/>
        <v>-2.7653788357814513E-2</v>
      </c>
      <c r="N12" s="6">
        <f t="shared" si="4"/>
        <v>-2.7653788357814513E-2</v>
      </c>
      <c r="O12" s="6">
        <f t="shared" si="4"/>
        <v>-2.7653788357814513E-2</v>
      </c>
      <c r="P12" s="6">
        <f t="shared" si="4"/>
        <v>-2.7653788357814513E-2</v>
      </c>
      <c r="Q12" s="6">
        <f t="shared" si="4"/>
        <v>-2.7653788357814513E-2</v>
      </c>
      <c r="R12" s="6">
        <f t="shared" si="4"/>
        <v>-2.7653788357814513E-2</v>
      </c>
      <c r="S12" s="6">
        <f t="shared" si="4"/>
        <v>-2.7653788357814513E-2</v>
      </c>
      <c r="T12" s="6">
        <f t="shared" si="4"/>
        <v>-2.7653788357814513E-2</v>
      </c>
      <c r="U12" s="6">
        <f t="shared" si="4"/>
        <v>-2.7653788357814513E-2</v>
      </c>
      <c r="V12" s="6">
        <f t="shared" si="4"/>
        <v>-2.7653788357814513E-2</v>
      </c>
      <c r="W12" s="6">
        <f t="shared" si="4"/>
        <v>-2.7653788357814513E-2</v>
      </c>
      <c r="X12" s="6">
        <f t="shared" si="4"/>
        <v>-2.7653788357814513E-2</v>
      </c>
      <c r="Y12" s="6">
        <f t="shared" si="4"/>
        <v>-2.7653788357814513E-2</v>
      </c>
      <c r="Z12" s="6">
        <f t="shared" si="4"/>
        <v>-2.7653788357814513E-2</v>
      </c>
      <c r="AA12" s="6">
        <f t="shared" si="4"/>
        <v>-2.7653788357814513E-2</v>
      </c>
      <c r="AB12" s="6">
        <f t="shared" si="4"/>
        <v>-2.7653788357814513E-2</v>
      </c>
      <c r="AC12" s="6">
        <f t="shared" si="4"/>
        <v>-2.7653788357814513E-2</v>
      </c>
      <c r="AD12" s="6">
        <f t="shared" si="4"/>
        <v>-2.7653788357814513E-2</v>
      </c>
      <c r="AE12" s="6">
        <f t="shared" si="4"/>
        <v>-2.7653788357814513E-2</v>
      </c>
      <c r="AF12" s="6">
        <f t="shared" si="4"/>
        <v>-2.7653788357814513E-2</v>
      </c>
      <c r="AG12" s="6">
        <f t="shared" si="4"/>
        <v>-2.7653788357814513E-2</v>
      </c>
    </row>
    <row r="13" spans="1:33" x14ac:dyDescent="0.3">
      <c r="A13" s="1" t="s">
        <v>11</v>
      </c>
      <c r="B13" s="21">
        <f>'Saving rate'!F32</f>
        <v>4.342147618393799E-3</v>
      </c>
      <c r="C13" s="6">
        <f t="shared" si="1"/>
        <v>4.342147618393799E-3</v>
      </c>
      <c r="D13" s="6">
        <f t="shared" si="4"/>
        <v>4.342147618393799E-3</v>
      </c>
      <c r="E13" s="6">
        <f t="shared" si="4"/>
        <v>4.342147618393799E-3</v>
      </c>
      <c r="F13" s="6">
        <f t="shared" si="4"/>
        <v>4.342147618393799E-3</v>
      </c>
      <c r="G13" s="6">
        <f t="shared" si="4"/>
        <v>4.342147618393799E-3</v>
      </c>
      <c r="H13" s="6">
        <f t="shared" si="4"/>
        <v>4.342147618393799E-3</v>
      </c>
      <c r="I13" s="6">
        <f t="shared" si="4"/>
        <v>4.342147618393799E-3</v>
      </c>
      <c r="J13" s="6">
        <f t="shared" si="4"/>
        <v>4.342147618393799E-3</v>
      </c>
      <c r="K13" s="6">
        <f t="shared" si="4"/>
        <v>4.342147618393799E-3</v>
      </c>
      <c r="L13" s="6">
        <f t="shared" si="4"/>
        <v>4.342147618393799E-3</v>
      </c>
      <c r="M13" s="6">
        <f t="shared" si="4"/>
        <v>4.342147618393799E-3</v>
      </c>
      <c r="N13" s="6">
        <f t="shared" si="4"/>
        <v>4.342147618393799E-3</v>
      </c>
      <c r="O13" s="6">
        <f t="shared" si="4"/>
        <v>4.342147618393799E-3</v>
      </c>
      <c r="P13" s="6">
        <f t="shared" si="4"/>
        <v>4.342147618393799E-3</v>
      </c>
      <c r="Q13" s="6">
        <f t="shared" si="4"/>
        <v>4.342147618393799E-3</v>
      </c>
      <c r="R13" s="6">
        <f t="shared" si="4"/>
        <v>4.342147618393799E-3</v>
      </c>
      <c r="S13" s="6">
        <f t="shared" si="4"/>
        <v>4.342147618393799E-3</v>
      </c>
      <c r="T13" s="6">
        <f t="shared" si="4"/>
        <v>4.342147618393799E-3</v>
      </c>
      <c r="U13" s="6">
        <f t="shared" si="4"/>
        <v>4.342147618393799E-3</v>
      </c>
      <c r="V13" s="6">
        <f t="shared" si="4"/>
        <v>4.342147618393799E-3</v>
      </c>
      <c r="W13" s="6">
        <f t="shared" si="4"/>
        <v>4.342147618393799E-3</v>
      </c>
      <c r="X13" s="6">
        <f t="shared" si="4"/>
        <v>4.342147618393799E-3</v>
      </c>
      <c r="Y13" s="6">
        <f t="shared" si="4"/>
        <v>4.342147618393799E-3</v>
      </c>
      <c r="Z13" s="6">
        <f t="shared" si="4"/>
        <v>4.342147618393799E-3</v>
      </c>
      <c r="AA13" s="6">
        <f t="shared" si="4"/>
        <v>4.342147618393799E-3</v>
      </c>
      <c r="AB13" s="6">
        <f t="shared" si="4"/>
        <v>4.342147618393799E-3</v>
      </c>
      <c r="AC13" s="6">
        <f t="shared" si="4"/>
        <v>4.342147618393799E-3</v>
      </c>
      <c r="AD13" s="6">
        <f t="shared" si="4"/>
        <v>4.342147618393799E-3</v>
      </c>
      <c r="AE13" s="6">
        <f t="shared" si="4"/>
        <v>4.342147618393799E-3</v>
      </c>
      <c r="AF13" s="6">
        <f t="shared" si="4"/>
        <v>4.342147618393799E-3</v>
      </c>
      <c r="AG13" s="6">
        <f t="shared" si="4"/>
        <v>4.342147618393799E-3</v>
      </c>
    </row>
    <row r="14" spans="1:33" x14ac:dyDescent="0.3">
      <c r="A14" s="1" t="s">
        <v>12</v>
      </c>
      <c r="B14" s="21">
        <f>'Saving rate'!F33</f>
        <v>-7.0140712710908826E-3</v>
      </c>
      <c r="C14" s="6">
        <f t="shared" si="1"/>
        <v>-7.0140712710908826E-3</v>
      </c>
      <c r="D14" s="6">
        <f t="shared" si="4"/>
        <v>-7.0140712710908826E-3</v>
      </c>
      <c r="E14" s="6">
        <f t="shared" si="4"/>
        <v>-7.0140712710908826E-3</v>
      </c>
      <c r="F14" s="6">
        <f t="shared" si="4"/>
        <v>-7.0140712710908826E-3</v>
      </c>
      <c r="G14" s="6">
        <f t="shared" si="4"/>
        <v>-7.0140712710908826E-3</v>
      </c>
      <c r="H14" s="6">
        <f t="shared" si="4"/>
        <v>-7.0140712710908826E-3</v>
      </c>
      <c r="I14" s="6">
        <f t="shared" si="4"/>
        <v>-7.0140712710908826E-3</v>
      </c>
      <c r="J14" s="6">
        <f t="shared" si="4"/>
        <v>-7.0140712710908826E-3</v>
      </c>
      <c r="K14" s="6">
        <f t="shared" si="4"/>
        <v>-7.0140712710908826E-3</v>
      </c>
      <c r="L14" s="6">
        <f t="shared" si="4"/>
        <v>-7.0140712710908826E-3</v>
      </c>
      <c r="M14" s="6">
        <f t="shared" si="4"/>
        <v>-7.0140712710908826E-3</v>
      </c>
      <c r="N14" s="6">
        <f t="shared" si="4"/>
        <v>-7.0140712710908826E-3</v>
      </c>
      <c r="O14" s="6">
        <f t="shared" si="4"/>
        <v>-7.0140712710908826E-3</v>
      </c>
      <c r="P14" s="6">
        <f t="shared" si="4"/>
        <v>-7.0140712710908826E-3</v>
      </c>
      <c r="Q14" s="6">
        <f t="shared" si="4"/>
        <v>-7.0140712710908826E-3</v>
      </c>
      <c r="R14" s="6">
        <f t="shared" si="4"/>
        <v>-7.0140712710908826E-3</v>
      </c>
      <c r="S14" s="6">
        <f t="shared" si="4"/>
        <v>-7.0140712710908826E-3</v>
      </c>
      <c r="T14" s="6">
        <f t="shared" si="4"/>
        <v>-7.0140712710908826E-3</v>
      </c>
      <c r="U14" s="6">
        <f t="shared" si="4"/>
        <v>-7.0140712710908826E-3</v>
      </c>
      <c r="V14" s="6">
        <f t="shared" si="4"/>
        <v>-7.0140712710908826E-3</v>
      </c>
      <c r="W14" s="6">
        <f t="shared" si="4"/>
        <v>-7.0140712710908826E-3</v>
      </c>
      <c r="X14" s="6">
        <f t="shared" si="4"/>
        <v>-7.0140712710908826E-3</v>
      </c>
      <c r="Y14" s="6">
        <f t="shared" si="4"/>
        <v>-7.0140712710908826E-3</v>
      </c>
      <c r="Z14" s="6">
        <f t="shared" si="4"/>
        <v>-7.0140712710908826E-3</v>
      </c>
      <c r="AA14" s="6">
        <f t="shared" si="4"/>
        <v>-7.0140712710908826E-3</v>
      </c>
      <c r="AB14" s="6">
        <f t="shared" si="4"/>
        <v>-7.0140712710908826E-3</v>
      </c>
      <c r="AC14" s="6">
        <f t="shared" si="4"/>
        <v>-7.0140712710908826E-3</v>
      </c>
      <c r="AD14" s="6">
        <f t="shared" si="4"/>
        <v>-7.0140712710908826E-3</v>
      </c>
      <c r="AE14" s="6">
        <f t="shared" si="4"/>
        <v>-7.0140712710908826E-3</v>
      </c>
      <c r="AF14" s="6">
        <f t="shared" si="4"/>
        <v>-7.0140712710908826E-3</v>
      </c>
      <c r="AG14" s="6">
        <f t="shared" si="4"/>
        <v>-7.0140712710908826E-3</v>
      </c>
    </row>
    <row r="15" spans="1:33" x14ac:dyDescent="0.3">
      <c r="A15" s="1" t="s">
        <v>13</v>
      </c>
      <c r="B15" s="21">
        <f>'Saving rate'!F34</f>
        <v>1.4338397889757104E-4</v>
      </c>
      <c r="C15" s="6">
        <f t="shared" si="1"/>
        <v>1.4338397889757104E-4</v>
      </c>
      <c r="D15" s="6">
        <f t="shared" si="4"/>
        <v>1.4338397889757104E-4</v>
      </c>
      <c r="E15" s="6">
        <f t="shared" si="4"/>
        <v>1.4338397889757104E-4</v>
      </c>
      <c r="F15" s="6">
        <f t="shared" si="4"/>
        <v>1.4338397889757104E-4</v>
      </c>
      <c r="G15" s="6">
        <f t="shared" si="4"/>
        <v>1.4338397889757104E-4</v>
      </c>
      <c r="H15" s="6">
        <f t="shared" si="4"/>
        <v>1.4338397889757104E-4</v>
      </c>
      <c r="I15" s="6">
        <f t="shared" si="4"/>
        <v>1.4338397889757104E-4</v>
      </c>
      <c r="J15" s="6">
        <f t="shared" si="4"/>
        <v>1.4338397889757104E-4</v>
      </c>
      <c r="K15" s="6">
        <f t="shared" si="4"/>
        <v>1.4338397889757104E-4</v>
      </c>
      <c r="L15" s="6">
        <f t="shared" si="4"/>
        <v>1.4338397889757104E-4</v>
      </c>
      <c r="M15" s="6">
        <f t="shared" si="4"/>
        <v>1.4338397889757104E-4</v>
      </c>
      <c r="N15" s="6">
        <f t="shared" si="4"/>
        <v>1.4338397889757104E-4</v>
      </c>
      <c r="O15" s="6">
        <f t="shared" si="4"/>
        <v>1.4338397889757104E-4</v>
      </c>
      <c r="P15" s="6">
        <f t="shared" si="4"/>
        <v>1.4338397889757104E-4</v>
      </c>
      <c r="Q15" s="6">
        <f t="shared" si="4"/>
        <v>1.4338397889757104E-4</v>
      </c>
      <c r="R15" s="6">
        <f t="shared" si="4"/>
        <v>1.4338397889757104E-4</v>
      </c>
      <c r="S15" s="6">
        <f t="shared" si="4"/>
        <v>1.4338397889757104E-4</v>
      </c>
      <c r="T15" s="6">
        <f t="shared" si="4"/>
        <v>1.4338397889757104E-4</v>
      </c>
      <c r="U15" s="6">
        <f t="shared" si="4"/>
        <v>1.4338397889757104E-4</v>
      </c>
      <c r="V15" s="6">
        <f t="shared" si="4"/>
        <v>1.4338397889757104E-4</v>
      </c>
      <c r="W15" s="6">
        <f t="shared" si="4"/>
        <v>1.4338397889757104E-4</v>
      </c>
      <c r="X15" s="6">
        <f t="shared" si="4"/>
        <v>1.4338397889757104E-4</v>
      </c>
      <c r="Y15" s="6">
        <f t="shared" si="4"/>
        <v>1.4338397889757104E-4</v>
      </c>
      <c r="Z15" s="6">
        <f t="shared" si="4"/>
        <v>1.4338397889757104E-4</v>
      </c>
      <c r="AA15" s="6">
        <f t="shared" si="4"/>
        <v>1.4338397889757104E-4</v>
      </c>
      <c r="AB15" s="6">
        <f t="shared" si="4"/>
        <v>1.4338397889757104E-4</v>
      </c>
      <c r="AC15" s="6">
        <f t="shared" si="4"/>
        <v>1.4338397889757104E-4</v>
      </c>
      <c r="AD15" s="6">
        <f t="shared" si="4"/>
        <v>1.4338397889757104E-4</v>
      </c>
      <c r="AE15" s="6">
        <f t="shared" si="4"/>
        <v>1.4338397889757104E-4</v>
      </c>
      <c r="AF15" s="6">
        <f t="shared" si="4"/>
        <v>1.4338397889757104E-4</v>
      </c>
      <c r="AG15" s="6">
        <f t="shared" si="4"/>
        <v>1.4338397889757104E-4</v>
      </c>
    </row>
    <row r="16" spans="1:33" x14ac:dyDescent="0.3">
      <c r="A16" s="1" t="s">
        <v>14</v>
      </c>
      <c r="B16" s="21">
        <f>'Saving rate'!F35</f>
        <v>6.7891038761587197E-3</v>
      </c>
      <c r="C16" s="6">
        <f t="shared" si="1"/>
        <v>6.7891038761587197E-3</v>
      </c>
      <c r="D16" s="6">
        <f t="shared" ref="D16:AG18" si="5">C16</f>
        <v>6.7891038761587197E-3</v>
      </c>
      <c r="E16" s="6">
        <f t="shared" si="5"/>
        <v>6.7891038761587197E-3</v>
      </c>
      <c r="F16" s="6">
        <f t="shared" si="5"/>
        <v>6.7891038761587197E-3</v>
      </c>
      <c r="G16" s="6">
        <f t="shared" si="5"/>
        <v>6.7891038761587197E-3</v>
      </c>
      <c r="H16" s="6">
        <f t="shared" si="5"/>
        <v>6.7891038761587197E-3</v>
      </c>
      <c r="I16" s="6">
        <f t="shared" si="5"/>
        <v>6.7891038761587197E-3</v>
      </c>
      <c r="J16" s="6">
        <f t="shared" si="5"/>
        <v>6.7891038761587197E-3</v>
      </c>
      <c r="K16" s="6">
        <f t="shared" si="5"/>
        <v>6.7891038761587197E-3</v>
      </c>
      <c r="L16" s="6">
        <f t="shared" si="5"/>
        <v>6.7891038761587197E-3</v>
      </c>
      <c r="M16" s="6">
        <f t="shared" si="5"/>
        <v>6.7891038761587197E-3</v>
      </c>
      <c r="N16" s="6">
        <f t="shared" si="5"/>
        <v>6.7891038761587197E-3</v>
      </c>
      <c r="O16" s="6">
        <f t="shared" si="5"/>
        <v>6.7891038761587197E-3</v>
      </c>
      <c r="P16" s="6">
        <f t="shared" si="5"/>
        <v>6.7891038761587197E-3</v>
      </c>
      <c r="Q16" s="6">
        <f t="shared" si="5"/>
        <v>6.7891038761587197E-3</v>
      </c>
      <c r="R16" s="6">
        <f t="shared" si="5"/>
        <v>6.7891038761587197E-3</v>
      </c>
      <c r="S16" s="6">
        <f t="shared" si="5"/>
        <v>6.7891038761587197E-3</v>
      </c>
      <c r="T16" s="6">
        <f t="shared" si="5"/>
        <v>6.7891038761587197E-3</v>
      </c>
      <c r="U16" s="6">
        <f t="shared" si="5"/>
        <v>6.7891038761587197E-3</v>
      </c>
      <c r="V16" s="6">
        <f t="shared" si="5"/>
        <v>6.7891038761587197E-3</v>
      </c>
      <c r="W16" s="6">
        <f t="shared" si="5"/>
        <v>6.7891038761587197E-3</v>
      </c>
      <c r="X16" s="6">
        <f t="shared" si="5"/>
        <v>6.7891038761587197E-3</v>
      </c>
      <c r="Y16" s="6">
        <f t="shared" si="5"/>
        <v>6.7891038761587197E-3</v>
      </c>
      <c r="Z16" s="6">
        <f t="shared" si="5"/>
        <v>6.7891038761587197E-3</v>
      </c>
      <c r="AA16" s="6">
        <f t="shared" si="5"/>
        <v>6.7891038761587197E-3</v>
      </c>
      <c r="AB16" s="6">
        <f t="shared" si="5"/>
        <v>6.7891038761587197E-3</v>
      </c>
      <c r="AC16" s="6">
        <f t="shared" si="5"/>
        <v>6.7891038761587197E-3</v>
      </c>
      <c r="AD16" s="6">
        <f t="shared" si="5"/>
        <v>6.7891038761587197E-3</v>
      </c>
      <c r="AE16" s="6">
        <f t="shared" si="5"/>
        <v>6.7891038761587197E-3</v>
      </c>
      <c r="AF16" s="6">
        <f t="shared" si="5"/>
        <v>6.7891038761587197E-3</v>
      </c>
      <c r="AG16" s="6">
        <f t="shared" si="5"/>
        <v>6.7891038761587197E-3</v>
      </c>
    </row>
    <row r="17" spans="1:33" x14ac:dyDescent="0.3">
      <c r="A17" s="1" t="s">
        <v>15</v>
      </c>
      <c r="B17" s="21">
        <f>'Saving rate'!F36</f>
        <v>8.5507351900411255E-3</v>
      </c>
      <c r="C17" s="6">
        <f t="shared" si="1"/>
        <v>8.5507351900411255E-3</v>
      </c>
      <c r="D17" s="6">
        <f t="shared" si="5"/>
        <v>8.5507351900411255E-3</v>
      </c>
      <c r="E17" s="6">
        <f t="shared" si="5"/>
        <v>8.5507351900411255E-3</v>
      </c>
      <c r="F17" s="6">
        <f t="shared" si="5"/>
        <v>8.5507351900411255E-3</v>
      </c>
      <c r="G17" s="6">
        <f t="shared" si="5"/>
        <v>8.5507351900411255E-3</v>
      </c>
      <c r="H17" s="6">
        <f t="shared" si="5"/>
        <v>8.5507351900411255E-3</v>
      </c>
      <c r="I17" s="6">
        <f t="shared" si="5"/>
        <v>8.5507351900411255E-3</v>
      </c>
      <c r="J17" s="6">
        <f t="shared" si="5"/>
        <v>8.5507351900411255E-3</v>
      </c>
      <c r="K17" s="6">
        <f t="shared" si="5"/>
        <v>8.5507351900411255E-3</v>
      </c>
      <c r="L17" s="6">
        <f t="shared" si="5"/>
        <v>8.5507351900411255E-3</v>
      </c>
      <c r="M17" s="6">
        <f t="shared" si="5"/>
        <v>8.5507351900411255E-3</v>
      </c>
      <c r="N17" s="6">
        <f t="shared" si="5"/>
        <v>8.5507351900411255E-3</v>
      </c>
      <c r="O17" s="6">
        <f t="shared" si="5"/>
        <v>8.5507351900411255E-3</v>
      </c>
      <c r="P17" s="6">
        <f t="shared" si="5"/>
        <v>8.5507351900411255E-3</v>
      </c>
      <c r="Q17" s="6">
        <f t="shared" si="5"/>
        <v>8.5507351900411255E-3</v>
      </c>
      <c r="R17" s="6">
        <f t="shared" si="5"/>
        <v>8.5507351900411255E-3</v>
      </c>
      <c r="S17" s="6">
        <f t="shared" si="5"/>
        <v>8.5507351900411255E-3</v>
      </c>
      <c r="T17" s="6">
        <f t="shared" si="5"/>
        <v>8.5507351900411255E-3</v>
      </c>
      <c r="U17" s="6">
        <f t="shared" si="5"/>
        <v>8.5507351900411255E-3</v>
      </c>
      <c r="V17" s="6">
        <f t="shared" si="5"/>
        <v>8.5507351900411255E-3</v>
      </c>
      <c r="W17" s="6">
        <f t="shared" si="5"/>
        <v>8.5507351900411255E-3</v>
      </c>
      <c r="X17" s="6">
        <f t="shared" si="5"/>
        <v>8.5507351900411255E-3</v>
      </c>
      <c r="Y17" s="6">
        <f t="shared" si="5"/>
        <v>8.5507351900411255E-3</v>
      </c>
      <c r="Z17" s="6">
        <f t="shared" si="5"/>
        <v>8.5507351900411255E-3</v>
      </c>
      <c r="AA17" s="6">
        <f t="shared" si="5"/>
        <v>8.5507351900411255E-3</v>
      </c>
      <c r="AB17" s="6">
        <f t="shared" si="5"/>
        <v>8.5507351900411255E-3</v>
      </c>
      <c r="AC17" s="6">
        <f t="shared" si="5"/>
        <v>8.5507351900411255E-3</v>
      </c>
      <c r="AD17" s="6">
        <f t="shared" si="5"/>
        <v>8.5507351900411255E-3</v>
      </c>
      <c r="AE17" s="6">
        <f t="shared" si="5"/>
        <v>8.5507351900411255E-3</v>
      </c>
      <c r="AF17" s="6">
        <f t="shared" si="5"/>
        <v>8.5507351900411255E-3</v>
      </c>
      <c r="AG17" s="6">
        <f t="shared" si="5"/>
        <v>8.5507351900411255E-3</v>
      </c>
    </row>
    <row r="18" spans="1:33" x14ac:dyDescent="0.3">
      <c r="A18" s="1" t="s">
        <v>16</v>
      </c>
      <c r="B18" s="21">
        <f>'Saving rate'!F37</f>
        <v>2.7747868246208451E-3</v>
      </c>
      <c r="C18" s="6">
        <f t="shared" si="1"/>
        <v>2.7747868246208451E-3</v>
      </c>
      <c r="D18" s="6">
        <f t="shared" si="5"/>
        <v>2.7747868246208451E-3</v>
      </c>
      <c r="E18" s="6">
        <f t="shared" si="5"/>
        <v>2.7747868246208451E-3</v>
      </c>
      <c r="F18" s="6">
        <f t="shared" si="5"/>
        <v>2.7747868246208451E-3</v>
      </c>
      <c r="G18" s="6">
        <f t="shared" si="5"/>
        <v>2.7747868246208451E-3</v>
      </c>
      <c r="H18" s="6">
        <f t="shared" si="5"/>
        <v>2.7747868246208451E-3</v>
      </c>
      <c r="I18" s="6">
        <f t="shared" si="5"/>
        <v>2.7747868246208451E-3</v>
      </c>
      <c r="J18" s="6">
        <f t="shared" si="5"/>
        <v>2.7747868246208451E-3</v>
      </c>
      <c r="K18" s="6">
        <f t="shared" si="5"/>
        <v>2.7747868246208451E-3</v>
      </c>
      <c r="L18" s="6">
        <f t="shared" si="5"/>
        <v>2.7747868246208451E-3</v>
      </c>
      <c r="M18" s="6">
        <f t="shared" si="5"/>
        <v>2.7747868246208451E-3</v>
      </c>
      <c r="N18" s="6">
        <f t="shared" si="5"/>
        <v>2.7747868246208451E-3</v>
      </c>
      <c r="O18" s="6">
        <f t="shared" si="5"/>
        <v>2.7747868246208451E-3</v>
      </c>
      <c r="P18" s="6">
        <f t="shared" si="5"/>
        <v>2.7747868246208451E-3</v>
      </c>
      <c r="Q18" s="6">
        <f t="shared" si="5"/>
        <v>2.7747868246208451E-3</v>
      </c>
      <c r="R18" s="6">
        <f t="shared" si="5"/>
        <v>2.7747868246208451E-3</v>
      </c>
      <c r="S18" s="6">
        <f t="shared" si="5"/>
        <v>2.7747868246208451E-3</v>
      </c>
      <c r="T18" s="6">
        <f t="shared" si="5"/>
        <v>2.7747868246208451E-3</v>
      </c>
      <c r="U18" s="6">
        <f t="shared" si="5"/>
        <v>2.7747868246208451E-3</v>
      </c>
      <c r="V18" s="6">
        <f t="shared" si="5"/>
        <v>2.7747868246208451E-3</v>
      </c>
      <c r="W18" s="6">
        <f t="shared" si="5"/>
        <v>2.7747868246208451E-3</v>
      </c>
      <c r="X18" s="6">
        <f t="shared" si="5"/>
        <v>2.7747868246208451E-3</v>
      </c>
      <c r="Y18" s="6">
        <f t="shared" si="5"/>
        <v>2.7747868246208451E-3</v>
      </c>
      <c r="Z18" s="6">
        <f t="shared" si="5"/>
        <v>2.7747868246208451E-3</v>
      </c>
      <c r="AA18" s="6">
        <f t="shared" si="5"/>
        <v>2.7747868246208451E-3</v>
      </c>
      <c r="AB18" s="6">
        <f t="shared" si="5"/>
        <v>2.7747868246208451E-3</v>
      </c>
      <c r="AC18" s="6">
        <f t="shared" si="5"/>
        <v>2.7747868246208451E-3</v>
      </c>
      <c r="AD18" s="6">
        <f t="shared" si="5"/>
        <v>2.7747868246208451E-3</v>
      </c>
      <c r="AE18" s="6">
        <f t="shared" si="5"/>
        <v>2.7747868246208451E-3</v>
      </c>
      <c r="AF18" s="6">
        <f t="shared" si="5"/>
        <v>2.7747868246208451E-3</v>
      </c>
      <c r="AG18" s="6">
        <f t="shared" si="5"/>
        <v>2.7747868246208451E-3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1ED7-00FD-4715-8862-C6199AA10775}">
  <dimension ref="A1:AG18"/>
  <sheetViews>
    <sheetView workbookViewId="0">
      <selection activeCell="C8" sqref="C8"/>
    </sheetView>
  </sheetViews>
  <sheetFormatPr defaultRowHeight="14.4" x14ac:dyDescent="0.3"/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11">
        <v>1</v>
      </c>
      <c r="C2" s="11">
        <f>B2-B2*0.005</f>
        <v>0.995</v>
      </c>
      <c r="D2" s="11">
        <f t="shared" ref="D2:AG10" si="0">C2-C2*0.005</f>
        <v>0.99002500000000004</v>
      </c>
      <c r="E2" s="11">
        <f t="shared" si="0"/>
        <v>0.98507487500000002</v>
      </c>
      <c r="F2" s="11">
        <f t="shared" si="0"/>
        <v>0.98014950062500006</v>
      </c>
      <c r="G2" s="11">
        <f t="shared" si="0"/>
        <v>0.97524875312187509</v>
      </c>
      <c r="H2" s="11">
        <f t="shared" si="0"/>
        <v>0.97037250935626573</v>
      </c>
      <c r="I2" s="11">
        <f t="shared" si="0"/>
        <v>0.96552064680948435</v>
      </c>
      <c r="J2" s="11">
        <f t="shared" si="0"/>
        <v>0.96069304357543694</v>
      </c>
      <c r="K2" s="11">
        <f t="shared" si="0"/>
        <v>0.95588957835755972</v>
      </c>
      <c r="L2" s="11">
        <f t="shared" si="0"/>
        <v>0.95111013046577197</v>
      </c>
      <c r="M2" s="11">
        <f t="shared" si="0"/>
        <v>0.94635457981344306</v>
      </c>
      <c r="N2" s="11">
        <f t="shared" si="0"/>
        <v>0.94162280691437583</v>
      </c>
      <c r="O2" s="11">
        <f t="shared" si="0"/>
        <v>0.936914692879804</v>
      </c>
      <c r="P2" s="11">
        <f t="shared" si="0"/>
        <v>0.93223011941540501</v>
      </c>
      <c r="Q2" s="11">
        <f t="shared" si="0"/>
        <v>0.92756896881832795</v>
      </c>
      <c r="R2" s="11">
        <f t="shared" si="0"/>
        <v>0.92293112397423627</v>
      </c>
      <c r="S2" s="11">
        <f t="shared" si="0"/>
        <v>0.91831646835436509</v>
      </c>
      <c r="T2" s="11">
        <f t="shared" si="0"/>
        <v>0.91372488601259327</v>
      </c>
      <c r="U2" s="11">
        <f t="shared" si="0"/>
        <v>0.90915626158253027</v>
      </c>
      <c r="V2" s="11">
        <f t="shared" si="0"/>
        <v>0.90461048027461766</v>
      </c>
      <c r="W2" s="11">
        <f t="shared" si="0"/>
        <v>0.90008742787324458</v>
      </c>
      <c r="X2" s="11">
        <f t="shared" si="0"/>
        <v>0.89558699073387837</v>
      </c>
      <c r="Y2" s="11">
        <f t="shared" si="0"/>
        <v>0.89110905578020894</v>
      </c>
      <c r="Z2" s="11">
        <f t="shared" si="0"/>
        <v>0.88665351050130792</v>
      </c>
      <c r="AA2" s="11">
        <f t="shared" si="0"/>
        <v>0.88222024294880141</v>
      </c>
      <c r="AB2" s="11">
        <f t="shared" si="0"/>
        <v>0.87780914173405744</v>
      </c>
      <c r="AC2" s="11">
        <f t="shared" si="0"/>
        <v>0.87342009602538717</v>
      </c>
      <c r="AD2" s="11">
        <f t="shared" si="0"/>
        <v>0.86905299554526028</v>
      </c>
      <c r="AE2" s="11">
        <f t="shared" si="0"/>
        <v>0.86470773056753403</v>
      </c>
      <c r="AF2" s="11">
        <f t="shared" si="0"/>
        <v>0.86038419191469639</v>
      </c>
      <c r="AG2" s="11">
        <f t="shared" si="0"/>
        <v>0.8560822709551229</v>
      </c>
    </row>
    <row r="3" spans="1:33" x14ac:dyDescent="0.3">
      <c r="A3" s="2" t="s">
        <v>1</v>
      </c>
      <c r="B3" s="11">
        <v>1</v>
      </c>
      <c r="C3" s="11">
        <f t="shared" ref="C3:R18" si="1">B3-B3*0.005</f>
        <v>0.995</v>
      </c>
      <c r="D3" s="11">
        <f t="shared" si="1"/>
        <v>0.99002500000000004</v>
      </c>
      <c r="E3" s="11">
        <f t="shared" si="1"/>
        <v>0.98507487500000002</v>
      </c>
      <c r="F3" s="11">
        <f t="shared" si="1"/>
        <v>0.98014950062500006</v>
      </c>
      <c r="G3" s="11">
        <f t="shared" si="1"/>
        <v>0.97524875312187509</v>
      </c>
      <c r="H3" s="11">
        <f t="shared" si="1"/>
        <v>0.97037250935626573</v>
      </c>
      <c r="I3" s="11">
        <f t="shared" si="1"/>
        <v>0.96552064680948435</v>
      </c>
      <c r="J3" s="11">
        <f t="shared" si="1"/>
        <v>0.96069304357543694</v>
      </c>
      <c r="K3" s="11">
        <f t="shared" si="1"/>
        <v>0.95588957835755972</v>
      </c>
      <c r="L3" s="11">
        <f t="shared" si="1"/>
        <v>0.95111013046577197</v>
      </c>
      <c r="M3" s="11">
        <f t="shared" si="1"/>
        <v>0.94635457981344306</v>
      </c>
      <c r="N3" s="11">
        <f t="shared" si="1"/>
        <v>0.94162280691437583</v>
      </c>
      <c r="O3" s="11">
        <f t="shared" si="1"/>
        <v>0.936914692879804</v>
      </c>
      <c r="P3" s="11">
        <f t="shared" si="1"/>
        <v>0.93223011941540501</v>
      </c>
      <c r="Q3" s="11">
        <f t="shared" si="1"/>
        <v>0.92756896881832795</v>
      </c>
      <c r="R3" s="11">
        <f t="shared" si="1"/>
        <v>0.92293112397423627</v>
      </c>
      <c r="S3" s="11">
        <f t="shared" si="0"/>
        <v>0.91831646835436509</v>
      </c>
      <c r="T3" s="11">
        <f t="shared" si="0"/>
        <v>0.91372488601259327</v>
      </c>
      <c r="U3" s="11">
        <f t="shared" si="0"/>
        <v>0.90915626158253027</v>
      </c>
      <c r="V3" s="11">
        <f t="shared" si="0"/>
        <v>0.90461048027461766</v>
      </c>
      <c r="W3" s="11">
        <f t="shared" si="0"/>
        <v>0.90008742787324458</v>
      </c>
      <c r="X3" s="11">
        <f t="shared" si="0"/>
        <v>0.89558699073387837</v>
      </c>
      <c r="Y3" s="11">
        <f t="shared" si="0"/>
        <v>0.89110905578020894</v>
      </c>
      <c r="Z3" s="11">
        <f t="shared" si="0"/>
        <v>0.88665351050130792</v>
      </c>
      <c r="AA3" s="11">
        <f t="shared" si="0"/>
        <v>0.88222024294880141</v>
      </c>
      <c r="AB3" s="11">
        <f t="shared" si="0"/>
        <v>0.87780914173405744</v>
      </c>
      <c r="AC3" s="11">
        <f t="shared" si="0"/>
        <v>0.87342009602538717</v>
      </c>
      <c r="AD3" s="11">
        <f t="shared" si="0"/>
        <v>0.86905299554526028</v>
      </c>
      <c r="AE3" s="11">
        <f t="shared" si="0"/>
        <v>0.86470773056753403</v>
      </c>
      <c r="AF3" s="11">
        <f t="shared" si="0"/>
        <v>0.86038419191469639</v>
      </c>
      <c r="AG3" s="11">
        <f t="shared" si="0"/>
        <v>0.8560822709551229</v>
      </c>
    </row>
    <row r="4" spans="1:33" x14ac:dyDescent="0.3">
      <c r="A4" s="2" t="s">
        <v>2</v>
      </c>
      <c r="B4" s="11">
        <v>1</v>
      </c>
      <c r="C4" s="11">
        <f t="shared" si="1"/>
        <v>0.995</v>
      </c>
      <c r="D4" s="11">
        <f t="shared" si="0"/>
        <v>0.99002500000000004</v>
      </c>
      <c r="E4" s="11">
        <f t="shared" si="0"/>
        <v>0.98507487500000002</v>
      </c>
      <c r="F4" s="11">
        <f t="shared" si="0"/>
        <v>0.98014950062500006</v>
      </c>
      <c r="G4" s="11">
        <f t="shared" si="0"/>
        <v>0.97524875312187509</v>
      </c>
      <c r="H4" s="11">
        <f t="shared" si="0"/>
        <v>0.97037250935626573</v>
      </c>
      <c r="I4" s="11">
        <f t="shared" si="0"/>
        <v>0.96552064680948435</v>
      </c>
      <c r="J4" s="11">
        <f t="shared" si="0"/>
        <v>0.96069304357543694</v>
      </c>
      <c r="K4" s="11">
        <f t="shared" si="0"/>
        <v>0.95588957835755972</v>
      </c>
      <c r="L4" s="11">
        <f t="shared" si="0"/>
        <v>0.95111013046577197</v>
      </c>
      <c r="M4" s="11">
        <f t="shared" si="0"/>
        <v>0.94635457981344306</v>
      </c>
      <c r="N4" s="11">
        <f t="shared" si="0"/>
        <v>0.94162280691437583</v>
      </c>
      <c r="O4" s="11">
        <f t="shared" si="0"/>
        <v>0.936914692879804</v>
      </c>
      <c r="P4" s="11">
        <f t="shared" si="0"/>
        <v>0.93223011941540501</v>
      </c>
      <c r="Q4" s="11">
        <f t="shared" si="0"/>
        <v>0.92756896881832795</v>
      </c>
      <c r="R4" s="11">
        <f t="shared" si="0"/>
        <v>0.92293112397423627</v>
      </c>
      <c r="S4" s="11">
        <f t="shared" si="0"/>
        <v>0.91831646835436509</v>
      </c>
      <c r="T4" s="11">
        <f t="shared" si="0"/>
        <v>0.91372488601259327</v>
      </c>
      <c r="U4" s="11">
        <f t="shared" si="0"/>
        <v>0.90915626158253027</v>
      </c>
      <c r="V4" s="11">
        <f t="shared" si="0"/>
        <v>0.90461048027461766</v>
      </c>
      <c r="W4" s="11">
        <f t="shared" si="0"/>
        <v>0.90008742787324458</v>
      </c>
      <c r="X4" s="11">
        <f t="shared" si="0"/>
        <v>0.89558699073387837</v>
      </c>
      <c r="Y4" s="11">
        <f t="shared" si="0"/>
        <v>0.89110905578020894</v>
      </c>
      <c r="Z4" s="11">
        <f t="shared" si="0"/>
        <v>0.88665351050130792</v>
      </c>
      <c r="AA4" s="11">
        <f t="shared" si="0"/>
        <v>0.88222024294880141</v>
      </c>
      <c r="AB4" s="11">
        <f t="shared" si="0"/>
        <v>0.87780914173405744</v>
      </c>
      <c r="AC4" s="11">
        <f t="shared" si="0"/>
        <v>0.87342009602538717</v>
      </c>
      <c r="AD4" s="11">
        <f t="shared" si="0"/>
        <v>0.86905299554526028</v>
      </c>
      <c r="AE4" s="11">
        <f t="shared" si="0"/>
        <v>0.86470773056753403</v>
      </c>
      <c r="AF4" s="11">
        <f t="shared" si="0"/>
        <v>0.86038419191469639</v>
      </c>
      <c r="AG4" s="11">
        <f t="shared" si="0"/>
        <v>0.8560822709551229</v>
      </c>
    </row>
    <row r="5" spans="1:33" x14ac:dyDescent="0.3">
      <c r="A5" s="2" t="s">
        <v>3</v>
      </c>
      <c r="B5" s="11">
        <v>1</v>
      </c>
      <c r="C5" s="11">
        <f t="shared" si="1"/>
        <v>0.995</v>
      </c>
      <c r="D5" s="11">
        <f t="shared" si="0"/>
        <v>0.99002500000000004</v>
      </c>
      <c r="E5" s="11">
        <f t="shared" si="0"/>
        <v>0.98507487500000002</v>
      </c>
      <c r="F5" s="11">
        <f t="shared" si="0"/>
        <v>0.98014950062500006</v>
      </c>
      <c r="G5" s="11">
        <f t="shared" si="0"/>
        <v>0.97524875312187509</v>
      </c>
      <c r="H5" s="11">
        <f t="shared" si="0"/>
        <v>0.97037250935626573</v>
      </c>
      <c r="I5" s="11">
        <f t="shared" si="0"/>
        <v>0.96552064680948435</v>
      </c>
      <c r="J5" s="11">
        <f t="shared" si="0"/>
        <v>0.96069304357543694</v>
      </c>
      <c r="K5" s="11">
        <f t="shared" si="0"/>
        <v>0.95588957835755972</v>
      </c>
      <c r="L5" s="11">
        <f t="shared" si="0"/>
        <v>0.95111013046577197</v>
      </c>
      <c r="M5" s="11">
        <f t="shared" si="0"/>
        <v>0.94635457981344306</v>
      </c>
      <c r="N5" s="11">
        <f t="shared" si="0"/>
        <v>0.94162280691437583</v>
      </c>
      <c r="O5" s="11">
        <f t="shared" si="0"/>
        <v>0.936914692879804</v>
      </c>
      <c r="P5" s="11">
        <f t="shared" si="0"/>
        <v>0.93223011941540501</v>
      </c>
      <c r="Q5" s="11">
        <f t="shared" si="0"/>
        <v>0.92756896881832795</v>
      </c>
      <c r="R5" s="11">
        <f t="shared" si="0"/>
        <v>0.92293112397423627</v>
      </c>
      <c r="S5" s="11">
        <f t="shared" si="0"/>
        <v>0.91831646835436509</v>
      </c>
      <c r="T5" s="11">
        <f t="shared" si="0"/>
        <v>0.91372488601259327</v>
      </c>
      <c r="U5" s="11">
        <f t="shared" si="0"/>
        <v>0.90915626158253027</v>
      </c>
      <c r="V5" s="11">
        <f t="shared" si="0"/>
        <v>0.90461048027461766</v>
      </c>
      <c r="W5" s="11">
        <f t="shared" si="0"/>
        <v>0.90008742787324458</v>
      </c>
      <c r="X5" s="11">
        <f t="shared" si="0"/>
        <v>0.89558699073387837</v>
      </c>
      <c r="Y5" s="11">
        <f t="shared" si="0"/>
        <v>0.89110905578020894</v>
      </c>
      <c r="Z5" s="11">
        <f t="shared" si="0"/>
        <v>0.88665351050130792</v>
      </c>
      <c r="AA5" s="11">
        <f t="shared" si="0"/>
        <v>0.88222024294880141</v>
      </c>
      <c r="AB5" s="11">
        <f t="shared" si="0"/>
        <v>0.87780914173405744</v>
      </c>
      <c r="AC5" s="11">
        <f t="shared" si="0"/>
        <v>0.87342009602538717</v>
      </c>
      <c r="AD5" s="11">
        <f t="shared" si="0"/>
        <v>0.86905299554526028</v>
      </c>
      <c r="AE5" s="11">
        <f t="shared" si="0"/>
        <v>0.86470773056753403</v>
      </c>
      <c r="AF5" s="11">
        <f t="shared" si="0"/>
        <v>0.86038419191469639</v>
      </c>
      <c r="AG5" s="11">
        <f t="shared" si="0"/>
        <v>0.8560822709551229</v>
      </c>
    </row>
    <row r="6" spans="1:33" x14ac:dyDescent="0.3">
      <c r="A6" s="2" t="s">
        <v>4</v>
      </c>
      <c r="B6" s="11">
        <v>1</v>
      </c>
      <c r="C6" s="11">
        <f t="shared" si="1"/>
        <v>0.995</v>
      </c>
      <c r="D6" s="11">
        <f t="shared" si="0"/>
        <v>0.99002500000000004</v>
      </c>
      <c r="E6" s="11">
        <f t="shared" si="0"/>
        <v>0.98507487500000002</v>
      </c>
      <c r="F6" s="11">
        <f t="shared" si="0"/>
        <v>0.98014950062500006</v>
      </c>
      <c r="G6" s="11">
        <f t="shared" si="0"/>
        <v>0.97524875312187509</v>
      </c>
      <c r="H6" s="11">
        <f t="shared" si="0"/>
        <v>0.97037250935626573</v>
      </c>
      <c r="I6" s="11">
        <f t="shared" si="0"/>
        <v>0.96552064680948435</v>
      </c>
      <c r="J6" s="11">
        <f t="shared" si="0"/>
        <v>0.96069304357543694</v>
      </c>
      <c r="K6" s="11">
        <f t="shared" si="0"/>
        <v>0.95588957835755972</v>
      </c>
      <c r="L6" s="11">
        <f t="shared" si="0"/>
        <v>0.95111013046577197</v>
      </c>
      <c r="M6" s="11">
        <f t="shared" si="0"/>
        <v>0.94635457981344306</v>
      </c>
      <c r="N6" s="11">
        <f t="shared" si="0"/>
        <v>0.94162280691437583</v>
      </c>
      <c r="O6" s="11">
        <f t="shared" si="0"/>
        <v>0.936914692879804</v>
      </c>
      <c r="P6" s="11">
        <f t="shared" si="0"/>
        <v>0.93223011941540501</v>
      </c>
      <c r="Q6" s="11">
        <f t="shared" si="0"/>
        <v>0.92756896881832795</v>
      </c>
      <c r="R6" s="11">
        <f t="shared" si="0"/>
        <v>0.92293112397423627</v>
      </c>
      <c r="S6" s="11">
        <f t="shared" si="0"/>
        <v>0.91831646835436509</v>
      </c>
      <c r="T6" s="11">
        <f t="shared" si="0"/>
        <v>0.91372488601259327</v>
      </c>
      <c r="U6" s="11">
        <f t="shared" si="0"/>
        <v>0.90915626158253027</v>
      </c>
      <c r="V6" s="11">
        <f t="shared" si="0"/>
        <v>0.90461048027461766</v>
      </c>
      <c r="W6" s="11">
        <f t="shared" si="0"/>
        <v>0.90008742787324458</v>
      </c>
      <c r="X6" s="11">
        <f t="shared" si="0"/>
        <v>0.89558699073387837</v>
      </c>
      <c r="Y6" s="11">
        <f t="shared" si="0"/>
        <v>0.89110905578020894</v>
      </c>
      <c r="Z6" s="11">
        <f t="shared" si="0"/>
        <v>0.88665351050130792</v>
      </c>
      <c r="AA6" s="11">
        <f t="shared" si="0"/>
        <v>0.88222024294880141</v>
      </c>
      <c r="AB6" s="11">
        <f t="shared" si="0"/>
        <v>0.87780914173405744</v>
      </c>
      <c r="AC6" s="11">
        <f t="shared" si="0"/>
        <v>0.87342009602538717</v>
      </c>
      <c r="AD6" s="11">
        <f t="shared" si="0"/>
        <v>0.86905299554526028</v>
      </c>
      <c r="AE6" s="11">
        <f t="shared" si="0"/>
        <v>0.86470773056753403</v>
      </c>
      <c r="AF6" s="11">
        <f t="shared" si="0"/>
        <v>0.86038419191469639</v>
      </c>
      <c r="AG6" s="11">
        <f t="shared" si="0"/>
        <v>0.8560822709551229</v>
      </c>
    </row>
    <row r="7" spans="1:33" x14ac:dyDescent="0.3">
      <c r="A7" s="2" t="s">
        <v>5</v>
      </c>
      <c r="B7" s="11">
        <v>1</v>
      </c>
      <c r="C7" s="11">
        <f t="shared" si="1"/>
        <v>0.995</v>
      </c>
      <c r="D7" s="11">
        <f t="shared" si="0"/>
        <v>0.99002500000000004</v>
      </c>
      <c r="E7" s="11">
        <f t="shared" si="0"/>
        <v>0.98507487500000002</v>
      </c>
      <c r="F7" s="11">
        <f t="shared" si="0"/>
        <v>0.98014950062500006</v>
      </c>
      <c r="G7" s="11">
        <f t="shared" si="0"/>
        <v>0.97524875312187509</v>
      </c>
      <c r="H7" s="11">
        <f t="shared" si="0"/>
        <v>0.97037250935626573</v>
      </c>
      <c r="I7" s="11">
        <f t="shared" si="0"/>
        <v>0.96552064680948435</v>
      </c>
      <c r="J7" s="11">
        <f t="shared" si="0"/>
        <v>0.96069304357543694</v>
      </c>
      <c r="K7" s="11">
        <f t="shared" si="0"/>
        <v>0.95588957835755972</v>
      </c>
      <c r="L7" s="11">
        <f t="shared" si="0"/>
        <v>0.95111013046577197</v>
      </c>
      <c r="M7" s="11">
        <f t="shared" si="0"/>
        <v>0.94635457981344306</v>
      </c>
      <c r="N7" s="11">
        <f t="shared" si="0"/>
        <v>0.94162280691437583</v>
      </c>
      <c r="O7" s="11">
        <f t="shared" si="0"/>
        <v>0.936914692879804</v>
      </c>
      <c r="P7" s="11">
        <f t="shared" si="0"/>
        <v>0.93223011941540501</v>
      </c>
      <c r="Q7" s="11">
        <f t="shared" si="0"/>
        <v>0.92756896881832795</v>
      </c>
      <c r="R7" s="11">
        <f t="shared" si="0"/>
        <v>0.92293112397423627</v>
      </c>
      <c r="S7" s="11">
        <f t="shared" si="0"/>
        <v>0.91831646835436509</v>
      </c>
      <c r="T7" s="11">
        <f t="shared" si="0"/>
        <v>0.91372488601259327</v>
      </c>
      <c r="U7" s="11">
        <f t="shared" si="0"/>
        <v>0.90915626158253027</v>
      </c>
      <c r="V7" s="11">
        <f t="shared" si="0"/>
        <v>0.90461048027461766</v>
      </c>
      <c r="W7" s="11">
        <f t="shared" si="0"/>
        <v>0.90008742787324458</v>
      </c>
      <c r="X7" s="11">
        <f t="shared" si="0"/>
        <v>0.89558699073387837</v>
      </c>
      <c r="Y7" s="11">
        <f t="shared" si="0"/>
        <v>0.89110905578020894</v>
      </c>
      <c r="Z7" s="11">
        <f t="shared" si="0"/>
        <v>0.88665351050130792</v>
      </c>
      <c r="AA7" s="11">
        <f t="shared" si="0"/>
        <v>0.88222024294880141</v>
      </c>
      <c r="AB7" s="11">
        <f t="shared" si="0"/>
        <v>0.87780914173405744</v>
      </c>
      <c r="AC7" s="11">
        <f t="shared" si="0"/>
        <v>0.87342009602538717</v>
      </c>
      <c r="AD7" s="11">
        <f t="shared" si="0"/>
        <v>0.86905299554526028</v>
      </c>
      <c r="AE7" s="11">
        <f t="shared" si="0"/>
        <v>0.86470773056753403</v>
      </c>
      <c r="AF7" s="11">
        <f t="shared" si="0"/>
        <v>0.86038419191469639</v>
      </c>
      <c r="AG7" s="11">
        <f t="shared" si="0"/>
        <v>0.8560822709551229</v>
      </c>
    </row>
    <row r="8" spans="1:33" x14ac:dyDescent="0.3">
      <c r="A8" s="2" t="s">
        <v>6</v>
      </c>
      <c r="B8" s="11">
        <v>1</v>
      </c>
      <c r="C8" s="11">
        <f t="shared" si="1"/>
        <v>0.995</v>
      </c>
      <c r="D8" s="11">
        <f t="shared" si="0"/>
        <v>0.99002500000000004</v>
      </c>
      <c r="E8" s="11">
        <f t="shared" si="0"/>
        <v>0.98507487500000002</v>
      </c>
      <c r="F8" s="11">
        <f t="shared" si="0"/>
        <v>0.98014950062500006</v>
      </c>
      <c r="G8" s="11">
        <f t="shared" si="0"/>
        <v>0.97524875312187509</v>
      </c>
      <c r="H8" s="11">
        <f t="shared" si="0"/>
        <v>0.97037250935626573</v>
      </c>
      <c r="I8" s="11">
        <f t="shared" si="0"/>
        <v>0.96552064680948435</v>
      </c>
      <c r="J8" s="11">
        <f t="shared" si="0"/>
        <v>0.96069304357543694</v>
      </c>
      <c r="K8" s="11">
        <f t="shared" si="0"/>
        <v>0.95588957835755972</v>
      </c>
      <c r="L8" s="11">
        <f t="shared" si="0"/>
        <v>0.95111013046577197</v>
      </c>
      <c r="M8" s="11">
        <f t="shared" si="0"/>
        <v>0.94635457981344306</v>
      </c>
      <c r="N8" s="11">
        <f t="shared" si="0"/>
        <v>0.94162280691437583</v>
      </c>
      <c r="O8" s="11">
        <f t="shared" si="0"/>
        <v>0.936914692879804</v>
      </c>
      <c r="P8" s="11">
        <f t="shared" si="0"/>
        <v>0.93223011941540501</v>
      </c>
      <c r="Q8" s="11">
        <f t="shared" si="0"/>
        <v>0.92756896881832795</v>
      </c>
      <c r="R8" s="11">
        <f t="shared" si="0"/>
        <v>0.92293112397423627</v>
      </c>
      <c r="S8" s="11">
        <f t="shared" si="0"/>
        <v>0.91831646835436509</v>
      </c>
      <c r="T8" s="11">
        <f t="shared" si="0"/>
        <v>0.91372488601259327</v>
      </c>
      <c r="U8" s="11">
        <f t="shared" si="0"/>
        <v>0.90915626158253027</v>
      </c>
      <c r="V8" s="11">
        <f t="shared" si="0"/>
        <v>0.90461048027461766</v>
      </c>
      <c r="W8" s="11">
        <f t="shared" si="0"/>
        <v>0.90008742787324458</v>
      </c>
      <c r="X8" s="11">
        <f t="shared" si="0"/>
        <v>0.89558699073387837</v>
      </c>
      <c r="Y8" s="11">
        <f t="shared" si="0"/>
        <v>0.89110905578020894</v>
      </c>
      <c r="Z8" s="11">
        <f t="shared" si="0"/>
        <v>0.88665351050130792</v>
      </c>
      <c r="AA8" s="11">
        <f t="shared" si="0"/>
        <v>0.88222024294880141</v>
      </c>
      <c r="AB8" s="11">
        <f t="shared" si="0"/>
        <v>0.87780914173405744</v>
      </c>
      <c r="AC8" s="11">
        <f t="shared" si="0"/>
        <v>0.87342009602538717</v>
      </c>
      <c r="AD8" s="11">
        <f t="shared" si="0"/>
        <v>0.86905299554526028</v>
      </c>
      <c r="AE8" s="11">
        <f t="shared" si="0"/>
        <v>0.86470773056753403</v>
      </c>
      <c r="AF8" s="11">
        <f t="shared" si="0"/>
        <v>0.86038419191469639</v>
      </c>
      <c r="AG8" s="11">
        <f t="shared" si="0"/>
        <v>0.8560822709551229</v>
      </c>
    </row>
    <row r="9" spans="1:33" x14ac:dyDescent="0.3">
      <c r="A9" s="2" t="s">
        <v>7</v>
      </c>
      <c r="B9" s="11">
        <v>1</v>
      </c>
      <c r="C9" s="11">
        <f t="shared" si="1"/>
        <v>0.995</v>
      </c>
      <c r="D9" s="11">
        <f t="shared" si="0"/>
        <v>0.99002500000000004</v>
      </c>
      <c r="E9" s="11">
        <f t="shared" si="0"/>
        <v>0.98507487500000002</v>
      </c>
      <c r="F9" s="11">
        <f t="shared" si="0"/>
        <v>0.98014950062500006</v>
      </c>
      <c r="G9" s="11">
        <f t="shared" si="0"/>
        <v>0.97524875312187509</v>
      </c>
      <c r="H9" s="11">
        <f t="shared" si="0"/>
        <v>0.97037250935626573</v>
      </c>
      <c r="I9" s="11">
        <f t="shared" si="0"/>
        <v>0.96552064680948435</v>
      </c>
      <c r="J9" s="11">
        <f t="shared" si="0"/>
        <v>0.96069304357543694</v>
      </c>
      <c r="K9" s="11">
        <f t="shared" si="0"/>
        <v>0.95588957835755972</v>
      </c>
      <c r="L9" s="11">
        <f t="shared" si="0"/>
        <v>0.95111013046577197</v>
      </c>
      <c r="M9" s="11">
        <f t="shared" si="0"/>
        <v>0.94635457981344306</v>
      </c>
      <c r="N9" s="11">
        <f t="shared" si="0"/>
        <v>0.94162280691437583</v>
      </c>
      <c r="O9" s="11">
        <f t="shared" si="0"/>
        <v>0.936914692879804</v>
      </c>
      <c r="P9" s="11">
        <f t="shared" si="0"/>
        <v>0.93223011941540501</v>
      </c>
      <c r="Q9" s="11">
        <f t="shared" si="0"/>
        <v>0.92756896881832795</v>
      </c>
      <c r="R9" s="11">
        <f t="shared" si="0"/>
        <v>0.92293112397423627</v>
      </c>
      <c r="S9" s="11">
        <f t="shared" si="0"/>
        <v>0.91831646835436509</v>
      </c>
      <c r="T9" s="11">
        <f t="shared" si="0"/>
        <v>0.91372488601259327</v>
      </c>
      <c r="U9" s="11">
        <f t="shared" si="0"/>
        <v>0.90915626158253027</v>
      </c>
      <c r="V9" s="11">
        <f t="shared" si="0"/>
        <v>0.90461048027461766</v>
      </c>
      <c r="W9" s="11">
        <f t="shared" si="0"/>
        <v>0.90008742787324458</v>
      </c>
      <c r="X9" s="11">
        <f t="shared" si="0"/>
        <v>0.89558699073387837</v>
      </c>
      <c r="Y9" s="11">
        <f t="shared" si="0"/>
        <v>0.89110905578020894</v>
      </c>
      <c r="Z9" s="11">
        <f t="shared" si="0"/>
        <v>0.88665351050130792</v>
      </c>
      <c r="AA9" s="11">
        <f t="shared" si="0"/>
        <v>0.88222024294880141</v>
      </c>
      <c r="AB9" s="11">
        <f t="shared" si="0"/>
        <v>0.87780914173405744</v>
      </c>
      <c r="AC9" s="11">
        <f t="shared" si="0"/>
        <v>0.87342009602538717</v>
      </c>
      <c r="AD9" s="11">
        <f t="shared" si="0"/>
        <v>0.86905299554526028</v>
      </c>
      <c r="AE9" s="11">
        <f t="shared" si="0"/>
        <v>0.86470773056753403</v>
      </c>
      <c r="AF9" s="11">
        <f t="shared" si="0"/>
        <v>0.86038419191469639</v>
      </c>
      <c r="AG9" s="11">
        <f t="shared" si="0"/>
        <v>0.8560822709551229</v>
      </c>
    </row>
    <row r="10" spans="1:33" x14ac:dyDescent="0.3">
      <c r="A10" s="2" t="s">
        <v>8</v>
      </c>
      <c r="B10" s="11">
        <v>1</v>
      </c>
      <c r="C10" s="11">
        <f t="shared" si="1"/>
        <v>0.995</v>
      </c>
      <c r="D10" s="11">
        <f t="shared" si="0"/>
        <v>0.99002500000000004</v>
      </c>
      <c r="E10" s="11">
        <f t="shared" si="0"/>
        <v>0.98507487500000002</v>
      </c>
      <c r="F10" s="11">
        <f t="shared" si="0"/>
        <v>0.98014950062500006</v>
      </c>
      <c r="G10" s="11">
        <f t="shared" si="0"/>
        <v>0.97524875312187509</v>
      </c>
      <c r="H10" s="11">
        <f t="shared" si="0"/>
        <v>0.97037250935626573</v>
      </c>
      <c r="I10" s="11">
        <f t="shared" si="0"/>
        <v>0.96552064680948435</v>
      </c>
      <c r="J10" s="11">
        <f t="shared" si="0"/>
        <v>0.96069304357543694</v>
      </c>
      <c r="K10" s="11">
        <f t="shared" si="0"/>
        <v>0.95588957835755972</v>
      </c>
      <c r="L10" s="11">
        <f t="shared" si="0"/>
        <v>0.95111013046577197</v>
      </c>
      <c r="M10" s="11">
        <f t="shared" si="0"/>
        <v>0.94635457981344306</v>
      </c>
      <c r="N10" s="11">
        <f t="shared" si="0"/>
        <v>0.94162280691437583</v>
      </c>
      <c r="O10" s="11">
        <f t="shared" si="0"/>
        <v>0.936914692879804</v>
      </c>
      <c r="P10" s="11">
        <f t="shared" si="0"/>
        <v>0.93223011941540501</v>
      </c>
      <c r="Q10" s="11">
        <f t="shared" si="0"/>
        <v>0.92756896881832795</v>
      </c>
      <c r="R10" s="11">
        <f t="shared" si="0"/>
        <v>0.92293112397423627</v>
      </c>
      <c r="S10" s="11">
        <f t="shared" si="0"/>
        <v>0.91831646835436509</v>
      </c>
      <c r="T10" s="11">
        <f t="shared" si="0"/>
        <v>0.91372488601259327</v>
      </c>
      <c r="U10" s="11">
        <f t="shared" si="0"/>
        <v>0.90915626158253027</v>
      </c>
      <c r="V10" s="11">
        <f t="shared" si="0"/>
        <v>0.90461048027461766</v>
      </c>
      <c r="W10" s="11">
        <f t="shared" si="0"/>
        <v>0.90008742787324458</v>
      </c>
      <c r="X10" s="11">
        <f t="shared" si="0"/>
        <v>0.89558699073387837</v>
      </c>
      <c r="Y10" s="11">
        <f t="shared" si="0"/>
        <v>0.89110905578020894</v>
      </c>
      <c r="Z10" s="11">
        <f t="shared" si="0"/>
        <v>0.88665351050130792</v>
      </c>
      <c r="AA10" s="11">
        <f t="shared" si="0"/>
        <v>0.88222024294880141</v>
      </c>
      <c r="AB10" s="11">
        <f t="shared" si="0"/>
        <v>0.87780914173405744</v>
      </c>
      <c r="AC10" s="11">
        <f t="shared" si="0"/>
        <v>0.87342009602538717</v>
      </c>
      <c r="AD10" s="11">
        <f t="shared" si="0"/>
        <v>0.86905299554526028</v>
      </c>
      <c r="AE10" s="11">
        <f t="shared" si="0"/>
        <v>0.86470773056753403</v>
      </c>
      <c r="AF10" s="11">
        <f t="shared" si="0"/>
        <v>0.86038419191469639</v>
      </c>
      <c r="AG10" s="11">
        <f t="shared" si="0"/>
        <v>0.8560822709551229</v>
      </c>
    </row>
    <row r="11" spans="1:33" x14ac:dyDescent="0.3">
      <c r="A11" s="2" t="s">
        <v>9</v>
      </c>
      <c r="B11" s="11">
        <v>1</v>
      </c>
      <c r="C11" s="11">
        <f t="shared" si="1"/>
        <v>0.995</v>
      </c>
      <c r="D11" s="11">
        <f t="shared" ref="D11:AG18" si="2">C11-C11*0.005</f>
        <v>0.99002500000000004</v>
      </c>
      <c r="E11" s="11">
        <f t="shared" si="2"/>
        <v>0.98507487500000002</v>
      </c>
      <c r="F11" s="11">
        <f t="shared" si="2"/>
        <v>0.98014950062500006</v>
      </c>
      <c r="G11" s="11">
        <f t="shared" si="2"/>
        <v>0.97524875312187509</v>
      </c>
      <c r="H11" s="11">
        <f t="shared" si="2"/>
        <v>0.97037250935626573</v>
      </c>
      <c r="I11" s="11">
        <f t="shared" si="2"/>
        <v>0.96552064680948435</v>
      </c>
      <c r="J11" s="11">
        <f t="shared" si="2"/>
        <v>0.96069304357543694</v>
      </c>
      <c r="K11" s="11">
        <f t="shared" si="2"/>
        <v>0.95588957835755972</v>
      </c>
      <c r="L11" s="11">
        <f t="shared" si="2"/>
        <v>0.95111013046577197</v>
      </c>
      <c r="M11" s="11">
        <f t="shared" si="2"/>
        <v>0.94635457981344306</v>
      </c>
      <c r="N11" s="11">
        <f t="shared" si="2"/>
        <v>0.94162280691437583</v>
      </c>
      <c r="O11" s="11">
        <f t="shared" si="2"/>
        <v>0.936914692879804</v>
      </c>
      <c r="P11" s="11">
        <f t="shared" si="2"/>
        <v>0.93223011941540501</v>
      </c>
      <c r="Q11" s="11">
        <f t="shared" si="2"/>
        <v>0.92756896881832795</v>
      </c>
      <c r="R11" s="11">
        <f t="shared" si="2"/>
        <v>0.92293112397423627</v>
      </c>
      <c r="S11" s="11">
        <f t="shared" si="2"/>
        <v>0.91831646835436509</v>
      </c>
      <c r="T11" s="11">
        <f t="shared" si="2"/>
        <v>0.91372488601259327</v>
      </c>
      <c r="U11" s="11">
        <f t="shared" si="2"/>
        <v>0.90915626158253027</v>
      </c>
      <c r="V11" s="11">
        <f t="shared" si="2"/>
        <v>0.90461048027461766</v>
      </c>
      <c r="W11" s="11">
        <f t="shared" si="2"/>
        <v>0.90008742787324458</v>
      </c>
      <c r="X11" s="11">
        <f t="shared" si="2"/>
        <v>0.89558699073387837</v>
      </c>
      <c r="Y11" s="11">
        <f t="shared" si="2"/>
        <v>0.89110905578020894</v>
      </c>
      <c r="Z11" s="11">
        <f t="shared" si="2"/>
        <v>0.88665351050130792</v>
      </c>
      <c r="AA11" s="11">
        <f t="shared" si="2"/>
        <v>0.88222024294880141</v>
      </c>
      <c r="AB11" s="11">
        <f t="shared" si="2"/>
        <v>0.87780914173405744</v>
      </c>
      <c r="AC11" s="11">
        <f t="shared" si="2"/>
        <v>0.87342009602538717</v>
      </c>
      <c r="AD11" s="11">
        <f t="shared" si="2"/>
        <v>0.86905299554526028</v>
      </c>
      <c r="AE11" s="11">
        <f t="shared" si="2"/>
        <v>0.86470773056753403</v>
      </c>
      <c r="AF11" s="11">
        <f t="shared" si="2"/>
        <v>0.86038419191469639</v>
      </c>
      <c r="AG11" s="11">
        <f t="shared" si="2"/>
        <v>0.8560822709551229</v>
      </c>
    </row>
    <row r="12" spans="1:33" x14ac:dyDescent="0.3">
      <c r="A12" s="2" t="s">
        <v>10</v>
      </c>
      <c r="B12" s="11">
        <v>1</v>
      </c>
      <c r="C12" s="11">
        <f t="shared" si="1"/>
        <v>0.995</v>
      </c>
      <c r="D12" s="11">
        <f t="shared" si="2"/>
        <v>0.99002500000000004</v>
      </c>
      <c r="E12" s="11">
        <f t="shared" si="2"/>
        <v>0.98507487500000002</v>
      </c>
      <c r="F12" s="11">
        <f t="shared" si="2"/>
        <v>0.98014950062500006</v>
      </c>
      <c r="G12" s="11">
        <f t="shared" si="2"/>
        <v>0.97524875312187509</v>
      </c>
      <c r="H12" s="11">
        <f t="shared" si="2"/>
        <v>0.97037250935626573</v>
      </c>
      <c r="I12" s="11">
        <f t="shared" si="2"/>
        <v>0.96552064680948435</v>
      </c>
      <c r="J12" s="11">
        <f t="shared" si="2"/>
        <v>0.96069304357543694</v>
      </c>
      <c r="K12" s="11">
        <f t="shared" si="2"/>
        <v>0.95588957835755972</v>
      </c>
      <c r="L12" s="11">
        <f t="shared" si="2"/>
        <v>0.95111013046577197</v>
      </c>
      <c r="M12" s="11">
        <f t="shared" si="2"/>
        <v>0.94635457981344306</v>
      </c>
      <c r="N12" s="11">
        <f t="shared" si="2"/>
        <v>0.94162280691437583</v>
      </c>
      <c r="O12" s="11">
        <f t="shared" si="2"/>
        <v>0.936914692879804</v>
      </c>
      <c r="P12" s="11">
        <f t="shared" si="2"/>
        <v>0.93223011941540501</v>
      </c>
      <c r="Q12" s="11">
        <f t="shared" si="2"/>
        <v>0.92756896881832795</v>
      </c>
      <c r="R12" s="11">
        <f t="shared" si="2"/>
        <v>0.92293112397423627</v>
      </c>
      <c r="S12" s="11">
        <f t="shared" si="2"/>
        <v>0.91831646835436509</v>
      </c>
      <c r="T12" s="11">
        <f t="shared" si="2"/>
        <v>0.91372488601259327</v>
      </c>
      <c r="U12" s="11">
        <f t="shared" si="2"/>
        <v>0.90915626158253027</v>
      </c>
      <c r="V12" s="11">
        <f t="shared" si="2"/>
        <v>0.90461048027461766</v>
      </c>
      <c r="W12" s="11">
        <f t="shared" si="2"/>
        <v>0.90008742787324458</v>
      </c>
      <c r="X12" s="11">
        <f t="shared" si="2"/>
        <v>0.89558699073387837</v>
      </c>
      <c r="Y12" s="11">
        <f t="shared" si="2"/>
        <v>0.89110905578020894</v>
      </c>
      <c r="Z12" s="11">
        <f t="shared" si="2"/>
        <v>0.88665351050130792</v>
      </c>
      <c r="AA12" s="11">
        <f t="shared" si="2"/>
        <v>0.88222024294880141</v>
      </c>
      <c r="AB12" s="11">
        <f t="shared" si="2"/>
        <v>0.87780914173405744</v>
      </c>
      <c r="AC12" s="11">
        <f t="shared" si="2"/>
        <v>0.87342009602538717</v>
      </c>
      <c r="AD12" s="11">
        <f t="shared" si="2"/>
        <v>0.86905299554526028</v>
      </c>
      <c r="AE12" s="11">
        <f t="shared" si="2"/>
        <v>0.86470773056753403</v>
      </c>
      <c r="AF12" s="11">
        <f t="shared" si="2"/>
        <v>0.86038419191469639</v>
      </c>
      <c r="AG12" s="11">
        <f t="shared" si="2"/>
        <v>0.8560822709551229</v>
      </c>
    </row>
    <row r="13" spans="1:33" x14ac:dyDescent="0.3">
      <c r="A13" s="2" t="s">
        <v>11</v>
      </c>
      <c r="B13" s="11">
        <v>1</v>
      </c>
      <c r="C13" s="11">
        <f t="shared" si="1"/>
        <v>0.995</v>
      </c>
      <c r="D13" s="11">
        <f t="shared" si="2"/>
        <v>0.99002500000000004</v>
      </c>
      <c r="E13" s="11">
        <f t="shared" si="2"/>
        <v>0.98507487500000002</v>
      </c>
      <c r="F13" s="11">
        <f t="shared" si="2"/>
        <v>0.98014950062500006</v>
      </c>
      <c r="G13" s="11">
        <f t="shared" si="2"/>
        <v>0.97524875312187509</v>
      </c>
      <c r="H13" s="11">
        <f t="shared" si="2"/>
        <v>0.97037250935626573</v>
      </c>
      <c r="I13" s="11">
        <f t="shared" si="2"/>
        <v>0.96552064680948435</v>
      </c>
      <c r="J13" s="11">
        <f t="shared" si="2"/>
        <v>0.96069304357543694</v>
      </c>
      <c r="K13" s="11">
        <f t="shared" si="2"/>
        <v>0.95588957835755972</v>
      </c>
      <c r="L13" s="11">
        <f t="shared" si="2"/>
        <v>0.95111013046577197</v>
      </c>
      <c r="M13" s="11">
        <f t="shared" si="2"/>
        <v>0.94635457981344306</v>
      </c>
      <c r="N13" s="11">
        <f t="shared" si="2"/>
        <v>0.94162280691437583</v>
      </c>
      <c r="O13" s="11">
        <f t="shared" si="2"/>
        <v>0.936914692879804</v>
      </c>
      <c r="P13" s="11">
        <f t="shared" si="2"/>
        <v>0.93223011941540501</v>
      </c>
      <c r="Q13" s="11">
        <f t="shared" si="2"/>
        <v>0.92756896881832795</v>
      </c>
      <c r="R13" s="11">
        <f t="shared" si="2"/>
        <v>0.92293112397423627</v>
      </c>
      <c r="S13" s="11">
        <f t="shared" si="2"/>
        <v>0.91831646835436509</v>
      </c>
      <c r="T13" s="11">
        <f t="shared" si="2"/>
        <v>0.91372488601259327</v>
      </c>
      <c r="U13" s="11">
        <f t="shared" si="2"/>
        <v>0.90915626158253027</v>
      </c>
      <c r="V13" s="11">
        <f t="shared" si="2"/>
        <v>0.90461048027461766</v>
      </c>
      <c r="W13" s="11">
        <f t="shared" si="2"/>
        <v>0.90008742787324458</v>
      </c>
      <c r="X13" s="11">
        <f t="shared" si="2"/>
        <v>0.89558699073387837</v>
      </c>
      <c r="Y13" s="11">
        <f t="shared" si="2"/>
        <v>0.89110905578020894</v>
      </c>
      <c r="Z13" s="11">
        <f t="shared" si="2"/>
        <v>0.88665351050130792</v>
      </c>
      <c r="AA13" s="11">
        <f t="shared" si="2"/>
        <v>0.88222024294880141</v>
      </c>
      <c r="AB13" s="11">
        <f t="shared" si="2"/>
        <v>0.87780914173405744</v>
      </c>
      <c r="AC13" s="11">
        <f t="shared" si="2"/>
        <v>0.87342009602538717</v>
      </c>
      <c r="AD13" s="11">
        <f t="shared" si="2"/>
        <v>0.86905299554526028</v>
      </c>
      <c r="AE13" s="11">
        <f t="shared" si="2"/>
        <v>0.86470773056753403</v>
      </c>
      <c r="AF13" s="11">
        <f t="shared" si="2"/>
        <v>0.86038419191469639</v>
      </c>
      <c r="AG13" s="11">
        <f t="shared" si="2"/>
        <v>0.8560822709551229</v>
      </c>
    </row>
    <row r="14" spans="1:33" x14ac:dyDescent="0.3">
      <c r="A14" s="2" t="s">
        <v>12</v>
      </c>
      <c r="B14" s="11">
        <v>1</v>
      </c>
      <c r="C14" s="11">
        <f t="shared" si="1"/>
        <v>0.995</v>
      </c>
      <c r="D14" s="11">
        <f t="shared" si="2"/>
        <v>0.99002500000000004</v>
      </c>
      <c r="E14" s="11">
        <f t="shared" si="2"/>
        <v>0.98507487500000002</v>
      </c>
      <c r="F14" s="11">
        <f t="shared" si="2"/>
        <v>0.98014950062500006</v>
      </c>
      <c r="G14" s="11">
        <f t="shared" si="2"/>
        <v>0.97524875312187509</v>
      </c>
      <c r="H14" s="11">
        <f t="shared" si="2"/>
        <v>0.97037250935626573</v>
      </c>
      <c r="I14" s="11">
        <f t="shared" si="2"/>
        <v>0.96552064680948435</v>
      </c>
      <c r="J14" s="11">
        <f t="shared" si="2"/>
        <v>0.96069304357543694</v>
      </c>
      <c r="K14" s="11">
        <f t="shared" si="2"/>
        <v>0.95588957835755972</v>
      </c>
      <c r="L14" s="11">
        <f t="shared" si="2"/>
        <v>0.95111013046577197</v>
      </c>
      <c r="M14" s="11">
        <f t="shared" si="2"/>
        <v>0.94635457981344306</v>
      </c>
      <c r="N14" s="11">
        <f t="shared" si="2"/>
        <v>0.94162280691437583</v>
      </c>
      <c r="O14" s="11">
        <f t="shared" si="2"/>
        <v>0.936914692879804</v>
      </c>
      <c r="P14" s="11">
        <f t="shared" si="2"/>
        <v>0.93223011941540501</v>
      </c>
      <c r="Q14" s="11">
        <f t="shared" si="2"/>
        <v>0.92756896881832795</v>
      </c>
      <c r="R14" s="11">
        <f t="shared" si="2"/>
        <v>0.92293112397423627</v>
      </c>
      <c r="S14" s="11">
        <f t="shared" si="2"/>
        <v>0.91831646835436509</v>
      </c>
      <c r="T14" s="11">
        <f t="shared" si="2"/>
        <v>0.91372488601259327</v>
      </c>
      <c r="U14" s="11">
        <f t="shared" si="2"/>
        <v>0.90915626158253027</v>
      </c>
      <c r="V14" s="11">
        <f t="shared" si="2"/>
        <v>0.90461048027461766</v>
      </c>
      <c r="W14" s="11">
        <f t="shared" si="2"/>
        <v>0.90008742787324458</v>
      </c>
      <c r="X14" s="11">
        <f t="shared" si="2"/>
        <v>0.89558699073387837</v>
      </c>
      <c r="Y14" s="11">
        <f t="shared" si="2"/>
        <v>0.89110905578020894</v>
      </c>
      <c r="Z14" s="11">
        <f t="shared" si="2"/>
        <v>0.88665351050130792</v>
      </c>
      <c r="AA14" s="11">
        <f t="shared" si="2"/>
        <v>0.88222024294880141</v>
      </c>
      <c r="AB14" s="11">
        <f t="shared" si="2"/>
        <v>0.87780914173405744</v>
      </c>
      <c r="AC14" s="11">
        <f t="shared" si="2"/>
        <v>0.87342009602538717</v>
      </c>
      <c r="AD14" s="11">
        <f t="shared" si="2"/>
        <v>0.86905299554526028</v>
      </c>
      <c r="AE14" s="11">
        <f t="shared" si="2"/>
        <v>0.86470773056753403</v>
      </c>
      <c r="AF14" s="11">
        <f t="shared" si="2"/>
        <v>0.86038419191469639</v>
      </c>
      <c r="AG14" s="11">
        <f t="shared" si="2"/>
        <v>0.8560822709551229</v>
      </c>
    </row>
    <row r="15" spans="1:33" x14ac:dyDescent="0.3">
      <c r="A15" s="2" t="s">
        <v>13</v>
      </c>
      <c r="B15" s="11">
        <v>1</v>
      </c>
      <c r="C15" s="11">
        <f t="shared" si="1"/>
        <v>0.995</v>
      </c>
      <c r="D15" s="11">
        <f t="shared" si="2"/>
        <v>0.99002500000000004</v>
      </c>
      <c r="E15" s="11">
        <f t="shared" si="2"/>
        <v>0.98507487500000002</v>
      </c>
      <c r="F15" s="11">
        <f t="shared" si="2"/>
        <v>0.98014950062500006</v>
      </c>
      <c r="G15" s="11">
        <f t="shared" si="2"/>
        <v>0.97524875312187509</v>
      </c>
      <c r="H15" s="11">
        <f t="shared" si="2"/>
        <v>0.97037250935626573</v>
      </c>
      <c r="I15" s="11">
        <f t="shared" si="2"/>
        <v>0.96552064680948435</v>
      </c>
      <c r="J15" s="11">
        <f t="shared" si="2"/>
        <v>0.96069304357543694</v>
      </c>
      <c r="K15" s="11">
        <f t="shared" si="2"/>
        <v>0.95588957835755972</v>
      </c>
      <c r="L15" s="11">
        <f t="shared" si="2"/>
        <v>0.95111013046577197</v>
      </c>
      <c r="M15" s="11">
        <f t="shared" si="2"/>
        <v>0.94635457981344306</v>
      </c>
      <c r="N15" s="11">
        <f t="shared" si="2"/>
        <v>0.94162280691437583</v>
      </c>
      <c r="O15" s="11">
        <f t="shared" si="2"/>
        <v>0.936914692879804</v>
      </c>
      <c r="P15" s="11">
        <f t="shared" si="2"/>
        <v>0.93223011941540501</v>
      </c>
      <c r="Q15" s="11">
        <f t="shared" si="2"/>
        <v>0.92756896881832795</v>
      </c>
      <c r="R15" s="11">
        <f t="shared" si="2"/>
        <v>0.92293112397423627</v>
      </c>
      <c r="S15" s="11">
        <f t="shared" si="2"/>
        <v>0.91831646835436509</v>
      </c>
      <c r="T15" s="11">
        <f t="shared" si="2"/>
        <v>0.91372488601259327</v>
      </c>
      <c r="U15" s="11">
        <f t="shared" si="2"/>
        <v>0.90915626158253027</v>
      </c>
      <c r="V15" s="11">
        <f t="shared" si="2"/>
        <v>0.90461048027461766</v>
      </c>
      <c r="W15" s="11">
        <f t="shared" si="2"/>
        <v>0.90008742787324458</v>
      </c>
      <c r="X15" s="11">
        <f t="shared" si="2"/>
        <v>0.89558699073387837</v>
      </c>
      <c r="Y15" s="11">
        <f t="shared" si="2"/>
        <v>0.89110905578020894</v>
      </c>
      <c r="Z15" s="11">
        <f t="shared" si="2"/>
        <v>0.88665351050130792</v>
      </c>
      <c r="AA15" s="11">
        <f t="shared" si="2"/>
        <v>0.88222024294880141</v>
      </c>
      <c r="AB15" s="11">
        <f t="shared" si="2"/>
        <v>0.87780914173405744</v>
      </c>
      <c r="AC15" s="11">
        <f t="shared" si="2"/>
        <v>0.87342009602538717</v>
      </c>
      <c r="AD15" s="11">
        <f t="shared" si="2"/>
        <v>0.86905299554526028</v>
      </c>
      <c r="AE15" s="11">
        <f t="shared" si="2"/>
        <v>0.86470773056753403</v>
      </c>
      <c r="AF15" s="11">
        <f t="shared" si="2"/>
        <v>0.86038419191469639</v>
      </c>
      <c r="AG15" s="11">
        <f t="shared" si="2"/>
        <v>0.8560822709551229</v>
      </c>
    </row>
    <row r="16" spans="1:33" x14ac:dyDescent="0.3">
      <c r="A16" s="2" t="s">
        <v>14</v>
      </c>
      <c r="B16" s="11">
        <v>1</v>
      </c>
      <c r="C16" s="11">
        <f t="shared" si="1"/>
        <v>0.995</v>
      </c>
      <c r="D16" s="11">
        <f t="shared" si="2"/>
        <v>0.99002500000000004</v>
      </c>
      <c r="E16" s="11">
        <f t="shared" si="2"/>
        <v>0.98507487500000002</v>
      </c>
      <c r="F16" s="11">
        <f t="shared" si="2"/>
        <v>0.98014950062500006</v>
      </c>
      <c r="G16" s="11">
        <f t="shared" si="2"/>
        <v>0.97524875312187509</v>
      </c>
      <c r="H16" s="11">
        <f t="shared" si="2"/>
        <v>0.97037250935626573</v>
      </c>
      <c r="I16" s="11">
        <f t="shared" si="2"/>
        <v>0.96552064680948435</v>
      </c>
      <c r="J16" s="11">
        <f t="shared" si="2"/>
        <v>0.96069304357543694</v>
      </c>
      <c r="K16" s="11">
        <f t="shared" si="2"/>
        <v>0.95588957835755972</v>
      </c>
      <c r="L16" s="11">
        <f t="shared" si="2"/>
        <v>0.95111013046577197</v>
      </c>
      <c r="M16" s="11">
        <f t="shared" si="2"/>
        <v>0.94635457981344306</v>
      </c>
      <c r="N16" s="11">
        <f t="shared" si="2"/>
        <v>0.94162280691437583</v>
      </c>
      <c r="O16" s="11">
        <f t="shared" si="2"/>
        <v>0.936914692879804</v>
      </c>
      <c r="P16" s="11">
        <f t="shared" si="2"/>
        <v>0.93223011941540501</v>
      </c>
      <c r="Q16" s="11">
        <f t="shared" si="2"/>
        <v>0.92756896881832795</v>
      </c>
      <c r="R16" s="11">
        <f t="shared" si="2"/>
        <v>0.92293112397423627</v>
      </c>
      <c r="S16" s="11">
        <f t="shared" si="2"/>
        <v>0.91831646835436509</v>
      </c>
      <c r="T16" s="11">
        <f t="shared" si="2"/>
        <v>0.91372488601259327</v>
      </c>
      <c r="U16" s="11">
        <f t="shared" si="2"/>
        <v>0.90915626158253027</v>
      </c>
      <c r="V16" s="11">
        <f t="shared" si="2"/>
        <v>0.90461048027461766</v>
      </c>
      <c r="W16" s="11">
        <f t="shared" si="2"/>
        <v>0.90008742787324458</v>
      </c>
      <c r="X16" s="11">
        <f t="shared" si="2"/>
        <v>0.89558699073387837</v>
      </c>
      <c r="Y16" s="11">
        <f t="shared" si="2"/>
        <v>0.89110905578020894</v>
      </c>
      <c r="Z16" s="11">
        <f t="shared" si="2"/>
        <v>0.88665351050130792</v>
      </c>
      <c r="AA16" s="11">
        <f t="shared" si="2"/>
        <v>0.88222024294880141</v>
      </c>
      <c r="AB16" s="11">
        <f t="shared" si="2"/>
        <v>0.87780914173405744</v>
      </c>
      <c r="AC16" s="11">
        <f t="shared" si="2"/>
        <v>0.87342009602538717</v>
      </c>
      <c r="AD16" s="11">
        <f t="shared" si="2"/>
        <v>0.86905299554526028</v>
      </c>
      <c r="AE16" s="11">
        <f t="shared" si="2"/>
        <v>0.86470773056753403</v>
      </c>
      <c r="AF16" s="11">
        <f t="shared" si="2"/>
        <v>0.86038419191469639</v>
      </c>
      <c r="AG16" s="11">
        <f t="shared" si="2"/>
        <v>0.8560822709551229</v>
      </c>
    </row>
    <row r="17" spans="1:33" x14ac:dyDescent="0.3">
      <c r="A17" s="2" t="s">
        <v>15</v>
      </c>
      <c r="B17" s="11">
        <v>1</v>
      </c>
      <c r="C17" s="11">
        <f t="shared" si="1"/>
        <v>0.995</v>
      </c>
      <c r="D17" s="11">
        <f t="shared" si="2"/>
        <v>0.99002500000000004</v>
      </c>
      <c r="E17" s="11">
        <f t="shared" si="2"/>
        <v>0.98507487500000002</v>
      </c>
      <c r="F17" s="11">
        <f t="shared" si="2"/>
        <v>0.98014950062500006</v>
      </c>
      <c r="G17" s="11">
        <f t="shared" si="2"/>
        <v>0.97524875312187509</v>
      </c>
      <c r="H17" s="11">
        <f t="shared" si="2"/>
        <v>0.97037250935626573</v>
      </c>
      <c r="I17" s="11">
        <f t="shared" si="2"/>
        <v>0.96552064680948435</v>
      </c>
      <c r="J17" s="11">
        <f t="shared" si="2"/>
        <v>0.96069304357543694</v>
      </c>
      <c r="K17" s="11">
        <f t="shared" si="2"/>
        <v>0.95588957835755972</v>
      </c>
      <c r="L17" s="11">
        <f t="shared" si="2"/>
        <v>0.95111013046577197</v>
      </c>
      <c r="M17" s="11">
        <f t="shared" si="2"/>
        <v>0.94635457981344306</v>
      </c>
      <c r="N17" s="11">
        <f t="shared" si="2"/>
        <v>0.94162280691437583</v>
      </c>
      <c r="O17" s="11">
        <f t="shared" si="2"/>
        <v>0.936914692879804</v>
      </c>
      <c r="P17" s="11">
        <f t="shared" si="2"/>
        <v>0.93223011941540501</v>
      </c>
      <c r="Q17" s="11">
        <f t="shared" si="2"/>
        <v>0.92756896881832795</v>
      </c>
      <c r="R17" s="11">
        <f t="shared" si="2"/>
        <v>0.92293112397423627</v>
      </c>
      <c r="S17" s="11">
        <f t="shared" si="2"/>
        <v>0.91831646835436509</v>
      </c>
      <c r="T17" s="11">
        <f t="shared" si="2"/>
        <v>0.91372488601259327</v>
      </c>
      <c r="U17" s="11">
        <f t="shared" si="2"/>
        <v>0.90915626158253027</v>
      </c>
      <c r="V17" s="11">
        <f t="shared" si="2"/>
        <v>0.90461048027461766</v>
      </c>
      <c r="W17" s="11">
        <f t="shared" si="2"/>
        <v>0.90008742787324458</v>
      </c>
      <c r="X17" s="11">
        <f t="shared" si="2"/>
        <v>0.89558699073387837</v>
      </c>
      <c r="Y17" s="11">
        <f t="shared" si="2"/>
        <v>0.89110905578020894</v>
      </c>
      <c r="Z17" s="11">
        <f t="shared" si="2"/>
        <v>0.88665351050130792</v>
      </c>
      <c r="AA17" s="11">
        <f t="shared" si="2"/>
        <v>0.88222024294880141</v>
      </c>
      <c r="AB17" s="11">
        <f t="shared" si="2"/>
        <v>0.87780914173405744</v>
      </c>
      <c r="AC17" s="11">
        <f t="shared" si="2"/>
        <v>0.87342009602538717</v>
      </c>
      <c r="AD17" s="11">
        <f t="shared" si="2"/>
        <v>0.86905299554526028</v>
      </c>
      <c r="AE17" s="11">
        <f t="shared" si="2"/>
        <v>0.86470773056753403</v>
      </c>
      <c r="AF17" s="11">
        <f t="shared" si="2"/>
        <v>0.86038419191469639</v>
      </c>
      <c r="AG17" s="11">
        <f t="shared" si="2"/>
        <v>0.8560822709551229</v>
      </c>
    </row>
    <row r="18" spans="1:33" x14ac:dyDescent="0.3">
      <c r="A18" s="2" t="s">
        <v>16</v>
      </c>
      <c r="B18" s="11">
        <v>1</v>
      </c>
      <c r="C18" s="11">
        <f t="shared" si="1"/>
        <v>0.995</v>
      </c>
      <c r="D18" s="11">
        <f t="shared" si="2"/>
        <v>0.99002500000000004</v>
      </c>
      <c r="E18" s="11">
        <f t="shared" si="2"/>
        <v>0.98507487500000002</v>
      </c>
      <c r="F18" s="11">
        <f t="shared" si="2"/>
        <v>0.98014950062500006</v>
      </c>
      <c r="G18" s="11">
        <f t="shared" si="2"/>
        <v>0.97524875312187509</v>
      </c>
      <c r="H18" s="11">
        <f t="shared" si="2"/>
        <v>0.97037250935626573</v>
      </c>
      <c r="I18" s="11">
        <f t="shared" si="2"/>
        <v>0.96552064680948435</v>
      </c>
      <c r="J18" s="11">
        <f t="shared" si="2"/>
        <v>0.96069304357543694</v>
      </c>
      <c r="K18" s="11">
        <f t="shared" si="2"/>
        <v>0.95588957835755972</v>
      </c>
      <c r="L18" s="11">
        <f t="shared" si="2"/>
        <v>0.95111013046577197</v>
      </c>
      <c r="M18" s="11">
        <f t="shared" si="2"/>
        <v>0.94635457981344306</v>
      </c>
      <c r="N18" s="11">
        <f t="shared" si="2"/>
        <v>0.94162280691437583</v>
      </c>
      <c r="O18" s="11">
        <f t="shared" si="2"/>
        <v>0.936914692879804</v>
      </c>
      <c r="P18" s="11">
        <f t="shared" si="2"/>
        <v>0.93223011941540501</v>
      </c>
      <c r="Q18" s="11">
        <f t="shared" si="2"/>
        <v>0.92756896881832795</v>
      </c>
      <c r="R18" s="11">
        <f t="shared" si="2"/>
        <v>0.92293112397423627</v>
      </c>
      <c r="S18" s="11">
        <f t="shared" si="2"/>
        <v>0.91831646835436509</v>
      </c>
      <c r="T18" s="11">
        <f t="shared" si="2"/>
        <v>0.91372488601259327</v>
      </c>
      <c r="U18" s="11">
        <f t="shared" si="2"/>
        <v>0.90915626158253027</v>
      </c>
      <c r="V18" s="11">
        <f t="shared" si="2"/>
        <v>0.90461048027461766</v>
      </c>
      <c r="W18" s="11">
        <f t="shared" si="2"/>
        <v>0.90008742787324458</v>
      </c>
      <c r="X18" s="11">
        <f t="shared" si="2"/>
        <v>0.89558699073387837</v>
      </c>
      <c r="Y18" s="11">
        <f t="shared" si="2"/>
        <v>0.89110905578020894</v>
      </c>
      <c r="Z18" s="11">
        <f t="shared" si="2"/>
        <v>0.88665351050130792</v>
      </c>
      <c r="AA18" s="11">
        <f t="shared" si="2"/>
        <v>0.88222024294880141</v>
      </c>
      <c r="AB18" s="11">
        <f t="shared" si="2"/>
        <v>0.87780914173405744</v>
      </c>
      <c r="AC18" s="11">
        <f t="shared" si="2"/>
        <v>0.87342009602538717</v>
      </c>
      <c r="AD18" s="11">
        <f t="shared" si="2"/>
        <v>0.86905299554526028</v>
      </c>
      <c r="AE18" s="11">
        <f t="shared" si="2"/>
        <v>0.86470773056753403</v>
      </c>
      <c r="AF18" s="11">
        <f t="shared" si="2"/>
        <v>0.86038419191469639</v>
      </c>
      <c r="AG18" s="11">
        <f t="shared" si="2"/>
        <v>0.8560822709551229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D23B-BCD8-4C21-8982-D43062E085C8}">
  <dimension ref="A1:AG18"/>
  <sheetViews>
    <sheetView workbookViewId="0">
      <selection activeCell="C2" sqref="C2"/>
    </sheetView>
  </sheetViews>
  <sheetFormatPr defaultRowHeight="14.4" x14ac:dyDescent="0.3"/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11">
        <v>1</v>
      </c>
      <c r="C2" s="11">
        <f>B2-B2*0.01</f>
        <v>0.99</v>
      </c>
      <c r="D2" s="11">
        <f t="shared" ref="D2:AG10" si="0">C2-C2*0.01</f>
        <v>0.98009999999999997</v>
      </c>
      <c r="E2" s="11">
        <f t="shared" si="0"/>
        <v>0.97029900000000002</v>
      </c>
      <c r="F2" s="11">
        <f t="shared" si="0"/>
        <v>0.96059601000000006</v>
      </c>
      <c r="G2" s="11">
        <f t="shared" si="0"/>
        <v>0.95099004990000002</v>
      </c>
      <c r="H2" s="11">
        <f t="shared" si="0"/>
        <v>0.941480149401</v>
      </c>
      <c r="I2" s="11">
        <f t="shared" si="0"/>
        <v>0.93206534790699003</v>
      </c>
      <c r="J2" s="11">
        <f t="shared" si="0"/>
        <v>0.92274469442792018</v>
      </c>
      <c r="K2" s="11">
        <f t="shared" si="0"/>
        <v>0.91351724748364094</v>
      </c>
      <c r="L2" s="11">
        <f t="shared" si="0"/>
        <v>0.90438207500880452</v>
      </c>
      <c r="M2" s="11">
        <f t="shared" si="0"/>
        <v>0.89533825425871649</v>
      </c>
      <c r="N2" s="11">
        <f t="shared" si="0"/>
        <v>0.88638487171612934</v>
      </c>
      <c r="O2" s="11">
        <f t="shared" si="0"/>
        <v>0.87752102299896806</v>
      </c>
      <c r="P2" s="11">
        <f t="shared" si="0"/>
        <v>0.86874581276897833</v>
      </c>
      <c r="Q2" s="11">
        <f t="shared" si="0"/>
        <v>0.86005835464128855</v>
      </c>
      <c r="R2" s="11">
        <f t="shared" si="0"/>
        <v>0.85145777109487564</v>
      </c>
      <c r="S2" s="11">
        <f t="shared" si="0"/>
        <v>0.84294319338392687</v>
      </c>
      <c r="T2" s="11">
        <f t="shared" si="0"/>
        <v>0.8345137614500876</v>
      </c>
      <c r="U2" s="11">
        <f t="shared" si="0"/>
        <v>0.82616862383558676</v>
      </c>
      <c r="V2" s="11">
        <f t="shared" si="0"/>
        <v>0.81790693759723088</v>
      </c>
      <c r="W2" s="11">
        <f t="shared" si="0"/>
        <v>0.80972786822125853</v>
      </c>
      <c r="X2" s="11">
        <f t="shared" si="0"/>
        <v>0.80163058953904598</v>
      </c>
      <c r="Y2" s="11">
        <f t="shared" si="0"/>
        <v>0.79361428364365549</v>
      </c>
      <c r="Z2" s="11">
        <f t="shared" si="0"/>
        <v>0.78567814080721898</v>
      </c>
      <c r="AA2" s="11">
        <f t="shared" si="0"/>
        <v>0.77782135939914676</v>
      </c>
      <c r="AB2" s="11">
        <f t="shared" si="0"/>
        <v>0.77004314580515532</v>
      </c>
      <c r="AC2" s="11">
        <f t="shared" si="0"/>
        <v>0.76234271434710377</v>
      </c>
      <c r="AD2" s="11">
        <f t="shared" si="0"/>
        <v>0.75471928720363268</v>
      </c>
      <c r="AE2" s="11">
        <f t="shared" si="0"/>
        <v>0.74717209433159637</v>
      </c>
      <c r="AF2" s="11">
        <f t="shared" si="0"/>
        <v>0.73970037338828043</v>
      </c>
      <c r="AG2" s="11">
        <f t="shared" si="0"/>
        <v>0.73230336965439757</v>
      </c>
    </row>
    <row r="3" spans="1:33" x14ac:dyDescent="0.3">
      <c r="A3" s="2" t="s">
        <v>1</v>
      </c>
      <c r="B3" s="11">
        <v>1</v>
      </c>
      <c r="C3" s="11">
        <f t="shared" ref="C3:R18" si="1">B3-B3*0.01</f>
        <v>0.99</v>
      </c>
      <c r="D3" s="11">
        <f t="shared" si="1"/>
        <v>0.98009999999999997</v>
      </c>
      <c r="E3" s="11">
        <f t="shared" si="1"/>
        <v>0.97029900000000002</v>
      </c>
      <c r="F3" s="11">
        <f t="shared" si="1"/>
        <v>0.96059601000000006</v>
      </c>
      <c r="G3" s="11">
        <f t="shared" si="1"/>
        <v>0.95099004990000002</v>
      </c>
      <c r="H3" s="11">
        <f t="shared" si="1"/>
        <v>0.941480149401</v>
      </c>
      <c r="I3" s="11">
        <f t="shared" si="1"/>
        <v>0.93206534790699003</v>
      </c>
      <c r="J3" s="11">
        <f t="shared" si="1"/>
        <v>0.92274469442792018</v>
      </c>
      <c r="K3" s="11">
        <f t="shared" si="1"/>
        <v>0.91351724748364094</v>
      </c>
      <c r="L3" s="11">
        <f t="shared" si="1"/>
        <v>0.90438207500880452</v>
      </c>
      <c r="M3" s="11">
        <f t="shared" si="1"/>
        <v>0.89533825425871649</v>
      </c>
      <c r="N3" s="11">
        <f t="shared" si="1"/>
        <v>0.88638487171612934</v>
      </c>
      <c r="O3" s="11">
        <f t="shared" si="1"/>
        <v>0.87752102299896806</v>
      </c>
      <c r="P3" s="11">
        <f t="shared" si="1"/>
        <v>0.86874581276897833</v>
      </c>
      <c r="Q3" s="11">
        <f t="shared" si="1"/>
        <v>0.86005835464128855</v>
      </c>
      <c r="R3" s="11">
        <f t="shared" si="1"/>
        <v>0.85145777109487564</v>
      </c>
      <c r="S3" s="11">
        <f t="shared" si="0"/>
        <v>0.84294319338392687</v>
      </c>
      <c r="T3" s="11">
        <f t="shared" si="0"/>
        <v>0.8345137614500876</v>
      </c>
      <c r="U3" s="11">
        <f t="shared" si="0"/>
        <v>0.82616862383558676</v>
      </c>
      <c r="V3" s="11">
        <f t="shared" si="0"/>
        <v>0.81790693759723088</v>
      </c>
      <c r="W3" s="11">
        <f t="shared" si="0"/>
        <v>0.80972786822125853</v>
      </c>
      <c r="X3" s="11">
        <f t="shared" si="0"/>
        <v>0.80163058953904598</v>
      </c>
      <c r="Y3" s="11">
        <f t="shared" si="0"/>
        <v>0.79361428364365549</v>
      </c>
      <c r="Z3" s="11">
        <f t="shared" si="0"/>
        <v>0.78567814080721898</v>
      </c>
      <c r="AA3" s="11">
        <f t="shared" si="0"/>
        <v>0.77782135939914676</v>
      </c>
      <c r="AB3" s="11">
        <f t="shared" si="0"/>
        <v>0.77004314580515532</v>
      </c>
      <c r="AC3" s="11">
        <f t="shared" si="0"/>
        <v>0.76234271434710377</v>
      </c>
      <c r="AD3" s="11">
        <f t="shared" si="0"/>
        <v>0.75471928720363268</v>
      </c>
      <c r="AE3" s="11">
        <f t="shared" si="0"/>
        <v>0.74717209433159637</v>
      </c>
      <c r="AF3" s="11">
        <f t="shared" si="0"/>
        <v>0.73970037338828043</v>
      </c>
      <c r="AG3" s="11">
        <f t="shared" si="0"/>
        <v>0.73230336965439757</v>
      </c>
    </row>
    <row r="4" spans="1:33" x14ac:dyDescent="0.3">
      <c r="A4" s="2" t="s">
        <v>2</v>
      </c>
      <c r="B4" s="11">
        <v>1</v>
      </c>
      <c r="C4" s="11">
        <f t="shared" si="1"/>
        <v>0.99</v>
      </c>
      <c r="D4" s="11">
        <f t="shared" si="0"/>
        <v>0.98009999999999997</v>
      </c>
      <c r="E4" s="11">
        <f t="shared" si="0"/>
        <v>0.97029900000000002</v>
      </c>
      <c r="F4" s="11">
        <f t="shared" si="0"/>
        <v>0.96059601000000006</v>
      </c>
      <c r="G4" s="11">
        <f t="shared" si="0"/>
        <v>0.95099004990000002</v>
      </c>
      <c r="H4" s="11">
        <f t="shared" si="0"/>
        <v>0.941480149401</v>
      </c>
      <c r="I4" s="11">
        <f t="shared" si="0"/>
        <v>0.93206534790699003</v>
      </c>
      <c r="J4" s="11">
        <f t="shared" si="0"/>
        <v>0.92274469442792018</v>
      </c>
      <c r="K4" s="11">
        <f t="shared" si="0"/>
        <v>0.91351724748364094</v>
      </c>
      <c r="L4" s="11">
        <f t="shared" si="0"/>
        <v>0.90438207500880452</v>
      </c>
      <c r="M4" s="11">
        <f t="shared" si="0"/>
        <v>0.89533825425871649</v>
      </c>
      <c r="N4" s="11">
        <f t="shared" si="0"/>
        <v>0.88638487171612934</v>
      </c>
      <c r="O4" s="11">
        <f t="shared" si="0"/>
        <v>0.87752102299896806</v>
      </c>
      <c r="P4" s="11">
        <f t="shared" si="0"/>
        <v>0.86874581276897833</v>
      </c>
      <c r="Q4" s="11">
        <f t="shared" si="0"/>
        <v>0.86005835464128855</v>
      </c>
      <c r="R4" s="11">
        <f t="shared" si="0"/>
        <v>0.85145777109487564</v>
      </c>
      <c r="S4" s="11">
        <f t="shared" si="0"/>
        <v>0.84294319338392687</v>
      </c>
      <c r="T4" s="11">
        <f t="shared" si="0"/>
        <v>0.8345137614500876</v>
      </c>
      <c r="U4" s="11">
        <f t="shared" si="0"/>
        <v>0.82616862383558676</v>
      </c>
      <c r="V4" s="11">
        <f t="shared" si="0"/>
        <v>0.81790693759723088</v>
      </c>
      <c r="W4" s="11">
        <f t="shared" si="0"/>
        <v>0.80972786822125853</v>
      </c>
      <c r="X4" s="11">
        <f t="shared" si="0"/>
        <v>0.80163058953904598</v>
      </c>
      <c r="Y4" s="11">
        <f t="shared" si="0"/>
        <v>0.79361428364365549</v>
      </c>
      <c r="Z4" s="11">
        <f t="shared" si="0"/>
        <v>0.78567814080721898</v>
      </c>
      <c r="AA4" s="11">
        <f t="shared" si="0"/>
        <v>0.77782135939914676</v>
      </c>
      <c r="AB4" s="11">
        <f t="shared" si="0"/>
        <v>0.77004314580515532</v>
      </c>
      <c r="AC4" s="11">
        <f t="shared" si="0"/>
        <v>0.76234271434710377</v>
      </c>
      <c r="AD4" s="11">
        <f t="shared" si="0"/>
        <v>0.75471928720363268</v>
      </c>
      <c r="AE4" s="11">
        <f t="shared" si="0"/>
        <v>0.74717209433159637</v>
      </c>
      <c r="AF4" s="11">
        <f t="shared" si="0"/>
        <v>0.73970037338828043</v>
      </c>
      <c r="AG4" s="11">
        <f t="shared" si="0"/>
        <v>0.73230336965439757</v>
      </c>
    </row>
    <row r="5" spans="1:33" x14ac:dyDescent="0.3">
      <c r="A5" s="2" t="s">
        <v>3</v>
      </c>
      <c r="B5" s="11">
        <v>1</v>
      </c>
      <c r="C5" s="11">
        <f t="shared" si="1"/>
        <v>0.99</v>
      </c>
      <c r="D5" s="11">
        <f t="shared" si="0"/>
        <v>0.98009999999999997</v>
      </c>
      <c r="E5" s="11">
        <f t="shared" si="0"/>
        <v>0.97029900000000002</v>
      </c>
      <c r="F5" s="11">
        <f t="shared" si="0"/>
        <v>0.96059601000000006</v>
      </c>
      <c r="G5" s="11">
        <f t="shared" si="0"/>
        <v>0.95099004990000002</v>
      </c>
      <c r="H5" s="11">
        <f t="shared" si="0"/>
        <v>0.941480149401</v>
      </c>
      <c r="I5" s="11">
        <f t="shared" si="0"/>
        <v>0.93206534790699003</v>
      </c>
      <c r="J5" s="11">
        <f t="shared" si="0"/>
        <v>0.92274469442792018</v>
      </c>
      <c r="K5" s="11">
        <f t="shared" si="0"/>
        <v>0.91351724748364094</v>
      </c>
      <c r="L5" s="11">
        <f t="shared" si="0"/>
        <v>0.90438207500880452</v>
      </c>
      <c r="M5" s="11">
        <f t="shared" si="0"/>
        <v>0.89533825425871649</v>
      </c>
      <c r="N5" s="11">
        <f t="shared" si="0"/>
        <v>0.88638487171612934</v>
      </c>
      <c r="O5" s="11">
        <f t="shared" si="0"/>
        <v>0.87752102299896806</v>
      </c>
      <c r="P5" s="11">
        <f t="shared" si="0"/>
        <v>0.86874581276897833</v>
      </c>
      <c r="Q5" s="11">
        <f t="shared" si="0"/>
        <v>0.86005835464128855</v>
      </c>
      <c r="R5" s="11">
        <f t="shared" si="0"/>
        <v>0.85145777109487564</v>
      </c>
      <c r="S5" s="11">
        <f t="shared" si="0"/>
        <v>0.84294319338392687</v>
      </c>
      <c r="T5" s="11">
        <f t="shared" si="0"/>
        <v>0.8345137614500876</v>
      </c>
      <c r="U5" s="11">
        <f t="shared" si="0"/>
        <v>0.82616862383558676</v>
      </c>
      <c r="V5" s="11">
        <f t="shared" si="0"/>
        <v>0.81790693759723088</v>
      </c>
      <c r="W5" s="11">
        <f t="shared" si="0"/>
        <v>0.80972786822125853</v>
      </c>
      <c r="X5" s="11">
        <f t="shared" si="0"/>
        <v>0.80163058953904598</v>
      </c>
      <c r="Y5" s="11">
        <f t="shared" si="0"/>
        <v>0.79361428364365549</v>
      </c>
      <c r="Z5" s="11">
        <f t="shared" si="0"/>
        <v>0.78567814080721898</v>
      </c>
      <c r="AA5" s="11">
        <f t="shared" si="0"/>
        <v>0.77782135939914676</v>
      </c>
      <c r="AB5" s="11">
        <f t="shared" si="0"/>
        <v>0.77004314580515532</v>
      </c>
      <c r="AC5" s="11">
        <f t="shared" si="0"/>
        <v>0.76234271434710377</v>
      </c>
      <c r="AD5" s="11">
        <f t="shared" si="0"/>
        <v>0.75471928720363268</v>
      </c>
      <c r="AE5" s="11">
        <f t="shared" si="0"/>
        <v>0.74717209433159637</v>
      </c>
      <c r="AF5" s="11">
        <f t="shared" si="0"/>
        <v>0.73970037338828043</v>
      </c>
      <c r="AG5" s="11">
        <f t="shared" si="0"/>
        <v>0.73230336965439757</v>
      </c>
    </row>
    <row r="6" spans="1:33" x14ac:dyDescent="0.3">
      <c r="A6" s="2" t="s">
        <v>4</v>
      </c>
      <c r="B6" s="11">
        <v>1</v>
      </c>
      <c r="C6" s="11">
        <f t="shared" si="1"/>
        <v>0.99</v>
      </c>
      <c r="D6" s="11">
        <f t="shared" si="0"/>
        <v>0.98009999999999997</v>
      </c>
      <c r="E6" s="11">
        <f t="shared" si="0"/>
        <v>0.97029900000000002</v>
      </c>
      <c r="F6" s="11">
        <f t="shared" si="0"/>
        <v>0.96059601000000006</v>
      </c>
      <c r="G6" s="11">
        <f t="shared" si="0"/>
        <v>0.95099004990000002</v>
      </c>
      <c r="H6" s="11">
        <f t="shared" si="0"/>
        <v>0.941480149401</v>
      </c>
      <c r="I6" s="11">
        <f t="shared" si="0"/>
        <v>0.93206534790699003</v>
      </c>
      <c r="J6" s="11">
        <f t="shared" si="0"/>
        <v>0.92274469442792018</v>
      </c>
      <c r="K6" s="11">
        <f t="shared" si="0"/>
        <v>0.91351724748364094</v>
      </c>
      <c r="L6" s="11">
        <f t="shared" si="0"/>
        <v>0.90438207500880452</v>
      </c>
      <c r="M6" s="11">
        <f t="shared" si="0"/>
        <v>0.89533825425871649</v>
      </c>
      <c r="N6" s="11">
        <f t="shared" si="0"/>
        <v>0.88638487171612934</v>
      </c>
      <c r="O6" s="11">
        <f t="shared" si="0"/>
        <v>0.87752102299896806</v>
      </c>
      <c r="P6" s="11">
        <f t="shared" si="0"/>
        <v>0.86874581276897833</v>
      </c>
      <c r="Q6" s="11">
        <f t="shared" si="0"/>
        <v>0.86005835464128855</v>
      </c>
      <c r="R6" s="11">
        <f t="shared" si="0"/>
        <v>0.85145777109487564</v>
      </c>
      <c r="S6" s="11">
        <f t="shared" si="0"/>
        <v>0.84294319338392687</v>
      </c>
      <c r="T6" s="11">
        <f t="shared" si="0"/>
        <v>0.8345137614500876</v>
      </c>
      <c r="U6" s="11">
        <f t="shared" si="0"/>
        <v>0.82616862383558676</v>
      </c>
      <c r="V6" s="11">
        <f t="shared" si="0"/>
        <v>0.81790693759723088</v>
      </c>
      <c r="W6" s="11">
        <f t="shared" si="0"/>
        <v>0.80972786822125853</v>
      </c>
      <c r="X6" s="11">
        <f t="shared" si="0"/>
        <v>0.80163058953904598</v>
      </c>
      <c r="Y6" s="11">
        <f t="shared" si="0"/>
        <v>0.79361428364365549</v>
      </c>
      <c r="Z6" s="11">
        <f t="shared" si="0"/>
        <v>0.78567814080721898</v>
      </c>
      <c r="AA6" s="11">
        <f t="shared" si="0"/>
        <v>0.77782135939914676</v>
      </c>
      <c r="AB6" s="11">
        <f t="shared" si="0"/>
        <v>0.77004314580515532</v>
      </c>
      <c r="AC6" s="11">
        <f t="shared" si="0"/>
        <v>0.76234271434710377</v>
      </c>
      <c r="AD6" s="11">
        <f t="shared" si="0"/>
        <v>0.75471928720363268</v>
      </c>
      <c r="AE6" s="11">
        <f t="shared" si="0"/>
        <v>0.74717209433159637</v>
      </c>
      <c r="AF6" s="11">
        <f t="shared" si="0"/>
        <v>0.73970037338828043</v>
      </c>
      <c r="AG6" s="11">
        <f t="shared" si="0"/>
        <v>0.73230336965439757</v>
      </c>
    </row>
    <row r="7" spans="1:33" x14ac:dyDescent="0.3">
      <c r="A7" s="2" t="s">
        <v>5</v>
      </c>
      <c r="B7" s="11">
        <v>1</v>
      </c>
      <c r="C7" s="11">
        <f t="shared" si="1"/>
        <v>0.99</v>
      </c>
      <c r="D7" s="11">
        <f t="shared" si="0"/>
        <v>0.98009999999999997</v>
      </c>
      <c r="E7" s="11">
        <f t="shared" si="0"/>
        <v>0.97029900000000002</v>
      </c>
      <c r="F7" s="11">
        <f t="shared" si="0"/>
        <v>0.96059601000000006</v>
      </c>
      <c r="G7" s="11">
        <f t="shared" si="0"/>
        <v>0.95099004990000002</v>
      </c>
      <c r="H7" s="11">
        <f t="shared" si="0"/>
        <v>0.941480149401</v>
      </c>
      <c r="I7" s="11">
        <f t="shared" si="0"/>
        <v>0.93206534790699003</v>
      </c>
      <c r="J7" s="11">
        <f t="shared" si="0"/>
        <v>0.92274469442792018</v>
      </c>
      <c r="K7" s="11">
        <f t="shared" si="0"/>
        <v>0.91351724748364094</v>
      </c>
      <c r="L7" s="11">
        <f t="shared" si="0"/>
        <v>0.90438207500880452</v>
      </c>
      <c r="M7" s="11">
        <f t="shared" si="0"/>
        <v>0.89533825425871649</v>
      </c>
      <c r="N7" s="11">
        <f t="shared" si="0"/>
        <v>0.88638487171612934</v>
      </c>
      <c r="O7" s="11">
        <f t="shared" si="0"/>
        <v>0.87752102299896806</v>
      </c>
      <c r="P7" s="11">
        <f t="shared" si="0"/>
        <v>0.86874581276897833</v>
      </c>
      <c r="Q7" s="11">
        <f t="shared" si="0"/>
        <v>0.86005835464128855</v>
      </c>
      <c r="R7" s="11">
        <f t="shared" si="0"/>
        <v>0.85145777109487564</v>
      </c>
      <c r="S7" s="11">
        <f t="shared" si="0"/>
        <v>0.84294319338392687</v>
      </c>
      <c r="T7" s="11">
        <f t="shared" si="0"/>
        <v>0.8345137614500876</v>
      </c>
      <c r="U7" s="11">
        <f t="shared" si="0"/>
        <v>0.82616862383558676</v>
      </c>
      <c r="V7" s="11">
        <f t="shared" si="0"/>
        <v>0.81790693759723088</v>
      </c>
      <c r="W7" s="11">
        <f t="shared" si="0"/>
        <v>0.80972786822125853</v>
      </c>
      <c r="X7" s="11">
        <f t="shared" si="0"/>
        <v>0.80163058953904598</v>
      </c>
      <c r="Y7" s="11">
        <f t="shared" si="0"/>
        <v>0.79361428364365549</v>
      </c>
      <c r="Z7" s="11">
        <f t="shared" si="0"/>
        <v>0.78567814080721898</v>
      </c>
      <c r="AA7" s="11">
        <f t="shared" si="0"/>
        <v>0.77782135939914676</v>
      </c>
      <c r="AB7" s="11">
        <f t="shared" si="0"/>
        <v>0.77004314580515532</v>
      </c>
      <c r="AC7" s="11">
        <f t="shared" si="0"/>
        <v>0.76234271434710377</v>
      </c>
      <c r="AD7" s="11">
        <f t="shared" si="0"/>
        <v>0.75471928720363268</v>
      </c>
      <c r="AE7" s="11">
        <f t="shared" si="0"/>
        <v>0.74717209433159637</v>
      </c>
      <c r="AF7" s="11">
        <f t="shared" si="0"/>
        <v>0.73970037338828043</v>
      </c>
      <c r="AG7" s="11">
        <f t="shared" si="0"/>
        <v>0.73230336965439757</v>
      </c>
    </row>
    <row r="8" spans="1:33" x14ac:dyDescent="0.3">
      <c r="A8" s="2" t="s">
        <v>6</v>
      </c>
      <c r="B8" s="11">
        <v>1</v>
      </c>
      <c r="C8" s="11">
        <f t="shared" si="1"/>
        <v>0.99</v>
      </c>
      <c r="D8" s="11">
        <f t="shared" si="0"/>
        <v>0.98009999999999997</v>
      </c>
      <c r="E8" s="11">
        <f t="shared" si="0"/>
        <v>0.97029900000000002</v>
      </c>
      <c r="F8" s="11">
        <f t="shared" si="0"/>
        <v>0.96059601000000006</v>
      </c>
      <c r="G8" s="11">
        <f t="shared" si="0"/>
        <v>0.95099004990000002</v>
      </c>
      <c r="H8" s="11">
        <f t="shared" si="0"/>
        <v>0.941480149401</v>
      </c>
      <c r="I8" s="11">
        <f t="shared" si="0"/>
        <v>0.93206534790699003</v>
      </c>
      <c r="J8" s="11">
        <f t="shared" si="0"/>
        <v>0.92274469442792018</v>
      </c>
      <c r="K8" s="11">
        <f t="shared" si="0"/>
        <v>0.91351724748364094</v>
      </c>
      <c r="L8" s="11">
        <f t="shared" si="0"/>
        <v>0.90438207500880452</v>
      </c>
      <c r="M8" s="11">
        <f t="shared" si="0"/>
        <v>0.89533825425871649</v>
      </c>
      <c r="N8" s="11">
        <f t="shared" si="0"/>
        <v>0.88638487171612934</v>
      </c>
      <c r="O8" s="11">
        <f t="shared" si="0"/>
        <v>0.87752102299896806</v>
      </c>
      <c r="P8" s="11">
        <f t="shared" si="0"/>
        <v>0.86874581276897833</v>
      </c>
      <c r="Q8" s="11">
        <f t="shared" si="0"/>
        <v>0.86005835464128855</v>
      </c>
      <c r="R8" s="11">
        <f t="shared" si="0"/>
        <v>0.85145777109487564</v>
      </c>
      <c r="S8" s="11">
        <f t="shared" si="0"/>
        <v>0.84294319338392687</v>
      </c>
      <c r="T8" s="11">
        <f t="shared" si="0"/>
        <v>0.8345137614500876</v>
      </c>
      <c r="U8" s="11">
        <f t="shared" si="0"/>
        <v>0.82616862383558676</v>
      </c>
      <c r="V8" s="11">
        <f t="shared" si="0"/>
        <v>0.81790693759723088</v>
      </c>
      <c r="W8" s="11">
        <f t="shared" si="0"/>
        <v>0.80972786822125853</v>
      </c>
      <c r="X8" s="11">
        <f t="shared" si="0"/>
        <v>0.80163058953904598</v>
      </c>
      <c r="Y8" s="11">
        <f t="shared" si="0"/>
        <v>0.79361428364365549</v>
      </c>
      <c r="Z8" s="11">
        <f t="shared" si="0"/>
        <v>0.78567814080721898</v>
      </c>
      <c r="AA8" s="11">
        <f t="shared" si="0"/>
        <v>0.77782135939914676</v>
      </c>
      <c r="AB8" s="11">
        <f t="shared" si="0"/>
        <v>0.77004314580515532</v>
      </c>
      <c r="AC8" s="11">
        <f t="shared" si="0"/>
        <v>0.76234271434710377</v>
      </c>
      <c r="AD8" s="11">
        <f t="shared" si="0"/>
        <v>0.75471928720363268</v>
      </c>
      <c r="AE8" s="11">
        <f t="shared" si="0"/>
        <v>0.74717209433159637</v>
      </c>
      <c r="AF8" s="11">
        <f t="shared" si="0"/>
        <v>0.73970037338828043</v>
      </c>
      <c r="AG8" s="11">
        <f t="shared" si="0"/>
        <v>0.73230336965439757</v>
      </c>
    </row>
    <row r="9" spans="1:33" x14ac:dyDescent="0.3">
      <c r="A9" s="2" t="s">
        <v>7</v>
      </c>
      <c r="B9" s="11">
        <v>1</v>
      </c>
      <c r="C9" s="11">
        <f t="shared" si="1"/>
        <v>0.99</v>
      </c>
      <c r="D9" s="11">
        <f t="shared" si="0"/>
        <v>0.98009999999999997</v>
      </c>
      <c r="E9" s="11">
        <f t="shared" si="0"/>
        <v>0.97029900000000002</v>
      </c>
      <c r="F9" s="11">
        <f t="shared" si="0"/>
        <v>0.96059601000000006</v>
      </c>
      <c r="G9" s="11">
        <f t="shared" si="0"/>
        <v>0.95099004990000002</v>
      </c>
      <c r="H9" s="11">
        <f t="shared" si="0"/>
        <v>0.941480149401</v>
      </c>
      <c r="I9" s="11">
        <f t="shared" si="0"/>
        <v>0.93206534790699003</v>
      </c>
      <c r="J9" s="11">
        <f t="shared" si="0"/>
        <v>0.92274469442792018</v>
      </c>
      <c r="K9" s="11">
        <f t="shared" si="0"/>
        <v>0.91351724748364094</v>
      </c>
      <c r="L9" s="11">
        <f t="shared" si="0"/>
        <v>0.90438207500880452</v>
      </c>
      <c r="M9" s="11">
        <f t="shared" si="0"/>
        <v>0.89533825425871649</v>
      </c>
      <c r="N9" s="11">
        <f t="shared" si="0"/>
        <v>0.88638487171612934</v>
      </c>
      <c r="O9" s="11">
        <f t="shared" si="0"/>
        <v>0.87752102299896806</v>
      </c>
      <c r="P9" s="11">
        <f t="shared" si="0"/>
        <v>0.86874581276897833</v>
      </c>
      <c r="Q9" s="11">
        <f t="shared" si="0"/>
        <v>0.86005835464128855</v>
      </c>
      <c r="R9" s="11">
        <f t="shared" si="0"/>
        <v>0.85145777109487564</v>
      </c>
      <c r="S9" s="11">
        <f t="shared" si="0"/>
        <v>0.84294319338392687</v>
      </c>
      <c r="T9" s="11">
        <f t="shared" si="0"/>
        <v>0.8345137614500876</v>
      </c>
      <c r="U9" s="11">
        <f t="shared" si="0"/>
        <v>0.82616862383558676</v>
      </c>
      <c r="V9" s="11">
        <f t="shared" si="0"/>
        <v>0.81790693759723088</v>
      </c>
      <c r="W9" s="11">
        <f t="shared" si="0"/>
        <v>0.80972786822125853</v>
      </c>
      <c r="X9" s="11">
        <f t="shared" si="0"/>
        <v>0.80163058953904598</v>
      </c>
      <c r="Y9" s="11">
        <f t="shared" si="0"/>
        <v>0.79361428364365549</v>
      </c>
      <c r="Z9" s="11">
        <f t="shared" si="0"/>
        <v>0.78567814080721898</v>
      </c>
      <c r="AA9" s="11">
        <f t="shared" si="0"/>
        <v>0.77782135939914676</v>
      </c>
      <c r="AB9" s="11">
        <f t="shared" si="0"/>
        <v>0.77004314580515532</v>
      </c>
      <c r="AC9" s="11">
        <f t="shared" si="0"/>
        <v>0.76234271434710377</v>
      </c>
      <c r="AD9" s="11">
        <f t="shared" si="0"/>
        <v>0.75471928720363268</v>
      </c>
      <c r="AE9" s="11">
        <f t="shared" si="0"/>
        <v>0.74717209433159637</v>
      </c>
      <c r="AF9" s="11">
        <f t="shared" si="0"/>
        <v>0.73970037338828043</v>
      </c>
      <c r="AG9" s="11">
        <f t="shared" si="0"/>
        <v>0.73230336965439757</v>
      </c>
    </row>
    <row r="10" spans="1:33" x14ac:dyDescent="0.3">
      <c r="A10" s="2" t="s">
        <v>8</v>
      </c>
      <c r="B10" s="11">
        <v>1</v>
      </c>
      <c r="C10" s="11">
        <f t="shared" si="1"/>
        <v>0.99</v>
      </c>
      <c r="D10" s="11">
        <f t="shared" si="0"/>
        <v>0.98009999999999997</v>
      </c>
      <c r="E10" s="11">
        <f t="shared" si="0"/>
        <v>0.97029900000000002</v>
      </c>
      <c r="F10" s="11">
        <f t="shared" si="0"/>
        <v>0.96059601000000006</v>
      </c>
      <c r="G10" s="11">
        <f t="shared" si="0"/>
        <v>0.95099004990000002</v>
      </c>
      <c r="H10" s="11">
        <f t="shared" si="0"/>
        <v>0.941480149401</v>
      </c>
      <c r="I10" s="11">
        <f t="shared" si="0"/>
        <v>0.93206534790699003</v>
      </c>
      <c r="J10" s="11">
        <f t="shared" si="0"/>
        <v>0.92274469442792018</v>
      </c>
      <c r="K10" s="11">
        <f t="shared" si="0"/>
        <v>0.91351724748364094</v>
      </c>
      <c r="L10" s="11">
        <f t="shared" si="0"/>
        <v>0.90438207500880452</v>
      </c>
      <c r="M10" s="11">
        <f t="shared" si="0"/>
        <v>0.89533825425871649</v>
      </c>
      <c r="N10" s="11">
        <f t="shared" si="0"/>
        <v>0.88638487171612934</v>
      </c>
      <c r="O10" s="11">
        <f t="shared" si="0"/>
        <v>0.87752102299896806</v>
      </c>
      <c r="P10" s="11">
        <f t="shared" si="0"/>
        <v>0.86874581276897833</v>
      </c>
      <c r="Q10" s="11">
        <f t="shared" si="0"/>
        <v>0.86005835464128855</v>
      </c>
      <c r="R10" s="11">
        <f t="shared" si="0"/>
        <v>0.85145777109487564</v>
      </c>
      <c r="S10" s="11">
        <f t="shared" si="0"/>
        <v>0.84294319338392687</v>
      </c>
      <c r="T10" s="11">
        <f t="shared" si="0"/>
        <v>0.8345137614500876</v>
      </c>
      <c r="U10" s="11">
        <f t="shared" si="0"/>
        <v>0.82616862383558676</v>
      </c>
      <c r="V10" s="11">
        <f t="shared" si="0"/>
        <v>0.81790693759723088</v>
      </c>
      <c r="W10" s="11">
        <f t="shared" si="0"/>
        <v>0.80972786822125853</v>
      </c>
      <c r="X10" s="11">
        <f t="shared" si="0"/>
        <v>0.80163058953904598</v>
      </c>
      <c r="Y10" s="11">
        <f t="shared" si="0"/>
        <v>0.79361428364365549</v>
      </c>
      <c r="Z10" s="11">
        <f t="shared" si="0"/>
        <v>0.78567814080721898</v>
      </c>
      <c r="AA10" s="11">
        <f t="shared" si="0"/>
        <v>0.77782135939914676</v>
      </c>
      <c r="AB10" s="11">
        <f t="shared" si="0"/>
        <v>0.77004314580515532</v>
      </c>
      <c r="AC10" s="11">
        <f t="shared" si="0"/>
        <v>0.76234271434710377</v>
      </c>
      <c r="AD10" s="11">
        <f t="shared" si="0"/>
        <v>0.75471928720363268</v>
      </c>
      <c r="AE10" s="11">
        <f t="shared" si="0"/>
        <v>0.74717209433159637</v>
      </c>
      <c r="AF10" s="11">
        <f t="shared" si="0"/>
        <v>0.73970037338828043</v>
      </c>
      <c r="AG10" s="11">
        <f t="shared" si="0"/>
        <v>0.73230336965439757</v>
      </c>
    </row>
    <row r="11" spans="1:33" x14ac:dyDescent="0.3">
      <c r="A11" s="2" t="s">
        <v>9</v>
      </c>
      <c r="B11" s="11">
        <v>1</v>
      </c>
      <c r="C11" s="11">
        <f t="shared" si="1"/>
        <v>0.99</v>
      </c>
      <c r="D11" s="11">
        <f t="shared" ref="D11:AG18" si="2">C11-C11*0.01</f>
        <v>0.98009999999999997</v>
      </c>
      <c r="E11" s="11">
        <f t="shared" si="2"/>
        <v>0.97029900000000002</v>
      </c>
      <c r="F11" s="11">
        <f t="shared" si="2"/>
        <v>0.96059601000000006</v>
      </c>
      <c r="G11" s="11">
        <f t="shared" si="2"/>
        <v>0.95099004990000002</v>
      </c>
      <c r="H11" s="11">
        <f t="shared" si="2"/>
        <v>0.941480149401</v>
      </c>
      <c r="I11" s="11">
        <f t="shared" si="2"/>
        <v>0.93206534790699003</v>
      </c>
      <c r="J11" s="11">
        <f t="shared" si="2"/>
        <v>0.92274469442792018</v>
      </c>
      <c r="K11" s="11">
        <f t="shared" si="2"/>
        <v>0.91351724748364094</v>
      </c>
      <c r="L11" s="11">
        <f t="shared" si="2"/>
        <v>0.90438207500880452</v>
      </c>
      <c r="M11" s="11">
        <f t="shared" si="2"/>
        <v>0.89533825425871649</v>
      </c>
      <c r="N11" s="11">
        <f t="shared" si="2"/>
        <v>0.88638487171612934</v>
      </c>
      <c r="O11" s="11">
        <f t="shared" si="2"/>
        <v>0.87752102299896806</v>
      </c>
      <c r="P11" s="11">
        <f t="shared" si="2"/>
        <v>0.86874581276897833</v>
      </c>
      <c r="Q11" s="11">
        <f t="shared" si="2"/>
        <v>0.86005835464128855</v>
      </c>
      <c r="R11" s="11">
        <f t="shared" si="2"/>
        <v>0.85145777109487564</v>
      </c>
      <c r="S11" s="11">
        <f t="shared" si="2"/>
        <v>0.84294319338392687</v>
      </c>
      <c r="T11" s="11">
        <f t="shared" si="2"/>
        <v>0.8345137614500876</v>
      </c>
      <c r="U11" s="11">
        <f t="shared" si="2"/>
        <v>0.82616862383558676</v>
      </c>
      <c r="V11" s="11">
        <f t="shared" si="2"/>
        <v>0.81790693759723088</v>
      </c>
      <c r="W11" s="11">
        <f t="shared" si="2"/>
        <v>0.80972786822125853</v>
      </c>
      <c r="X11" s="11">
        <f t="shared" si="2"/>
        <v>0.80163058953904598</v>
      </c>
      <c r="Y11" s="11">
        <f t="shared" si="2"/>
        <v>0.79361428364365549</v>
      </c>
      <c r="Z11" s="11">
        <f t="shared" si="2"/>
        <v>0.78567814080721898</v>
      </c>
      <c r="AA11" s="11">
        <f t="shared" si="2"/>
        <v>0.77782135939914676</v>
      </c>
      <c r="AB11" s="11">
        <f t="shared" si="2"/>
        <v>0.77004314580515532</v>
      </c>
      <c r="AC11" s="11">
        <f t="shared" si="2"/>
        <v>0.76234271434710377</v>
      </c>
      <c r="AD11" s="11">
        <f t="shared" si="2"/>
        <v>0.75471928720363268</v>
      </c>
      <c r="AE11" s="11">
        <f t="shared" si="2"/>
        <v>0.74717209433159637</v>
      </c>
      <c r="AF11" s="11">
        <f t="shared" si="2"/>
        <v>0.73970037338828043</v>
      </c>
      <c r="AG11" s="11">
        <f t="shared" si="2"/>
        <v>0.73230336965439757</v>
      </c>
    </row>
    <row r="12" spans="1:33" x14ac:dyDescent="0.3">
      <c r="A12" s="2" t="s">
        <v>10</v>
      </c>
      <c r="B12" s="11">
        <v>1</v>
      </c>
      <c r="C12" s="11">
        <f t="shared" si="1"/>
        <v>0.99</v>
      </c>
      <c r="D12" s="11">
        <f t="shared" si="2"/>
        <v>0.98009999999999997</v>
      </c>
      <c r="E12" s="11">
        <f t="shared" si="2"/>
        <v>0.97029900000000002</v>
      </c>
      <c r="F12" s="11">
        <f t="shared" si="2"/>
        <v>0.96059601000000006</v>
      </c>
      <c r="G12" s="11">
        <f t="shared" si="2"/>
        <v>0.95099004990000002</v>
      </c>
      <c r="H12" s="11">
        <f t="shared" si="2"/>
        <v>0.941480149401</v>
      </c>
      <c r="I12" s="11">
        <f t="shared" si="2"/>
        <v>0.93206534790699003</v>
      </c>
      <c r="J12" s="11">
        <f t="shared" si="2"/>
        <v>0.92274469442792018</v>
      </c>
      <c r="K12" s="11">
        <f t="shared" si="2"/>
        <v>0.91351724748364094</v>
      </c>
      <c r="L12" s="11">
        <f t="shared" si="2"/>
        <v>0.90438207500880452</v>
      </c>
      <c r="M12" s="11">
        <f t="shared" si="2"/>
        <v>0.89533825425871649</v>
      </c>
      <c r="N12" s="11">
        <f t="shared" si="2"/>
        <v>0.88638487171612934</v>
      </c>
      <c r="O12" s="11">
        <f t="shared" si="2"/>
        <v>0.87752102299896806</v>
      </c>
      <c r="P12" s="11">
        <f t="shared" si="2"/>
        <v>0.86874581276897833</v>
      </c>
      <c r="Q12" s="11">
        <f t="shared" si="2"/>
        <v>0.86005835464128855</v>
      </c>
      <c r="R12" s="11">
        <f t="shared" si="2"/>
        <v>0.85145777109487564</v>
      </c>
      <c r="S12" s="11">
        <f t="shared" si="2"/>
        <v>0.84294319338392687</v>
      </c>
      <c r="T12" s="11">
        <f t="shared" si="2"/>
        <v>0.8345137614500876</v>
      </c>
      <c r="U12" s="11">
        <f t="shared" si="2"/>
        <v>0.82616862383558676</v>
      </c>
      <c r="V12" s="11">
        <f t="shared" si="2"/>
        <v>0.81790693759723088</v>
      </c>
      <c r="W12" s="11">
        <f t="shared" si="2"/>
        <v>0.80972786822125853</v>
      </c>
      <c r="X12" s="11">
        <f t="shared" si="2"/>
        <v>0.80163058953904598</v>
      </c>
      <c r="Y12" s="11">
        <f t="shared" si="2"/>
        <v>0.79361428364365549</v>
      </c>
      <c r="Z12" s="11">
        <f t="shared" si="2"/>
        <v>0.78567814080721898</v>
      </c>
      <c r="AA12" s="11">
        <f t="shared" si="2"/>
        <v>0.77782135939914676</v>
      </c>
      <c r="AB12" s="11">
        <f t="shared" si="2"/>
        <v>0.77004314580515532</v>
      </c>
      <c r="AC12" s="11">
        <f t="shared" si="2"/>
        <v>0.76234271434710377</v>
      </c>
      <c r="AD12" s="11">
        <f t="shared" si="2"/>
        <v>0.75471928720363268</v>
      </c>
      <c r="AE12" s="11">
        <f t="shared" si="2"/>
        <v>0.74717209433159637</v>
      </c>
      <c r="AF12" s="11">
        <f t="shared" si="2"/>
        <v>0.73970037338828043</v>
      </c>
      <c r="AG12" s="11">
        <f t="shared" si="2"/>
        <v>0.73230336965439757</v>
      </c>
    </row>
    <row r="13" spans="1:33" x14ac:dyDescent="0.3">
      <c r="A13" s="2" t="s">
        <v>11</v>
      </c>
      <c r="B13" s="11">
        <v>1</v>
      </c>
      <c r="C13" s="11">
        <f t="shared" si="1"/>
        <v>0.99</v>
      </c>
      <c r="D13" s="11">
        <f t="shared" si="2"/>
        <v>0.98009999999999997</v>
      </c>
      <c r="E13" s="11">
        <f t="shared" si="2"/>
        <v>0.97029900000000002</v>
      </c>
      <c r="F13" s="11">
        <f t="shared" si="2"/>
        <v>0.96059601000000006</v>
      </c>
      <c r="G13" s="11">
        <f t="shared" si="2"/>
        <v>0.95099004990000002</v>
      </c>
      <c r="H13" s="11">
        <f t="shared" si="2"/>
        <v>0.941480149401</v>
      </c>
      <c r="I13" s="11">
        <f t="shared" si="2"/>
        <v>0.93206534790699003</v>
      </c>
      <c r="J13" s="11">
        <f t="shared" si="2"/>
        <v>0.92274469442792018</v>
      </c>
      <c r="K13" s="11">
        <f t="shared" si="2"/>
        <v>0.91351724748364094</v>
      </c>
      <c r="L13" s="11">
        <f t="shared" si="2"/>
        <v>0.90438207500880452</v>
      </c>
      <c r="M13" s="11">
        <f t="shared" si="2"/>
        <v>0.89533825425871649</v>
      </c>
      <c r="N13" s="11">
        <f t="shared" si="2"/>
        <v>0.88638487171612934</v>
      </c>
      <c r="O13" s="11">
        <f t="shared" si="2"/>
        <v>0.87752102299896806</v>
      </c>
      <c r="P13" s="11">
        <f t="shared" si="2"/>
        <v>0.86874581276897833</v>
      </c>
      <c r="Q13" s="11">
        <f t="shared" si="2"/>
        <v>0.86005835464128855</v>
      </c>
      <c r="R13" s="11">
        <f t="shared" si="2"/>
        <v>0.85145777109487564</v>
      </c>
      <c r="S13" s="11">
        <f t="shared" si="2"/>
        <v>0.84294319338392687</v>
      </c>
      <c r="T13" s="11">
        <f t="shared" si="2"/>
        <v>0.8345137614500876</v>
      </c>
      <c r="U13" s="11">
        <f t="shared" si="2"/>
        <v>0.82616862383558676</v>
      </c>
      <c r="V13" s="11">
        <f t="shared" si="2"/>
        <v>0.81790693759723088</v>
      </c>
      <c r="W13" s="11">
        <f t="shared" si="2"/>
        <v>0.80972786822125853</v>
      </c>
      <c r="X13" s="11">
        <f t="shared" si="2"/>
        <v>0.80163058953904598</v>
      </c>
      <c r="Y13" s="11">
        <f t="shared" si="2"/>
        <v>0.79361428364365549</v>
      </c>
      <c r="Z13" s="11">
        <f t="shared" si="2"/>
        <v>0.78567814080721898</v>
      </c>
      <c r="AA13" s="11">
        <f t="shared" si="2"/>
        <v>0.77782135939914676</v>
      </c>
      <c r="AB13" s="11">
        <f t="shared" si="2"/>
        <v>0.77004314580515532</v>
      </c>
      <c r="AC13" s="11">
        <f t="shared" si="2"/>
        <v>0.76234271434710377</v>
      </c>
      <c r="AD13" s="11">
        <f t="shared" si="2"/>
        <v>0.75471928720363268</v>
      </c>
      <c r="AE13" s="11">
        <f t="shared" si="2"/>
        <v>0.74717209433159637</v>
      </c>
      <c r="AF13" s="11">
        <f t="shared" si="2"/>
        <v>0.73970037338828043</v>
      </c>
      <c r="AG13" s="11">
        <f t="shared" si="2"/>
        <v>0.73230336965439757</v>
      </c>
    </row>
    <row r="14" spans="1:33" x14ac:dyDescent="0.3">
      <c r="A14" s="2" t="s">
        <v>12</v>
      </c>
      <c r="B14" s="11">
        <v>1</v>
      </c>
      <c r="C14" s="11">
        <f t="shared" si="1"/>
        <v>0.99</v>
      </c>
      <c r="D14" s="11">
        <f t="shared" si="2"/>
        <v>0.98009999999999997</v>
      </c>
      <c r="E14" s="11">
        <f t="shared" si="2"/>
        <v>0.97029900000000002</v>
      </c>
      <c r="F14" s="11">
        <f t="shared" si="2"/>
        <v>0.96059601000000006</v>
      </c>
      <c r="G14" s="11">
        <f t="shared" si="2"/>
        <v>0.95099004990000002</v>
      </c>
      <c r="H14" s="11">
        <f t="shared" si="2"/>
        <v>0.941480149401</v>
      </c>
      <c r="I14" s="11">
        <f t="shared" si="2"/>
        <v>0.93206534790699003</v>
      </c>
      <c r="J14" s="11">
        <f t="shared" si="2"/>
        <v>0.92274469442792018</v>
      </c>
      <c r="K14" s="11">
        <f t="shared" si="2"/>
        <v>0.91351724748364094</v>
      </c>
      <c r="L14" s="11">
        <f t="shared" si="2"/>
        <v>0.90438207500880452</v>
      </c>
      <c r="M14" s="11">
        <f t="shared" si="2"/>
        <v>0.89533825425871649</v>
      </c>
      <c r="N14" s="11">
        <f t="shared" si="2"/>
        <v>0.88638487171612934</v>
      </c>
      <c r="O14" s="11">
        <f t="shared" si="2"/>
        <v>0.87752102299896806</v>
      </c>
      <c r="P14" s="11">
        <f t="shared" si="2"/>
        <v>0.86874581276897833</v>
      </c>
      <c r="Q14" s="11">
        <f t="shared" si="2"/>
        <v>0.86005835464128855</v>
      </c>
      <c r="R14" s="11">
        <f t="shared" si="2"/>
        <v>0.85145777109487564</v>
      </c>
      <c r="S14" s="11">
        <f t="shared" si="2"/>
        <v>0.84294319338392687</v>
      </c>
      <c r="T14" s="11">
        <f t="shared" si="2"/>
        <v>0.8345137614500876</v>
      </c>
      <c r="U14" s="11">
        <f t="shared" si="2"/>
        <v>0.82616862383558676</v>
      </c>
      <c r="V14" s="11">
        <f t="shared" si="2"/>
        <v>0.81790693759723088</v>
      </c>
      <c r="W14" s="11">
        <f t="shared" si="2"/>
        <v>0.80972786822125853</v>
      </c>
      <c r="X14" s="11">
        <f t="shared" si="2"/>
        <v>0.80163058953904598</v>
      </c>
      <c r="Y14" s="11">
        <f t="shared" si="2"/>
        <v>0.79361428364365549</v>
      </c>
      <c r="Z14" s="11">
        <f t="shared" si="2"/>
        <v>0.78567814080721898</v>
      </c>
      <c r="AA14" s="11">
        <f t="shared" si="2"/>
        <v>0.77782135939914676</v>
      </c>
      <c r="AB14" s="11">
        <f t="shared" si="2"/>
        <v>0.77004314580515532</v>
      </c>
      <c r="AC14" s="11">
        <f t="shared" si="2"/>
        <v>0.76234271434710377</v>
      </c>
      <c r="AD14" s="11">
        <f t="shared" si="2"/>
        <v>0.75471928720363268</v>
      </c>
      <c r="AE14" s="11">
        <f t="shared" si="2"/>
        <v>0.74717209433159637</v>
      </c>
      <c r="AF14" s="11">
        <f t="shared" si="2"/>
        <v>0.73970037338828043</v>
      </c>
      <c r="AG14" s="11">
        <f t="shared" si="2"/>
        <v>0.73230336965439757</v>
      </c>
    </row>
    <row r="15" spans="1:33" x14ac:dyDescent="0.3">
      <c r="A15" s="2" t="s">
        <v>13</v>
      </c>
      <c r="B15" s="11">
        <v>1</v>
      </c>
      <c r="C15" s="11">
        <f t="shared" si="1"/>
        <v>0.99</v>
      </c>
      <c r="D15" s="11">
        <f t="shared" si="2"/>
        <v>0.98009999999999997</v>
      </c>
      <c r="E15" s="11">
        <f t="shared" si="2"/>
        <v>0.97029900000000002</v>
      </c>
      <c r="F15" s="11">
        <f t="shared" si="2"/>
        <v>0.96059601000000006</v>
      </c>
      <c r="G15" s="11">
        <f t="shared" si="2"/>
        <v>0.95099004990000002</v>
      </c>
      <c r="H15" s="11">
        <f t="shared" si="2"/>
        <v>0.941480149401</v>
      </c>
      <c r="I15" s="11">
        <f t="shared" si="2"/>
        <v>0.93206534790699003</v>
      </c>
      <c r="J15" s="11">
        <f t="shared" si="2"/>
        <v>0.92274469442792018</v>
      </c>
      <c r="K15" s="11">
        <f t="shared" si="2"/>
        <v>0.91351724748364094</v>
      </c>
      <c r="L15" s="11">
        <f t="shared" si="2"/>
        <v>0.90438207500880452</v>
      </c>
      <c r="M15" s="11">
        <f t="shared" si="2"/>
        <v>0.89533825425871649</v>
      </c>
      <c r="N15" s="11">
        <f t="shared" si="2"/>
        <v>0.88638487171612934</v>
      </c>
      <c r="O15" s="11">
        <f t="shared" si="2"/>
        <v>0.87752102299896806</v>
      </c>
      <c r="P15" s="11">
        <f t="shared" si="2"/>
        <v>0.86874581276897833</v>
      </c>
      <c r="Q15" s="11">
        <f t="shared" si="2"/>
        <v>0.86005835464128855</v>
      </c>
      <c r="R15" s="11">
        <f t="shared" si="2"/>
        <v>0.85145777109487564</v>
      </c>
      <c r="S15" s="11">
        <f t="shared" si="2"/>
        <v>0.84294319338392687</v>
      </c>
      <c r="T15" s="11">
        <f t="shared" si="2"/>
        <v>0.8345137614500876</v>
      </c>
      <c r="U15" s="11">
        <f t="shared" si="2"/>
        <v>0.82616862383558676</v>
      </c>
      <c r="V15" s="11">
        <f t="shared" si="2"/>
        <v>0.81790693759723088</v>
      </c>
      <c r="W15" s="11">
        <f t="shared" si="2"/>
        <v>0.80972786822125853</v>
      </c>
      <c r="X15" s="11">
        <f t="shared" si="2"/>
        <v>0.80163058953904598</v>
      </c>
      <c r="Y15" s="11">
        <f t="shared" si="2"/>
        <v>0.79361428364365549</v>
      </c>
      <c r="Z15" s="11">
        <f t="shared" si="2"/>
        <v>0.78567814080721898</v>
      </c>
      <c r="AA15" s="11">
        <f t="shared" si="2"/>
        <v>0.77782135939914676</v>
      </c>
      <c r="AB15" s="11">
        <f t="shared" si="2"/>
        <v>0.77004314580515532</v>
      </c>
      <c r="AC15" s="11">
        <f t="shared" si="2"/>
        <v>0.76234271434710377</v>
      </c>
      <c r="AD15" s="11">
        <f t="shared" si="2"/>
        <v>0.75471928720363268</v>
      </c>
      <c r="AE15" s="11">
        <f t="shared" si="2"/>
        <v>0.74717209433159637</v>
      </c>
      <c r="AF15" s="11">
        <f t="shared" si="2"/>
        <v>0.73970037338828043</v>
      </c>
      <c r="AG15" s="11">
        <f t="shared" si="2"/>
        <v>0.73230336965439757</v>
      </c>
    </row>
    <row r="16" spans="1:33" x14ac:dyDescent="0.3">
      <c r="A16" s="2" t="s">
        <v>14</v>
      </c>
      <c r="B16" s="11">
        <v>1</v>
      </c>
      <c r="C16" s="11">
        <f t="shared" si="1"/>
        <v>0.99</v>
      </c>
      <c r="D16" s="11">
        <f t="shared" si="2"/>
        <v>0.98009999999999997</v>
      </c>
      <c r="E16" s="11">
        <f t="shared" si="2"/>
        <v>0.97029900000000002</v>
      </c>
      <c r="F16" s="11">
        <f t="shared" si="2"/>
        <v>0.96059601000000006</v>
      </c>
      <c r="G16" s="11">
        <f t="shared" si="2"/>
        <v>0.95099004990000002</v>
      </c>
      <c r="H16" s="11">
        <f t="shared" si="2"/>
        <v>0.941480149401</v>
      </c>
      <c r="I16" s="11">
        <f t="shared" si="2"/>
        <v>0.93206534790699003</v>
      </c>
      <c r="J16" s="11">
        <f t="shared" si="2"/>
        <v>0.92274469442792018</v>
      </c>
      <c r="K16" s="11">
        <f t="shared" si="2"/>
        <v>0.91351724748364094</v>
      </c>
      <c r="L16" s="11">
        <f t="shared" si="2"/>
        <v>0.90438207500880452</v>
      </c>
      <c r="M16" s="11">
        <f t="shared" si="2"/>
        <v>0.89533825425871649</v>
      </c>
      <c r="N16" s="11">
        <f t="shared" si="2"/>
        <v>0.88638487171612934</v>
      </c>
      <c r="O16" s="11">
        <f t="shared" si="2"/>
        <v>0.87752102299896806</v>
      </c>
      <c r="P16" s="11">
        <f t="shared" si="2"/>
        <v>0.86874581276897833</v>
      </c>
      <c r="Q16" s="11">
        <f t="shared" si="2"/>
        <v>0.86005835464128855</v>
      </c>
      <c r="R16" s="11">
        <f t="shared" si="2"/>
        <v>0.85145777109487564</v>
      </c>
      <c r="S16" s="11">
        <f t="shared" si="2"/>
        <v>0.84294319338392687</v>
      </c>
      <c r="T16" s="11">
        <f t="shared" si="2"/>
        <v>0.8345137614500876</v>
      </c>
      <c r="U16" s="11">
        <f t="shared" si="2"/>
        <v>0.82616862383558676</v>
      </c>
      <c r="V16" s="11">
        <f t="shared" si="2"/>
        <v>0.81790693759723088</v>
      </c>
      <c r="W16" s="11">
        <f t="shared" si="2"/>
        <v>0.80972786822125853</v>
      </c>
      <c r="X16" s="11">
        <f t="shared" si="2"/>
        <v>0.80163058953904598</v>
      </c>
      <c r="Y16" s="11">
        <f t="shared" si="2"/>
        <v>0.79361428364365549</v>
      </c>
      <c r="Z16" s="11">
        <f t="shared" si="2"/>
        <v>0.78567814080721898</v>
      </c>
      <c r="AA16" s="11">
        <f t="shared" si="2"/>
        <v>0.77782135939914676</v>
      </c>
      <c r="AB16" s="11">
        <f t="shared" si="2"/>
        <v>0.77004314580515532</v>
      </c>
      <c r="AC16" s="11">
        <f t="shared" si="2"/>
        <v>0.76234271434710377</v>
      </c>
      <c r="AD16" s="11">
        <f t="shared" si="2"/>
        <v>0.75471928720363268</v>
      </c>
      <c r="AE16" s="11">
        <f t="shared" si="2"/>
        <v>0.74717209433159637</v>
      </c>
      <c r="AF16" s="11">
        <f t="shared" si="2"/>
        <v>0.73970037338828043</v>
      </c>
      <c r="AG16" s="11">
        <f t="shared" si="2"/>
        <v>0.73230336965439757</v>
      </c>
    </row>
    <row r="17" spans="1:33" x14ac:dyDescent="0.3">
      <c r="A17" s="2" t="s">
        <v>15</v>
      </c>
      <c r="B17" s="11">
        <v>1</v>
      </c>
      <c r="C17" s="11">
        <f t="shared" si="1"/>
        <v>0.99</v>
      </c>
      <c r="D17" s="11">
        <f t="shared" si="2"/>
        <v>0.98009999999999997</v>
      </c>
      <c r="E17" s="11">
        <f t="shared" si="2"/>
        <v>0.97029900000000002</v>
      </c>
      <c r="F17" s="11">
        <f t="shared" si="2"/>
        <v>0.96059601000000006</v>
      </c>
      <c r="G17" s="11">
        <f t="shared" si="2"/>
        <v>0.95099004990000002</v>
      </c>
      <c r="H17" s="11">
        <f t="shared" si="2"/>
        <v>0.941480149401</v>
      </c>
      <c r="I17" s="11">
        <f t="shared" si="2"/>
        <v>0.93206534790699003</v>
      </c>
      <c r="J17" s="11">
        <f t="shared" si="2"/>
        <v>0.92274469442792018</v>
      </c>
      <c r="K17" s="11">
        <f t="shared" si="2"/>
        <v>0.91351724748364094</v>
      </c>
      <c r="L17" s="11">
        <f t="shared" si="2"/>
        <v>0.90438207500880452</v>
      </c>
      <c r="M17" s="11">
        <f t="shared" si="2"/>
        <v>0.89533825425871649</v>
      </c>
      <c r="N17" s="11">
        <f t="shared" si="2"/>
        <v>0.88638487171612934</v>
      </c>
      <c r="O17" s="11">
        <f t="shared" si="2"/>
        <v>0.87752102299896806</v>
      </c>
      <c r="P17" s="11">
        <f t="shared" si="2"/>
        <v>0.86874581276897833</v>
      </c>
      <c r="Q17" s="11">
        <f t="shared" si="2"/>
        <v>0.86005835464128855</v>
      </c>
      <c r="R17" s="11">
        <f t="shared" si="2"/>
        <v>0.85145777109487564</v>
      </c>
      <c r="S17" s="11">
        <f t="shared" si="2"/>
        <v>0.84294319338392687</v>
      </c>
      <c r="T17" s="11">
        <f t="shared" si="2"/>
        <v>0.8345137614500876</v>
      </c>
      <c r="U17" s="11">
        <f t="shared" si="2"/>
        <v>0.82616862383558676</v>
      </c>
      <c r="V17" s="11">
        <f t="shared" si="2"/>
        <v>0.81790693759723088</v>
      </c>
      <c r="W17" s="11">
        <f t="shared" si="2"/>
        <v>0.80972786822125853</v>
      </c>
      <c r="X17" s="11">
        <f t="shared" si="2"/>
        <v>0.80163058953904598</v>
      </c>
      <c r="Y17" s="11">
        <f t="shared" si="2"/>
        <v>0.79361428364365549</v>
      </c>
      <c r="Z17" s="11">
        <f t="shared" si="2"/>
        <v>0.78567814080721898</v>
      </c>
      <c r="AA17" s="11">
        <f t="shared" si="2"/>
        <v>0.77782135939914676</v>
      </c>
      <c r="AB17" s="11">
        <f t="shared" si="2"/>
        <v>0.77004314580515532</v>
      </c>
      <c r="AC17" s="11">
        <f t="shared" si="2"/>
        <v>0.76234271434710377</v>
      </c>
      <c r="AD17" s="11">
        <f t="shared" si="2"/>
        <v>0.75471928720363268</v>
      </c>
      <c r="AE17" s="11">
        <f t="shared" si="2"/>
        <v>0.74717209433159637</v>
      </c>
      <c r="AF17" s="11">
        <f t="shared" si="2"/>
        <v>0.73970037338828043</v>
      </c>
      <c r="AG17" s="11">
        <f t="shared" si="2"/>
        <v>0.73230336965439757</v>
      </c>
    </row>
    <row r="18" spans="1:33" x14ac:dyDescent="0.3">
      <c r="A18" s="2" t="s">
        <v>16</v>
      </c>
      <c r="B18" s="11">
        <v>1</v>
      </c>
      <c r="C18" s="11">
        <f t="shared" si="1"/>
        <v>0.99</v>
      </c>
      <c r="D18" s="11">
        <f t="shared" si="2"/>
        <v>0.98009999999999997</v>
      </c>
      <c r="E18" s="11">
        <f t="shared" si="2"/>
        <v>0.97029900000000002</v>
      </c>
      <c r="F18" s="11">
        <f t="shared" si="2"/>
        <v>0.96059601000000006</v>
      </c>
      <c r="G18" s="11">
        <f t="shared" si="2"/>
        <v>0.95099004990000002</v>
      </c>
      <c r="H18" s="11">
        <f t="shared" si="2"/>
        <v>0.941480149401</v>
      </c>
      <c r="I18" s="11">
        <f t="shared" si="2"/>
        <v>0.93206534790699003</v>
      </c>
      <c r="J18" s="11">
        <f t="shared" si="2"/>
        <v>0.92274469442792018</v>
      </c>
      <c r="K18" s="11">
        <f t="shared" si="2"/>
        <v>0.91351724748364094</v>
      </c>
      <c r="L18" s="11">
        <f t="shared" si="2"/>
        <v>0.90438207500880452</v>
      </c>
      <c r="M18" s="11">
        <f t="shared" si="2"/>
        <v>0.89533825425871649</v>
      </c>
      <c r="N18" s="11">
        <f t="shared" si="2"/>
        <v>0.88638487171612934</v>
      </c>
      <c r="O18" s="11">
        <f t="shared" si="2"/>
        <v>0.87752102299896806</v>
      </c>
      <c r="P18" s="11">
        <f t="shared" si="2"/>
        <v>0.86874581276897833</v>
      </c>
      <c r="Q18" s="11">
        <f t="shared" si="2"/>
        <v>0.86005835464128855</v>
      </c>
      <c r="R18" s="11">
        <f t="shared" si="2"/>
        <v>0.85145777109487564</v>
      </c>
      <c r="S18" s="11">
        <f t="shared" si="2"/>
        <v>0.84294319338392687</v>
      </c>
      <c r="T18" s="11">
        <f t="shared" si="2"/>
        <v>0.8345137614500876</v>
      </c>
      <c r="U18" s="11">
        <f t="shared" si="2"/>
        <v>0.82616862383558676</v>
      </c>
      <c r="V18" s="11">
        <f t="shared" si="2"/>
        <v>0.81790693759723088</v>
      </c>
      <c r="W18" s="11">
        <f t="shared" si="2"/>
        <v>0.80972786822125853</v>
      </c>
      <c r="X18" s="11">
        <f t="shared" si="2"/>
        <v>0.80163058953904598</v>
      </c>
      <c r="Y18" s="11">
        <f t="shared" si="2"/>
        <v>0.79361428364365549</v>
      </c>
      <c r="Z18" s="11">
        <f t="shared" si="2"/>
        <v>0.78567814080721898</v>
      </c>
      <c r="AA18" s="11">
        <f t="shared" si="2"/>
        <v>0.77782135939914676</v>
      </c>
      <c r="AB18" s="11">
        <f t="shared" si="2"/>
        <v>0.77004314580515532</v>
      </c>
      <c r="AC18" s="11">
        <f t="shared" si="2"/>
        <v>0.76234271434710377</v>
      </c>
      <c r="AD18" s="11">
        <f t="shared" si="2"/>
        <v>0.75471928720363268</v>
      </c>
      <c r="AE18" s="11">
        <f t="shared" si="2"/>
        <v>0.74717209433159637</v>
      </c>
      <c r="AF18" s="11">
        <f t="shared" si="2"/>
        <v>0.73970037338828043</v>
      </c>
      <c r="AG18" s="11">
        <f t="shared" si="2"/>
        <v>0.73230336965439757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00B2-4CAD-466B-92A4-DF3AC339BC12}">
  <dimension ref="A1:AG18"/>
  <sheetViews>
    <sheetView tabSelected="1" topLeftCell="J1" workbookViewId="0">
      <selection activeCell="AA37" sqref="AA37"/>
    </sheetView>
  </sheetViews>
  <sheetFormatPr defaultRowHeight="14.4" x14ac:dyDescent="0.3"/>
  <cols>
    <col min="2" max="33" width="9.5546875" bestFit="1" customWidth="1"/>
  </cols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11">
        <v>1</v>
      </c>
      <c r="C2" s="11">
        <f>B2-B2*0.015</f>
        <v>0.98499999999999999</v>
      </c>
      <c r="D2" s="11">
        <f t="shared" ref="D2:AG10" si="0">C2-C2*0.015</f>
        <v>0.970225</v>
      </c>
      <c r="E2" s="11">
        <f t="shared" si="0"/>
        <v>0.95567162500000002</v>
      </c>
      <c r="F2" s="11">
        <f t="shared" si="0"/>
        <v>0.94133655062499999</v>
      </c>
      <c r="G2" s="11">
        <f t="shared" si="0"/>
        <v>0.92721650236562503</v>
      </c>
      <c r="H2" s="11">
        <f t="shared" si="0"/>
        <v>0.91330825483014066</v>
      </c>
      <c r="I2" s="11">
        <f t="shared" si="0"/>
        <v>0.89960863100768851</v>
      </c>
      <c r="J2" s="11">
        <f t="shared" si="0"/>
        <v>0.88611450154257321</v>
      </c>
      <c r="K2" s="11">
        <f t="shared" si="0"/>
        <v>0.87282278401943458</v>
      </c>
      <c r="L2" s="11">
        <f t="shared" si="0"/>
        <v>0.85973044225914308</v>
      </c>
      <c r="M2" s="11">
        <f t="shared" si="0"/>
        <v>0.84683448562525598</v>
      </c>
      <c r="N2" s="11">
        <f t="shared" si="0"/>
        <v>0.83413196834087711</v>
      </c>
      <c r="O2" s="11">
        <f t="shared" si="0"/>
        <v>0.82161998881576392</v>
      </c>
      <c r="P2" s="11">
        <f t="shared" si="0"/>
        <v>0.80929568898352744</v>
      </c>
      <c r="Q2" s="11">
        <f t="shared" si="0"/>
        <v>0.79715625364877452</v>
      </c>
      <c r="R2" s="11">
        <f t="shared" si="0"/>
        <v>0.78519890984404295</v>
      </c>
      <c r="S2" s="11">
        <f t="shared" si="0"/>
        <v>0.77342092619638225</v>
      </c>
      <c r="T2" s="11">
        <f t="shared" si="0"/>
        <v>0.76181961230343653</v>
      </c>
      <c r="U2" s="11">
        <f t="shared" si="0"/>
        <v>0.75039231811888496</v>
      </c>
      <c r="V2" s="11">
        <f t="shared" si="0"/>
        <v>0.73913643334710166</v>
      </c>
      <c r="W2" s="11">
        <f t="shared" si="0"/>
        <v>0.72804938684689513</v>
      </c>
      <c r="X2" s="11">
        <f t="shared" si="0"/>
        <v>0.71712864604419169</v>
      </c>
      <c r="Y2" s="11">
        <f t="shared" si="0"/>
        <v>0.7063717163535288</v>
      </c>
      <c r="Z2" s="11">
        <f t="shared" si="0"/>
        <v>0.6957761406082259</v>
      </c>
      <c r="AA2" s="11">
        <f t="shared" si="0"/>
        <v>0.68533949849910247</v>
      </c>
      <c r="AB2" s="11">
        <f t="shared" si="0"/>
        <v>0.67505940602161596</v>
      </c>
      <c r="AC2" s="11">
        <f t="shared" si="0"/>
        <v>0.66493351493129171</v>
      </c>
      <c r="AD2" s="11">
        <f t="shared" si="0"/>
        <v>0.65495951220732229</v>
      </c>
      <c r="AE2" s="11">
        <f t="shared" si="0"/>
        <v>0.64513511952421243</v>
      </c>
      <c r="AF2" s="11">
        <f t="shared" si="0"/>
        <v>0.63545809273134923</v>
      </c>
      <c r="AG2" s="11">
        <f t="shared" si="0"/>
        <v>0.62592622134037901</v>
      </c>
    </row>
    <row r="3" spans="1:33" x14ac:dyDescent="0.3">
      <c r="A3" s="2" t="s">
        <v>1</v>
      </c>
      <c r="B3" s="11">
        <v>1</v>
      </c>
      <c r="C3" s="11">
        <f t="shared" ref="C3:R18" si="1">B3-B3*0.015</f>
        <v>0.98499999999999999</v>
      </c>
      <c r="D3" s="11">
        <f t="shared" si="1"/>
        <v>0.970225</v>
      </c>
      <c r="E3" s="11">
        <f t="shared" si="1"/>
        <v>0.95567162500000002</v>
      </c>
      <c r="F3" s="11">
        <f t="shared" si="1"/>
        <v>0.94133655062499999</v>
      </c>
      <c r="G3" s="11">
        <f t="shared" si="1"/>
        <v>0.92721650236562503</v>
      </c>
      <c r="H3" s="11">
        <f t="shared" si="1"/>
        <v>0.91330825483014066</v>
      </c>
      <c r="I3" s="11">
        <f t="shared" si="1"/>
        <v>0.89960863100768851</v>
      </c>
      <c r="J3" s="11">
        <f t="shared" si="1"/>
        <v>0.88611450154257321</v>
      </c>
      <c r="K3" s="11">
        <f t="shared" si="1"/>
        <v>0.87282278401943458</v>
      </c>
      <c r="L3" s="11">
        <f t="shared" si="1"/>
        <v>0.85973044225914308</v>
      </c>
      <c r="M3" s="11">
        <f t="shared" si="1"/>
        <v>0.84683448562525598</v>
      </c>
      <c r="N3" s="11">
        <f t="shared" si="1"/>
        <v>0.83413196834087711</v>
      </c>
      <c r="O3" s="11">
        <f t="shared" si="1"/>
        <v>0.82161998881576392</v>
      </c>
      <c r="P3" s="11">
        <f t="shared" si="1"/>
        <v>0.80929568898352744</v>
      </c>
      <c r="Q3" s="11">
        <f t="shared" si="1"/>
        <v>0.79715625364877452</v>
      </c>
      <c r="R3" s="11">
        <f t="shared" si="1"/>
        <v>0.78519890984404295</v>
      </c>
      <c r="S3" s="11">
        <f t="shared" si="0"/>
        <v>0.77342092619638225</v>
      </c>
      <c r="T3" s="11">
        <f t="shared" si="0"/>
        <v>0.76181961230343653</v>
      </c>
      <c r="U3" s="11">
        <f t="shared" si="0"/>
        <v>0.75039231811888496</v>
      </c>
      <c r="V3" s="11">
        <f t="shared" si="0"/>
        <v>0.73913643334710166</v>
      </c>
      <c r="W3" s="11">
        <f t="shared" si="0"/>
        <v>0.72804938684689513</v>
      </c>
      <c r="X3" s="11">
        <f t="shared" si="0"/>
        <v>0.71712864604419169</v>
      </c>
      <c r="Y3" s="11">
        <f t="shared" si="0"/>
        <v>0.7063717163535288</v>
      </c>
      <c r="Z3" s="11">
        <f t="shared" si="0"/>
        <v>0.6957761406082259</v>
      </c>
      <c r="AA3" s="11">
        <f t="shared" si="0"/>
        <v>0.68533949849910247</v>
      </c>
      <c r="AB3" s="11">
        <f t="shared" si="0"/>
        <v>0.67505940602161596</v>
      </c>
      <c r="AC3" s="11">
        <f t="shared" si="0"/>
        <v>0.66493351493129171</v>
      </c>
      <c r="AD3" s="11">
        <f t="shared" si="0"/>
        <v>0.65495951220732229</v>
      </c>
      <c r="AE3" s="11">
        <f t="shared" si="0"/>
        <v>0.64513511952421243</v>
      </c>
      <c r="AF3" s="11">
        <f t="shared" si="0"/>
        <v>0.63545809273134923</v>
      </c>
      <c r="AG3" s="11">
        <f t="shared" si="0"/>
        <v>0.62592622134037901</v>
      </c>
    </row>
    <row r="4" spans="1:33" x14ac:dyDescent="0.3">
      <c r="A4" s="2" t="s">
        <v>2</v>
      </c>
      <c r="B4" s="11">
        <v>1</v>
      </c>
      <c r="C4" s="11">
        <f t="shared" si="1"/>
        <v>0.98499999999999999</v>
      </c>
      <c r="D4" s="11">
        <f t="shared" si="0"/>
        <v>0.970225</v>
      </c>
      <c r="E4" s="11">
        <f t="shared" si="0"/>
        <v>0.95567162500000002</v>
      </c>
      <c r="F4" s="11">
        <f t="shared" si="0"/>
        <v>0.94133655062499999</v>
      </c>
      <c r="G4" s="11">
        <f t="shared" si="0"/>
        <v>0.92721650236562503</v>
      </c>
      <c r="H4" s="11">
        <f t="shared" si="0"/>
        <v>0.91330825483014066</v>
      </c>
      <c r="I4" s="11">
        <f t="shared" si="0"/>
        <v>0.89960863100768851</v>
      </c>
      <c r="J4" s="11">
        <f t="shared" si="0"/>
        <v>0.88611450154257321</v>
      </c>
      <c r="K4" s="11">
        <f t="shared" si="0"/>
        <v>0.87282278401943458</v>
      </c>
      <c r="L4" s="11">
        <f t="shared" si="0"/>
        <v>0.85973044225914308</v>
      </c>
      <c r="M4" s="11">
        <f t="shared" si="0"/>
        <v>0.84683448562525598</v>
      </c>
      <c r="N4" s="11">
        <f t="shared" si="0"/>
        <v>0.83413196834087711</v>
      </c>
      <c r="O4" s="11">
        <f t="shared" si="0"/>
        <v>0.82161998881576392</v>
      </c>
      <c r="P4" s="11">
        <f t="shared" si="0"/>
        <v>0.80929568898352744</v>
      </c>
      <c r="Q4" s="11">
        <f t="shared" si="0"/>
        <v>0.79715625364877452</v>
      </c>
      <c r="R4" s="11">
        <f t="shared" si="0"/>
        <v>0.78519890984404295</v>
      </c>
      <c r="S4" s="11">
        <f t="shared" si="0"/>
        <v>0.77342092619638225</v>
      </c>
      <c r="T4" s="11">
        <f t="shared" si="0"/>
        <v>0.76181961230343653</v>
      </c>
      <c r="U4" s="11">
        <f t="shared" si="0"/>
        <v>0.75039231811888496</v>
      </c>
      <c r="V4" s="11">
        <f t="shared" si="0"/>
        <v>0.73913643334710166</v>
      </c>
      <c r="W4" s="11">
        <f t="shared" si="0"/>
        <v>0.72804938684689513</v>
      </c>
      <c r="X4" s="11">
        <f t="shared" si="0"/>
        <v>0.71712864604419169</v>
      </c>
      <c r="Y4" s="11">
        <f t="shared" si="0"/>
        <v>0.7063717163535288</v>
      </c>
      <c r="Z4" s="11">
        <f t="shared" si="0"/>
        <v>0.6957761406082259</v>
      </c>
      <c r="AA4" s="11">
        <f t="shared" si="0"/>
        <v>0.68533949849910247</v>
      </c>
      <c r="AB4" s="11">
        <f t="shared" si="0"/>
        <v>0.67505940602161596</v>
      </c>
      <c r="AC4" s="11">
        <f t="shared" si="0"/>
        <v>0.66493351493129171</v>
      </c>
      <c r="AD4" s="11">
        <f t="shared" si="0"/>
        <v>0.65495951220732229</v>
      </c>
      <c r="AE4" s="11">
        <f t="shared" si="0"/>
        <v>0.64513511952421243</v>
      </c>
      <c r="AF4" s="11">
        <f t="shared" si="0"/>
        <v>0.63545809273134923</v>
      </c>
      <c r="AG4" s="11">
        <f t="shared" si="0"/>
        <v>0.62592622134037901</v>
      </c>
    </row>
    <row r="5" spans="1:33" x14ac:dyDescent="0.3">
      <c r="A5" s="2" t="s">
        <v>3</v>
      </c>
      <c r="B5" s="11">
        <v>1</v>
      </c>
      <c r="C5" s="11">
        <f t="shared" si="1"/>
        <v>0.98499999999999999</v>
      </c>
      <c r="D5" s="11">
        <f t="shared" si="0"/>
        <v>0.970225</v>
      </c>
      <c r="E5" s="11">
        <f t="shared" si="0"/>
        <v>0.95567162500000002</v>
      </c>
      <c r="F5" s="11">
        <f t="shared" si="0"/>
        <v>0.94133655062499999</v>
      </c>
      <c r="G5" s="11">
        <f t="shared" si="0"/>
        <v>0.92721650236562503</v>
      </c>
      <c r="H5" s="11">
        <f t="shared" si="0"/>
        <v>0.91330825483014066</v>
      </c>
      <c r="I5" s="11">
        <f t="shared" si="0"/>
        <v>0.89960863100768851</v>
      </c>
      <c r="J5" s="11">
        <f t="shared" si="0"/>
        <v>0.88611450154257321</v>
      </c>
      <c r="K5" s="11">
        <f t="shared" si="0"/>
        <v>0.87282278401943458</v>
      </c>
      <c r="L5" s="11">
        <f t="shared" si="0"/>
        <v>0.85973044225914308</v>
      </c>
      <c r="M5" s="11">
        <f t="shared" si="0"/>
        <v>0.84683448562525598</v>
      </c>
      <c r="N5" s="11">
        <f t="shared" si="0"/>
        <v>0.83413196834087711</v>
      </c>
      <c r="O5" s="11">
        <f t="shared" si="0"/>
        <v>0.82161998881576392</v>
      </c>
      <c r="P5" s="11">
        <f t="shared" si="0"/>
        <v>0.80929568898352744</v>
      </c>
      <c r="Q5" s="11">
        <f t="shared" si="0"/>
        <v>0.79715625364877452</v>
      </c>
      <c r="R5" s="11">
        <f t="shared" si="0"/>
        <v>0.78519890984404295</v>
      </c>
      <c r="S5" s="11">
        <f t="shared" si="0"/>
        <v>0.77342092619638225</v>
      </c>
      <c r="T5" s="11">
        <f t="shared" si="0"/>
        <v>0.76181961230343653</v>
      </c>
      <c r="U5" s="11">
        <f t="shared" si="0"/>
        <v>0.75039231811888496</v>
      </c>
      <c r="V5" s="11">
        <f t="shared" si="0"/>
        <v>0.73913643334710166</v>
      </c>
      <c r="W5" s="11">
        <f t="shared" si="0"/>
        <v>0.72804938684689513</v>
      </c>
      <c r="X5" s="11">
        <f t="shared" si="0"/>
        <v>0.71712864604419169</v>
      </c>
      <c r="Y5" s="11">
        <f t="shared" si="0"/>
        <v>0.7063717163535288</v>
      </c>
      <c r="Z5" s="11">
        <f t="shared" si="0"/>
        <v>0.6957761406082259</v>
      </c>
      <c r="AA5" s="11">
        <f t="shared" si="0"/>
        <v>0.68533949849910247</v>
      </c>
      <c r="AB5" s="11">
        <f t="shared" si="0"/>
        <v>0.67505940602161596</v>
      </c>
      <c r="AC5" s="11">
        <f t="shared" si="0"/>
        <v>0.66493351493129171</v>
      </c>
      <c r="AD5" s="11">
        <f t="shared" si="0"/>
        <v>0.65495951220732229</v>
      </c>
      <c r="AE5" s="11">
        <f t="shared" si="0"/>
        <v>0.64513511952421243</v>
      </c>
      <c r="AF5" s="11">
        <f t="shared" si="0"/>
        <v>0.63545809273134923</v>
      </c>
      <c r="AG5" s="11">
        <f t="shared" si="0"/>
        <v>0.62592622134037901</v>
      </c>
    </row>
    <row r="6" spans="1:33" x14ac:dyDescent="0.3">
      <c r="A6" s="2" t="s">
        <v>4</v>
      </c>
      <c r="B6" s="11">
        <v>1</v>
      </c>
      <c r="C6" s="11">
        <f t="shared" si="1"/>
        <v>0.98499999999999999</v>
      </c>
      <c r="D6" s="11">
        <f t="shared" si="0"/>
        <v>0.970225</v>
      </c>
      <c r="E6" s="11">
        <f t="shared" si="0"/>
        <v>0.95567162500000002</v>
      </c>
      <c r="F6" s="11">
        <f t="shared" si="0"/>
        <v>0.94133655062499999</v>
      </c>
      <c r="G6" s="11">
        <f t="shared" si="0"/>
        <v>0.92721650236562503</v>
      </c>
      <c r="H6" s="11">
        <f t="shared" si="0"/>
        <v>0.91330825483014066</v>
      </c>
      <c r="I6" s="11">
        <f t="shared" si="0"/>
        <v>0.89960863100768851</v>
      </c>
      <c r="J6" s="11">
        <f t="shared" si="0"/>
        <v>0.88611450154257321</v>
      </c>
      <c r="K6" s="11">
        <f t="shared" si="0"/>
        <v>0.87282278401943458</v>
      </c>
      <c r="L6" s="11">
        <f t="shared" si="0"/>
        <v>0.85973044225914308</v>
      </c>
      <c r="M6" s="11">
        <f t="shared" si="0"/>
        <v>0.84683448562525598</v>
      </c>
      <c r="N6" s="11">
        <f t="shared" si="0"/>
        <v>0.83413196834087711</v>
      </c>
      <c r="O6" s="11">
        <f t="shared" si="0"/>
        <v>0.82161998881576392</v>
      </c>
      <c r="P6" s="11">
        <f t="shared" si="0"/>
        <v>0.80929568898352744</v>
      </c>
      <c r="Q6" s="11">
        <f t="shared" si="0"/>
        <v>0.79715625364877452</v>
      </c>
      <c r="R6" s="11">
        <f t="shared" si="0"/>
        <v>0.78519890984404295</v>
      </c>
      <c r="S6" s="11">
        <f t="shared" si="0"/>
        <v>0.77342092619638225</v>
      </c>
      <c r="T6" s="11">
        <f t="shared" si="0"/>
        <v>0.76181961230343653</v>
      </c>
      <c r="U6" s="11">
        <f t="shared" si="0"/>
        <v>0.75039231811888496</v>
      </c>
      <c r="V6" s="11">
        <f t="shared" si="0"/>
        <v>0.73913643334710166</v>
      </c>
      <c r="W6" s="11">
        <f t="shared" si="0"/>
        <v>0.72804938684689513</v>
      </c>
      <c r="X6" s="11">
        <f t="shared" si="0"/>
        <v>0.71712864604419169</v>
      </c>
      <c r="Y6" s="11">
        <f t="shared" si="0"/>
        <v>0.7063717163535288</v>
      </c>
      <c r="Z6" s="11">
        <f t="shared" si="0"/>
        <v>0.6957761406082259</v>
      </c>
      <c r="AA6" s="11">
        <f t="shared" si="0"/>
        <v>0.68533949849910247</v>
      </c>
      <c r="AB6" s="11">
        <f t="shared" si="0"/>
        <v>0.67505940602161596</v>
      </c>
      <c r="AC6" s="11">
        <f t="shared" si="0"/>
        <v>0.66493351493129171</v>
      </c>
      <c r="AD6" s="11">
        <f t="shared" si="0"/>
        <v>0.65495951220732229</v>
      </c>
      <c r="AE6" s="11">
        <f t="shared" si="0"/>
        <v>0.64513511952421243</v>
      </c>
      <c r="AF6" s="11">
        <f t="shared" si="0"/>
        <v>0.63545809273134923</v>
      </c>
      <c r="AG6" s="11">
        <f t="shared" si="0"/>
        <v>0.62592622134037901</v>
      </c>
    </row>
    <row r="7" spans="1:33" x14ac:dyDescent="0.3">
      <c r="A7" s="2" t="s">
        <v>5</v>
      </c>
      <c r="B7" s="11">
        <v>1</v>
      </c>
      <c r="C7" s="11">
        <f t="shared" si="1"/>
        <v>0.98499999999999999</v>
      </c>
      <c r="D7" s="11">
        <f t="shared" si="0"/>
        <v>0.970225</v>
      </c>
      <c r="E7" s="11">
        <f t="shared" si="0"/>
        <v>0.95567162500000002</v>
      </c>
      <c r="F7" s="11">
        <f t="shared" si="0"/>
        <v>0.94133655062499999</v>
      </c>
      <c r="G7" s="11">
        <f t="shared" si="0"/>
        <v>0.92721650236562503</v>
      </c>
      <c r="H7" s="11">
        <f t="shared" si="0"/>
        <v>0.91330825483014066</v>
      </c>
      <c r="I7" s="11">
        <f t="shared" si="0"/>
        <v>0.89960863100768851</v>
      </c>
      <c r="J7" s="11">
        <f t="shared" si="0"/>
        <v>0.88611450154257321</v>
      </c>
      <c r="K7" s="11">
        <f t="shared" si="0"/>
        <v>0.87282278401943458</v>
      </c>
      <c r="L7" s="11">
        <f t="shared" si="0"/>
        <v>0.85973044225914308</v>
      </c>
      <c r="M7" s="11">
        <f t="shared" si="0"/>
        <v>0.84683448562525598</v>
      </c>
      <c r="N7" s="11">
        <f t="shared" si="0"/>
        <v>0.83413196834087711</v>
      </c>
      <c r="O7" s="11">
        <f t="shared" si="0"/>
        <v>0.82161998881576392</v>
      </c>
      <c r="P7" s="11">
        <f t="shared" si="0"/>
        <v>0.80929568898352744</v>
      </c>
      <c r="Q7" s="11">
        <f t="shared" si="0"/>
        <v>0.79715625364877452</v>
      </c>
      <c r="R7" s="11">
        <f t="shared" si="0"/>
        <v>0.78519890984404295</v>
      </c>
      <c r="S7" s="11">
        <f t="shared" si="0"/>
        <v>0.77342092619638225</v>
      </c>
      <c r="T7" s="11">
        <f t="shared" si="0"/>
        <v>0.76181961230343653</v>
      </c>
      <c r="U7" s="11">
        <f t="shared" si="0"/>
        <v>0.75039231811888496</v>
      </c>
      <c r="V7" s="11">
        <f t="shared" si="0"/>
        <v>0.73913643334710166</v>
      </c>
      <c r="W7" s="11">
        <f t="shared" si="0"/>
        <v>0.72804938684689513</v>
      </c>
      <c r="X7" s="11">
        <f t="shared" si="0"/>
        <v>0.71712864604419169</v>
      </c>
      <c r="Y7" s="11">
        <f t="shared" si="0"/>
        <v>0.7063717163535288</v>
      </c>
      <c r="Z7" s="11">
        <f t="shared" si="0"/>
        <v>0.6957761406082259</v>
      </c>
      <c r="AA7" s="11">
        <f t="shared" si="0"/>
        <v>0.68533949849910247</v>
      </c>
      <c r="AB7" s="11">
        <f t="shared" si="0"/>
        <v>0.67505940602161596</v>
      </c>
      <c r="AC7" s="11">
        <f t="shared" si="0"/>
        <v>0.66493351493129171</v>
      </c>
      <c r="AD7" s="11">
        <f t="shared" si="0"/>
        <v>0.65495951220732229</v>
      </c>
      <c r="AE7" s="11">
        <f t="shared" si="0"/>
        <v>0.64513511952421243</v>
      </c>
      <c r="AF7" s="11">
        <f t="shared" si="0"/>
        <v>0.63545809273134923</v>
      </c>
      <c r="AG7" s="11">
        <f t="shared" si="0"/>
        <v>0.62592622134037901</v>
      </c>
    </row>
    <row r="8" spans="1:33" x14ac:dyDescent="0.3">
      <c r="A8" s="2" t="s">
        <v>6</v>
      </c>
      <c r="B8" s="11">
        <v>1</v>
      </c>
      <c r="C8" s="11">
        <f t="shared" si="1"/>
        <v>0.98499999999999999</v>
      </c>
      <c r="D8" s="11">
        <f t="shared" si="0"/>
        <v>0.970225</v>
      </c>
      <c r="E8" s="11">
        <f t="shared" si="0"/>
        <v>0.95567162500000002</v>
      </c>
      <c r="F8" s="11">
        <f t="shared" si="0"/>
        <v>0.94133655062499999</v>
      </c>
      <c r="G8" s="11">
        <f t="shared" si="0"/>
        <v>0.92721650236562503</v>
      </c>
      <c r="H8" s="11">
        <f t="shared" si="0"/>
        <v>0.91330825483014066</v>
      </c>
      <c r="I8" s="11">
        <f t="shared" si="0"/>
        <v>0.89960863100768851</v>
      </c>
      <c r="J8" s="11">
        <f t="shared" si="0"/>
        <v>0.88611450154257321</v>
      </c>
      <c r="K8" s="11">
        <f t="shared" si="0"/>
        <v>0.87282278401943458</v>
      </c>
      <c r="L8" s="11">
        <f t="shared" si="0"/>
        <v>0.85973044225914308</v>
      </c>
      <c r="M8" s="11">
        <f t="shared" si="0"/>
        <v>0.84683448562525598</v>
      </c>
      <c r="N8" s="11">
        <f t="shared" si="0"/>
        <v>0.83413196834087711</v>
      </c>
      <c r="O8" s="11">
        <f t="shared" si="0"/>
        <v>0.82161998881576392</v>
      </c>
      <c r="P8" s="11">
        <f t="shared" si="0"/>
        <v>0.80929568898352744</v>
      </c>
      <c r="Q8" s="11">
        <f t="shared" si="0"/>
        <v>0.79715625364877452</v>
      </c>
      <c r="R8" s="11">
        <f t="shared" si="0"/>
        <v>0.78519890984404295</v>
      </c>
      <c r="S8" s="11">
        <f t="shared" si="0"/>
        <v>0.77342092619638225</v>
      </c>
      <c r="T8" s="11">
        <f t="shared" si="0"/>
        <v>0.76181961230343653</v>
      </c>
      <c r="U8" s="11">
        <f t="shared" si="0"/>
        <v>0.75039231811888496</v>
      </c>
      <c r="V8" s="11">
        <f t="shared" si="0"/>
        <v>0.73913643334710166</v>
      </c>
      <c r="W8" s="11">
        <f t="shared" si="0"/>
        <v>0.72804938684689513</v>
      </c>
      <c r="X8" s="11">
        <f t="shared" si="0"/>
        <v>0.71712864604419169</v>
      </c>
      <c r="Y8" s="11">
        <f t="shared" si="0"/>
        <v>0.7063717163535288</v>
      </c>
      <c r="Z8" s="11">
        <f t="shared" si="0"/>
        <v>0.6957761406082259</v>
      </c>
      <c r="AA8" s="11">
        <f t="shared" si="0"/>
        <v>0.68533949849910247</v>
      </c>
      <c r="AB8" s="11">
        <f t="shared" si="0"/>
        <v>0.67505940602161596</v>
      </c>
      <c r="AC8" s="11">
        <f t="shared" si="0"/>
        <v>0.66493351493129171</v>
      </c>
      <c r="AD8" s="11">
        <f t="shared" si="0"/>
        <v>0.65495951220732229</v>
      </c>
      <c r="AE8" s="11">
        <f t="shared" si="0"/>
        <v>0.64513511952421243</v>
      </c>
      <c r="AF8" s="11">
        <f t="shared" si="0"/>
        <v>0.63545809273134923</v>
      </c>
      <c r="AG8" s="11">
        <f t="shared" si="0"/>
        <v>0.62592622134037901</v>
      </c>
    </row>
    <row r="9" spans="1:33" x14ac:dyDescent="0.3">
      <c r="A9" s="2" t="s">
        <v>7</v>
      </c>
      <c r="B9" s="11">
        <v>1</v>
      </c>
      <c r="C9" s="11">
        <f t="shared" si="1"/>
        <v>0.98499999999999999</v>
      </c>
      <c r="D9" s="11">
        <f t="shared" si="0"/>
        <v>0.970225</v>
      </c>
      <c r="E9" s="11">
        <f t="shared" si="0"/>
        <v>0.95567162500000002</v>
      </c>
      <c r="F9" s="11">
        <f t="shared" si="0"/>
        <v>0.94133655062499999</v>
      </c>
      <c r="G9" s="11">
        <f t="shared" si="0"/>
        <v>0.92721650236562503</v>
      </c>
      <c r="H9" s="11">
        <f t="shared" si="0"/>
        <v>0.91330825483014066</v>
      </c>
      <c r="I9" s="11">
        <f t="shared" si="0"/>
        <v>0.89960863100768851</v>
      </c>
      <c r="J9" s="11">
        <f t="shared" si="0"/>
        <v>0.88611450154257321</v>
      </c>
      <c r="K9" s="11">
        <f t="shared" si="0"/>
        <v>0.87282278401943458</v>
      </c>
      <c r="L9" s="11">
        <f t="shared" si="0"/>
        <v>0.85973044225914308</v>
      </c>
      <c r="M9" s="11">
        <f t="shared" si="0"/>
        <v>0.84683448562525598</v>
      </c>
      <c r="N9" s="11">
        <f t="shared" si="0"/>
        <v>0.83413196834087711</v>
      </c>
      <c r="O9" s="11">
        <f t="shared" si="0"/>
        <v>0.82161998881576392</v>
      </c>
      <c r="P9" s="11">
        <f t="shared" si="0"/>
        <v>0.80929568898352744</v>
      </c>
      <c r="Q9" s="11">
        <f t="shared" si="0"/>
        <v>0.79715625364877452</v>
      </c>
      <c r="R9" s="11">
        <f t="shared" si="0"/>
        <v>0.78519890984404295</v>
      </c>
      <c r="S9" s="11">
        <f t="shared" si="0"/>
        <v>0.77342092619638225</v>
      </c>
      <c r="T9" s="11">
        <f t="shared" si="0"/>
        <v>0.76181961230343653</v>
      </c>
      <c r="U9" s="11">
        <f t="shared" si="0"/>
        <v>0.75039231811888496</v>
      </c>
      <c r="V9" s="11">
        <f t="shared" si="0"/>
        <v>0.73913643334710166</v>
      </c>
      <c r="W9" s="11">
        <f t="shared" si="0"/>
        <v>0.72804938684689513</v>
      </c>
      <c r="X9" s="11">
        <f t="shared" si="0"/>
        <v>0.71712864604419169</v>
      </c>
      <c r="Y9" s="11">
        <f t="shared" si="0"/>
        <v>0.7063717163535288</v>
      </c>
      <c r="Z9" s="11">
        <f t="shared" si="0"/>
        <v>0.6957761406082259</v>
      </c>
      <c r="AA9" s="11">
        <f t="shared" si="0"/>
        <v>0.68533949849910247</v>
      </c>
      <c r="AB9" s="11">
        <f t="shared" si="0"/>
        <v>0.67505940602161596</v>
      </c>
      <c r="AC9" s="11">
        <f t="shared" si="0"/>
        <v>0.66493351493129171</v>
      </c>
      <c r="AD9" s="11">
        <f t="shared" si="0"/>
        <v>0.65495951220732229</v>
      </c>
      <c r="AE9" s="11">
        <f t="shared" si="0"/>
        <v>0.64513511952421243</v>
      </c>
      <c r="AF9" s="11">
        <f t="shared" si="0"/>
        <v>0.63545809273134923</v>
      </c>
      <c r="AG9" s="11">
        <f t="shared" si="0"/>
        <v>0.62592622134037901</v>
      </c>
    </row>
    <row r="10" spans="1:33" x14ac:dyDescent="0.3">
      <c r="A10" s="2" t="s">
        <v>8</v>
      </c>
      <c r="B10" s="11">
        <v>1</v>
      </c>
      <c r="C10" s="11">
        <f t="shared" si="1"/>
        <v>0.98499999999999999</v>
      </c>
      <c r="D10" s="11">
        <f t="shared" si="0"/>
        <v>0.970225</v>
      </c>
      <c r="E10" s="11">
        <f t="shared" si="0"/>
        <v>0.95567162500000002</v>
      </c>
      <c r="F10" s="11">
        <f t="shared" si="0"/>
        <v>0.94133655062499999</v>
      </c>
      <c r="G10" s="11">
        <f t="shared" si="0"/>
        <v>0.92721650236562503</v>
      </c>
      <c r="H10" s="11">
        <f t="shared" si="0"/>
        <v>0.91330825483014066</v>
      </c>
      <c r="I10" s="11">
        <f t="shared" si="0"/>
        <v>0.89960863100768851</v>
      </c>
      <c r="J10" s="11">
        <f t="shared" si="0"/>
        <v>0.88611450154257321</v>
      </c>
      <c r="K10" s="11">
        <f t="shared" si="0"/>
        <v>0.87282278401943458</v>
      </c>
      <c r="L10" s="11">
        <f t="shared" si="0"/>
        <v>0.85973044225914308</v>
      </c>
      <c r="M10" s="11">
        <f t="shared" si="0"/>
        <v>0.84683448562525598</v>
      </c>
      <c r="N10" s="11">
        <f t="shared" si="0"/>
        <v>0.83413196834087711</v>
      </c>
      <c r="O10" s="11">
        <f t="shared" si="0"/>
        <v>0.82161998881576392</v>
      </c>
      <c r="P10" s="11">
        <f t="shared" si="0"/>
        <v>0.80929568898352744</v>
      </c>
      <c r="Q10" s="11">
        <f t="shared" si="0"/>
        <v>0.79715625364877452</v>
      </c>
      <c r="R10" s="11">
        <f t="shared" si="0"/>
        <v>0.78519890984404295</v>
      </c>
      <c r="S10" s="11">
        <f t="shared" si="0"/>
        <v>0.77342092619638225</v>
      </c>
      <c r="T10" s="11">
        <f t="shared" si="0"/>
        <v>0.76181961230343653</v>
      </c>
      <c r="U10" s="11">
        <f t="shared" si="0"/>
        <v>0.75039231811888496</v>
      </c>
      <c r="V10" s="11">
        <f t="shared" si="0"/>
        <v>0.73913643334710166</v>
      </c>
      <c r="W10" s="11">
        <f t="shared" si="0"/>
        <v>0.72804938684689513</v>
      </c>
      <c r="X10" s="11">
        <f t="shared" si="0"/>
        <v>0.71712864604419169</v>
      </c>
      <c r="Y10" s="11">
        <f t="shared" si="0"/>
        <v>0.7063717163535288</v>
      </c>
      <c r="Z10" s="11">
        <f t="shared" si="0"/>
        <v>0.6957761406082259</v>
      </c>
      <c r="AA10" s="11">
        <f t="shared" si="0"/>
        <v>0.68533949849910247</v>
      </c>
      <c r="AB10" s="11">
        <f t="shared" si="0"/>
        <v>0.67505940602161596</v>
      </c>
      <c r="AC10" s="11">
        <f t="shared" si="0"/>
        <v>0.66493351493129171</v>
      </c>
      <c r="AD10" s="11">
        <f t="shared" si="0"/>
        <v>0.65495951220732229</v>
      </c>
      <c r="AE10" s="11">
        <f t="shared" si="0"/>
        <v>0.64513511952421243</v>
      </c>
      <c r="AF10" s="11">
        <f t="shared" si="0"/>
        <v>0.63545809273134923</v>
      </c>
      <c r="AG10" s="11">
        <f t="shared" si="0"/>
        <v>0.62592622134037901</v>
      </c>
    </row>
    <row r="11" spans="1:33" x14ac:dyDescent="0.3">
      <c r="A11" s="2" t="s">
        <v>9</v>
      </c>
      <c r="B11" s="11">
        <v>1</v>
      </c>
      <c r="C11" s="11">
        <f t="shared" si="1"/>
        <v>0.98499999999999999</v>
      </c>
      <c r="D11" s="11">
        <f t="shared" ref="D11:AG18" si="2">C11-C11*0.015</f>
        <v>0.970225</v>
      </c>
      <c r="E11" s="11">
        <f t="shared" si="2"/>
        <v>0.95567162500000002</v>
      </c>
      <c r="F11" s="11">
        <f t="shared" si="2"/>
        <v>0.94133655062499999</v>
      </c>
      <c r="G11" s="11">
        <f t="shared" si="2"/>
        <v>0.92721650236562503</v>
      </c>
      <c r="H11" s="11">
        <f t="shared" si="2"/>
        <v>0.91330825483014066</v>
      </c>
      <c r="I11" s="11">
        <f t="shared" si="2"/>
        <v>0.89960863100768851</v>
      </c>
      <c r="J11" s="11">
        <f t="shared" si="2"/>
        <v>0.88611450154257321</v>
      </c>
      <c r="K11" s="11">
        <f t="shared" si="2"/>
        <v>0.87282278401943458</v>
      </c>
      <c r="L11" s="11">
        <f t="shared" si="2"/>
        <v>0.85973044225914308</v>
      </c>
      <c r="M11" s="11">
        <f t="shared" si="2"/>
        <v>0.84683448562525598</v>
      </c>
      <c r="N11" s="11">
        <f t="shared" si="2"/>
        <v>0.83413196834087711</v>
      </c>
      <c r="O11" s="11">
        <f t="shared" si="2"/>
        <v>0.82161998881576392</v>
      </c>
      <c r="P11" s="11">
        <f t="shared" si="2"/>
        <v>0.80929568898352744</v>
      </c>
      <c r="Q11" s="11">
        <f t="shared" si="2"/>
        <v>0.79715625364877452</v>
      </c>
      <c r="R11" s="11">
        <f t="shared" si="2"/>
        <v>0.78519890984404295</v>
      </c>
      <c r="S11" s="11">
        <f t="shared" si="2"/>
        <v>0.77342092619638225</v>
      </c>
      <c r="T11" s="11">
        <f t="shared" si="2"/>
        <v>0.76181961230343653</v>
      </c>
      <c r="U11" s="11">
        <f t="shared" si="2"/>
        <v>0.75039231811888496</v>
      </c>
      <c r="V11" s="11">
        <f t="shared" si="2"/>
        <v>0.73913643334710166</v>
      </c>
      <c r="W11" s="11">
        <f t="shared" si="2"/>
        <v>0.72804938684689513</v>
      </c>
      <c r="X11" s="11">
        <f t="shared" si="2"/>
        <v>0.71712864604419169</v>
      </c>
      <c r="Y11" s="11">
        <f t="shared" si="2"/>
        <v>0.7063717163535288</v>
      </c>
      <c r="Z11" s="11">
        <f t="shared" si="2"/>
        <v>0.6957761406082259</v>
      </c>
      <c r="AA11" s="11">
        <f t="shared" si="2"/>
        <v>0.68533949849910247</v>
      </c>
      <c r="AB11" s="11">
        <f t="shared" si="2"/>
        <v>0.67505940602161596</v>
      </c>
      <c r="AC11" s="11">
        <f t="shared" si="2"/>
        <v>0.66493351493129171</v>
      </c>
      <c r="AD11" s="11">
        <f t="shared" si="2"/>
        <v>0.65495951220732229</v>
      </c>
      <c r="AE11" s="11">
        <f t="shared" si="2"/>
        <v>0.64513511952421243</v>
      </c>
      <c r="AF11" s="11">
        <f t="shared" si="2"/>
        <v>0.63545809273134923</v>
      </c>
      <c r="AG11" s="11">
        <f t="shared" si="2"/>
        <v>0.62592622134037901</v>
      </c>
    </row>
    <row r="12" spans="1:33" x14ac:dyDescent="0.3">
      <c r="A12" s="2" t="s">
        <v>10</v>
      </c>
      <c r="B12" s="11">
        <v>1</v>
      </c>
      <c r="C12" s="11">
        <f t="shared" si="1"/>
        <v>0.98499999999999999</v>
      </c>
      <c r="D12" s="11">
        <f t="shared" si="2"/>
        <v>0.970225</v>
      </c>
      <c r="E12" s="11">
        <f t="shared" si="2"/>
        <v>0.95567162500000002</v>
      </c>
      <c r="F12" s="11">
        <f t="shared" si="2"/>
        <v>0.94133655062499999</v>
      </c>
      <c r="G12" s="11">
        <f t="shared" si="2"/>
        <v>0.92721650236562503</v>
      </c>
      <c r="H12" s="11">
        <f t="shared" si="2"/>
        <v>0.91330825483014066</v>
      </c>
      <c r="I12" s="11">
        <f t="shared" si="2"/>
        <v>0.89960863100768851</v>
      </c>
      <c r="J12" s="11">
        <f t="shared" si="2"/>
        <v>0.88611450154257321</v>
      </c>
      <c r="K12" s="11">
        <f t="shared" si="2"/>
        <v>0.87282278401943458</v>
      </c>
      <c r="L12" s="11">
        <f t="shared" si="2"/>
        <v>0.85973044225914308</v>
      </c>
      <c r="M12" s="11">
        <f t="shared" si="2"/>
        <v>0.84683448562525598</v>
      </c>
      <c r="N12" s="11">
        <f t="shared" si="2"/>
        <v>0.83413196834087711</v>
      </c>
      <c r="O12" s="11">
        <f t="shared" si="2"/>
        <v>0.82161998881576392</v>
      </c>
      <c r="P12" s="11">
        <f t="shared" si="2"/>
        <v>0.80929568898352744</v>
      </c>
      <c r="Q12" s="11">
        <f t="shared" si="2"/>
        <v>0.79715625364877452</v>
      </c>
      <c r="R12" s="11">
        <f t="shared" si="2"/>
        <v>0.78519890984404295</v>
      </c>
      <c r="S12" s="11">
        <f t="shared" si="2"/>
        <v>0.77342092619638225</v>
      </c>
      <c r="T12" s="11">
        <f t="shared" si="2"/>
        <v>0.76181961230343653</v>
      </c>
      <c r="U12" s="11">
        <f t="shared" si="2"/>
        <v>0.75039231811888496</v>
      </c>
      <c r="V12" s="11">
        <f t="shared" si="2"/>
        <v>0.73913643334710166</v>
      </c>
      <c r="W12" s="11">
        <f t="shared" si="2"/>
        <v>0.72804938684689513</v>
      </c>
      <c r="X12" s="11">
        <f t="shared" si="2"/>
        <v>0.71712864604419169</v>
      </c>
      <c r="Y12" s="11">
        <f t="shared" si="2"/>
        <v>0.7063717163535288</v>
      </c>
      <c r="Z12" s="11">
        <f t="shared" si="2"/>
        <v>0.6957761406082259</v>
      </c>
      <c r="AA12" s="11">
        <f t="shared" si="2"/>
        <v>0.68533949849910247</v>
      </c>
      <c r="AB12" s="11">
        <f t="shared" si="2"/>
        <v>0.67505940602161596</v>
      </c>
      <c r="AC12" s="11">
        <f t="shared" si="2"/>
        <v>0.66493351493129171</v>
      </c>
      <c r="AD12" s="11">
        <f t="shared" si="2"/>
        <v>0.65495951220732229</v>
      </c>
      <c r="AE12" s="11">
        <f t="shared" si="2"/>
        <v>0.64513511952421243</v>
      </c>
      <c r="AF12" s="11">
        <f t="shared" si="2"/>
        <v>0.63545809273134923</v>
      </c>
      <c r="AG12" s="11">
        <f t="shared" si="2"/>
        <v>0.62592622134037901</v>
      </c>
    </row>
    <row r="13" spans="1:33" x14ac:dyDescent="0.3">
      <c r="A13" s="2" t="s">
        <v>11</v>
      </c>
      <c r="B13" s="11">
        <v>1</v>
      </c>
      <c r="C13" s="11">
        <f t="shared" si="1"/>
        <v>0.98499999999999999</v>
      </c>
      <c r="D13" s="11">
        <f t="shared" si="2"/>
        <v>0.970225</v>
      </c>
      <c r="E13" s="11">
        <f t="shared" si="2"/>
        <v>0.95567162500000002</v>
      </c>
      <c r="F13" s="11">
        <f t="shared" si="2"/>
        <v>0.94133655062499999</v>
      </c>
      <c r="G13" s="11">
        <f t="shared" si="2"/>
        <v>0.92721650236562503</v>
      </c>
      <c r="H13" s="11">
        <f t="shared" si="2"/>
        <v>0.91330825483014066</v>
      </c>
      <c r="I13" s="11">
        <f t="shared" si="2"/>
        <v>0.89960863100768851</v>
      </c>
      <c r="J13" s="11">
        <f t="shared" si="2"/>
        <v>0.88611450154257321</v>
      </c>
      <c r="K13" s="11">
        <f t="shared" si="2"/>
        <v>0.87282278401943458</v>
      </c>
      <c r="L13" s="11">
        <f t="shared" si="2"/>
        <v>0.85973044225914308</v>
      </c>
      <c r="M13" s="11">
        <f t="shared" si="2"/>
        <v>0.84683448562525598</v>
      </c>
      <c r="N13" s="11">
        <f t="shared" si="2"/>
        <v>0.83413196834087711</v>
      </c>
      <c r="O13" s="11">
        <f t="shared" si="2"/>
        <v>0.82161998881576392</v>
      </c>
      <c r="P13" s="11">
        <f t="shared" si="2"/>
        <v>0.80929568898352744</v>
      </c>
      <c r="Q13" s="11">
        <f t="shared" si="2"/>
        <v>0.79715625364877452</v>
      </c>
      <c r="R13" s="11">
        <f t="shared" si="2"/>
        <v>0.78519890984404295</v>
      </c>
      <c r="S13" s="11">
        <f t="shared" si="2"/>
        <v>0.77342092619638225</v>
      </c>
      <c r="T13" s="11">
        <f t="shared" si="2"/>
        <v>0.76181961230343653</v>
      </c>
      <c r="U13" s="11">
        <f t="shared" si="2"/>
        <v>0.75039231811888496</v>
      </c>
      <c r="V13" s="11">
        <f t="shared" si="2"/>
        <v>0.73913643334710166</v>
      </c>
      <c r="W13" s="11">
        <f t="shared" si="2"/>
        <v>0.72804938684689513</v>
      </c>
      <c r="X13" s="11">
        <f t="shared" si="2"/>
        <v>0.71712864604419169</v>
      </c>
      <c r="Y13" s="11">
        <f t="shared" si="2"/>
        <v>0.7063717163535288</v>
      </c>
      <c r="Z13" s="11">
        <f t="shared" si="2"/>
        <v>0.6957761406082259</v>
      </c>
      <c r="AA13" s="11">
        <f t="shared" si="2"/>
        <v>0.68533949849910247</v>
      </c>
      <c r="AB13" s="11">
        <f t="shared" si="2"/>
        <v>0.67505940602161596</v>
      </c>
      <c r="AC13" s="11">
        <f t="shared" si="2"/>
        <v>0.66493351493129171</v>
      </c>
      <c r="AD13" s="11">
        <f t="shared" si="2"/>
        <v>0.65495951220732229</v>
      </c>
      <c r="AE13" s="11">
        <f t="shared" si="2"/>
        <v>0.64513511952421243</v>
      </c>
      <c r="AF13" s="11">
        <f t="shared" si="2"/>
        <v>0.63545809273134923</v>
      </c>
      <c r="AG13" s="11">
        <f t="shared" si="2"/>
        <v>0.62592622134037901</v>
      </c>
    </row>
    <row r="14" spans="1:33" x14ac:dyDescent="0.3">
      <c r="A14" s="2" t="s">
        <v>12</v>
      </c>
      <c r="B14" s="11">
        <v>1</v>
      </c>
      <c r="C14" s="11">
        <f t="shared" si="1"/>
        <v>0.98499999999999999</v>
      </c>
      <c r="D14" s="11">
        <f t="shared" si="2"/>
        <v>0.970225</v>
      </c>
      <c r="E14" s="11">
        <f t="shared" si="2"/>
        <v>0.95567162500000002</v>
      </c>
      <c r="F14" s="11">
        <f t="shared" si="2"/>
        <v>0.94133655062499999</v>
      </c>
      <c r="G14" s="11">
        <f t="shared" si="2"/>
        <v>0.92721650236562503</v>
      </c>
      <c r="H14" s="11">
        <f t="shared" si="2"/>
        <v>0.91330825483014066</v>
      </c>
      <c r="I14" s="11">
        <f t="shared" si="2"/>
        <v>0.89960863100768851</v>
      </c>
      <c r="J14" s="11">
        <f t="shared" si="2"/>
        <v>0.88611450154257321</v>
      </c>
      <c r="K14" s="11">
        <f t="shared" si="2"/>
        <v>0.87282278401943458</v>
      </c>
      <c r="L14" s="11">
        <f t="shared" si="2"/>
        <v>0.85973044225914308</v>
      </c>
      <c r="M14" s="11">
        <f t="shared" si="2"/>
        <v>0.84683448562525598</v>
      </c>
      <c r="N14" s="11">
        <f t="shared" si="2"/>
        <v>0.83413196834087711</v>
      </c>
      <c r="O14" s="11">
        <f t="shared" si="2"/>
        <v>0.82161998881576392</v>
      </c>
      <c r="P14" s="11">
        <f t="shared" si="2"/>
        <v>0.80929568898352744</v>
      </c>
      <c r="Q14" s="11">
        <f t="shared" si="2"/>
        <v>0.79715625364877452</v>
      </c>
      <c r="R14" s="11">
        <f t="shared" si="2"/>
        <v>0.78519890984404295</v>
      </c>
      <c r="S14" s="11">
        <f t="shared" si="2"/>
        <v>0.77342092619638225</v>
      </c>
      <c r="T14" s="11">
        <f t="shared" si="2"/>
        <v>0.76181961230343653</v>
      </c>
      <c r="U14" s="11">
        <f t="shared" si="2"/>
        <v>0.75039231811888496</v>
      </c>
      <c r="V14" s="11">
        <f t="shared" si="2"/>
        <v>0.73913643334710166</v>
      </c>
      <c r="W14" s="11">
        <f t="shared" si="2"/>
        <v>0.72804938684689513</v>
      </c>
      <c r="X14" s="11">
        <f t="shared" si="2"/>
        <v>0.71712864604419169</v>
      </c>
      <c r="Y14" s="11">
        <f t="shared" si="2"/>
        <v>0.7063717163535288</v>
      </c>
      <c r="Z14" s="11">
        <f t="shared" si="2"/>
        <v>0.6957761406082259</v>
      </c>
      <c r="AA14" s="11">
        <f t="shared" si="2"/>
        <v>0.68533949849910247</v>
      </c>
      <c r="AB14" s="11">
        <f t="shared" si="2"/>
        <v>0.67505940602161596</v>
      </c>
      <c r="AC14" s="11">
        <f t="shared" si="2"/>
        <v>0.66493351493129171</v>
      </c>
      <c r="AD14" s="11">
        <f t="shared" si="2"/>
        <v>0.65495951220732229</v>
      </c>
      <c r="AE14" s="11">
        <f t="shared" si="2"/>
        <v>0.64513511952421243</v>
      </c>
      <c r="AF14" s="11">
        <f t="shared" si="2"/>
        <v>0.63545809273134923</v>
      </c>
      <c r="AG14" s="11">
        <f t="shared" si="2"/>
        <v>0.62592622134037901</v>
      </c>
    </row>
    <row r="15" spans="1:33" x14ac:dyDescent="0.3">
      <c r="A15" s="2" t="s">
        <v>13</v>
      </c>
      <c r="B15" s="11">
        <v>1</v>
      </c>
      <c r="C15" s="11">
        <f t="shared" si="1"/>
        <v>0.98499999999999999</v>
      </c>
      <c r="D15" s="11">
        <f t="shared" si="2"/>
        <v>0.970225</v>
      </c>
      <c r="E15" s="11">
        <f t="shared" si="2"/>
        <v>0.95567162500000002</v>
      </c>
      <c r="F15" s="11">
        <f t="shared" si="2"/>
        <v>0.94133655062499999</v>
      </c>
      <c r="G15" s="11">
        <f t="shared" si="2"/>
        <v>0.92721650236562503</v>
      </c>
      <c r="H15" s="11">
        <f t="shared" si="2"/>
        <v>0.91330825483014066</v>
      </c>
      <c r="I15" s="11">
        <f t="shared" si="2"/>
        <v>0.89960863100768851</v>
      </c>
      <c r="J15" s="11">
        <f t="shared" si="2"/>
        <v>0.88611450154257321</v>
      </c>
      <c r="K15" s="11">
        <f t="shared" si="2"/>
        <v>0.87282278401943458</v>
      </c>
      <c r="L15" s="11">
        <f t="shared" si="2"/>
        <v>0.85973044225914308</v>
      </c>
      <c r="M15" s="11">
        <f t="shared" si="2"/>
        <v>0.84683448562525598</v>
      </c>
      <c r="N15" s="11">
        <f t="shared" si="2"/>
        <v>0.83413196834087711</v>
      </c>
      <c r="O15" s="11">
        <f t="shared" si="2"/>
        <v>0.82161998881576392</v>
      </c>
      <c r="P15" s="11">
        <f t="shared" si="2"/>
        <v>0.80929568898352744</v>
      </c>
      <c r="Q15" s="11">
        <f t="shared" si="2"/>
        <v>0.79715625364877452</v>
      </c>
      <c r="R15" s="11">
        <f t="shared" si="2"/>
        <v>0.78519890984404295</v>
      </c>
      <c r="S15" s="11">
        <f t="shared" si="2"/>
        <v>0.77342092619638225</v>
      </c>
      <c r="T15" s="11">
        <f t="shared" si="2"/>
        <v>0.76181961230343653</v>
      </c>
      <c r="U15" s="11">
        <f t="shared" si="2"/>
        <v>0.75039231811888496</v>
      </c>
      <c r="V15" s="11">
        <f t="shared" si="2"/>
        <v>0.73913643334710166</v>
      </c>
      <c r="W15" s="11">
        <f t="shared" si="2"/>
        <v>0.72804938684689513</v>
      </c>
      <c r="X15" s="11">
        <f t="shared" si="2"/>
        <v>0.71712864604419169</v>
      </c>
      <c r="Y15" s="11">
        <f t="shared" si="2"/>
        <v>0.7063717163535288</v>
      </c>
      <c r="Z15" s="11">
        <f t="shared" si="2"/>
        <v>0.6957761406082259</v>
      </c>
      <c r="AA15" s="11">
        <f t="shared" si="2"/>
        <v>0.68533949849910247</v>
      </c>
      <c r="AB15" s="11">
        <f t="shared" si="2"/>
        <v>0.67505940602161596</v>
      </c>
      <c r="AC15" s="11">
        <f t="shared" si="2"/>
        <v>0.66493351493129171</v>
      </c>
      <c r="AD15" s="11">
        <f t="shared" si="2"/>
        <v>0.65495951220732229</v>
      </c>
      <c r="AE15" s="11">
        <f t="shared" si="2"/>
        <v>0.64513511952421243</v>
      </c>
      <c r="AF15" s="11">
        <f t="shared" si="2"/>
        <v>0.63545809273134923</v>
      </c>
      <c r="AG15" s="11">
        <f t="shared" si="2"/>
        <v>0.62592622134037901</v>
      </c>
    </row>
    <row r="16" spans="1:33" x14ac:dyDescent="0.3">
      <c r="A16" s="2" t="s">
        <v>14</v>
      </c>
      <c r="B16" s="11">
        <v>1</v>
      </c>
      <c r="C16" s="11">
        <f t="shared" si="1"/>
        <v>0.98499999999999999</v>
      </c>
      <c r="D16" s="11">
        <f t="shared" si="2"/>
        <v>0.970225</v>
      </c>
      <c r="E16" s="11">
        <f t="shared" si="2"/>
        <v>0.95567162500000002</v>
      </c>
      <c r="F16" s="11">
        <f t="shared" si="2"/>
        <v>0.94133655062499999</v>
      </c>
      <c r="G16" s="11">
        <f t="shared" si="2"/>
        <v>0.92721650236562503</v>
      </c>
      <c r="H16" s="11">
        <f t="shared" si="2"/>
        <v>0.91330825483014066</v>
      </c>
      <c r="I16" s="11">
        <f t="shared" si="2"/>
        <v>0.89960863100768851</v>
      </c>
      <c r="J16" s="11">
        <f t="shared" si="2"/>
        <v>0.88611450154257321</v>
      </c>
      <c r="K16" s="11">
        <f t="shared" si="2"/>
        <v>0.87282278401943458</v>
      </c>
      <c r="L16" s="11">
        <f t="shared" si="2"/>
        <v>0.85973044225914308</v>
      </c>
      <c r="M16" s="11">
        <f t="shared" si="2"/>
        <v>0.84683448562525598</v>
      </c>
      <c r="N16" s="11">
        <f t="shared" si="2"/>
        <v>0.83413196834087711</v>
      </c>
      <c r="O16" s="11">
        <f t="shared" si="2"/>
        <v>0.82161998881576392</v>
      </c>
      <c r="P16" s="11">
        <f t="shared" si="2"/>
        <v>0.80929568898352744</v>
      </c>
      <c r="Q16" s="11">
        <f t="shared" si="2"/>
        <v>0.79715625364877452</v>
      </c>
      <c r="R16" s="11">
        <f t="shared" si="2"/>
        <v>0.78519890984404295</v>
      </c>
      <c r="S16" s="11">
        <f t="shared" si="2"/>
        <v>0.77342092619638225</v>
      </c>
      <c r="T16" s="11">
        <f t="shared" si="2"/>
        <v>0.76181961230343653</v>
      </c>
      <c r="U16" s="11">
        <f t="shared" si="2"/>
        <v>0.75039231811888496</v>
      </c>
      <c r="V16" s="11">
        <f t="shared" si="2"/>
        <v>0.73913643334710166</v>
      </c>
      <c r="W16" s="11">
        <f t="shared" si="2"/>
        <v>0.72804938684689513</v>
      </c>
      <c r="X16" s="11">
        <f t="shared" si="2"/>
        <v>0.71712864604419169</v>
      </c>
      <c r="Y16" s="11">
        <f t="shared" si="2"/>
        <v>0.7063717163535288</v>
      </c>
      <c r="Z16" s="11">
        <f t="shared" si="2"/>
        <v>0.6957761406082259</v>
      </c>
      <c r="AA16" s="11">
        <f t="shared" si="2"/>
        <v>0.68533949849910247</v>
      </c>
      <c r="AB16" s="11">
        <f t="shared" si="2"/>
        <v>0.67505940602161596</v>
      </c>
      <c r="AC16" s="11">
        <f t="shared" si="2"/>
        <v>0.66493351493129171</v>
      </c>
      <c r="AD16" s="11">
        <f t="shared" si="2"/>
        <v>0.65495951220732229</v>
      </c>
      <c r="AE16" s="11">
        <f t="shared" si="2"/>
        <v>0.64513511952421243</v>
      </c>
      <c r="AF16" s="11">
        <f t="shared" si="2"/>
        <v>0.63545809273134923</v>
      </c>
      <c r="AG16" s="11">
        <f t="shared" si="2"/>
        <v>0.62592622134037901</v>
      </c>
    </row>
    <row r="17" spans="1:33" x14ac:dyDescent="0.3">
      <c r="A17" s="2" t="s">
        <v>15</v>
      </c>
      <c r="B17" s="11">
        <v>1</v>
      </c>
      <c r="C17" s="11">
        <f t="shared" si="1"/>
        <v>0.98499999999999999</v>
      </c>
      <c r="D17" s="11">
        <f t="shared" si="2"/>
        <v>0.970225</v>
      </c>
      <c r="E17" s="11">
        <f t="shared" si="2"/>
        <v>0.95567162500000002</v>
      </c>
      <c r="F17" s="11">
        <f t="shared" si="2"/>
        <v>0.94133655062499999</v>
      </c>
      <c r="G17" s="11">
        <f t="shared" si="2"/>
        <v>0.92721650236562503</v>
      </c>
      <c r="H17" s="11">
        <f t="shared" si="2"/>
        <v>0.91330825483014066</v>
      </c>
      <c r="I17" s="11">
        <f t="shared" si="2"/>
        <v>0.89960863100768851</v>
      </c>
      <c r="J17" s="11">
        <f t="shared" si="2"/>
        <v>0.88611450154257321</v>
      </c>
      <c r="K17" s="11">
        <f t="shared" si="2"/>
        <v>0.87282278401943458</v>
      </c>
      <c r="L17" s="11">
        <f t="shared" si="2"/>
        <v>0.85973044225914308</v>
      </c>
      <c r="M17" s="11">
        <f t="shared" si="2"/>
        <v>0.84683448562525598</v>
      </c>
      <c r="N17" s="11">
        <f t="shared" si="2"/>
        <v>0.83413196834087711</v>
      </c>
      <c r="O17" s="11">
        <f t="shared" si="2"/>
        <v>0.82161998881576392</v>
      </c>
      <c r="P17" s="11">
        <f t="shared" si="2"/>
        <v>0.80929568898352744</v>
      </c>
      <c r="Q17" s="11">
        <f t="shared" si="2"/>
        <v>0.79715625364877452</v>
      </c>
      <c r="R17" s="11">
        <f t="shared" si="2"/>
        <v>0.78519890984404295</v>
      </c>
      <c r="S17" s="11">
        <f t="shared" si="2"/>
        <v>0.77342092619638225</v>
      </c>
      <c r="T17" s="11">
        <f t="shared" si="2"/>
        <v>0.76181961230343653</v>
      </c>
      <c r="U17" s="11">
        <f t="shared" si="2"/>
        <v>0.75039231811888496</v>
      </c>
      <c r="V17" s="11">
        <f t="shared" si="2"/>
        <v>0.73913643334710166</v>
      </c>
      <c r="W17" s="11">
        <f t="shared" si="2"/>
        <v>0.72804938684689513</v>
      </c>
      <c r="X17" s="11">
        <f t="shared" si="2"/>
        <v>0.71712864604419169</v>
      </c>
      <c r="Y17" s="11">
        <f t="shared" si="2"/>
        <v>0.7063717163535288</v>
      </c>
      <c r="Z17" s="11">
        <f t="shared" si="2"/>
        <v>0.6957761406082259</v>
      </c>
      <c r="AA17" s="11">
        <f t="shared" si="2"/>
        <v>0.68533949849910247</v>
      </c>
      <c r="AB17" s="11">
        <f t="shared" si="2"/>
        <v>0.67505940602161596</v>
      </c>
      <c r="AC17" s="11">
        <f t="shared" si="2"/>
        <v>0.66493351493129171</v>
      </c>
      <c r="AD17" s="11">
        <f t="shared" si="2"/>
        <v>0.65495951220732229</v>
      </c>
      <c r="AE17" s="11">
        <f t="shared" si="2"/>
        <v>0.64513511952421243</v>
      </c>
      <c r="AF17" s="11">
        <f t="shared" si="2"/>
        <v>0.63545809273134923</v>
      </c>
      <c r="AG17" s="11">
        <f t="shared" si="2"/>
        <v>0.62592622134037901</v>
      </c>
    </row>
    <row r="18" spans="1:33" x14ac:dyDescent="0.3">
      <c r="A18" s="2" t="s">
        <v>16</v>
      </c>
      <c r="B18" s="11">
        <v>1</v>
      </c>
      <c r="C18" s="11">
        <f t="shared" si="1"/>
        <v>0.98499999999999999</v>
      </c>
      <c r="D18" s="11">
        <f t="shared" si="2"/>
        <v>0.970225</v>
      </c>
      <c r="E18" s="11">
        <f t="shared" si="2"/>
        <v>0.95567162500000002</v>
      </c>
      <c r="F18" s="11">
        <f t="shared" si="2"/>
        <v>0.94133655062499999</v>
      </c>
      <c r="G18" s="11">
        <f t="shared" si="2"/>
        <v>0.92721650236562503</v>
      </c>
      <c r="H18" s="11">
        <f t="shared" si="2"/>
        <v>0.91330825483014066</v>
      </c>
      <c r="I18" s="11">
        <f t="shared" si="2"/>
        <v>0.89960863100768851</v>
      </c>
      <c r="J18" s="11">
        <f t="shared" si="2"/>
        <v>0.88611450154257321</v>
      </c>
      <c r="K18" s="11">
        <f t="shared" si="2"/>
        <v>0.87282278401943458</v>
      </c>
      <c r="L18" s="11">
        <f t="shared" si="2"/>
        <v>0.85973044225914308</v>
      </c>
      <c r="M18" s="11">
        <f t="shared" si="2"/>
        <v>0.84683448562525598</v>
      </c>
      <c r="N18" s="11">
        <f t="shared" si="2"/>
        <v>0.83413196834087711</v>
      </c>
      <c r="O18" s="11">
        <f t="shared" si="2"/>
        <v>0.82161998881576392</v>
      </c>
      <c r="P18" s="11">
        <f t="shared" si="2"/>
        <v>0.80929568898352744</v>
      </c>
      <c r="Q18" s="11">
        <f t="shared" si="2"/>
        <v>0.79715625364877452</v>
      </c>
      <c r="R18" s="11">
        <f t="shared" si="2"/>
        <v>0.78519890984404295</v>
      </c>
      <c r="S18" s="11">
        <f t="shared" si="2"/>
        <v>0.77342092619638225</v>
      </c>
      <c r="T18" s="11">
        <f t="shared" si="2"/>
        <v>0.76181961230343653</v>
      </c>
      <c r="U18" s="11">
        <f t="shared" si="2"/>
        <v>0.75039231811888496</v>
      </c>
      <c r="V18" s="11">
        <f t="shared" si="2"/>
        <v>0.73913643334710166</v>
      </c>
      <c r="W18" s="11">
        <f t="shared" si="2"/>
        <v>0.72804938684689513</v>
      </c>
      <c r="X18" s="11">
        <f t="shared" si="2"/>
        <v>0.71712864604419169</v>
      </c>
      <c r="Y18" s="11">
        <f t="shared" si="2"/>
        <v>0.7063717163535288</v>
      </c>
      <c r="Z18" s="11">
        <f t="shared" si="2"/>
        <v>0.6957761406082259</v>
      </c>
      <c r="AA18" s="11">
        <f t="shared" si="2"/>
        <v>0.68533949849910247</v>
      </c>
      <c r="AB18" s="11">
        <f t="shared" si="2"/>
        <v>0.67505940602161596</v>
      </c>
      <c r="AC18" s="11">
        <f t="shared" si="2"/>
        <v>0.66493351493129171</v>
      </c>
      <c r="AD18" s="11">
        <f t="shared" si="2"/>
        <v>0.65495951220732229</v>
      </c>
      <c r="AE18" s="11">
        <f t="shared" si="2"/>
        <v>0.64513511952421243</v>
      </c>
      <c r="AF18" s="11">
        <f t="shared" si="2"/>
        <v>0.63545809273134923</v>
      </c>
      <c r="AG18" s="11">
        <f t="shared" si="2"/>
        <v>0.62592622134037901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CB5C-391D-4659-B453-E5A6CA679227}">
  <dimension ref="A1:AG18"/>
  <sheetViews>
    <sheetView zoomScale="55" zoomScaleNormal="55" workbookViewId="0">
      <selection activeCell="AE31" sqref="AE31"/>
    </sheetView>
  </sheetViews>
  <sheetFormatPr defaultRowHeight="14.4" x14ac:dyDescent="0.3"/>
  <cols>
    <col min="1" max="1" width="11.21875" bestFit="1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f>PERMIT_NZ!B2</f>
        <v>1</v>
      </c>
      <c r="C2" s="30">
        <f>PERMIT_NZ!C2</f>
        <v>0.96880530280148291</v>
      </c>
      <c r="D2" s="30">
        <f>PERMIT_NZ!D2</f>
        <v>0.93761060560296583</v>
      </c>
      <c r="E2" s="30">
        <f>PERMIT_NZ!E2</f>
        <v>0.90641590840444874</v>
      </c>
      <c r="F2" s="30">
        <f>PERMIT_NZ!F2</f>
        <v>0.87522121120593166</v>
      </c>
      <c r="G2" s="30">
        <f>PERMIT_NZ!G2</f>
        <v>0.84402651400741457</v>
      </c>
      <c r="H2" s="30">
        <f>PERMIT_NZ!H2</f>
        <v>0.81283181680889749</v>
      </c>
      <c r="I2" s="30">
        <f>PERMIT_NZ!I2</f>
        <v>0.7816371196103804</v>
      </c>
      <c r="J2" s="30">
        <f>PERMIT_NZ!J2</f>
        <v>0.75044242241186332</v>
      </c>
      <c r="K2" s="30">
        <f>PERMIT_NZ!K2</f>
        <v>0.71924772521334623</v>
      </c>
      <c r="L2" s="30">
        <f>PERMIT_NZ!L2</f>
        <v>0.68805302801482915</v>
      </c>
      <c r="M2" s="30">
        <f>PERMIT_NZ!M2</f>
        <v>0.65685833081631229</v>
      </c>
      <c r="N2" s="30">
        <f>M2</f>
        <v>0.65685833081631229</v>
      </c>
      <c r="O2" s="30">
        <f t="shared" ref="O2:AG16" si="0">N2</f>
        <v>0.65685833081631229</v>
      </c>
      <c r="P2" s="30">
        <f t="shared" si="0"/>
        <v>0.65685833081631229</v>
      </c>
      <c r="Q2" s="30">
        <f t="shared" si="0"/>
        <v>0.65685833081631229</v>
      </c>
      <c r="R2" s="30">
        <f t="shared" si="0"/>
        <v>0.65685833081631229</v>
      </c>
      <c r="S2" s="30">
        <f t="shared" si="0"/>
        <v>0.65685833081631229</v>
      </c>
      <c r="T2" s="30">
        <f t="shared" si="0"/>
        <v>0.65685833081631229</v>
      </c>
      <c r="U2" s="30">
        <f t="shared" si="0"/>
        <v>0.65685833081631229</v>
      </c>
      <c r="V2" s="30">
        <f t="shared" si="0"/>
        <v>0.65685833081631229</v>
      </c>
      <c r="W2" s="30">
        <f t="shared" si="0"/>
        <v>0.65685833081631229</v>
      </c>
      <c r="X2" s="30">
        <f t="shared" si="0"/>
        <v>0.65685833081631229</v>
      </c>
      <c r="Y2" s="30">
        <f t="shared" si="0"/>
        <v>0.65685833081631229</v>
      </c>
      <c r="Z2" s="30">
        <f t="shared" si="0"/>
        <v>0.65685833081631229</v>
      </c>
      <c r="AA2" s="30">
        <f t="shared" si="0"/>
        <v>0.65685833081631229</v>
      </c>
      <c r="AB2" s="30">
        <f t="shared" si="0"/>
        <v>0.65685833081631229</v>
      </c>
      <c r="AC2" s="30">
        <f t="shared" si="0"/>
        <v>0.65685833081631229</v>
      </c>
      <c r="AD2" s="30">
        <f t="shared" si="0"/>
        <v>0.65685833081631229</v>
      </c>
      <c r="AE2" s="30">
        <f t="shared" si="0"/>
        <v>0.65685833081631229</v>
      </c>
      <c r="AF2" s="30">
        <f t="shared" si="0"/>
        <v>0.65685833081631229</v>
      </c>
      <c r="AG2" s="30">
        <f t="shared" si="0"/>
        <v>0.65685833081631229</v>
      </c>
    </row>
    <row r="3" spans="1:33" x14ac:dyDescent="0.3">
      <c r="A3" s="1" t="s">
        <v>1</v>
      </c>
      <c r="B3" s="30">
        <f>PERMIT_NZ!B3</f>
        <v>1</v>
      </c>
      <c r="C3" s="30">
        <f>PERMIT_NZ!C3</f>
        <v>0.99732060293140912</v>
      </c>
      <c r="D3" s="30">
        <f>PERMIT_NZ!D3</f>
        <v>0.99464120586281823</v>
      </c>
      <c r="E3" s="30">
        <f>PERMIT_NZ!E3</f>
        <v>0.99196180879422735</v>
      </c>
      <c r="F3" s="30">
        <f>PERMIT_NZ!F3</f>
        <v>0.98928241172563647</v>
      </c>
      <c r="G3" s="30">
        <f>PERMIT_NZ!G3</f>
        <v>0.98660301465704558</v>
      </c>
      <c r="H3" s="30">
        <f>PERMIT_NZ!H3</f>
        <v>0.9839236175884547</v>
      </c>
      <c r="I3" s="30">
        <f>PERMIT_NZ!I3</f>
        <v>0.98124422051986382</v>
      </c>
      <c r="J3" s="30">
        <f>PERMIT_NZ!J3</f>
        <v>0.97856482345127294</v>
      </c>
      <c r="K3" s="30">
        <f>PERMIT_NZ!K3</f>
        <v>0.97588542638268205</v>
      </c>
      <c r="L3" s="30">
        <f>PERMIT_NZ!L3</f>
        <v>0.97320602931409117</v>
      </c>
      <c r="M3" s="30">
        <f>PERMIT_NZ!M3</f>
        <v>0.97052663224549995</v>
      </c>
      <c r="N3" s="30">
        <f t="shared" ref="N3:AC18" si="1">M3</f>
        <v>0.97052663224549995</v>
      </c>
      <c r="O3" s="30">
        <f t="shared" si="1"/>
        <v>0.97052663224549995</v>
      </c>
      <c r="P3" s="30">
        <f t="shared" si="1"/>
        <v>0.97052663224549995</v>
      </c>
      <c r="Q3" s="30">
        <f t="shared" si="1"/>
        <v>0.97052663224549995</v>
      </c>
      <c r="R3" s="30">
        <f t="shared" si="1"/>
        <v>0.97052663224549995</v>
      </c>
      <c r="S3" s="30">
        <f t="shared" si="1"/>
        <v>0.97052663224549995</v>
      </c>
      <c r="T3" s="30">
        <f t="shared" si="1"/>
        <v>0.97052663224549995</v>
      </c>
      <c r="U3" s="30">
        <f t="shared" si="1"/>
        <v>0.97052663224549995</v>
      </c>
      <c r="V3" s="30">
        <f t="shared" si="1"/>
        <v>0.97052663224549995</v>
      </c>
      <c r="W3" s="30">
        <f t="shared" si="1"/>
        <v>0.97052663224549995</v>
      </c>
      <c r="X3" s="30">
        <f t="shared" si="1"/>
        <v>0.97052663224549995</v>
      </c>
      <c r="Y3" s="30">
        <f t="shared" si="1"/>
        <v>0.97052663224549995</v>
      </c>
      <c r="Z3" s="30">
        <f t="shared" si="1"/>
        <v>0.97052663224549995</v>
      </c>
      <c r="AA3" s="30">
        <f t="shared" si="1"/>
        <v>0.97052663224549995</v>
      </c>
      <c r="AB3" s="30">
        <f t="shared" si="1"/>
        <v>0.97052663224549995</v>
      </c>
      <c r="AC3" s="30">
        <f t="shared" si="1"/>
        <v>0.97052663224549995</v>
      </c>
      <c r="AD3" s="30">
        <f t="shared" si="0"/>
        <v>0.97052663224549995</v>
      </c>
      <c r="AE3" s="30">
        <f t="shared" si="0"/>
        <v>0.97052663224549995</v>
      </c>
      <c r="AF3" s="30">
        <f t="shared" si="0"/>
        <v>0.97052663224549995</v>
      </c>
      <c r="AG3" s="30">
        <f t="shared" si="0"/>
        <v>0.97052663224549995</v>
      </c>
    </row>
    <row r="4" spans="1:33" x14ac:dyDescent="0.3">
      <c r="A4" s="1" t="s">
        <v>2</v>
      </c>
      <c r="B4" s="30">
        <f>PERMIT_NZ!B4</f>
        <v>1</v>
      </c>
      <c r="C4" s="30">
        <f>PERMIT_NZ!C4</f>
        <v>0.97030956186559991</v>
      </c>
      <c r="D4" s="30">
        <f>PERMIT_NZ!D4</f>
        <v>0.94061912373119982</v>
      </c>
      <c r="E4" s="30">
        <f>PERMIT_NZ!E4</f>
        <v>0.91092868559679974</v>
      </c>
      <c r="F4" s="30">
        <f>PERMIT_NZ!F4</f>
        <v>0.88123824746239965</v>
      </c>
      <c r="G4" s="30">
        <f>PERMIT_NZ!G4</f>
        <v>0.85154780932799956</v>
      </c>
      <c r="H4" s="30">
        <f>PERMIT_NZ!H4</f>
        <v>0.82185737119359947</v>
      </c>
      <c r="I4" s="30">
        <f>PERMIT_NZ!I4</f>
        <v>0.79216693305919939</v>
      </c>
      <c r="J4" s="30">
        <f>PERMIT_NZ!J4</f>
        <v>0.7624764949247993</v>
      </c>
      <c r="K4" s="30">
        <f>PERMIT_NZ!K4</f>
        <v>0.73278605679039921</v>
      </c>
      <c r="L4" s="30">
        <f>PERMIT_NZ!L4</f>
        <v>0.70309561865599912</v>
      </c>
      <c r="M4" s="30">
        <f>PERMIT_NZ!M4</f>
        <v>0.67340518052159881</v>
      </c>
      <c r="N4" s="30">
        <f t="shared" si="1"/>
        <v>0.67340518052159881</v>
      </c>
      <c r="O4" s="30">
        <f t="shared" si="0"/>
        <v>0.67340518052159881</v>
      </c>
      <c r="P4" s="30">
        <f t="shared" si="0"/>
        <v>0.67340518052159881</v>
      </c>
      <c r="Q4" s="30">
        <f t="shared" si="0"/>
        <v>0.67340518052159881</v>
      </c>
      <c r="R4" s="30">
        <f t="shared" si="0"/>
        <v>0.67340518052159881</v>
      </c>
      <c r="S4" s="30">
        <f t="shared" si="0"/>
        <v>0.67340518052159881</v>
      </c>
      <c r="T4" s="30">
        <f t="shared" si="0"/>
        <v>0.67340518052159881</v>
      </c>
      <c r="U4" s="30">
        <f t="shared" si="0"/>
        <v>0.67340518052159881</v>
      </c>
      <c r="V4" s="30">
        <f t="shared" si="0"/>
        <v>0.67340518052159881</v>
      </c>
      <c r="W4" s="30">
        <f t="shared" si="0"/>
        <v>0.67340518052159881</v>
      </c>
      <c r="X4" s="30">
        <f t="shared" si="0"/>
        <v>0.67340518052159881</v>
      </c>
      <c r="Y4" s="30">
        <f t="shared" si="0"/>
        <v>0.67340518052159881</v>
      </c>
      <c r="Z4" s="30">
        <f t="shared" si="0"/>
        <v>0.67340518052159881</v>
      </c>
      <c r="AA4" s="30">
        <f t="shared" si="0"/>
        <v>0.67340518052159881</v>
      </c>
      <c r="AB4" s="30">
        <f t="shared" si="0"/>
        <v>0.67340518052159881</v>
      </c>
      <c r="AC4" s="30">
        <f t="shared" si="0"/>
        <v>0.67340518052159881</v>
      </c>
      <c r="AD4" s="30">
        <f t="shared" si="0"/>
        <v>0.67340518052159881</v>
      </c>
      <c r="AE4" s="30">
        <f t="shared" si="0"/>
        <v>0.67340518052159881</v>
      </c>
      <c r="AF4" s="30">
        <f t="shared" si="0"/>
        <v>0.67340518052159881</v>
      </c>
      <c r="AG4" s="30">
        <f t="shared" si="0"/>
        <v>0.67340518052159881</v>
      </c>
    </row>
    <row r="5" spans="1:33" x14ac:dyDescent="0.3">
      <c r="A5" s="1" t="s">
        <v>3</v>
      </c>
      <c r="B5" s="30">
        <f>PERMIT_NZ!B5</f>
        <v>1</v>
      </c>
      <c r="C5" s="30">
        <f>PERMIT_NZ!C5</f>
        <v>1.0122286096130622</v>
      </c>
      <c r="D5" s="30">
        <f>PERMIT_NZ!D5</f>
        <v>1.0244572192261243</v>
      </c>
      <c r="E5" s="30">
        <f>PERMIT_NZ!E5</f>
        <v>1.0366858288391865</v>
      </c>
      <c r="F5" s="30">
        <f>PERMIT_NZ!F5</f>
        <v>1.0489144384522486</v>
      </c>
      <c r="G5" s="30">
        <f>PERMIT_NZ!G5</f>
        <v>1.0611430480653108</v>
      </c>
      <c r="H5" s="30">
        <f>PERMIT_NZ!H5</f>
        <v>1.0733716576783729</v>
      </c>
      <c r="I5" s="30">
        <f>PERMIT_NZ!I5</f>
        <v>1.0856002672914351</v>
      </c>
      <c r="J5" s="30">
        <f>PERMIT_NZ!J5</f>
        <v>1.0978288769044973</v>
      </c>
      <c r="K5" s="30">
        <f>PERMIT_NZ!K5</f>
        <v>1.1100574865175594</v>
      </c>
      <c r="L5" s="30">
        <f>PERMIT_NZ!L5</f>
        <v>1.1222860961306216</v>
      </c>
      <c r="M5" s="30">
        <f>PERMIT_NZ!M5</f>
        <v>1.1345147057436835</v>
      </c>
      <c r="N5" s="30">
        <f t="shared" si="1"/>
        <v>1.1345147057436835</v>
      </c>
      <c r="O5" s="30">
        <f t="shared" si="0"/>
        <v>1.1345147057436835</v>
      </c>
      <c r="P5" s="30">
        <f t="shared" si="0"/>
        <v>1.1345147057436835</v>
      </c>
      <c r="Q5" s="30">
        <f t="shared" si="0"/>
        <v>1.1345147057436835</v>
      </c>
      <c r="R5" s="30">
        <f t="shared" si="0"/>
        <v>1.1345147057436835</v>
      </c>
      <c r="S5" s="30">
        <f t="shared" si="0"/>
        <v>1.1345147057436835</v>
      </c>
      <c r="T5" s="30">
        <f t="shared" si="0"/>
        <v>1.1345147057436835</v>
      </c>
      <c r="U5" s="30">
        <f t="shared" si="0"/>
        <v>1.1345147057436835</v>
      </c>
      <c r="V5" s="30">
        <f t="shared" si="0"/>
        <v>1.1345147057436835</v>
      </c>
      <c r="W5" s="30">
        <f t="shared" si="0"/>
        <v>1.1345147057436835</v>
      </c>
      <c r="X5" s="30">
        <f t="shared" si="0"/>
        <v>1.1345147057436835</v>
      </c>
      <c r="Y5" s="30">
        <f t="shared" si="0"/>
        <v>1.1345147057436835</v>
      </c>
      <c r="Z5" s="30">
        <f t="shared" si="0"/>
        <v>1.1345147057436835</v>
      </c>
      <c r="AA5" s="30">
        <f t="shared" si="0"/>
        <v>1.1345147057436835</v>
      </c>
      <c r="AB5" s="30">
        <f t="shared" si="0"/>
        <v>1.1345147057436835</v>
      </c>
      <c r="AC5" s="30">
        <f t="shared" si="0"/>
        <v>1.1345147057436835</v>
      </c>
      <c r="AD5" s="30">
        <f t="shared" si="0"/>
        <v>1.1345147057436835</v>
      </c>
      <c r="AE5" s="30">
        <f t="shared" si="0"/>
        <v>1.1345147057436835</v>
      </c>
      <c r="AF5" s="30">
        <f t="shared" si="0"/>
        <v>1.1345147057436835</v>
      </c>
      <c r="AG5" s="30">
        <f t="shared" si="0"/>
        <v>1.1345147057436835</v>
      </c>
    </row>
    <row r="6" spans="1:33" x14ac:dyDescent="0.3">
      <c r="A6" s="23" t="s">
        <v>4</v>
      </c>
      <c r="B6" s="30">
        <f>PERMIT_NZ!B6</f>
        <v>1</v>
      </c>
      <c r="C6" s="30">
        <f>PERMIT_NZ!C6</f>
        <v>1.0122286096130622</v>
      </c>
      <c r="D6" s="30">
        <f>PERMIT_NZ!D6</f>
        <v>1.0244572192261243</v>
      </c>
      <c r="E6" s="30">
        <f>PERMIT_NZ!E6</f>
        <v>1.0366858288391865</v>
      </c>
      <c r="F6" s="30">
        <f>PERMIT_NZ!F6</f>
        <v>1.0489144384522486</v>
      </c>
      <c r="G6" s="30">
        <f>PERMIT_NZ!G6</f>
        <v>1.0611430480653108</v>
      </c>
      <c r="H6" s="30">
        <f>PERMIT_NZ!H6</f>
        <v>1.0733716576783729</v>
      </c>
      <c r="I6" s="30">
        <f>PERMIT_NZ!I6</f>
        <v>1.0856002672914351</v>
      </c>
      <c r="J6" s="30">
        <f>PERMIT_NZ!J6</f>
        <v>1.0978288769044973</v>
      </c>
      <c r="K6" s="30">
        <f>PERMIT_NZ!K6</f>
        <v>1.1100574865175594</v>
      </c>
      <c r="L6" s="30">
        <f>PERMIT_NZ!L6</f>
        <v>1.1222860961306216</v>
      </c>
      <c r="M6" s="30">
        <f>PERMIT_NZ!M6</f>
        <v>1.1345147057436833</v>
      </c>
      <c r="N6" s="30">
        <f t="shared" si="1"/>
        <v>1.1345147057436833</v>
      </c>
      <c r="O6" s="30">
        <f t="shared" si="0"/>
        <v>1.1345147057436833</v>
      </c>
      <c r="P6" s="30">
        <f t="shared" si="0"/>
        <v>1.1345147057436833</v>
      </c>
      <c r="Q6" s="30">
        <f t="shared" si="0"/>
        <v>1.1345147057436833</v>
      </c>
      <c r="R6" s="30">
        <f t="shared" si="0"/>
        <v>1.1345147057436833</v>
      </c>
      <c r="S6" s="30">
        <f t="shared" si="0"/>
        <v>1.1345147057436833</v>
      </c>
      <c r="T6" s="30">
        <f t="shared" si="0"/>
        <v>1.1345147057436833</v>
      </c>
      <c r="U6" s="30">
        <f t="shared" si="0"/>
        <v>1.1345147057436833</v>
      </c>
      <c r="V6" s="30">
        <f t="shared" si="0"/>
        <v>1.1345147057436833</v>
      </c>
      <c r="W6" s="30">
        <f t="shared" si="0"/>
        <v>1.1345147057436833</v>
      </c>
      <c r="X6" s="30">
        <f t="shared" si="0"/>
        <v>1.1345147057436833</v>
      </c>
      <c r="Y6" s="30">
        <f t="shared" si="0"/>
        <v>1.1345147057436833</v>
      </c>
      <c r="Z6" s="30">
        <f t="shared" si="0"/>
        <v>1.1345147057436833</v>
      </c>
      <c r="AA6" s="30">
        <f t="shared" si="0"/>
        <v>1.1345147057436833</v>
      </c>
      <c r="AB6" s="30">
        <f t="shared" si="0"/>
        <v>1.1345147057436833</v>
      </c>
      <c r="AC6" s="30">
        <f t="shared" si="0"/>
        <v>1.1345147057436833</v>
      </c>
      <c r="AD6" s="30">
        <f t="shared" si="0"/>
        <v>1.1345147057436833</v>
      </c>
      <c r="AE6" s="30">
        <f t="shared" si="0"/>
        <v>1.1345147057436833</v>
      </c>
      <c r="AF6" s="30">
        <f t="shared" si="0"/>
        <v>1.1345147057436833</v>
      </c>
      <c r="AG6" s="30">
        <f t="shared" si="0"/>
        <v>1.1345147057436833</v>
      </c>
    </row>
    <row r="7" spans="1:33" x14ac:dyDescent="0.3">
      <c r="A7" s="23" t="s">
        <v>5</v>
      </c>
      <c r="B7" s="30">
        <f>PERMIT_NZ!B7</f>
        <v>1</v>
      </c>
      <c r="C7" s="30">
        <f>PERMIT_NZ!C7</f>
        <v>1.0122286096130622</v>
      </c>
      <c r="D7" s="30">
        <f>PERMIT_NZ!D7</f>
        <v>1.0244572192261243</v>
      </c>
      <c r="E7" s="30">
        <f>PERMIT_NZ!E7</f>
        <v>1.0366858288391865</v>
      </c>
      <c r="F7" s="30">
        <f>PERMIT_NZ!F7</f>
        <v>1.0489144384522486</v>
      </c>
      <c r="G7" s="30">
        <f>PERMIT_NZ!G7</f>
        <v>1.0611430480653108</v>
      </c>
      <c r="H7" s="30">
        <f>PERMIT_NZ!H7</f>
        <v>1.0733716576783729</v>
      </c>
      <c r="I7" s="30">
        <f>PERMIT_NZ!I7</f>
        <v>1.0856002672914351</v>
      </c>
      <c r="J7" s="30">
        <f>PERMIT_NZ!J7</f>
        <v>1.0978288769044973</v>
      </c>
      <c r="K7" s="30">
        <f>PERMIT_NZ!K7</f>
        <v>1.1100574865175594</v>
      </c>
      <c r="L7" s="30">
        <f>PERMIT_NZ!L7</f>
        <v>1.1222860961306216</v>
      </c>
      <c r="M7" s="30">
        <f>PERMIT_NZ!M7</f>
        <v>1.1345147057436835</v>
      </c>
      <c r="N7" s="30">
        <f t="shared" si="1"/>
        <v>1.1345147057436835</v>
      </c>
      <c r="O7" s="30">
        <f t="shared" si="0"/>
        <v>1.1345147057436835</v>
      </c>
      <c r="P7" s="30">
        <f t="shared" si="0"/>
        <v>1.1345147057436835</v>
      </c>
      <c r="Q7" s="30">
        <f t="shared" si="0"/>
        <v>1.1345147057436835</v>
      </c>
      <c r="R7" s="30">
        <f t="shared" si="0"/>
        <v>1.1345147057436835</v>
      </c>
      <c r="S7" s="30">
        <f t="shared" si="0"/>
        <v>1.1345147057436835</v>
      </c>
      <c r="T7" s="30">
        <f t="shared" si="0"/>
        <v>1.1345147057436835</v>
      </c>
      <c r="U7" s="30">
        <f t="shared" si="0"/>
        <v>1.1345147057436835</v>
      </c>
      <c r="V7" s="30">
        <f t="shared" si="0"/>
        <v>1.1345147057436835</v>
      </c>
      <c r="W7" s="30">
        <f t="shared" si="0"/>
        <v>1.1345147057436835</v>
      </c>
      <c r="X7" s="30">
        <f t="shared" si="0"/>
        <v>1.1345147057436835</v>
      </c>
      <c r="Y7" s="30">
        <f t="shared" si="0"/>
        <v>1.1345147057436835</v>
      </c>
      <c r="Z7" s="30">
        <f t="shared" si="0"/>
        <v>1.1345147057436835</v>
      </c>
      <c r="AA7" s="30">
        <f t="shared" si="0"/>
        <v>1.1345147057436835</v>
      </c>
      <c r="AB7" s="30">
        <f t="shared" si="0"/>
        <v>1.1345147057436835</v>
      </c>
      <c r="AC7" s="30">
        <f t="shared" si="0"/>
        <v>1.1345147057436835</v>
      </c>
      <c r="AD7" s="30">
        <f t="shared" si="0"/>
        <v>1.1345147057436835</v>
      </c>
      <c r="AE7" s="30">
        <f t="shared" si="0"/>
        <v>1.1345147057436835</v>
      </c>
      <c r="AF7" s="30">
        <f t="shared" si="0"/>
        <v>1.1345147057436835</v>
      </c>
      <c r="AG7" s="30">
        <f t="shared" si="0"/>
        <v>1.1345147057436835</v>
      </c>
    </row>
    <row r="8" spans="1:33" x14ac:dyDescent="0.3">
      <c r="A8" s="1" t="s">
        <v>6</v>
      </c>
      <c r="B8" s="30">
        <f>PERMIT_NZ!B8</f>
        <v>1</v>
      </c>
      <c r="C8" s="30">
        <f>PERMIT_NZ!C8</f>
        <v>0.95454545454545459</v>
      </c>
      <c r="D8" s="30">
        <f>PERMIT_NZ!D8</f>
        <v>0.90909090909090917</v>
      </c>
      <c r="E8" s="30">
        <f>PERMIT_NZ!E8</f>
        <v>0.86363636363636376</v>
      </c>
      <c r="F8" s="30">
        <f>PERMIT_NZ!F8</f>
        <v>0.81818181818181834</v>
      </c>
      <c r="G8" s="30">
        <f>PERMIT_NZ!G8</f>
        <v>0.77272727272727293</v>
      </c>
      <c r="H8" s="30">
        <f>PERMIT_NZ!H8</f>
        <v>0.72727272727272751</v>
      </c>
      <c r="I8" s="30">
        <f>PERMIT_NZ!I8</f>
        <v>0.6818181818181821</v>
      </c>
      <c r="J8" s="30">
        <f>PERMIT_NZ!J8</f>
        <v>0.63636363636363669</v>
      </c>
      <c r="K8" s="30">
        <f>PERMIT_NZ!K8</f>
        <v>0.59090909090909127</v>
      </c>
      <c r="L8" s="30">
        <f>PERMIT_NZ!L8</f>
        <v>0.54545454545454586</v>
      </c>
      <c r="M8" s="30">
        <f>PERMIT_NZ!M8</f>
        <v>0.5</v>
      </c>
      <c r="N8" s="30">
        <f t="shared" si="1"/>
        <v>0.5</v>
      </c>
      <c r="O8" s="30">
        <f t="shared" si="0"/>
        <v>0.5</v>
      </c>
      <c r="P8" s="30">
        <f t="shared" si="0"/>
        <v>0.5</v>
      </c>
      <c r="Q8" s="30">
        <f t="shared" si="0"/>
        <v>0.5</v>
      </c>
      <c r="R8" s="30">
        <f t="shared" si="0"/>
        <v>0.5</v>
      </c>
      <c r="S8" s="30">
        <f t="shared" si="0"/>
        <v>0.5</v>
      </c>
      <c r="T8" s="30">
        <f t="shared" si="0"/>
        <v>0.5</v>
      </c>
      <c r="U8" s="30">
        <f t="shared" si="0"/>
        <v>0.5</v>
      </c>
      <c r="V8" s="30">
        <f t="shared" si="0"/>
        <v>0.5</v>
      </c>
      <c r="W8" s="30">
        <f t="shared" si="0"/>
        <v>0.5</v>
      </c>
      <c r="X8" s="30">
        <f t="shared" si="0"/>
        <v>0.5</v>
      </c>
      <c r="Y8" s="30">
        <f t="shared" si="0"/>
        <v>0.5</v>
      </c>
      <c r="Z8" s="30">
        <f t="shared" si="0"/>
        <v>0.5</v>
      </c>
      <c r="AA8" s="30">
        <f t="shared" si="0"/>
        <v>0.5</v>
      </c>
      <c r="AB8" s="30">
        <f t="shared" si="0"/>
        <v>0.5</v>
      </c>
      <c r="AC8" s="30">
        <f t="shared" si="0"/>
        <v>0.5</v>
      </c>
      <c r="AD8" s="30">
        <f t="shared" si="0"/>
        <v>0.5</v>
      </c>
      <c r="AE8" s="30">
        <f t="shared" si="0"/>
        <v>0.5</v>
      </c>
      <c r="AF8" s="30">
        <f t="shared" si="0"/>
        <v>0.5</v>
      </c>
      <c r="AG8" s="30">
        <f t="shared" si="0"/>
        <v>0.5</v>
      </c>
    </row>
    <row r="9" spans="1:33" x14ac:dyDescent="0.3">
      <c r="A9" s="1" t="s">
        <v>7</v>
      </c>
      <c r="B9" s="30">
        <f>PERMIT_NZ!B9</f>
        <v>1</v>
      </c>
      <c r="C9" s="30">
        <f>PERMIT_NZ!C9</f>
        <v>0.99732060293140912</v>
      </c>
      <c r="D9" s="30">
        <f>PERMIT_NZ!D9</f>
        <v>0.99464120586281823</v>
      </c>
      <c r="E9" s="30">
        <f>PERMIT_NZ!E9</f>
        <v>0.99196180879422735</v>
      </c>
      <c r="F9" s="30">
        <f>PERMIT_NZ!F9</f>
        <v>0.98928241172563647</v>
      </c>
      <c r="G9" s="30">
        <f>PERMIT_NZ!G9</f>
        <v>0.98660301465704558</v>
      </c>
      <c r="H9" s="30">
        <f>PERMIT_NZ!H9</f>
        <v>0.9839236175884547</v>
      </c>
      <c r="I9" s="30">
        <f>PERMIT_NZ!I9</f>
        <v>0.98124422051986382</v>
      </c>
      <c r="J9" s="30">
        <f>PERMIT_NZ!J9</f>
        <v>0.97856482345127294</v>
      </c>
      <c r="K9" s="30">
        <f>PERMIT_NZ!K9</f>
        <v>0.97588542638268205</v>
      </c>
      <c r="L9" s="30">
        <f>PERMIT_NZ!L9</f>
        <v>0.97320602931409117</v>
      </c>
      <c r="M9" s="30">
        <f>PERMIT_NZ!M9</f>
        <v>0.97052663224550006</v>
      </c>
      <c r="N9" s="30">
        <f t="shared" si="1"/>
        <v>0.97052663224550006</v>
      </c>
      <c r="O9" s="30">
        <f t="shared" si="0"/>
        <v>0.97052663224550006</v>
      </c>
      <c r="P9" s="30">
        <f t="shared" si="0"/>
        <v>0.97052663224550006</v>
      </c>
      <c r="Q9" s="30">
        <f t="shared" si="0"/>
        <v>0.97052663224550006</v>
      </c>
      <c r="R9" s="30">
        <f t="shared" si="0"/>
        <v>0.97052663224550006</v>
      </c>
      <c r="S9" s="30">
        <f t="shared" si="0"/>
        <v>0.97052663224550006</v>
      </c>
      <c r="T9" s="30">
        <f t="shared" si="0"/>
        <v>0.97052663224550006</v>
      </c>
      <c r="U9" s="30">
        <f t="shared" si="0"/>
        <v>0.97052663224550006</v>
      </c>
      <c r="V9" s="30">
        <f t="shared" si="0"/>
        <v>0.97052663224550006</v>
      </c>
      <c r="W9" s="30">
        <f t="shared" si="0"/>
        <v>0.97052663224550006</v>
      </c>
      <c r="X9" s="30">
        <f t="shared" si="0"/>
        <v>0.97052663224550006</v>
      </c>
      <c r="Y9" s="30">
        <f t="shared" si="0"/>
        <v>0.97052663224550006</v>
      </c>
      <c r="Z9" s="30">
        <f t="shared" si="0"/>
        <v>0.97052663224550006</v>
      </c>
      <c r="AA9" s="30">
        <f t="shared" si="0"/>
        <v>0.97052663224550006</v>
      </c>
      <c r="AB9" s="30">
        <f t="shared" si="0"/>
        <v>0.97052663224550006</v>
      </c>
      <c r="AC9" s="30">
        <f t="shared" si="0"/>
        <v>0.97052663224550006</v>
      </c>
      <c r="AD9" s="30">
        <f t="shared" si="0"/>
        <v>0.97052663224550006</v>
      </c>
      <c r="AE9" s="30">
        <f t="shared" si="0"/>
        <v>0.97052663224550006</v>
      </c>
      <c r="AF9" s="30">
        <f t="shared" si="0"/>
        <v>0.97052663224550006</v>
      </c>
      <c r="AG9" s="30">
        <f t="shared" si="0"/>
        <v>0.97052663224550006</v>
      </c>
    </row>
    <row r="10" spans="1:33" x14ac:dyDescent="0.3">
      <c r="A10" s="1" t="s">
        <v>8</v>
      </c>
      <c r="B10" s="30">
        <f>PERMIT_NZ!B10</f>
        <v>1</v>
      </c>
      <c r="C10" s="30">
        <f>PERMIT_NZ!C10</f>
        <v>0.95454545454545459</v>
      </c>
      <c r="D10" s="30">
        <f>PERMIT_NZ!D10</f>
        <v>0.90909090909090917</v>
      </c>
      <c r="E10" s="30">
        <f>PERMIT_NZ!E10</f>
        <v>0.86363636363636376</v>
      </c>
      <c r="F10" s="30">
        <f>PERMIT_NZ!F10</f>
        <v>0.81818181818181834</v>
      </c>
      <c r="G10" s="30">
        <f>PERMIT_NZ!G10</f>
        <v>0.77272727272727293</v>
      </c>
      <c r="H10" s="30">
        <f>PERMIT_NZ!H10</f>
        <v>0.72727272727272751</v>
      </c>
      <c r="I10" s="30">
        <f>PERMIT_NZ!I10</f>
        <v>0.6818181818181821</v>
      </c>
      <c r="J10" s="30">
        <f>PERMIT_NZ!J10</f>
        <v>0.63636363636363669</v>
      </c>
      <c r="K10" s="30">
        <f>PERMIT_NZ!K10</f>
        <v>0.59090909090909127</v>
      </c>
      <c r="L10" s="30">
        <f>PERMIT_NZ!L10</f>
        <v>0.54545454545454586</v>
      </c>
      <c r="M10" s="30">
        <f>PERMIT_NZ!M10</f>
        <v>0.49999999999999989</v>
      </c>
      <c r="N10" s="30">
        <f t="shared" si="1"/>
        <v>0.49999999999999989</v>
      </c>
      <c r="O10" s="30">
        <f t="shared" si="0"/>
        <v>0.49999999999999989</v>
      </c>
      <c r="P10" s="30">
        <f t="shared" si="0"/>
        <v>0.49999999999999989</v>
      </c>
      <c r="Q10" s="30">
        <f t="shared" si="0"/>
        <v>0.49999999999999989</v>
      </c>
      <c r="R10" s="30">
        <f t="shared" si="0"/>
        <v>0.49999999999999989</v>
      </c>
      <c r="S10" s="30">
        <f t="shared" si="0"/>
        <v>0.49999999999999989</v>
      </c>
      <c r="T10" s="30">
        <f t="shared" si="0"/>
        <v>0.49999999999999989</v>
      </c>
      <c r="U10" s="30">
        <f t="shared" si="0"/>
        <v>0.49999999999999989</v>
      </c>
      <c r="V10" s="30">
        <f t="shared" si="0"/>
        <v>0.49999999999999989</v>
      </c>
      <c r="W10" s="30">
        <f t="shared" si="0"/>
        <v>0.49999999999999989</v>
      </c>
      <c r="X10" s="30">
        <f t="shared" si="0"/>
        <v>0.49999999999999989</v>
      </c>
      <c r="Y10" s="30">
        <f t="shared" si="0"/>
        <v>0.49999999999999989</v>
      </c>
      <c r="Z10" s="30">
        <f t="shared" si="0"/>
        <v>0.49999999999999989</v>
      </c>
      <c r="AA10" s="30">
        <f t="shared" si="0"/>
        <v>0.49999999999999989</v>
      </c>
      <c r="AB10" s="30">
        <f t="shared" si="0"/>
        <v>0.49999999999999989</v>
      </c>
      <c r="AC10" s="30">
        <f t="shared" si="0"/>
        <v>0.49999999999999989</v>
      </c>
      <c r="AD10" s="30">
        <f t="shared" si="0"/>
        <v>0.49999999999999989</v>
      </c>
      <c r="AE10" s="30">
        <f t="shared" si="0"/>
        <v>0.49999999999999989</v>
      </c>
      <c r="AF10" s="30">
        <f t="shared" si="0"/>
        <v>0.49999999999999989</v>
      </c>
      <c r="AG10" s="30">
        <f t="shared" si="0"/>
        <v>0.49999999999999989</v>
      </c>
    </row>
    <row r="11" spans="1:33" x14ac:dyDescent="0.3">
      <c r="A11" s="1" t="s">
        <v>9</v>
      </c>
      <c r="B11" s="30">
        <f>PERMIT_NZ!B11</f>
        <v>1</v>
      </c>
      <c r="C11" s="30">
        <f>PERMIT_NZ!C11</f>
        <v>0.95454545454545459</v>
      </c>
      <c r="D11" s="30">
        <f>PERMIT_NZ!D11</f>
        <v>0.90909090909090917</v>
      </c>
      <c r="E11" s="30">
        <f>PERMIT_NZ!E11</f>
        <v>0.86363636363636376</v>
      </c>
      <c r="F11" s="30">
        <f>PERMIT_NZ!F11</f>
        <v>0.81818181818181834</v>
      </c>
      <c r="G11" s="30">
        <f>PERMIT_NZ!G11</f>
        <v>0.77272727272727293</v>
      </c>
      <c r="H11" s="30">
        <f>PERMIT_NZ!H11</f>
        <v>0.72727272727272751</v>
      </c>
      <c r="I11" s="30">
        <f>PERMIT_NZ!I11</f>
        <v>0.6818181818181821</v>
      </c>
      <c r="J11" s="30">
        <f>PERMIT_NZ!J11</f>
        <v>0.63636363636363669</v>
      </c>
      <c r="K11" s="30">
        <f>PERMIT_NZ!K11</f>
        <v>0.59090909090909127</v>
      </c>
      <c r="L11" s="30">
        <f>PERMIT_NZ!L11</f>
        <v>0.54545454545454586</v>
      </c>
      <c r="M11" s="30">
        <f>M10</f>
        <v>0.49999999999999989</v>
      </c>
      <c r="N11" s="30">
        <f t="shared" si="1"/>
        <v>0.49999999999999989</v>
      </c>
      <c r="O11" s="30">
        <f t="shared" si="0"/>
        <v>0.49999999999999989</v>
      </c>
      <c r="P11" s="30">
        <f t="shared" si="0"/>
        <v>0.49999999999999989</v>
      </c>
      <c r="Q11" s="30">
        <f t="shared" si="0"/>
        <v>0.49999999999999989</v>
      </c>
      <c r="R11" s="30">
        <f t="shared" si="0"/>
        <v>0.49999999999999989</v>
      </c>
      <c r="S11" s="30">
        <f t="shared" si="0"/>
        <v>0.49999999999999989</v>
      </c>
      <c r="T11" s="30">
        <f t="shared" si="0"/>
        <v>0.49999999999999989</v>
      </c>
      <c r="U11" s="30">
        <f t="shared" si="0"/>
        <v>0.49999999999999989</v>
      </c>
      <c r="V11" s="30">
        <f t="shared" si="0"/>
        <v>0.49999999999999989</v>
      </c>
      <c r="W11" s="30">
        <f t="shared" si="0"/>
        <v>0.49999999999999989</v>
      </c>
      <c r="X11" s="30">
        <f t="shared" si="0"/>
        <v>0.49999999999999989</v>
      </c>
      <c r="Y11" s="30">
        <f t="shared" si="0"/>
        <v>0.49999999999999989</v>
      </c>
      <c r="Z11" s="30">
        <f t="shared" si="0"/>
        <v>0.49999999999999989</v>
      </c>
      <c r="AA11" s="30">
        <f t="shared" si="0"/>
        <v>0.49999999999999989</v>
      </c>
      <c r="AB11" s="30">
        <f t="shared" si="0"/>
        <v>0.49999999999999989</v>
      </c>
      <c r="AC11" s="30">
        <f t="shared" si="0"/>
        <v>0.49999999999999989</v>
      </c>
      <c r="AD11" s="30">
        <f t="shared" si="0"/>
        <v>0.49999999999999989</v>
      </c>
      <c r="AE11" s="30">
        <f t="shared" si="0"/>
        <v>0.49999999999999989</v>
      </c>
      <c r="AF11" s="30">
        <f t="shared" si="0"/>
        <v>0.49999999999999989</v>
      </c>
      <c r="AG11" s="30">
        <f t="shared" si="0"/>
        <v>0.49999999999999989</v>
      </c>
    </row>
    <row r="12" spans="1:33" x14ac:dyDescent="0.3">
      <c r="A12" s="1" t="s">
        <v>10</v>
      </c>
      <c r="B12" s="30">
        <f>PERMIT_NZ!B12</f>
        <v>1</v>
      </c>
      <c r="C12" s="30">
        <f>PERMIT_NZ!C12</f>
        <v>0.99732060293140912</v>
      </c>
      <c r="D12" s="30">
        <f>PERMIT_NZ!D12</f>
        <v>0.99464120586281823</v>
      </c>
      <c r="E12" s="30">
        <f>PERMIT_NZ!E12</f>
        <v>0.99196180879422735</v>
      </c>
      <c r="F12" s="30">
        <f>PERMIT_NZ!F12</f>
        <v>0.98928241172563647</v>
      </c>
      <c r="G12" s="30">
        <f>PERMIT_NZ!G12</f>
        <v>0.98660301465704558</v>
      </c>
      <c r="H12" s="30">
        <f>PERMIT_NZ!H12</f>
        <v>0.9839236175884547</v>
      </c>
      <c r="I12" s="30">
        <f>PERMIT_NZ!I12</f>
        <v>0.98124422051986382</v>
      </c>
      <c r="J12" s="30">
        <f>PERMIT_NZ!J12</f>
        <v>0.97856482345127294</v>
      </c>
      <c r="K12" s="30">
        <f>PERMIT_NZ!K12</f>
        <v>0.97588542638268205</v>
      </c>
      <c r="L12" s="30">
        <f>PERMIT_NZ!L12</f>
        <v>0.97320602931409117</v>
      </c>
      <c r="M12" s="30">
        <f>PERMIT_NZ!M12</f>
        <v>0.97052663224550006</v>
      </c>
      <c r="N12" s="30">
        <f t="shared" si="1"/>
        <v>0.97052663224550006</v>
      </c>
      <c r="O12" s="30">
        <f t="shared" si="0"/>
        <v>0.97052663224550006</v>
      </c>
      <c r="P12" s="30">
        <f t="shared" si="0"/>
        <v>0.97052663224550006</v>
      </c>
      <c r="Q12" s="30">
        <f t="shared" si="0"/>
        <v>0.97052663224550006</v>
      </c>
      <c r="R12" s="30">
        <f t="shared" si="0"/>
        <v>0.97052663224550006</v>
      </c>
      <c r="S12" s="30">
        <f t="shared" si="0"/>
        <v>0.97052663224550006</v>
      </c>
      <c r="T12" s="30">
        <f t="shared" si="0"/>
        <v>0.97052663224550006</v>
      </c>
      <c r="U12" s="30">
        <f t="shared" si="0"/>
        <v>0.97052663224550006</v>
      </c>
      <c r="V12" s="30">
        <f t="shared" si="0"/>
        <v>0.97052663224550006</v>
      </c>
      <c r="W12" s="30">
        <f t="shared" si="0"/>
        <v>0.97052663224550006</v>
      </c>
      <c r="X12" s="30">
        <f t="shared" si="0"/>
        <v>0.97052663224550006</v>
      </c>
      <c r="Y12" s="30">
        <f t="shared" si="0"/>
        <v>0.97052663224550006</v>
      </c>
      <c r="Z12" s="30">
        <f t="shared" si="0"/>
        <v>0.97052663224550006</v>
      </c>
      <c r="AA12" s="30">
        <f t="shared" si="0"/>
        <v>0.97052663224550006</v>
      </c>
      <c r="AB12" s="30">
        <f t="shared" si="0"/>
        <v>0.97052663224550006</v>
      </c>
      <c r="AC12" s="30">
        <f t="shared" si="0"/>
        <v>0.97052663224550006</v>
      </c>
      <c r="AD12" s="30">
        <f t="shared" si="0"/>
        <v>0.97052663224550006</v>
      </c>
      <c r="AE12" s="30">
        <f t="shared" si="0"/>
        <v>0.97052663224550006</v>
      </c>
      <c r="AF12" s="30">
        <f t="shared" si="0"/>
        <v>0.97052663224550006</v>
      </c>
      <c r="AG12" s="30">
        <f t="shared" si="0"/>
        <v>0.97052663224550006</v>
      </c>
    </row>
    <row r="13" spans="1:33" x14ac:dyDescent="0.3">
      <c r="A13" s="1" t="s">
        <v>11</v>
      </c>
      <c r="B13" s="30">
        <f>PERMIT_NZ!B13</f>
        <v>1</v>
      </c>
      <c r="C13" s="30">
        <f>PERMIT_NZ!C13</f>
        <v>0.99732060293140912</v>
      </c>
      <c r="D13" s="30">
        <f>PERMIT_NZ!D13</f>
        <v>0.99464120586281823</v>
      </c>
      <c r="E13" s="30">
        <f>PERMIT_NZ!E13</f>
        <v>0.99196180879422735</v>
      </c>
      <c r="F13" s="30">
        <f>PERMIT_NZ!F13</f>
        <v>0.98928241172563647</v>
      </c>
      <c r="G13" s="30">
        <f>PERMIT_NZ!G13</f>
        <v>0.98660301465704558</v>
      </c>
      <c r="H13" s="30">
        <f>PERMIT_NZ!H13</f>
        <v>0.9839236175884547</v>
      </c>
      <c r="I13" s="30">
        <f>PERMIT_NZ!I13</f>
        <v>0.98124422051986382</v>
      </c>
      <c r="J13" s="30">
        <f>PERMIT_NZ!J13</f>
        <v>0.97856482345127294</v>
      </c>
      <c r="K13" s="30">
        <f>PERMIT_NZ!K13</f>
        <v>0.97588542638268205</v>
      </c>
      <c r="L13" s="30">
        <f>PERMIT_NZ!L13</f>
        <v>0.97320602931409117</v>
      </c>
      <c r="M13" s="30">
        <f>PERMIT_NZ!M13</f>
        <v>0.97052663224549995</v>
      </c>
      <c r="N13" s="30">
        <f t="shared" si="1"/>
        <v>0.97052663224549995</v>
      </c>
      <c r="O13" s="30">
        <f t="shared" si="0"/>
        <v>0.97052663224549995</v>
      </c>
      <c r="P13" s="30">
        <f t="shared" si="0"/>
        <v>0.97052663224549995</v>
      </c>
      <c r="Q13" s="30">
        <f t="shared" si="0"/>
        <v>0.97052663224549995</v>
      </c>
      <c r="R13" s="30">
        <f t="shared" si="0"/>
        <v>0.97052663224549995</v>
      </c>
      <c r="S13" s="30">
        <f t="shared" si="0"/>
        <v>0.97052663224549995</v>
      </c>
      <c r="T13" s="30">
        <f t="shared" si="0"/>
        <v>0.97052663224549995</v>
      </c>
      <c r="U13" s="30">
        <f t="shared" si="0"/>
        <v>0.97052663224549995</v>
      </c>
      <c r="V13" s="30">
        <f t="shared" si="0"/>
        <v>0.97052663224549995</v>
      </c>
      <c r="W13" s="30">
        <f t="shared" si="0"/>
        <v>0.97052663224549995</v>
      </c>
      <c r="X13" s="30">
        <f t="shared" si="0"/>
        <v>0.97052663224549995</v>
      </c>
      <c r="Y13" s="30">
        <f t="shared" si="0"/>
        <v>0.97052663224549995</v>
      </c>
      <c r="Z13" s="30">
        <f t="shared" si="0"/>
        <v>0.97052663224549995</v>
      </c>
      <c r="AA13" s="30">
        <f t="shared" si="0"/>
        <v>0.97052663224549995</v>
      </c>
      <c r="AB13" s="30">
        <f t="shared" si="0"/>
        <v>0.97052663224549995</v>
      </c>
      <c r="AC13" s="30">
        <f t="shared" si="0"/>
        <v>0.97052663224549995</v>
      </c>
      <c r="AD13" s="30">
        <f t="shared" si="0"/>
        <v>0.97052663224549995</v>
      </c>
      <c r="AE13" s="30">
        <f t="shared" si="0"/>
        <v>0.97052663224549995</v>
      </c>
      <c r="AF13" s="30">
        <f t="shared" si="0"/>
        <v>0.97052663224549995</v>
      </c>
      <c r="AG13" s="30">
        <f t="shared" si="0"/>
        <v>0.97052663224549995</v>
      </c>
    </row>
    <row r="14" spans="1:33" x14ac:dyDescent="0.3">
      <c r="A14" s="1" t="s">
        <v>12</v>
      </c>
      <c r="B14" s="30">
        <f>PERMIT_NZ!B14</f>
        <v>1</v>
      </c>
      <c r="C14" s="30">
        <f>PERMIT_NZ!C14</f>
        <v>0.99732060293140912</v>
      </c>
      <c r="D14" s="30">
        <f>PERMIT_NZ!D14</f>
        <v>0.99464120586281823</v>
      </c>
      <c r="E14" s="30">
        <f>PERMIT_NZ!E14</f>
        <v>0.99196180879422735</v>
      </c>
      <c r="F14" s="30">
        <f>PERMIT_NZ!F14</f>
        <v>0.98928241172563647</v>
      </c>
      <c r="G14" s="30">
        <f>PERMIT_NZ!G14</f>
        <v>0.98660301465704558</v>
      </c>
      <c r="H14" s="30">
        <f>PERMIT_NZ!H14</f>
        <v>0.9839236175884547</v>
      </c>
      <c r="I14" s="30">
        <f>PERMIT_NZ!I14</f>
        <v>0.98124422051986382</v>
      </c>
      <c r="J14" s="30">
        <f>PERMIT_NZ!J14</f>
        <v>0.97856482345127294</v>
      </c>
      <c r="K14" s="30">
        <f>PERMIT_NZ!K14</f>
        <v>0.97588542638268205</v>
      </c>
      <c r="L14" s="30">
        <f>PERMIT_NZ!L14</f>
        <v>0.97320602931409117</v>
      </c>
      <c r="M14" s="30">
        <f>PERMIT_NZ!M14</f>
        <v>0.97052663224549995</v>
      </c>
      <c r="N14" s="30">
        <f t="shared" si="1"/>
        <v>0.97052663224549995</v>
      </c>
      <c r="O14" s="30">
        <f t="shared" si="0"/>
        <v>0.97052663224549995</v>
      </c>
      <c r="P14" s="30">
        <f t="shared" si="0"/>
        <v>0.97052663224549995</v>
      </c>
      <c r="Q14" s="30">
        <f t="shared" si="0"/>
        <v>0.97052663224549995</v>
      </c>
      <c r="R14" s="30">
        <f t="shared" si="0"/>
        <v>0.97052663224549995</v>
      </c>
      <c r="S14" s="30">
        <f t="shared" si="0"/>
        <v>0.97052663224549995</v>
      </c>
      <c r="T14" s="30">
        <f t="shared" si="0"/>
        <v>0.97052663224549995</v>
      </c>
      <c r="U14" s="30">
        <f t="shared" si="0"/>
        <v>0.97052663224549995</v>
      </c>
      <c r="V14" s="30">
        <f t="shared" si="0"/>
        <v>0.97052663224549995</v>
      </c>
      <c r="W14" s="30">
        <f t="shared" si="0"/>
        <v>0.97052663224549995</v>
      </c>
      <c r="X14" s="30">
        <f t="shared" si="0"/>
        <v>0.97052663224549995</v>
      </c>
      <c r="Y14" s="30">
        <f t="shared" si="0"/>
        <v>0.97052663224549995</v>
      </c>
      <c r="Z14" s="30">
        <f t="shared" si="0"/>
        <v>0.97052663224549995</v>
      </c>
      <c r="AA14" s="30">
        <f t="shared" si="0"/>
        <v>0.97052663224549995</v>
      </c>
      <c r="AB14" s="30">
        <f t="shared" si="0"/>
        <v>0.97052663224549995</v>
      </c>
      <c r="AC14" s="30">
        <f t="shared" si="0"/>
        <v>0.97052663224549995</v>
      </c>
      <c r="AD14" s="30">
        <f t="shared" si="0"/>
        <v>0.97052663224549995</v>
      </c>
      <c r="AE14" s="30">
        <f t="shared" si="0"/>
        <v>0.97052663224549995</v>
      </c>
      <c r="AF14" s="30">
        <f t="shared" si="0"/>
        <v>0.97052663224549995</v>
      </c>
      <c r="AG14" s="30">
        <f t="shared" si="0"/>
        <v>0.97052663224549995</v>
      </c>
    </row>
    <row r="15" spans="1:33" x14ac:dyDescent="0.3">
      <c r="A15" s="1" t="s">
        <v>13</v>
      </c>
      <c r="B15" s="30">
        <f>PERMIT_NZ!B15</f>
        <v>1</v>
      </c>
      <c r="C15" s="30">
        <f>PERMIT_NZ!C15</f>
        <v>0.99732060293140912</v>
      </c>
      <c r="D15" s="30">
        <f>PERMIT_NZ!D15</f>
        <v>0.99464120586281823</v>
      </c>
      <c r="E15" s="30">
        <f>PERMIT_NZ!E15</f>
        <v>0.99196180879422735</v>
      </c>
      <c r="F15" s="30">
        <f>PERMIT_NZ!F15</f>
        <v>0.98928241172563647</v>
      </c>
      <c r="G15" s="30">
        <f>PERMIT_NZ!G15</f>
        <v>0.98660301465704558</v>
      </c>
      <c r="H15" s="30">
        <f>PERMIT_NZ!H15</f>
        <v>0.9839236175884547</v>
      </c>
      <c r="I15" s="30">
        <f>PERMIT_NZ!I15</f>
        <v>0.98124422051986382</v>
      </c>
      <c r="J15" s="30">
        <f>PERMIT_NZ!J15</f>
        <v>0.97856482345127294</v>
      </c>
      <c r="K15" s="30">
        <f>PERMIT_NZ!K15</f>
        <v>0.97588542638268205</v>
      </c>
      <c r="L15" s="30">
        <f>PERMIT_NZ!L15</f>
        <v>0.97320602931409117</v>
      </c>
      <c r="M15" s="30">
        <f>PERMIT_NZ!M15</f>
        <v>0.97052663224550006</v>
      </c>
      <c r="N15" s="30">
        <f t="shared" si="1"/>
        <v>0.97052663224550006</v>
      </c>
      <c r="O15" s="30">
        <f t="shared" si="0"/>
        <v>0.97052663224550006</v>
      </c>
      <c r="P15" s="30">
        <f t="shared" si="0"/>
        <v>0.97052663224550006</v>
      </c>
      <c r="Q15" s="30">
        <f t="shared" si="0"/>
        <v>0.97052663224550006</v>
      </c>
      <c r="R15" s="30">
        <f t="shared" si="0"/>
        <v>0.97052663224550006</v>
      </c>
      <c r="S15" s="30">
        <f t="shared" si="0"/>
        <v>0.97052663224550006</v>
      </c>
      <c r="T15" s="30">
        <f t="shared" si="0"/>
        <v>0.97052663224550006</v>
      </c>
      <c r="U15" s="30">
        <f t="shared" si="0"/>
        <v>0.97052663224550006</v>
      </c>
      <c r="V15" s="30">
        <f t="shared" si="0"/>
        <v>0.97052663224550006</v>
      </c>
      <c r="W15" s="30">
        <f t="shared" si="0"/>
        <v>0.97052663224550006</v>
      </c>
      <c r="X15" s="30">
        <f t="shared" si="0"/>
        <v>0.97052663224550006</v>
      </c>
      <c r="Y15" s="30">
        <f t="shared" si="0"/>
        <v>0.97052663224550006</v>
      </c>
      <c r="Z15" s="30">
        <f t="shared" si="0"/>
        <v>0.97052663224550006</v>
      </c>
      <c r="AA15" s="30">
        <f t="shared" si="0"/>
        <v>0.97052663224550006</v>
      </c>
      <c r="AB15" s="30">
        <f t="shared" si="0"/>
        <v>0.97052663224550006</v>
      </c>
      <c r="AC15" s="30">
        <f t="shared" si="0"/>
        <v>0.97052663224550006</v>
      </c>
      <c r="AD15" s="30">
        <f t="shared" si="0"/>
        <v>0.97052663224550006</v>
      </c>
      <c r="AE15" s="30">
        <f t="shared" si="0"/>
        <v>0.97052663224550006</v>
      </c>
      <c r="AF15" s="30">
        <f t="shared" si="0"/>
        <v>0.97052663224550006</v>
      </c>
      <c r="AG15" s="30">
        <f t="shared" si="0"/>
        <v>0.97052663224550006</v>
      </c>
    </row>
    <row r="16" spans="1:33" x14ac:dyDescent="0.3">
      <c r="A16" s="1" t="s">
        <v>14</v>
      </c>
      <c r="B16" s="30">
        <f>PERMIT_NZ!B16</f>
        <v>1</v>
      </c>
      <c r="C16" s="30">
        <f>PERMIT_NZ!C16</f>
        <v>0.99732060293140912</v>
      </c>
      <c r="D16" s="30">
        <f>PERMIT_NZ!D16</f>
        <v>0.99464120586281823</v>
      </c>
      <c r="E16" s="30">
        <f>PERMIT_NZ!E16</f>
        <v>0.99196180879422735</v>
      </c>
      <c r="F16" s="30">
        <f>PERMIT_NZ!F16</f>
        <v>0.98928241172563647</v>
      </c>
      <c r="G16" s="30">
        <f>PERMIT_NZ!G16</f>
        <v>0.98660301465704558</v>
      </c>
      <c r="H16" s="30">
        <f>PERMIT_NZ!H16</f>
        <v>0.9839236175884547</v>
      </c>
      <c r="I16" s="30">
        <f>PERMIT_NZ!I16</f>
        <v>0.98124422051986382</v>
      </c>
      <c r="J16" s="30">
        <f>PERMIT_NZ!J16</f>
        <v>0.97856482345127294</v>
      </c>
      <c r="K16" s="30">
        <f>PERMIT_NZ!K16</f>
        <v>0.97588542638268205</v>
      </c>
      <c r="L16" s="30">
        <f>PERMIT_NZ!L16</f>
        <v>0.97320602931409117</v>
      </c>
      <c r="M16" s="30">
        <f>PERMIT_NZ!M16</f>
        <v>0.97052663224550018</v>
      </c>
      <c r="N16" s="30">
        <f t="shared" si="1"/>
        <v>0.97052663224550018</v>
      </c>
      <c r="O16" s="30">
        <f t="shared" si="0"/>
        <v>0.97052663224550018</v>
      </c>
      <c r="P16" s="30">
        <f t="shared" si="0"/>
        <v>0.97052663224550018</v>
      </c>
      <c r="Q16" s="30">
        <f t="shared" si="0"/>
        <v>0.97052663224550018</v>
      </c>
      <c r="R16" s="30">
        <f t="shared" si="0"/>
        <v>0.97052663224550018</v>
      </c>
      <c r="S16" s="30">
        <f t="shared" ref="O16:AG18" si="2">R16</f>
        <v>0.97052663224550018</v>
      </c>
      <c r="T16" s="30">
        <f t="shared" si="2"/>
        <v>0.97052663224550018</v>
      </c>
      <c r="U16" s="30">
        <f t="shared" si="2"/>
        <v>0.97052663224550018</v>
      </c>
      <c r="V16" s="30">
        <f t="shared" si="2"/>
        <v>0.97052663224550018</v>
      </c>
      <c r="W16" s="30">
        <f t="shared" si="2"/>
        <v>0.97052663224550018</v>
      </c>
      <c r="X16" s="30">
        <f t="shared" si="2"/>
        <v>0.97052663224550018</v>
      </c>
      <c r="Y16" s="30">
        <f t="shared" si="2"/>
        <v>0.97052663224550018</v>
      </c>
      <c r="Z16" s="30">
        <f t="shared" si="2"/>
        <v>0.97052663224550018</v>
      </c>
      <c r="AA16" s="30">
        <f t="shared" si="2"/>
        <v>0.97052663224550018</v>
      </c>
      <c r="AB16" s="30">
        <f t="shared" si="2"/>
        <v>0.97052663224550018</v>
      </c>
      <c r="AC16" s="30">
        <f t="shared" si="2"/>
        <v>0.97052663224550018</v>
      </c>
      <c r="AD16" s="30">
        <f t="shared" si="2"/>
        <v>0.97052663224550018</v>
      </c>
      <c r="AE16" s="30">
        <f t="shared" si="2"/>
        <v>0.97052663224550018</v>
      </c>
      <c r="AF16" s="30">
        <f t="shared" si="2"/>
        <v>0.97052663224550018</v>
      </c>
      <c r="AG16" s="30">
        <f t="shared" si="2"/>
        <v>0.97052663224550018</v>
      </c>
    </row>
    <row r="17" spans="1:33" x14ac:dyDescent="0.3">
      <c r="A17" s="1" t="s">
        <v>15</v>
      </c>
      <c r="B17" s="30">
        <f>PERMIT_NZ!B17</f>
        <v>1</v>
      </c>
      <c r="C17" s="30">
        <f>PERMIT_NZ!C17</f>
        <v>0.99732060293140912</v>
      </c>
      <c r="D17" s="30">
        <f>PERMIT_NZ!D17</f>
        <v>0.99464120586281823</v>
      </c>
      <c r="E17" s="30">
        <f>PERMIT_NZ!E17</f>
        <v>0.99196180879422735</v>
      </c>
      <c r="F17" s="30">
        <f>PERMIT_NZ!F17</f>
        <v>0.98928241172563647</v>
      </c>
      <c r="G17" s="30">
        <f>PERMIT_NZ!G17</f>
        <v>0.98660301465704558</v>
      </c>
      <c r="H17" s="30">
        <f>PERMIT_NZ!H17</f>
        <v>0.9839236175884547</v>
      </c>
      <c r="I17" s="30">
        <f>PERMIT_NZ!I17</f>
        <v>0.98124422051986382</v>
      </c>
      <c r="J17" s="30">
        <f>PERMIT_NZ!J17</f>
        <v>0.97856482345127294</v>
      </c>
      <c r="K17" s="30">
        <f>PERMIT_NZ!K17</f>
        <v>0.97588542638268205</v>
      </c>
      <c r="L17" s="30">
        <f>PERMIT_NZ!L17</f>
        <v>0.97320602931409117</v>
      </c>
      <c r="M17" s="30">
        <f>PERMIT_NZ!M17</f>
        <v>0.97052663224550018</v>
      </c>
      <c r="N17" s="30">
        <f t="shared" si="1"/>
        <v>0.97052663224550018</v>
      </c>
      <c r="O17" s="30">
        <f t="shared" si="2"/>
        <v>0.97052663224550018</v>
      </c>
      <c r="P17" s="30">
        <f t="shared" si="2"/>
        <v>0.97052663224550018</v>
      </c>
      <c r="Q17" s="30">
        <f t="shared" si="2"/>
        <v>0.97052663224550018</v>
      </c>
      <c r="R17" s="30">
        <f t="shared" si="2"/>
        <v>0.97052663224550018</v>
      </c>
      <c r="S17" s="30">
        <f t="shared" si="2"/>
        <v>0.97052663224550018</v>
      </c>
      <c r="T17" s="30">
        <f t="shared" si="2"/>
        <v>0.97052663224550018</v>
      </c>
      <c r="U17" s="30">
        <f t="shared" si="2"/>
        <v>0.97052663224550018</v>
      </c>
      <c r="V17" s="30">
        <f t="shared" si="2"/>
        <v>0.97052663224550018</v>
      </c>
      <c r="W17" s="30">
        <f t="shared" si="2"/>
        <v>0.97052663224550018</v>
      </c>
      <c r="X17" s="30">
        <f t="shared" si="2"/>
        <v>0.97052663224550018</v>
      </c>
      <c r="Y17" s="30">
        <f t="shared" si="2"/>
        <v>0.97052663224550018</v>
      </c>
      <c r="Z17" s="30">
        <f t="shared" si="2"/>
        <v>0.97052663224550018</v>
      </c>
      <c r="AA17" s="30">
        <f t="shared" si="2"/>
        <v>0.97052663224550018</v>
      </c>
      <c r="AB17" s="30">
        <f t="shared" si="2"/>
        <v>0.97052663224550018</v>
      </c>
      <c r="AC17" s="30">
        <f t="shared" si="2"/>
        <v>0.97052663224550018</v>
      </c>
      <c r="AD17" s="30">
        <f t="shared" si="2"/>
        <v>0.97052663224550018</v>
      </c>
      <c r="AE17" s="30">
        <f t="shared" si="2"/>
        <v>0.97052663224550018</v>
      </c>
      <c r="AF17" s="30">
        <f t="shared" si="2"/>
        <v>0.97052663224550018</v>
      </c>
      <c r="AG17" s="30">
        <f t="shared" si="2"/>
        <v>0.97052663224550018</v>
      </c>
    </row>
    <row r="18" spans="1:33" x14ac:dyDescent="0.3">
      <c r="A18" s="1" t="s">
        <v>16</v>
      </c>
      <c r="B18" s="30">
        <f>PERMIT_NZ!B18</f>
        <v>1</v>
      </c>
      <c r="C18" s="30">
        <f>PERMIT_NZ!C18</f>
        <v>0.96880530280148291</v>
      </c>
      <c r="D18" s="30">
        <f>PERMIT_NZ!D18</f>
        <v>0.93761060560296583</v>
      </c>
      <c r="E18" s="30">
        <f>PERMIT_NZ!E18</f>
        <v>0.90641590840444874</v>
      </c>
      <c r="F18" s="30">
        <f>PERMIT_NZ!F18</f>
        <v>0.87522121120593166</v>
      </c>
      <c r="G18" s="30">
        <f>PERMIT_NZ!G18</f>
        <v>0.84402651400741457</v>
      </c>
      <c r="H18" s="30">
        <f>PERMIT_NZ!H18</f>
        <v>0.81283181680889749</v>
      </c>
      <c r="I18" s="30">
        <f>PERMIT_NZ!I18</f>
        <v>0.7816371196103804</v>
      </c>
      <c r="J18" s="30">
        <f>PERMIT_NZ!J18</f>
        <v>0.75044242241186332</v>
      </c>
      <c r="K18" s="30">
        <f>PERMIT_NZ!K18</f>
        <v>0.71924772521334623</v>
      </c>
      <c r="L18" s="30">
        <f>PERMIT_NZ!L18</f>
        <v>0.68805302801482915</v>
      </c>
      <c r="M18" s="30">
        <f>PERMIT_NZ!M18</f>
        <v>0.65685833081631206</v>
      </c>
      <c r="N18" s="30">
        <f t="shared" si="1"/>
        <v>0.65685833081631206</v>
      </c>
      <c r="O18" s="30">
        <f t="shared" si="2"/>
        <v>0.65685833081631206</v>
      </c>
      <c r="P18" s="30">
        <f t="shared" si="2"/>
        <v>0.65685833081631206</v>
      </c>
      <c r="Q18" s="30">
        <f t="shared" si="2"/>
        <v>0.65685833081631206</v>
      </c>
      <c r="R18" s="30">
        <f t="shared" si="2"/>
        <v>0.65685833081631206</v>
      </c>
      <c r="S18" s="30">
        <f t="shared" si="2"/>
        <v>0.65685833081631206</v>
      </c>
      <c r="T18" s="30">
        <f t="shared" si="2"/>
        <v>0.65685833081631206</v>
      </c>
      <c r="U18" s="30">
        <f t="shared" si="2"/>
        <v>0.65685833081631206</v>
      </c>
      <c r="V18" s="30">
        <f t="shared" si="2"/>
        <v>0.65685833081631206</v>
      </c>
      <c r="W18" s="30">
        <f t="shared" si="2"/>
        <v>0.65685833081631206</v>
      </c>
      <c r="X18" s="30">
        <f t="shared" si="2"/>
        <v>0.65685833081631206</v>
      </c>
      <c r="Y18" s="30">
        <f t="shared" si="2"/>
        <v>0.65685833081631206</v>
      </c>
      <c r="Z18" s="30">
        <f t="shared" si="2"/>
        <v>0.65685833081631206</v>
      </c>
      <c r="AA18" s="30">
        <f t="shared" si="2"/>
        <v>0.65685833081631206</v>
      </c>
      <c r="AB18" s="30">
        <f t="shared" si="2"/>
        <v>0.65685833081631206</v>
      </c>
      <c r="AC18" s="30">
        <f t="shared" si="2"/>
        <v>0.65685833081631206</v>
      </c>
      <c r="AD18" s="30">
        <f t="shared" si="2"/>
        <v>0.65685833081631206</v>
      </c>
      <c r="AE18" s="30">
        <f t="shared" si="2"/>
        <v>0.65685833081631206</v>
      </c>
      <c r="AF18" s="30">
        <f t="shared" si="2"/>
        <v>0.65685833081631206</v>
      </c>
      <c r="AG18" s="30">
        <f t="shared" si="2"/>
        <v>0.65685833081631206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A751-8439-4781-9629-7415503CEF85}">
  <dimension ref="A1:AG60"/>
  <sheetViews>
    <sheetView topLeftCell="Y1" zoomScale="70" zoomScaleNormal="70" workbookViewId="0">
      <selection activeCell="A3" sqref="A3:AG3"/>
    </sheetView>
  </sheetViews>
  <sheetFormatPr defaultRowHeight="14.4" x14ac:dyDescent="0.3"/>
  <cols>
    <col min="1" max="1" width="11.109375" bestFit="1" customWidth="1"/>
    <col min="14" max="15" width="8.88671875" customWidth="1"/>
    <col min="16" max="16" width="7.33203125" customWidth="1"/>
    <col min="17" max="18" width="8.88671875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f>B23</f>
        <v>1</v>
      </c>
      <c r="C2" s="30">
        <f t="shared" ref="C2:L2" si="0">B2+($M2-$B2)/(2030-2019)</f>
        <v>0.96880530280148291</v>
      </c>
      <c r="D2" s="30">
        <f t="shared" si="0"/>
        <v>0.93761060560296583</v>
      </c>
      <c r="E2" s="30">
        <f t="shared" si="0"/>
        <v>0.90641590840444874</v>
      </c>
      <c r="F2" s="30">
        <f t="shared" si="0"/>
        <v>0.87522121120593166</v>
      </c>
      <c r="G2" s="30">
        <f t="shared" si="0"/>
        <v>0.84402651400741457</v>
      </c>
      <c r="H2" s="30">
        <f t="shared" si="0"/>
        <v>0.81283181680889749</v>
      </c>
      <c r="I2" s="30">
        <f t="shared" si="0"/>
        <v>0.7816371196103804</v>
      </c>
      <c r="J2" s="30">
        <f t="shared" si="0"/>
        <v>0.75044242241186332</v>
      </c>
      <c r="K2" s="30">
        <f t="shared" si="0"/>
        <v>0.71924772521334623</v>
      </c>
      <c r="L2" s="30">
        <f t="shared" si="0"/>
        <v>0.68805302801482915</v>
      </c>
      <c r="M2" s="30">
        <v>0.65685833081631229</v>
      </c>
      <c r="N2" s="32">
        <f>M2+($W2-$M2)/(2040-2030)</f>
        <v>0.62811088203873577</v>
      </c>
      <c r="O2" s="32">
        <f t="shared" ref="O2:V2" si="1">N2+($W2-$M2)/(2040-2030)</f>
        <v>0.59936343326115926</v>
      </c>
      <c r="P2" s="32">
        <f t="shared" si="1"/>
        <v>0.57061598448358275</v>
      </c>
      <c r="Q2" s="32">
        <f t="shared" si="1"/>
        <v>0.54186853570600624</v>
      </c>
      <c r="R2" s="32">
        <f t="shared" si="1"/>
        <v>0.51312108692842973</v>
      </c>
      <c r="S2" s="32">
        <f t="shared" si="1"/>
        <v>0.48437363815085327</v>
      </c>
      <c r="T2" s="32">
        <f t="shared" si="1"/>
        <v>0.45562618937327681</v>
      </c>
      <c r="U2" s="32">
        <f t="shared" si="1"/>
        <v>0.42687874059570036</v>
      </c>
      <c r="V2" s="32">
        <f t="shared" si="1"/>
        <v>0.3981312918181239</v>
      </c>
      <c r="W2" s="30">
        <v>0.36938384304054761</v>
      </c>
      <c r="X2" s="30">
        <f>W2+($AG2-$W2)/(2050-2040)</f>
        <v>0.34063639426297115</v>
      </c>
      <c r="Y2" s="30">
        <f t="shared" ref="Y2:AF2" si="2">X2+($AG2-$W2)/(2050-2040)</f>
        <v>0.3118889454853947</v>
      </c>
      <c r="Z2" s="30">
        <f t="shared" si="2"/>
        <v>0.28314149670781824</v>
      </c>
      <c r="AA2" s="30">
        <f t="shared" si="2"/>
        <v>0.25439404793024178</v>
      </c>
      <c r="AB2" s="30">
        <f t="shared" si="2"/>
        <v>0.22564659915266533</v>
      </c>
      <c r="AC2" s="30">
        <f t="shared" si="2"/>
        <v>0.19689915037508887</v>
      </c>
      <c r="AD2" s="30">
        <f t="shared" si="2"/>
        <v>0.16815170159751242</v>
      </c>
      <c r="AE2" s="30">
        <f t="shared" si="2"/>
        <v>0.13940425281993596</v>
      </c>
      <c r="AF2" s="30">
        <f t="shared" si="2"/>
        <v>0.1106568040423595</v>
      </c>
      <c r="AG2" s="30">
        <v>8.1909355264783101E-2</v>
      </c>
    </row>
    <row r="3" spans="1:33" x14ac:dyDescent="0.3">
      <c r="A3" s="1" t="s">
        <v>1</v>
      </c>
      <c r="B3" s="30">
        <f t="shared" ref="B3:B18" si="3">B24</f>
        <v>1</v>
      </c>
      <c r="C3" s="30">
        <f t="shared" ref="C3:L3" si="4">B3+($M3-$B3)/(2030-2019)</f>
        <v>0.99732060293140912</v>
      </c>
      <c r="D3" s="30">
        <f t="shared" si="4"/>
        <v>0.99464120586281823</v>
      </c>
      <c r="E3" s="30">
        <f t="shared" si="4"/>
        <v>0.99196180879422735</v>
      </c>
      <c r="F3" s="30">
        <f t="shared" si="4"/>
        <v>0.98928241172563647</v>
      </c>
      <c r="G3" s="30">
        <f t="shared" si="4"/>
        <v>0.98660301465704558</v>
      </c>
      <c r="H3" s="30">
        <f t="shared" si="4"/>
        <v>0.9839236175884547</v>
      </c>
      <c r="I3" s="30">
        <f t="shared" si="4"/>
        <v>0.98124422051986382</v>
      </c>
      <c r="J3" s="30">
        <f t="shared" si="4"/>
        <v>0.97856482345127294</v>
      </c>
      <c r="K3" s="30">
        <f t="shared" si="4"/>
        <v>0.97588542638268205</v>
      </c>
      <c r="L3" s="30">
        <f t="shared" si="4"/>
        <v>0.97320602931409117</v>
      </c>
      <c r="M3" s="30">
        <v>0.97052663224549995</v>
      </c>
      <c r="N3" s="32">
        <f t="shared" ref="N3:V3" si="5">M3+($W3-$M3)/(2040-2030)</f>
        <v>0.94123083520852557</v>
      </c>
      <c r="O3" s="32">
        <f t="shared" si="5"/>
        <v>0.91193503817155119</v>
      </c>
      <c r="P3" s="32">
        <f t="shared" si="5"/>
        <v>0.88263924113457681</v>
      </c>
      <c r="Q3" s="32">
        <f t="shared" si="5"/>
        <v>0.85334344409760243</v>
      </c>
      <c r="R3" s="32">
        <f t="shared" si="5"/>
        <v>0.82404764706062805</v>
      </c>
      <c r="S3" s="32">
        <f t="shared" si="5"/>
        <v>0.79475185002365367</v>
      </c>
      <c r="T3" s="32">
        <f t="shared" si="5"/>
        <v>0.76545605298667929</v>
      </c>
      <c r="U3" s="32">
        <f t="shared" si="5"/>
        <v>0.73616025594970491</v>
      </c>
      <c r="V3" s="32">
        <f t="shared" si="5"/>
        <v>0.70686445891273053</v>
      </c>
      <c r="W3" s="30">
        <v>0.67756866187575593</v>
      </c>
      <c r="X3" s="30">
        <f t="shared" ref="X3:AF3" si="6">W3+($AG3-$W3)/(2050-2040)</f>
        <v>0.64827286483878155</v>
      </c>
      <c r="Y3" s="30">
        <f t="shared" si="6"/>
        <v>0.61897706780180717</v>
      </c>
      <c r="Z3" s="30">
        <f t="shared" si="6"/>
        <v>0.58968127076483279</v>
      </c>
      <c r="AA3" s="30">
        <f t="shared" si="6"/>
        <v>0.56038547372785841</v>
      </c>
      <c r="AB3" s="30">
        <f t="shared" si="6"/>
        <v>0.53108967669088403</v>
      </c>
      <c r="AC3" s="30">
        <f t="shared" si="6"/>
        <v>0.50179387965390965</v>
      </c>
      <c r="AD3" s="30">
        <f t="shared" si="6"/>
        <v>0.47249808261693527</v>
      </c>
      <c r="AE3" s="30">
        <f t="shared" si="6"/>
        <v>0.44320228557996089</v>
      </c>
      <c r="AF3" s="30">
        <f t="shared" si="6"/>
        <v>0.41390648854298651</v>
      </c>
      <c r="AG3" s="30">
        <v>0.38461069150601185</v>
      </c>
    </row>
    <row r="4" spans="1:33" x14ac:dyDescent="0.3">
      <c r="A4" s="1" t="s">
        <v>2</v>
      </c>
      <c r="B4" s="30">
        <f t="shared" si="3"/>
        <v>1</v>
      </c>
      <c r="C4" s="30">
        <f t="shared" ref="C4:L4" si="7">B4+($M4-$B4)/(2030-2019)</f>
        <v>0.97030956186559991</v>
      </c>
      <c r="D4" s="30">
        <f t="shared" si="7"/>
        <v>0.94061912373119982</v>
      </c>
      <c r="E4" s="30">
        <f t="shared" si="7"/>
        <v>0.91092868559679974</v>
      </c>
      <c r="F4" s="30">
        <f t="shared" si="7"/>
        <v>0.88123824746239965</v>
      </c>
      <c r="G4" s="30">
        <f t="shared" si="7"/>
        <v>0.85154780932799956</v>
      </c>
      <c r="H4" s="30">
        <f t="shared" si="7"/>
        <v>0.82185737119359947</v>
      </c>
      <c r="I4" s="30">
        <f t="shared" si="7"/>
        <v>0.79216693305919939</v>
      </c>
      <c r="J4" s="30">
        <f t="shared" si="7"/>
        <v>0.7624764949247993</v>
      </c>
      <c r="K4" s="30">
        <f t="shared" si="7"/>
        <v>0.73278605679039921</v>
      </c>
      <c r="L4" s="30">
        <f t="shared" si="7"/>
        <v>0.70309561865599912</v>
      </c>
      <c r="M4" s="30">
        <v>0.67340518052159881</v>
      </c>
      <c r="N4" s="32">
        <f t="shared" ref="N4:V4" si="8">M4+($W4-$M4)/(2040-2030)</f>
        <v>0.64379368066983944</v>
      </c>
      <c r="O4" s="32">
        <f t="shared" si="8"/>
        <v>0.61418218081808007</v>
      </c>
      <c r="P4" s="32">
        <f t="shared" si="8"/>
        <v>0.5845706809663207</v>
      </c>
      <c r="Q4" s="32">
        <f t="shared" si="8"/>
        <v>0.55495918111456133</v>
      </c>
      <c r="R4" s="32">
        <f t="shared" si="8"/>
        <v>0.52534768126280196</v>
      </c>
      <c r="S4" s="32">
        <f t="shared" si="8"/>
        <v>0.49573618141104253</v>
      </c>
      <c r="T4" s="32">
        <f t="shared" si="8"/>
        <v>0.4661246815592831</v>
      </c>
      <c r="U4" s="32">
        <f t="shared" si="8"/>
        <v>0.43651318170752368</v>
      </c>
      <c r="V4" s="32">
        <f t="shared" si="8"/>
        <v>0.40690168185576425</v>
      </c>
      <c r="W4" s="30">
        <v>0.37729018200400471</v>
      </c>
      <c r="X4" s="30">
        <f t="shared" ref="X4:AF4" si="9">W4+($AG4-$W4)/(2050-2040)</f>
        <v>0.34767868215224529</v>
      </c>
      <c r="Y4" s="30">
        <f t="shared" si="9"/>
        <v>0.31806718230048586</v>
      </c>
      <c r="Z4" s="30">
        <f t="shared" si="9"/>
        <v>0.28845568244872644</v>
      </c>
      <c r="AA4" s="30">
        <f t="shared" si="9"/>
        <v>0.25884418259696701</v>
      </c>
      <c r="AB4" s="30">
        <f t="shared" si="9"/>
        <v>0.22923268274520761</v>
      </c>
      <c r="AC4" s="30">
        <f t="shared" si="9"/>
        <v>0.19962118289344821</v>
      </c>
      <c r="AD4" s="30">
        <f t="shared" si="9"/>
        <v>0.17000968304168881</v>
      </c>
      <c r="AE4" s="30">
        <f t="shared" si="9"/>
        <v>0.14039818318992942</v>
      </c>
      <c r="AF4" s="30">
        <f t="shared" si="9"/>
        <v>0.11078668333817002</v>
      </c>
      <c r="AG4" s="30">
        <v>8.1175183486410674E-2</v>
      </c>
    </row>
    <row r="5" spans="1:33" x14ac:dyDescent="0.3">
      <c r="A5" s="1" t="s">
        <v>3</v>
      </c>
      <c r="B5" s="30">
        <f t="shared" si="3"/>
        <v>1</v>
      </c>
      <c r="C5" s="30">
        <f t="shared" ref="C5:L5" si="10">B5+($M5-$B5)/(2030-2019)</f>
        <v>1.0122286096130622</v>
      </c>
      <c r="D5" s="30">
        <f t="shared" si="10"/>
        <v>1.0244572192261243</v>
      </c>
      <c r="E5" s="30">
        <f t="shared" si="10"/>
        <v>1.0366858288391865</v>
      </c>
      <c r="F5" s="30">
        <f t="shared" si="10"/>
        <v>1.0489144384522486</v>
      </c>
      <c r="G5" s="30">
        <f t="shared" si="10"/>
        <v>1.0611430480653108</v>
      </c>
      <c r="H5" s="30">
        <f t="shared" si="10"/>
        <v>1.0733716576783729</v>
      </c>
      <c r="I5" s="30">
        <f t="shared" si="10"/>
        <v>1.0856002672914351</v>
      </c>
      <c r="J5" s="30">
        <f t="shared" si="10"/>
        <v>1.0978288769044973</v>
      </c>
      <c r="K5" s="30">
        <f t="shared" si="10"/>
        <v>1.1100574865175594</v>
      </c>
      <c r="L5" s="30">
        <f t="shared" si="10"/>
        <v>1.1222860961306216</v>
      </c>
      <c r="M5" s="30">
        <v>1.1345147057436835</v>
      </c>
      <c r="N5" s="32">
        <f t="shared" ref="N5:V5" si="11">M5+($W5-$M5)/(2040-2030)</f>
        <v>1.1080095424954721</v>
      </c>
      <c r="O5" s="32">
        <f t="shared" si="11"/>
        <v>1.0815043792472607</v>
      </c>
      <c r="P5" s="32">
        <f t="shared" si="11"/>
        <v>1.0549992159990493</v>
      </c>
      <c r="Q5" s="32">
        <f t="shared" si="11"/>
        <v>1.0284940527508379</v>
      </c>
      <c r="R5" s="32">
        <f t="shared" si="11"/>
        <v>1.0019888895026265</v>
      </c>
      <c r="S5" s="32">
        <f t="shared" si="11"/>
        <v>0.97548372625441504</v>
      </c>
      <c r="T5" s="32">
        <f t="shared" si="11"/>
        <v>0.94897856300620353</v>
      </c>
      <c r="U5" s="32">
        <f t="shared" si="11"/>
        <v>0.92247339975799203</v>
      </c>
      <c r="V5" s="32">
        <f t="shared" si="11"/>
        <v>0.89596823650978052</v>
      </c>
      <c r="W5" s="30">
        <v>0.86946307326156869</v>
      </c>
      <c r="X5" s="30">
        <f t="shared" ref="X5:AF5" si="12">W5+($AG5-$W5)/(2050-2040)</f>
        <v>0.84295791001335718</v>
      </c>
      <c r="Y5" s="30">
        <f t="shared" si="12"/>
        <v>0.81645274676514568</v>
      </c>
      <c r="Z5" s="30">
        <f t="shared" si="12"/>
        <v>0.78994758351693417</v>
      </c>
      <c r="AA5" s="30">
        <f t="shared" si="12"/>
        <v>0.76344242026872267</v>
      </c>
      <c r="AB5" s="30">
        <f t="shared" si="12"/>
        <v>0.73693725702051116</v>
      </c>
      <c r="AC5" s="30">
        <f t="shared" si="12"/>
        <v>0.71043209377229966</v>
      </c>
      <c r="AD5" s="30">
        <f t="shared" si="12"/>
        <v>0.68392693052408815</v>
      </c>
      <c r="AE5" s="30">
        <f t="shared" si="12"/>
        <v>0.65742176727587665</v>
      </c>
      <c r="AF5" s="30">
        <f t="shared" si="12"/>
        <v>0.63091660402766514</v>
      </c>
      <c r="AG5" s="30">
        <v>0.60441144077945386</v>
      </c>
    </row>
    <row r="6" spans="1:33" s="16" customFormat="1" x14ac:dyDescent="0.3">
      <c r="A6" s="23" t="s">
        <v>4</v>
      </c>
      <c r="B6" s="30">
        <f t="shared" si="3"/>
        <v>1</v>
      </c>
      <c r="C6" s="30">
        <f t="shared" ref="C6:L6" si="13">B6+($M6-$B6)/(2030-2019)</f>
        <v>1.0122286096130622</v>
      </c>
      <c r="D6" s="30">
        <f t="shared" si="13"/>
        <v>1.0244572192261243</v>
      </c>
      <c r="E6" s="30">
        <f t="shared" si="13"/>
        <v>1.0366858288391865</v>
      </c>
      <c r="F6" s="30">
        <f t="shared" si="13"/>
        <v>1.0489144384522486</v>
      </c>
      <c r="G6" s="30">
        <f t="shared" si="13"/>
        <v>1.0611430480653108</v>
      </c>
      <c r="H6" s="30">
        <f t="shared" si="13"/>
        <v>1.0733716576783729</v>
      </c>
      <c r="I6" s="30">
        <f t="shared" si="13"/>
        <v>1.0856002672914351</v>
      </c>
      <c r="J6" s="30">
        <f t="shared" si="13"/>
        <v>1.0978288769044973</v>
      </c>
      <c r="K6" s="30">
        <f t="shared" si="13"/>
        <v>1.1100574865175594</v>
      </c>
      <c r="L6" s="30">
        <f t="shared" si="13"/>
        <v>1.1222860961306216</v>
      </c>
      <c r="M6" s="30">
        <v>1.1345147057436833</v>
      </c>
      <c r="N6" s="32">
        <f t="shared" ref="N6:V6" si="14">M6+($W6-$M6)/(2040-2030)</f>
        <v>1.1080095424954719</v>
      </c>
      <c r="O6" s="32">
        <f t="shared" si="14"/>
        <v>1.0815043792472605</v>
      </c>
      <c r="P6" s="32">
        <f t="shared" si="14"/>
        <v>1.0549992159990491</v>
      </c>
      <c r="Q6" s="32">
        <f t="shared" si="14"/>
        <v>1.0284940527508377</v>
      </c>
      <c r="R6" s="32">
        <f t="shared" si="14"/>
        <v>1.0019888895026263</v>
      </c>
      <c r="S6" s="32">
        <f t="shared" si="14"/>
        <v>0.97548372625441493</v>
      </c>
      <c r="T6" s="32">
        <f t="shared" si="14"/>
        <v>0.94897856300620353</v>
      </c>
      <c r="U6" s="32">
        <f t="shared" si="14"/>
        <v>0.92247339975799214</v>
      </c>
      <c r="V6" s="32">
        <f t="shared" si="14"/>
        <v>0.89596823650978075</v>
      </c>
      <c r="W6" s="30">
        <v>0.8694630732615688</v>
      </c>
      <c r="X6" s="30">
        <f t="shared" ref="X6:AF6" si="15">W6+($AG6-$W6)/(2050-2040)</f>
        <v>0.84295791001335729</v>
      </c>
      <c r="Y6" s="30">
        <f t="shared" si="15"/>
        <v>0.81645274676514579</v>
      </c>
      <c r="Z6" s="30">
        <f t="shared" si="15"/>
        <v>0.78994758351693428</v>
      </c>
      <c r="AA6" s="30">
        <f t="shared" si="15"/>
        <v>0.76344242026872278</v>
      </c>
      <c r="AB6" s="30">
        <f t="shared" si="15"/>
        <v>0.73693725702051127</v>
      </c>
      <c r="AC6" s="30">
        <f t="shared" si="15"/>
        <v>0.71043209377229977</v>
      </c>
      <c r="AD6" s="30">
        <f t="shared" si="15"/>
        <v>0.68392693052408826</v>
      </c>
      <c r="AE6" s="30">
        <f t="shared" si="15"/>
        <v>0.65742176727587676</v>
      </c>
      <c r="AF6" s="30">
        <f t="shared" si="15"/>
        <v>0.63091660402766525</v>
      </c>
      <c r="AG6" s="30">
        <v>0.60441144077945386</v>
      </c>
    </row>
    <row r="7" spans="1:33" s="16" customFormat="1" x14ac:dyDescent="0.3">
      <c r="A7" s="23" t="s">
        <v>5</v>
      </c>
      <c r="B7" s="30">
        <f t="shared" si="3"/>
        <v>1</v>
      </c>
      <c r="C7" s="30">
        <f t="shared" ref="C7:L7" si="16">B7+($M7-$B7)/(2030-2019)</f>
        <v>1.0122286096130622</v>
      </c>
      <c r="D7" s="30">
        <f t="shared" si="16"/>
        <v>1.0244572192261243</v>
      </c>
      <c r="E7" s="30">
        <f t="shared" si="16"/>
        <v>1.0366858288391865</v>
      </c>
      <c r="F7" s="30">
        <f t="shared" si="16"/>
        <v>1.0489144384522486</v>
      </c>
      <c r="G7" s="30">
        <f t="shared" si="16"/>
        <v>1.0611430480653108</v>
      </c>
      <c r="H7" s="30">
        <f t="shared" si="16"/>
        <v>1.0733716576783729</v>
      </c>
      <c r="I7" s="30">
        <f t="shared" si="16"/>
        <v>1.0856002672914351</v>
      </c>
      <c r="J7" s="30">
        <f t="shared" si="16"/>
        <v>1.0978288769044973</v>
      </c>
      <c r="K7" s="30">
        <f t="shared" si="16"/>
        <v>1.1100574865175594</v>
      </c>
      <c r="L7" s="30">
        <f t="shared" si="16"/>
        <v>1.1222860961306216</v>
      </c>
      <c r="M7" s="30">
        <v>1.1345147057436835</v>
      </c>
      <c r="N7" s="32">
        <f t="shared" ref="N7:V7" si="17">M7+($W7-$M7)/(2040-2030)</f>
        <v>1.1080095424954721</v>
      </c>
      <c r="O7" s="32">
        <f t="shared" si="17"/>
        <v>1.0815043792472607</v>
      </c>
      <c r="P7" s="32">
        <f t="shared" si="17"/>
        <v>1.0549992159990493</v>
      </c>
      <c r="Q7" s="32">
        <f t="shared" si="17"/>
        <v>1.0284940527508379</v>
      </c>
      <c r="R7" s="32">
        <f t="shared" si="17"/>
        <v>1.0019888895026265</v>
      </c>
      <c r="S7" s="32">
        <f t="shared" si="17"/>
        <v>0.97548372625441504</v>
      </c>
      <c r="T7" s="32">
        <f t="shared" si="17"/>
        <v>0.94897856300620353</v>
      </c>
      <c r="U7" s="32">
        <f t="shared" si="17"/>
        <v>0.92247339975799203</v>
      </c>
      <c r="V7" s="32">
        <f t="shared" si="17"/>
        <v>0.89596823650978052</v>
      </c>
      <c r="W7" s="30">
        <v>0.86946307326156858</v>
      </c>
      <c r="X7" s="30">
        <f t="shared" ref="X7:AF7" si="18">W7+($AG7-$W7)/(2050-2040)</f>
        <v>0.84295791001335707</v>
      </c>
      <c r="Y7" s="30">
        <f t="shared" si="18"/>
        <v>0.81645274676514556</v>
      </c>
      <c r="Z7" s="30">
        <f t="shared" si="18"/>
        <v>0.78994758351693406</v>
      </c>
      <c r="AA7" s="30">
        <f t="shared" si="18"/>
        <v>0.76344242026872255</v>
      </c>
      <c r="AB7" s="30">
        <f t="shared" si="18"/>
        <v>0.73693725702051105</v>
      </c>
      <c r="AC7" s="30">
        <f t="shared" si="18"/>
        <v>0.71043209377229954</v>
      </c>
      <c r="AD7" s="30">
        <f t="shared" si="18"/>
        <v>0.68392693052408804</v>
      </c>
      <c r="AE7" s="30">
        <f t="shared" si="18"/>
        <v>0.65742176727587653</v>
      </c>
      <c r="AF7" s="30">
        <f t="shared" si="18"/>
        <v>0.63091660402766503</v>
      </c>
      <c r="AG7" s="30">
        <v>0.60441144077945386</v>
      </c>
    </row>
    <row r="8" spans="1:33" x14ac:dyDescent="0.3">
      <c r="A8" s="1" t="s">
        <v>6</v>
      </c>
      <c r="B8" s="30">
        <f t="shared" si="3"/>
        <v>1</v>
      </c>
      <c r="C8" s="30">
        <f t="shared" ref="C8:L8" si="19">B8+($M8-$B8)/(2030-2019)</f>
        <v>0.95454545454545459</v>
      </c>
      <c r="D8" s="30">
        <f t="shared" si="19"/>
        <v>0.90909090909090917</v>
      </c>
      <c r="E8" s="30">
        <f t="shared" si="19"/>
        <v>0.86363636363636376</v>
      </c>
      <c r="F8" s="30">
        <f t="shared" si="19"/>
        <v>0.81818181818181834</v>
      </c>
      <c r="G8" s="30">
        <f t="shared" si="19"/>
        <v>0.77272727272727293</v>
      </c>
      <c r="H8" s="30">
        <f t="shared" si="19"/>
        <v>0.72727272727272751</v>
      </c>
      <c r="I8" s="30">
        <f t="shared" si="19"/>
        <v>0.6818181818181821</v>
      </c>
      <c r="J8" s="30">
        <f t="shared" si="19"/>
        <v>0.63636363636363669</v>
      </c>
      <c r="K8" s="30">
        <f t="shared" si="19"/>
        <v>0.59090909090909127</v>
      </c>
      <c r="L8" s="30">
        <f t="shared" si="19"/>
        <v>0.54545454545454586</v>
      </c>
      <c r="M8" s="30">
        <v>0.5</v>
      </c>
      <c r="N8" s="32">
        <f t="shared" ref="N8:V8" si="20">M8+($W8-$M8)/(2040-2030)</f>
        <v>0.48</v>
      </c>
      <c r="O8" s="32">
        <f t="shared" si="20"/>
        <v>0.45999999999999996</v>
      </c>
      <c r="P8" s="32">
        <f t="shared" si="20"/>
        <v>0.43999999999999995</v>
      </c>
      <c r="Q8" s="32">
        <f t="shared" si="20"/>
        <v>0.41999999999999993</v>
      </c>
      <c r="R8" s="32">
        <f t="shared" si="20"/>
        <v>0.39999999999999991</v>
      </c>
      <c r="S8" s="32">
        <f t="shared" si="20"/>
        <v>0.37999999999999989</v>
      </c>
      <c r="T8" s="32">
        <f t="shared" si="20"/>
        <v>0.35999999999999988</v>
      </c>
      <c r="U8" s="32">
        <f t="shared" si="20"/>
        <v>0.33999999999999986</v>
      </c>
      <c r="V8" s="32">
        <f t="shared" si="20"/>
        <v>0.31999999999999984</v>
      </c>
      <c r="W8" s="31">
        <v>0.29999999999999977</v>
      </c>
      <c r="X8" s="30">
        <f t="shared" ref="X8:AF8" si="21">W8+($AG8-$W8)/(2050-2040)</f>
        <v>0.2749999999999998</v>
      </c>
      <c r="Y8" s="30">
        <f t="shared" si="21"/>
        <v>0.24999999999999983</v>
      </c>
      <c r="Z8" s="30">
        <f t="shared" si="21"/>
        <v>0.22499999999999987</v>
      </c>
      <c r="AA8" s="30">
        <f t="shared" si="21"/>
        <v>0.1999999999999999</v>
      </c>
      <c r="AB8" s="30">
        <f t="shared" si="21"/>
        <v>0.17499999999999993</v>
      </c>
      <c r="AC8" s="30">
        <f t="shared" si="21"/>
        <v>0.14999999999999997</v>
      </c>
      <c r="AD8" s="30">
        <f t="shared" si="21"/>
        <v>0.12499999999999999</v>
      </c>
      <c r="AE8" s="30">
        <f t="shared" si="21"/>
        <v>0.1</v>
      </c>
      <c r="AF8" s="30">
        <f t="shared" si="21"/>
        <v>7.5000000000000025E-2</v>
      </c>
      <c r="AG8" s="31">
        <v>0.05</v>
      </c>
    </row>
    <row r="9" spans="1:33" x14ac:dyDescent="0.3">
      <c r="A9" s="1" t="s">
        <v>7</v>
      </c>
      <c r="B9" s="30">
        <f t="shared" si="3"/>
        <v>1</v>
      </c>
      <c r="C9" s="30">
        <f t="shared" ref="C9:L9" si="22">B9+($M9-$B9)/(2030-2019)</f>
        <v>0.99732060293140912</v>
      </c>
      <c r="D9" s="30">
        <f t="shared" si="22"/>
        <v>0.99464120586281823</v>
      </c>
      <c r="E9" s="30">
        <f t="shared" si="22"/>
        <v>0.99196180879422735</v>
      </c>
      <c r="F9" s="30">
        <f t="shared" si="22"/>
        <v>0.98928241172563647</v>
      </c>
      <c r="G9" s="30">
        <f t="shared" si="22"/>
        <v>0.98660301465704558</v>
      </c>
      <c r="H9" s="30">
        <f t="shared" si="22"/>
        <v>0.9839236175884547</v>
      </c>
      <c r="I9" s="30">
        <f t="shared" si="22"/>
        <v>0.98124422051986382</v>
      </c>
      <c r="J9" s="30">
        <f t="shared" si="22"/>
        <v>0.97856482345127294</v>
      </c>
      <c r="K9" s="30">
        <f t="shared" si="22"/>
        <v>0.97588542638268205</v>
      </c>
      <c r="L9" s="30">
        <f t="shared" si="22"/>
        <v>0.97320602931409117</v>
      </c>
      <c r="M9" s="30">
        <v>0.97052663224550006</v>
      </c>
      <c r="N9" s="32">
        <f t="shared" ref="N9:V9" si="23">M9+($W9-$M9)/(2040-2030)</f>
        <v>0.94123083520852568</v>
      </c>
      <c r="O9" s="32">
        <f t="shared" si="23"/>
        <v>0.9119350381715513</v>
      </c>
      <c r="P9" s="32">
        <f t="shared" si="23"/>
        <v>0.88263924113457692</v>
      </c>
      <c r="Q9" s="32">
        <f t="shared" si="23"/>
        <v>0.85334344409760254</v>
      </c>
      <c r="R9" s="32">
        <f t="shared" si="23"/>
        <v>0.82404764706062816</v>
      </c>
      <c r="S9" s="32">
        <f t="shared" si="23"/>
        <v>0.79475185002365378</v>
      </c>
      <c r="T9" s="32">
        <f t="shared" si="23"/>
        <v>0.7654560529866794</v>
      </c>
      <c r="U9" s="32">
        <f t="shared" si="23"/>
        <v>0.73616025594970502</v>
      </c>
      <c r="V9" s="32">
        <f t="shared" si="23"/>
        <v>0.70686445891273064</v>
      </c>
      <c r="W9" s="30">
        <v>0.67756866187575593</v>
      </c>
      <c r="X9" s="30">
        <f t="shared" ref="X9:AF9" si="24">W9+($AG9-$W9)/(2050-2040)</f>
        <v>0.64981179568818037</v>
      </c>
      <c r="Y9" s="30">
        <f t="shared" si="24"/>
        <v>0.62205492950060481</v>
      </c>
      <c r="Z9" s="30">
        <f t="shared" si="24"/>
        <v>0.59429806331302926</v>
      </c>
      <c r="AA9" s="30">
        <f t="shared" si="24"/>
        <v>0.5665411971254537</v>
      </c>
      <c r="AB9" s="30">
        <f t="shared" si="24"/>
        <v>0.53878433093787814</v>
      </c>
      <c r="AC9" s="30">
        <f t="shared" si="24"/>
        <v>0.51102746475030258</v>
      </c>
      <c r="AD9" s="30">
        <f t="shared" si="24"/>
        <v>0.48327059856272697</v>
      </c>
      <c r="AE9" s="30">
        <f t="shared" si="24"/>
        <v>0.45551373237515136</v>
      </c>
      <c r="AF9" s="30">
        <f t="shared" si="24"/>
        <v>0.42775686618757575</v>
      </c>
      <c r="AG9" s="31">
        <v>0.39999999999999997</v>
      </c>
    </row>
    <row r="10" spans="1:33" x14ac:dyDescent="0.3">
      <c r="A10" s="1" t="s">
        <v>8</v>
      </c>
      <c r="B10" s="30">
        <f t="shared" si="3"/>
        <v>1</v>
      </c>
      <c r="C10" s="30">
        <f t="shared" ref="C10:L10" si="25">B10+($M10-$B10)/(2030-2019)</f>
        <v>0.95454545454545459</v>
      </c>
      <c r="D10" s="30">
        <f t="shared" si="25"/>
        <v>0.90909090909090917</v>
      </c>
      <c r="E10" s="30">
        <f t="shared" si="25"/>
        <v>0.86363636363636376</v>
      </c>
      <c r="F10" s="30">
        <f t="shared" si="25"/>
        <v>0.81818181818181834</v>
      </c>
      <c r="G10" s="30">
        <f t="shared" si="25"/>
        <v>0.77272727272727293</v>
      </c>
      <c r="H10" s="30">
        <f t="shared" si="25"/>
        <v>0.72727272727272751</v>
      </c>
      <c r="I10" s="30">
        <f t="shared" si="25"/>
        <v>0.6818181818181821</v>
      </c>
      <c r="J10" s="30">
        <f t="shared" si="25"/>
        <v>0.63636363636363669</v>
      </c>
      <c r="K10" s="30">
        <f t="shared" si="25"/>
        <v>0.59090909090909127</v>
      </c>
      <c r="L10" s="30">
        <f t="shared" si="25"/>
        <v>0.54545454545454586</v>
      </c>
      <c r="M10" s="30">
        <v>0.49999999999999989</v>
      </c>
      <c r="N10" s="32">
        <f t="shared" ref="N10:V10" si="26">M10+($W10-$M10)/(2040-2030)</f>
        <v>0.47999999999999987</v>
      </c>
      <c r="O10" s="32">
        <f t="shared" si="26"/>
        <v>0.45999999999999985</v>
      </c>
      <c r="P10" s="32">
        <f t="shared" si="26"/>
        <v>0.43999999999999984</v>
      </c>
      <c r="Q10" s="32">
        <f t="shared" si="26"/>
        <v>0.41999999999999982</v>
      </c>
      <c r="R10" s="32">
        <f t="shared" si="26"/>
        <v>0.3999999999999998</v>
      </c>
      <c r="S10" s="32">
        <f t="shared" si="26"/>
        <v>0.37999999999999978</v>
      </c>
      <c r="T10" s="32">
        <f t="shared" si="26"/>
        <v>0.35999999999999976</v>
      </c>
      <c r="U10" s="32">
        <f t="shared" si="26"/>
        <v>0.33999999999999975</v>
      </c>
      <c r="V10" s="32">
        <f t="shared" si="26"/>
        <v>0.31999999999999973</v>
      </c>
      <c r="W10" s="31">
        <v>0.29999999999999977</v>
      </c>
      <c r="X10" s="30">
        <f t="shared" ref="X10:AF10" si="27">W10+($AG10-$W10)/(2050-2040)</f>
        <v>0.2799999999999998</v>
      </c>
      <c r="Y10" s="30">
        <f t="shared" si="27"/>
        <v>0.25999999999999984</v>
      </c>
      <c r="Z10" s="30">
        <f t="shared" si="27"/>
        <v>0.23999999999999985</v>
      </c>
      <c r="AA10" s="30">
        <f t="shared" si="27"/>
        <v>0.21999999999999986</v>
      </c>
      <c r="AB10" s="30">
        <f t="shared" si="27"/>
        <v>0.19999999999999987</v>
      </c>
      <c r="AC10" s="30">
        <f t="shared" si="27"/>
        <v>0.17999999999999988</v>
      </c>
      <c r="AD10" s="30">
        <f t="shared" si="27"/>
        <v>0.15999999999999989</v>
      </c>
      <c r="AE10" s="30">
        <f t="shared" si="27"/>
        <v>0.1399999999999999</v>
      </c>
      <c r="AF10" s="30">
        <f t="shared" si="27"/>
        <v>0.11999999999999991</v>
      </c>
      <c r="AG10" s="31">
        <v>9.9999999999999922E-2</v>
      </c>
    </row>
    <row r="11" spans="1:33" x14ac:dyDescent="0.3">
      <c r="A11" s="1" t="s">
        <v>9</v>
      </c>
      <c r="B11" s="30">
        <f t="shared" si="3"/>
        <v>1</v>
      </c>
      <c r="C11" s="30">
        <f t="shared" ref="C11:L11" si="28">B11+($M11-$B11)/(2030-2019)</f>
        <v>0.95454545454545459</v>
      </c>
      <c r="D11" s="30">
        <f t="shared" si="28"/>
        <v>0.90909090909090917</v>
      </c>
      <c r="E11" s="30">
        <f t="shared" si="28"/>
        <v>0.86363636363636376</v>
      </c>
      <c r="F11" s="30">
        <f t="shared" si="28"/>
        <v>0.81818181818181834</v>
      </c>
      <c r="G11" s="30">
        <f t="shared" si="28"/>
        <v>0.77272727272727293</v>
      </c>
      <c r="H11" s="30">
        <f t="shared" si="28"/>
        <v>0.72727272727272751</v>
      </c>
      <c r="I11" s="30">
        <f t="shared" si="28"/>
        <v>0.6818181818181821</v>
      </c>
      <c r="J11" s="30">
        <f t="shared" si="28"/>
        <v>0.63636363636363669</v>
      </c>
      <c r="K11" s="30">
        <f t="shared" si="28"/>
        <v>0.59090909090909127</v>
      </c>
      <c r="L11" s="30">
        <f t="shared" si="28"/>
        <v>0.54545454545454586</v>
      </c>
      <c r="M11" s="30">
        <v>0.50000000000000011</v>
      </c>
      <c r="N11" s="32">
        <f t="shared" ref="N11:V11" si="29">M11+($W11-$M11)/(2040-2030)</f>
        <v>0.48000000000000009</v>
      </c>
      <c r="O11" s="32">
        <f t="shared" si="29"/>
        <v>0.46000000000000008</v>
      </c>
      <c r="P11" s="32">
        <f t="shared" si="29"/>
        <v>0.44000000000000006</v>
      </c>
      <c r="Q11" s="32">
        <f t="shared" si="29"/>
        <v>0.42000000000000004</v>
      </c>
      <c r="R11" s="32">
        <f t="shared" si="29"/>
        <v>0.4</v>
      </c>
      <c r="S11" s="32">
        <f t="shared" si="29"/>
        <v>0.38</v>
      </c>
      <c r="T11" s="32">
        <f t="shared" si="29"/>
        <v>0.36</v>
      </c>
      <c r="U11" s="32">
        <f t="shared" si="29"/>
        <v>0.33999999999999997</v>
      </c>
      <c r="V11" s="32">
        <f t="shared" si="29"/>
        <v>0.31999999999999995</v>
      </c>
      <c r="W11" s="31">
        <v>0.29999999999999977</v>
      </c>
      <c r="X11" s="30">
        <f t="shared" ref="X11:AF11" si="30">W11+($AG11-$W11)/(2050-2040)</f>
        <v>0.2799999999999998</v>
      </c>
      <c r="Y11" s="30">
        <f t="shared" si="30"/>
        <v>0.25999999999999984</v>
      </c>
      <c r="Z11" s="30">
        <f t="shared" si="30"/>
        <v>0.23999999999999988</v>
      </c>
      <c r="AA11" s="30">
        <f t="shared" si="30"/>
        <v>0.21999999999999992</v>
      </c>
      <c r="AB11" s="30">
        <f t="shared" si="30"/>
        <v>0.19999999999999996</v>
      </c>
      <c r="AC11" s="30">
        <f t="shared" si="30"/>
        <v>0.18</v>
      </c>
      <c r="AD11" s="30">
        <f t="shared" si="30"/>
        <v>0.16000000000000003</v>
      </c>
      <c r="AE11" s="30">
        <f t="shared" si="30"/>
        <v>0.14000000000000007</v>
      </c>
      <c r="AF11" s="30">
        <f t="shared" si="30"/>
        <v>0.12000000000000009</v>
      </c>
      <c r="AG11" s="31">
        <v>0.1</v>
      </c>
    </row>
    <row r="12" spans="1:33" x14ac:dyDescent="0.3">
      <c r="A12" s="1" t="s">
        <v>10</v>
      </c>
      <c r="B12" s="30">
        <f t="shared" si="3"/>
        <v>1</v>
      </c>
      <c r="C12" s="30">
        <f t="shared" ref="C12:L12" si="31">B12+($M12-$B12)/(2030-2019)</f>
        <v>0.99732060293140912</v>
      </c>
      <c r="D12" s="30">
        <f t="shared" si="31"/>
        <v>0.99464120586281823</v>
      </c>
      <c r="E12" s="30">
        <f t="shared" si="31"/>
        <v>0.99196180879422735</v>
      </c>
      <c r="F12" s="30">
        <f t="shared" si="31"/>
        <v>0.98928241172563647</v>
      </c>
      <c r="G12" s="30">
        <f t="shared" si="31"/>
        <v>0.98660301465704558</v>
      </c>
      <c r="H12" s="30">
        <f t="shared" si="31"/>
        <v>0.9839236175884547</v>
      </c>
      <c r="I12" s="30">
        <f t="shared" si="31"/>
        <v>0.98124422051986382</v>
      </c>
      <c r="J12" s="30">
        <f t="shared" si="31"/>
        <v>0.97856482345127294</v>
      </c>
      <c r="K12" s="30">
        <f t="shared" si="31"/>
        <v>0.97588542638268205</v>
      </c>
      <c r="L12" s="30">
        <f t="shared" si="31"/>
        <v>0.97320602931409117</v>
      </c>
      <c r="M12" s="30">
        <v>0.97052663224550006</v>
      </c>
      <c r="N12" s="32">
        <f t="shared" ref="N12:V12" si="32">M12+($W12-$M12)/(2040-2030)</f>
        <v>0.94123083520852568</v>
      </c>
      <c r="O12" s="32">
        <f t="shared" si="32"/>
        <v>0.9119350381715513</v>
      </c>
      <c r="P12" s="32">
        <f t="shared" si="32"/>
        <v>0.88263924113457692</v>
      </c>
      <c r="Q12" s="32">
        <f t="shared" si="32"/>
        <v>0.85334344409760254</v>
      </c>
      <c r="R12" s="32">
        <f t="shared" si="32"/>
        <v>0.82404764706062816</v>
      </c>
      <c r="S12" s="32">
        <f t="shared" si="32"/>
        <v>0.79475185002365378</v>
      </c>
      <c r="T12" s="32">
        <f t="shared" si="32"/>
        <v>0.7654560529866794</v>
      </c>
      <c r="U12" s="32">
        <f t="shared" si="32"/>
        <v>0.73616025594970502</v>
      </c>
      <c r="V12" s="32">
        <f t="shared" si="32"/>
        <v>0.70686445891273064</v>
      </c>
      <c r="W12" s="30">
        <v>0.67756866187575593</v>
      </c>
      <c r="X12" s="30">
        <f t="shared" ref="X12:AF12" si="33">W12+($AG12-$W12)/(2050-2040)</f>
        <v>0.64981179568818037</v>
      </c>
      <c r="Y12" s="30">
        <f t="shared" si="33"/>
        <v>0.62205492950060481</v>
      </c>
      <c r="Z12" s="30">
        <f t="shared" si="33"/>
        <v>0.59429806331302926</v>
      </c>
      <c r="AA12" s="30">
        <f t="shared" si="33"/>
        <v>0.5665411971254537</v>
      </c>
      <c r="AB12" s="30">
        <f t="shared" si="33"/>
        <v>0.53878433093787814</v>
      </c>
      <c r="AC12" s="30">
        <f t="shared" si="33"/>
        <v>0.51102746475030258</v>
      </c>
      <c r="AD12" s="30">
        <f t="shared" si="33"/>
        <v>0.48327059856272697</v>
      </c>
      <c r="AE12" s="30">
        <f t="shared" si="33"/>
        <v>0.45551373237515136</v>
      </c>
      <c r="AF12" s="30">
        <f t="shared" si="33"/>
        <v>0.42775686618757575</v>
      </c>
      <c r="AG12" s="31">
        <v>0.39999999999999997</v>
      </c>
    </row>
    <row r="13" spans="1:33" x14ac:dyDescent="0.3">
      <c r="A13" s="1" t="s">
        <v>11</v>
      </c>
      <c r="B13" s="30">
        <f t="shared" si="3"/>
        <v>1</v>
      </c>
      <c r="C13" s="30">
        <f t="shared" ref="C13:L13" si="34">B13+($M13-$B13)/(2030-2019)</f>
        <v>0.99732060293140912</v>
      </c>
      <c r="D13" s="30">
        <f t="shared" si="34"/>
        <v>0.99464120586281823</v>
      </c>
      <c r="E13" s="30">
        <f t="shared" si="34"/>
        <v>0.99196180879422735</v>
      </c>
      <c r="F13" s="30">
        <f t="shared" si="34"/>
        <v>0.98928241172563647</v>
      </c>
      <c r="G13" s="30">
        <f t="shared" si="34"/>
        <v>0.98660301465704558</v>
      </c>
      <c r="H13" s="30">
        <f t="shared" si="34"/>
        <v>0.9839236175884547</v>
      </c>
      <c r="I13" s="30">
        <f t="shared" si="34"/>
        <v>0.98124422051986382</v>
      </c>
      <c r="J13" s="30">
        <f t="shared" si="34"/>
        <v>0.97856482345127294</v>
      </c>
      <c r="K13" s="30">
        <f t="shared" si="34"/>
        <v>0.97588542638268205</v>
      </c>
      <c r="L13" s="30">
        <f t="shared" si="34"/>
        <v>0.97320602931409117</v>
      </c>
      <c r="M13" s="30">
        <v>0.97052663224549995</v>
      </c>
      <c r="N13" s="32">
        <f t="shared" ref="N13:V13" si="35">M13+($W13-$M13)/(2040-2030)</f>
        <v>0.94123083520852557</v>
      </c>
      <c r="O13" s="32">
        <f t="shared" si="35"/>
        <v>0.91193503817155119</v>
      </c>
      <c r="P13" s="32">
        <f t="shared" si="35"/>
        <v>0.88263924113457681</v>
      </c>
      <c r="Q13" s="32">
        <f t="shared" si="35"/>
        <v>0.85334344409760243</v>
      </c>
      <c r="R13" s="32">
        <f t="shared" si="35"/>
        <v>0.82404764706062805</v>
      </c>
      <c r="S13" s="32">
        <f t="shared" si="35"/>
        <v>0.79475185002365367</v>
      </c>
      <c r="T13" s="32">
        <f t="shared" si="35"/>
        <v>0.76545605298667929</v>
      </c>
      <c r="U13" s="32">
        <f t="shared" si="35"/>
        <v>0.73616025594970491</v>
      </c>
      <c r="V13" s="32">
        <f t="shared" si="35"/>
        <v>0.70686445891273053</v>
      </c>
      <c r="W13" s="30">
        <v>0.67756866187575593</v>
      </c>
      <c r="X13" s="30">
        <f t="shared" ref="X13:AF13" si="36">W13+($AG13-$W13)/(2050-2040)</f>
        <v>0.64981179568818037</v>
      </c>
      <c r="Y13" s="30">
        <f t="shared" si="36"/>
        <v>0.62205492950060481</v>
      </c>
      <c r="Z13" s="30">
        <f t="shared" si="36"/>
        <v>0.59429806331302926</v>
      </c>
      <c r="AA13" s="30">
        <f t="shared" si="36"/>
        <v>0.5665411971254537</v>
      </c>
      <c r="AB13" s="30">
        <f t="shared" si="36"/>
        <v>0.53878433093787814</v>
      </c>
      <c r="AC13" s="30">
        <f t="shared" si="36"/>
        <v>0.51102746475030258</v>
      </c>
      <c r="AD13" s="30">
        <f t="shared" si="36"/>
        <v>0.48327059856272697</v>
      </c>
      <c r="AE13" s="30">
        <f t="shared" si="36"/>
        <v>0.45551373237515136</v>
      </c>
      <c r="AF13" s="30">
        <f t="shared" si="36"/>
        <v>0.42775686618757575</v>
      </c>
      <c r="AG13" s="31">
        <v>0.39999999999999997</v>
      </c>
    </row>
    <row r="14" spans="1:33" x14ac:dyDescent="0.3">
      <c r="A14" s="1" t="s">
        <v>12</v>
      </c>
      <c r="B14" s="30">
        <f t="shared" si="3"/>
        <v>1</v>
      </c>
      <c r="C14" s="30">
        <f t="shared" ref="C14:L14" si="37">B14+($M14-$B14)/(2030-2019)</f>
        <v>0.99732060293140912</v>
      </c>
      <c r="D14" s="30">
        <f t="shared" si="37"/>
        <v>0.99464120586281823</v>
      </c>
      <c r="E14" s="30">
        <f t="shared" si="37"/>
        <v>0.99196180879422735</v>
      </c>
      <c r="F14" s="30">
        <f t="shared" si="37"/>
        <v>0.98928241172563647</v>
      </c>
      <c r="G14" s="30">
        <f t="shared" si="37"/>
        <v>0.98660301465704558</v>
      </c>
      <c r="H14" s="30">
        <f t="shared" si="37"/>
        <v>0.9839236175884547</v>
      </c>
      <c r="I14" s="30">
        <f t="shared" si="37"/>
        <v>0.98124422051986382</v>
      </c>
      <c r="J14" s="30">
        <f t="shared" si="37"/>
        <v>0.97856482345127294</v>
      </c>
      <c r="K14" s="30">
        <f t="shared" si="37"/>
        <v>0.97588542638268205</v>
      </c>
      <c r="L14" s="30">
        <f t="shared" si="37"/>
        <v>0.97320602931409117</v>
      </c>
      <c r="M14" s="30">
        <v>0.97052663224549995</v>
      </c>
      <c r="N14" s="32">
        <f t="shared" ref="N14:V14" si="38">M14+($W14-$M14)/(2040-2030)</f>
        <v>0.94123083520852557</v>
      </c>
      <c r="O14" s="32">
        <f t="shared" si="38"/>
        <v>0.91193503817155119</v>
      </c>
      <c r="P14" s="32">
        <f t="shared" si="38"/>
        <v>0.88263924113457681</v>
      </c>
      <c r="Q14" s="32">
        <f t="shared" si="38"/>
        <v>0.85334344409760243</v>
      </c>
      <c r="R14" s="32">
        <f t="shared" si="38"/>
        <v>0.82404764706062805</v>
      </c>
      <c r="S14" s="32">
        <f t="shared" si="38"/>
        <v>0.79475185002365367</v>
      </c>
      <c r="T14" s="32">
        <f t="shared" si="38"/>
        <v>0.76545605298667929</v>
      </c>
      <c r="U14" s="32">
        <f t="shared" si="38"/>
        <v>0.73616025594970491</v>
      </c>
      <c r="V14" s="32">
        <f t="shared" si="38"/>
        <v>0.70686445891273053</v>
      </c>
      <c r="W14" s="30">
        <v>0.67756866187575593</v>
      </c>
      <c r="X14" s="30">
        <f t="shared" ref="X14:AF14" si="39">W14+($AG14-$W14)/(2050-2040)</f>
        <v>0.64981179568818037</v>
      </c>
      <c r="Y14" s="30">
        <f t="shared" si="39"/>
        <v>0.62205492950060481</v>
      </c>
      <c r="Z14" s="30">
        <f t="shared" si="39"/>
        <v>0.59429806331302926</v>
      </c>
      <c r="AA14" s="30">
        <f t="shared" si="39"/>
        <v>0.5665411971254537</v>
      </c>
      <c r="AB14" s="30">
        <f t="shared" si="39"/>
        <v>0.53878433093787814</v>
      </c>
      <c r="AC14" s="30">
        <f t="shared" si="39"/>
        <v>0.51102746475030258</v>
      </c>
      <c r="AD14" s="30">
        <f t="shared" si="39"/>
        <v>0.48327059856272697</v>
      </c>
      <c r="AE14" s="30">
        <f t="shared" si="39"/>
        <v>0.45551373237515136</v>
      </c>
      <c r="AF14" s="30">
        <f t="shared" si="39"/>
        <v>0.42775686618757575</v>
      </c>
      <c r="AG14" s="31">
        <v>0.39999999999999997</v>
      </c>
    </row>
    <row r="15" spans="1:33" x14ac:dyDescent="0.3">
      <c r="A15" s="1" t="s">
        <v>13</v>
      </c>
      <c r="B15" s="30">
        <f t="shared" si="3"/>
        <v>1</v>
      </c>
      <c r="C15" s="30">
        <f t="shared" ref="C15:L15" si="40">B15+($M15-$B15)/(2030-2019)</f>
        <v>0.99732060293140912</v>
      </c>
      <c r="D15" s="30">
        <f t="shared" si="40"/>
        <v>0.99464120586281823</v>
      </c>
      <c r="E15" s="30">
        <f t="shared" si="40"/>
        <v>0.99196180879422735</v>
      </c>
      <c r="F15" s="30">
        <f t="shared" si="40"/>
        <v>0.98928241172563647</v>
      </c>
      <c r="G15" s="30">
        <f t="shared" si="40"/>
        <v>0.98660301465704558</v>
      </c>
      <c r="H15" s="30">
        <f t="shared" si="40"/>
        <v>0.9839236175884547</v>
      </c>
      <c r="I15" s="30">
        <f t="shared" si="40"/>
        <v>0.98124422051986382</v>
      </c>
      <c r="J15" s="30">
        <f t="shared" si="40"/>
        <v>0.97856482345127294</v>
      </c>
      <c r="K15" s="30">
        <f t="shared" si="40"/>
        <v>0.97588542638268205</v>
      </c>
      <c r="L15" s="30">
        <f t="shared" si="40"/>
        <v>0.97320602931409117</v>
      </c>
      <c r="M15" s="30">
        <v>0.97052663224550006</v>
      </c>
      <c r="N15" s="32">
        <f t="shared" ref="N15:V15" si="41">M15+($W15-$M15)/(2040-2030)</f>
        <v>0.94123083520852568</v>
      </c>
      <c r="O15" s="32">
        <f t="shared" si="41"/>
        <v>0.9119350381715513</v>
      </c>
      <c r="P15" s="32">
        <f t="shared" si="41"/>
        <v>0.88263924113457692</v>
      </c>
      <c r="Q15" s="32">
        <f t="shared" si="41"/>
        <v>0.85334344409760254</v>
      </c>
      <c r="R15" s="32">
        <f t="shared" si="41"/>
        <v>0.82404764706062816</v>
      </c>
      <c r="S15" s="32">
        <f t="shared" si="41"/>
        <v>0.79475185002365378</v>
      </c>
      <c r="T15" s="32">
        <f t="shared" si="41"/>
        <v>0.7654560529866794</v>
      </c>
      <c r="U15" s="32">
        <f t="shared" si="41"/>
        <v>0.73616025594970502</v>
      </c>
      <c r="V15" s="32">
        <f t="shared" si="41"/>
        <v>0.70686445891273064</v>
      </c>
      <c r="W15" s="30">
        <v>0.67756866187575593</v>
      </c>
      <c r="X15" s="30">
        <f t="shared" ref="X15:AF15" si="42">W15+($AG15-$W15)/(2050-2040)</f>
        <v>0.64981179568818037</v>
      </c>
      <c r="Y15" s="30">
        <f t="shared" si="42"/>
        <v>0.62205492950060481</v>
      </c>
      <c r="Z15" s="30">
        <f t="shared" si="42"/>
        <v>0.59429806331302926</v>
      </c>
      <c r="AA15" s="30">
        <f t="shared" si="42"/>
        <v>0.5665411971254537</v>
      </c>
      <c r="AB15" s="30">
        <f t="shared" si="42"/>
        <v>0.53878433093787814</v>
      </c>
      <c r="AC15" s="30">
        <f t="shared" si="42"/>
        <v>0.51102746475030258</v>
      </c>
      <c r="AD15" s="30">
        <f t="shared" si="42"/>
        <v>0.48327059856272697</v>
      </c>
      <c r="AE15" s="30">
        <f t="shared" si="42"/>
        <v>0.45551373237515136</v>
      </c>
      <c r="AF15" s="30">
        <f t="shared" si="42"/>
        <v>0.42775686618757575</v>
      </c>
      <c r="AG15" s="31">
        <v>0.39999999999999997</v>
      </c>
    </row>
    <row r="16" spans="1:33" x14ac:dyDescent="0.3">
      <c r="A16" s="1" t="s">
        <v>14</v>
      </c>
      <c r="B16" s="30">
        <f t="shared" si="3"/>
        <v>1</v>
      </c>
      <c r="C16" s="30">
        <f t="shared" ref="C16:L16" si="43">B16+($M16-$B16)/(2030-2019)</f>
        <v>0.99732060293140912</v>
      </c>
      <c r="D16" s="30">
        <f t="shared" si="43"/>
        <v>0.99464120586281823</v>
      </c>
      <c r="E16" s="30">
        <f t="shared" si="43"/>
        <v>0.99196180879422735</v>
      </c>
      <c r="F16" s="30">
        <f t="shared" si="43"/>
        <v>0.98928241172563647</v>
      </c>
      <c r="G16" s="30">
        <f t="shared" si="43"/>
        <v>0.98660301465704558</v>
      </c>
      <c r="H16" s="30">
        <f t="shared" si="43"/>
        <v>0.9839236175884547</v>
      </c>
      <c r="I16" s="30">
        <f t="shared" si="43"/>
        <v>0.98124422051986382</v>
      </c>
      <c r="J16" s="30">
        <f t="shared" si="43"/>
        <v>0.97856482345127294</v>
      </c>
      <c r="K16" s="30">
        <f t="shared" si="43"/>
        <v>0.97588542638268205</v>
      </c>
      <c r="L16" s="30">
        <f t="shared" si="43"/>
        <v>0.97320602931409117</v>
      </c>
      <c r="M16" s="30">
        <v>0.97052663224550018</v>
      </c>
      <c r="N16" s="32">
        <f t="shared" ref="N16:V16" si="44">M16+($W16-$M16)/(2040-2030)</f>
        <v>0.9412308352085258</v>
      </c>
      <c r="O16" s="32">
        <f t="shared" si="44"/>
        <v>0.91193503817155142</v>
      </c>
      <c r="P16" s="32">
        <f t="shared" si="44"/>
        <v>0.88263924113457704</v>
      </c>
      <c r="Q16" s="32">
        <f t="shared" si="44"/>
        <v>0.85334344409760265</v>
      </c>
      <c r="R16" s="32">
        <f t="shared" si="44"/>
        <v>0.82404764706062827</v>
      </c>
      <c r="S16" s="32">
        <f t="shared" si="44"/>
        <v>0.79475185002365389</v>
      </c>
      <c r="T16" s="32">
        <f t="shared" si="44"/>
        <v>0.76545605298667951</v>
      </c>
      <c r="U16" s="32">
        <f t="shared" si="44"/>
        <v>0.73616025594970513</v>
      </c>
      <c r="V16" s="32">
        <f t="shared" si="44"/>
        <v>0.70686445891273075</v>
      </c>
      <c r="W16" s="30">
        <v>0.67756866187575593</v>
      </c>
      <c r="X16" s="30">
        <f t="shared" ref="X16:AF16" si="45">W16+($AG16-$W16)/(2050-2040)</f>
        <v>0.64981179568818037</v>
      </c>
      <c r="Y16" s="30">
        <f t="shared" si="45"/>
        <v>0.62205492950060481</v>
      </c>
      <c r="Z16" s="30">
        <f t="shared" si="45"/>
        <v>0.59429806331302926</v>
      </c>
      <c r="AA16" s="30">
        <f t="shared" si="45"/>
        <v>0.5665411971254537</v>
      </c>
      <c r="AB16" s="30">
        <f t="shared" si="45"/>
        <v>0.53878433093787814</v>
      </c>
      <c r="AC16" s="30">
        <f t="shared" si="45"/>
        <v>0.51102746475030258</v>
      </c>
      <c r="AD16" s="30">
        <f t="shared" si="45"/>
        <v>0.48327059856272697</v>
      </c>
      <c r="AE16" s="30">
        <f t="shared" si="45"/>
        <v>0.45551373237515136</v>
      </c>
      <c r="AF16" s="30">
        <f t="shared" si="45"/>
        <v>0.42775686618757575</v>
      </c>
      <c r="AG16" s="31">
        <v>0.39999999999999997</v>
      </c>
    </row>
    <row r="17" spans="1:33" x14ac:dyDescent="0.3">
      <c r="A17" s="1" t="s">
        <v>15</v>
      </c>
      <c r="B17" s="30">
        <f t="shared" si="3"/>
        <v>1</v>
      </c>
      <c r="C17" s="30">
        <f t="shared" ref="C17:L17" si="46">B17+($M17-$B17)/(2030-2019)</f>
        <v>0.99732060293140912</v>
      </c>
      <c r="D17" s="30">
        <f t="shared" si="46"/>
        <v>0.99464120586281823</v>
      </c>
      <c r="E17" s="30">
        <f t="shared" si="46"/>
        <v>0.99196180879422735</v>
      </c>
      <c r="F17" s="30">
        <f t="shared" si="46"/>
        <v>0.98928241172563647</v>
      </c>
      <c r="G17" s="30">
        <f t="shared" si="46"/>
        <v>0.98660301465704558</v>
      </c>
      <c r="H17" s="30">
        <f t="shared" si="46"/>
        <v>0.9839236175884547</v>
      </c>
      <c r="I17" s="30">
        <f t="shared" si="46"/>
        <v>0.98124422051986382</v>
      </c>
      <c r="J17" s="30">
        <f t="shared" si="46"/>
        <v>0.97856482345127294</v>
      </c>
      <c r="K17" s="30">
        <f t="shared" si="46"/>
        <v>0.97588542638268205</v>
      </c>
      <c r="L17" s="30">
        <f t="shared" si="46"/>
        <v>0.97320602931409117</v>
      </c>
      <c r="M17" s="30">
        <v>0.97052663224550018</v>
      </c>
      <c r="N17" s="32">
        <f t="shared" ref="N17:V17" si="47">M17+($W17-$M17)/(2040-2030)</f>
        <v>0.9412308352085258</v>
      </c>
      <c r="O17" s="32">
        <f t="shared" si="47"/>
        <v>0.91193503817155142</v>
      </c>
      <c r="P17" s="32">
        <f t="shared" si="47"/>
        <v>0.88263924113457704</v>
      </c>
      <c r="Q17" s="32">
        <f t="shared" si="47"/>
        <v>0.85334344409760265</v>
      </c>
      <c r="R17" s="32">
        <f t="shared" si="47"/>
        <v>0.82404764706062827</v>
      </c>
      <c r="S17" s="32">
        <f t="shared" si="47"/>
        <v>0.79475185002365389</v>
      </c>
      <c r="T17" s="32">
        <f t="shared" si="47"/>
        <v>0.76545605298667951</v>
      </c>
      <c r="U17" s="32">
        <f t="shared" si="47"/>
        <v>0.73616025594970513</v>
      </c>
      <c r="V17" s="32">
        <f t="shared" si="47"/>
        <v>0.70686445891273075</v>
      </c>
      <c r="W17" s="30">
        <v>0.67756866187575593</v>
      </c>
      <c r="X17" s="30">
        <f t="shared" ref="X17:AF17" si="48">W17+($AG17-$W17)/(2050-2040)</f>
        <v>0.64981179568818037</v>
      </c>
      <c r="Y17" s="30">
        <f t="shared" si="48"/>
        <v>0.62205492950060481</v>
      </c>
      <c r="Z17" s="30">
        <f t="shared" si="48"/>
        <v>0.59429806331302926</v>
      </c>
      <c r="AA17" s="30">
        <f t="shared" si="48"/>
        <v>0.5665411971254537</v>
      </c>
      <c r="AB17" s="30">
        <f t="shared" si="48"/>
        <v>0.53878433093787814</v>
      </c>
      <c r="AC17" s="30">
        <f t="shared" si="48"/>
        <v>0.51102746475030258</v>
      </c>
      <c r="AD17" s="30">
        <f t="shared" si="48"/>
        <v>0.48327059856272697</v>
      </c>
      <c r="AE17" s="30">
        <f t="shared" si="48"/>
        <v>0.45551373237515136</v>
      </c>
      <c r="AF17" s="30">
        <f t="shared" si="48"/>
        <v>0.42775686618757575</v>
      </c>
      <c r="AG17" s="31">
        <v>0.39999999999999997</v>
      </c>
    </row>
    <row r="18" spans="1:33" x14ac:dyDescent="0.3">
      <c r="A18" s="1" t="s">
        <v>16</v>
      </c>
      <c r="B18" s="30">
        <f t="shared" si="3"/>
        <v>1</v>
      </c>
      <c r="C18" s="30">
        <f t="shared" ref="C18:L18" si="49">B18+($M18-$B18)/(2030-2019)</f>
        <v>0.96880530280148291</v>
      </c>
      <c r="D18" s="30">
        <f t="shared" si="49"/>
        <v>0.93761060560296583</v>
      </c>
      <c r="E18" s="30">
        <f t="shared" si="49"/>
        <v>0.90641590840444874</v>
      </c>
      <c r="F18" s="30">
        <f t="shared" si="49"/>
        <v>0.87522121120593166</v>
      </c>
      <c r="G18" s="30">
        <f t="shared" si="49"/>
        <v>0.84402651400741457</v>
      </c>
      <c r="H18" s="30">
        <f t="shared" si="49"/>
        <v>0.81283181680889749</v>
      </c>
      <c r="I18" s="30">
        <f t="shared" si="49"/>
        <v>0.7816371196103804</v>
      </c>
      <c r="J18" s="30">
        <f t="shared" si="49"/>
        <v>0.75044242241186332</v>
      </c>
      <c r="K18" s="30">
        <f t="shared" si="49"/>
        <v>0.71924772521334623</v>
      </c>
      <c r="L18" s="30">
        <f t="shared" si="49"/>
        <v>0.68805302801482915</v>
      </c>
      <c r="M18" s="30">
        <v>0.65685833081631206</v>
      </c>
      <c r="N18" s="32">
        <f t="shared" ref="N18:V18" si="50">M18+($W18-$M18)/(2040-2030)</f>
        <v>0.62811088203873566</v>
      </c>
      <c r="O18" s="32">
        <f t="shared" si="50"/>
        <v>0.59936343326115926</v>
      </c>
      <c r="P18" s="32">
        <f t="shared" si="50"/>
        <v>0.57061598448358286</v>
      </c>
      <c r="Q18" s="32">
        <f t="shared" si="50"/>
        <v>0.54186853570600646</v>
      </c>
      <c r="R18" s="32">
        <f t="shared" si="50"/>
        <v>0.51312108692843006</v>
      </c>
      <c r="S18" s="32">
        <f t="shared" si="50"/>
        <v>0.4843736381508536</v>
      </c>
      <c r="T18" s="32">
        <f t="shared" si="50"/>
        <v>0.45562618937327715</v>
      </c>
      <c r="U18" s="32">
        <f t="shared" si="50"/>
        <v>0.42687874059570069</v>
      </c>
      <c r="V18" s="32">
        <f t="shared" si="50"/>
        <v>0.39813129181812423</v>
      </c>
      <c r="W18" s="30">
        <v>0.36938384304054761</v>
      </c>
      <c r="X18" s="30">
        <f t="shared" ref="X18:AF18" si="51">W18+($AG18-$W18)/(2050-2040)</f>
        <v>0.34063639426297115</v>
      </c>
      <c r="Y18" s="30">
        <f t="shared" si="51"/>
        <v>0.3118889454853947</v>
      </c>
      <c r="Z18" s="30">
        <f t="shared" si="51"/>
        <v>0.28314149670781824</v>
      </c>
      <c r="AA18" s="30">
        <f t="shared" si="51"/>
        <v>0.25439404793024178</v>
      </c>
      <c r="AB18" s="30">
        <f t="shared" si="51"/>
        <v>0.22564659915266533</v>
      </c>
      <c r="AC18" s="30">
        <f t="shared" si="51"/>
        <v>0.19689915037508887</v>
      </c>
      <c r="AD18" s="30">
        <f t="shared" si="51"/>
        <v>0.16815170159751242</v>
      </c>
      <c r="AE18" s="30">
        <f t="shared" si="51"/>
        <v>0.13940425281993596</v>
      </c>
      <c r="AF18" s="30">
        <f t="shared" si="51"/>
        <v>0.1106568040423595</v>
      </c>
      <c r="AG18" s="30">
        <v>8.1909355264783101E-2</v>
      </c>
    </row>
    <row r="20" spans="1:33" x14ac:dyDescent="0.3">
      <c r="N20" s="4"/>
    </row>
    <row r="21" spans="1:33" x14ac:dyDescent="0.3">
      <c r="B21" t="s">
        <v>83</v>
      </c>
      <c r="C21" t="s">
        <v>83</v>
      </c>
      <c r="D21" t="s">
        <v>83</v>
      </c>
      <c r="E21" t="s">
        <v>83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  <c r="O21" t="s">
        <v>83</v>
      </c>
      <c r="P21" t="s">
        <v>83</v>
      </c>
      <c r="Q21" t="s">
        <v>83</v>
      </c>
      <c r="R21" t="s">
        <v>83</v>
      </c>
      <c r="S21" t="s">
        <v>83</v>
      </c>
      <c r="T21" t="s">
        <v>83</v>
      </c>
      <c r="U21" t="s">
        <v>83</v>
      </c>
      <c r="V21" t="s">
        <v>83</v>
      </c>
      <c r="W21" t="s">
        <v>83</v>
      </c>
      <c r="X21" t="s">
        <v>83</v>
      </c>
      <c r="Y21" t="s">
        <v>83</v>
      </c>
      <c r="Z21" t="s">
        <v>83</v>
      </c>
      <c r="AA21" t="s">
        <v>83</v>
      </c>
      <c r="AB21" t="s">
        <v>83</v>
      </c>
      <c r="AC21" t="s">
        <v>83</v>
      </c>
      <c r="AD21" t="s">
        <v>83</v>
      </c>
      <c r="AE21" t="s">
        <v>83</v>
      </c>
      <c r="AF21" t="s">
        <v>83</v>
      </c>
      <c r="AG21" t="s">
        <v>83</v>
      </c>
    </row>
    <row r="22" spans="1:33" x14ac:dyDescent="0.3">
      <c r="B22">
        <v>2019</v>
      </c>
      <c r="C22">
        <v>2020</v>
      </c>
      <c r="D22">
        <v>2021</v>
      </c>
      <c r="E22">
        <v>2022</v>
      </c>
      <c r="F22">
        <v>2023</v>
      </c>
      <c r="G22">
        <v>2024</v>
      </c>
      <c r="H22">
        <v>2025</v>
      </c>
      <c r="I22">
        <v>2026</v>
      </c>
      <c r="J22">
        <v>2027</v>
      </c>
      <c r="K22">
        <v>2028</v>
      </c>
      <c r="L22">
        <v>2029</v>
      </c>
      <c r="M22">
        <v>2030</v>
      </c>
      <c r="N22">
        <v>2031</v>
      </c>
      <c r="O22">
        <v>2032</v>
      </c>
      <c r="P22">
        <v>2033</v>
      </c>
      <c r="Q22">
        <v>2034</v>
      </c>
      <c r="R22">
        <v>2035</v>
      </c>
      <c r="S22">
        <v>2036</v>
      </c>
      <c r="T22">
        <v>2037</v>
      </c>
      <c r="U22">
        <v>2038</v>
      </c>
      <c r="V22">
        <v>2039</v>
      </c>
      <c r="W22">
        <v>2040</v>
      </c>
      <c r="X22">
        <v>2041</v>
      </c>
      <c r="Y22">
        <v>2042</v>
      </c>
      <c r="Z22">
        <v>2043</v>
      </c>
      <c r="AA22">
        <v>2044</v>
      </c>
      <c r="AB22">
        <v>2045</v>
      </c>
      <c r="AC22">
        <v>2046</v>
      </c>
      <c r="AD22">
        <v>2047</v>
      </c>
      <c r="AE22">
        <v>2048</v>
      </c>
      <c r="AF22">
        <v>2049</v>
      </c>
      <c r="AG22">
        <v>2050</v>
      </c>
    </row>
    <row r="23" spans="1:33" x14ac:dyDescent="0.3">
      <c r="A23" t="s">
        <v>0</v>
      </c>
      <c r="B23" s="4">
        <f>B44/$B44</f>
        <v>1</v>
      </c>
      <c r="C23" s="4">
        <f t="shared" ref="C23:AG31" si="52">C44/$B44</f>
        <v>1.0156526606978629</v>
      </c>
      <c r="D23" s="4">
        <f t="shared" si="52"/>
        <v>1.0603986957327778</v>
      </c>
      <c r="E23" s="4">
        <f t="shared" si="52"/>
        <v>1.0933325336154156</v>
      </c>
      <c r="F23" s="4">
        <f t="shared" si="52"/>
        <v>1.1130001417681763</v>
      </c>
      <c r="G23" s="4">
        <f t="shared" si="52"/>
        <v>1.159587345554477</v>
      </c>
      <c r="H23" s="4">
        <f t="shared" si="52"/>
        <v>1.219257207457733</v>
      </c>
      <c r="I23" s="4">
        <f t="shared" si="52"/>
        <v>1.2430379102643794</v>
      </c>
      <c r="J23" s="4">
        <f t="shared" si="52"/>
        <v>1.2622293227479759</v>
      </c>
      <c r="K23" s="4">
        <f t="shared" si="52"/>
        <v>1.2892925040985543</v>
      </c>
      <c r="L23" s="4">
        <f t="shared" si="52"/>
        <v>1.3152288102014924</v>
      </c>
      <c r="M23" s="4">
        <f t="shared" si="52"/>
        <v>1.3476373788154723</v>
      </c>
      <c r="N23" s="4">
        <f t="shared" si="52"/>
        <v>1.3680792593158049</v>
      </c>
      <c r="O23" s="4">
        <f t="shared" si="52"/>
        <v>1.4051080164451084</v>
      </c>
      <c r="P23" s="4">
        <f t="shared" si="52"/>
        <v>1.4275201110880888</v>
      </c>
      <c r="Q23" s="4">
        <f t="shared" si="52"/>
        <v>1.4695998138838298</v>
      </c>
      <c r="R23" s="4">
        <f t="shared" si="52"/>
        <v>1.4890638574757267</v>
      </c>
      <c r="S23" s="4">
        <f t="shared" si="52"/>
        <v>1.5160270740865947</v>
      </c>
      <c r="T23" s="4">
        <f t="shared" si="52"/>
        <v>1.5288207432287517</v>
      </c>
      <c r="U23" s="4">
        <f t="shared" si="52"/>
        <v>1.5544335270831744</v>
      </c>
      <c r="V23" s="4">
        <f t="shared" si="52"/>
        <v>1.5680541772538414</v>
      </c>
      <c r="W23" s="4">
        <f t="shared" si="52"/>
        <v>1.5947265873491894</v>
      </c>
      <c r="X23" s="4">
        <f t="shared" si="52"/>
        <v>1.6065151564720808</v>
      </c>
      <c r="Y23" s="4">
        <f t="shared" si="52"/>
        <v>1.6312809663500512</v>
      </c>
      <c r="Z23" s="4">
        <f t="shared" si="52"/>
        <v>1.6426678589733803</v>
      </c>
      <c r="AA23" s="4">
        <f t="shared" si="52"/>
        <v>1.6652726129328925</v>
      </c>
      <c r="AB23" s="4">
        <f t="shared" si="52"/>
        <v>1.6762905447896559</v>
      </c>
      <c r="AC23" s="4">
        <f t="shared" si="52"/>
        <v>1.6951602525654585</v>
      </c>
      <c r="AD23" s="4">
        <f t="shared" si="52"/>
        <v>1.7052821368462761</v>
      </c>
      <c r="AE23" s="4">
        <f t="shared" si="52"/>
        <v>1.7221725427758208</v>
      </c>
      <c r="AF23" s="4">
        <f t="shared" si="52"/>
        <v>1.7325016266989464</v>
      </c>
      <c r="AG23" s="4">
        <f t="shared" si="52"/>
        <v>1.7474236360265649</v>
      </c>
    </row>
    <row r="24" spans="1:33" x14ac:dyDescent="0.3">
      <c r="A24" t="s">
        <v>1</v>
      </c>
      <c r="B24" s="4">
        <f t="shared" ref="B24:Q39" si="53">B45/$B45</f>
        <v>1</v>
      </c>
      <c r="C24" s="4">
        <f t="shared" si="53"/>
        <v>1.0418874581950412</v>
      </c>
      <c r="D24" s="4">
        <f t="shared" si="53"/>
        <v>1.1284112952186338</v>
      </c>
      <c r="E24" s="4">
        <f t="shared" si="53"/>
        <v>1.2026395561111922</v>
      </c>
      <c r="F24" s="4">
        <f t="shared" si="53"/>
        <v>1.2700034480497364</v>
      </c>
      <c r="G24" s="4">
        <f t="shared" si="53"/>
        <v>1.3296462470199755</v>
      </c>
      <c r="H24" s="4">
        <f t="shared" si="53"/>
        <v>1.3869727180997229</v>
      </c>
      <c r="I24" s="4">
        <f t="shared" si="53"/>
        <v>1.4390424998572129</v>
      </c>
      <c r="J24" s="4">
        <f t="shared" si="53"/>
        <v>1.488637301128972</v>
      </c>
      <c r="K24" s="4">
        <f t="shared" si="53"/>
        <v>1.5352705872896002</v>
      </c>
      <c r="L24" s="4">
        <f t="shared" si="53"/>
        <v>1.5803596548565675</v>
      </c>
      <c r="M24" s="4">
        <f t="shared" si="53"/>
        <v>1.6235131607616173</v>
      </c>
      <c r="N24" s="4">
        <f t="shared" si="53"/>
        <v>1.6621292024428269</v>
      </c>
      <c r="O24" s="4">
        <f t="shared" si="53"/>
        <v>1.6983337246764016</v>
      </c>
      <c r="P24" s="4">
        <f t="shared" si="53"/>
        <v>1.7336074850179066</v>
      </c>
      <c r="Q24" s="4">
        <f t="shared" si="53"/>
        <v>1.7668610689800333</v>
      </c>
      <c r="R24" s="4">
        <f t="shared" si="52"/>
        <v>1.7998396551104117</v>
      </c>
      <c r="S24" s="4">
        <f t="shared" si="52"/>
        <v>1.8236692749153323</v>
      </c>
      <c r="T24" s="4">
        <f t="shared" si="52"/>
        <v>1.8460604445234183</v>
      </c>
      <c r="U24" s="4">
        <f t="shared" si="52"/>
        <v>1.8668016271410168</v>
      </c>
      <c r="V24" s="4">
        <f t="shared" si="52"/>
        <v>1.8869716604157545</v>
      </c>
      <c r="W24" s="4">
        <f t="shared" si="52"/>
        <v>1.9060734328825484</v>
      </c>
      <c r="X24" s="4">
        <f t="shared" si="52"/>
        <v>1.9238107930302859</v>
      </c>
      <c r="Y24" s="4">
        <f t="shared" si="52"/>
        <v>1.9404904692097622</v>
      </c>
      <c r="Z24" s="4">
        <f t="shared" si="52"/>
        <v>1.9566730339241558</v>
      </c>
      <c r="AA24" s="4">
        <f t="shared" si="52"/>
        <v>1.9718719525480664</v>
      </c>
      <c r="AB24" s="4">
        <f t="shared" si="52"/>
        <v>1.9866795281037208</v>
      </c>
      <c r="AC24" s="4">
        <f t="shared" si="52"/>
        <v>1.9990861610514226</v>
      </c>
      <c r="AD24" s="4">
        <f t="shared" si="52"/>
        <v>2.0109956825340416</v>
      </c>
      <c r="AE24" s="4">
        <f t="shared" si="52"/>
        <v>2.0220061726436387</v>
      </c>
      <c r="AF24" s="4">
        <f t="shared" si="52"/>
        <v>2.0325301281278358</v>
      </c>
      <c r="AG24" s="4">
        <f t="shared" si="52"/>
        <v>2.0423877427120285</v>
      </c>
    </row>
    <row r="25" spans="1:33" x14ac:dyDescent="0.3">
      <c r="A25" t="s">
        <v>2</v>
      </c>
      <c r="B25" s="4">
        <f t="shared" si="53"/>
        <v>1</v>
      </c>
      <c r="C25" s="4">
        <f t="shared" si="52"/>
        <v>0.98175956490666538</v>
      </c>
      <c r="D25" s="4">
        <f t="shared" si="52"/>
        <v>1.0018864319411882</v>
      </c>
      <c r="E25" s="4">
        <f t="shared" si="52"/>
        <v>1.0272893968168175</v>
      </c>
      <c r="F25" s="4">
        <f t="shared" si="52"/>
        <v>1.0558001712251039</v>
      </c>
      <c r="G25" s="4">
        <f t="shared" si="52"/>
        <v>1.0776730698380961</v>
      </c>
      <c r="H25" s="4">
        <f t="shared" si="52"/>
        <v>1.1005066025117942</v>
      </c>
      <c r="I25" s="4">
        <f t="shared" si="52"/>
        <v>1.1200043070186458</v>
      </c>
      <c r="J25" s="4">
        <f t="shared" si="52"/>
        <v>1.1395442371984954</v>
      </c>
      <c r="K25" s="4">
        <f t="shared" si="52"/>
        <v>1.1569517708919435</v>
      </c>
      <c r="L25" s="4">
        <f t="shared" si="52"/>
        <v>1.1739264914371612</v>
      </c>
      <c r="M25" s="4">
        <f t="shared" si="52"/>
        <v>1.189602772537689</v>
      </c>
      <c r="N25" s="4">
        <f t="shared" si="52"/>
        <v>1.207875932527597</v>
      </c>
      <c r="O25" s="4">
        <f t="shared" si="52"/>
        <v>1.2246711939625732</v>
      </c>
      <c r="P25" s="4">
        <f t="shared" si="52"/>
        <v>1.2415825759982939</v>
      </c>
      <c r="Q25" s="4">
        <f t="shared" si="52"/>
        <v>1.2568577132053402</v>
      </c>
      <c r="R25" s="4">
        <f t="shared" si="52"/>
        <v>1.2727134534161098</v>
      </c>
      <c r="S25" s="4">
        <f t="shared" si="52"/>
        <v>1.288073041969152</v>
      </c>
      <c r="T25" s="4">
        <f t="shared" si="52"/>
        <v>1.3033692920126971</v>
      </c>
      <c r="U25" s="4">
        <f t="shared" si="52"/>
        <v>1.3174515539575484</v>
      </c>
      <c r="V25" s="4">
        <f t="shared" si="52"/>
        <v>1.3313965824651557</v>
      </c>
      <c r="W25" s="4">
        <f t="shared" si="52"/>
        <v>1.3443387512390594</v>
      </c>
      <c r="X25" s="4">
        <f t="shared" si="52"/>
        <v>1.3586110287124018</v>
      </c>
      <c r="Y25" s="4">
        <f t="shared" si="52"/>
        <v>1.3720176798892842</v>
      </c>
      <c r="Z25" s="4">
        <f t="shared" si="52"/>
        <v>1.385477113157414</v>
      </c>
      <c r="AA25" s="4">
        <f t="shared" si="52"/>
        <v>1.3980181380378363</v>
      </c>
      <c r="AB25" s="4">
        <f t="shared" si="52"/>
        <v>1.4105486065000088</v>
      </c>
      <c r="AC25" s="4">
        <f t="shared" si="52"/>
        <v>1.4236807908024038</v>
      </c>
      <c r="AD25" s="4">
        <f t="shared" si="52"/>
        <v>1.4367813058500503</v>
      </c>
      <c r="AE25" s="4">
        <f t="shared" si="52"/>
        <v>1.4492062101297276</v>
      </c>
      <c r="AF25" s="4">
        <f t="shared" si="52"/>
        <v>1.4614094296261655</v>
      </c>
      <c r="AG25" s="4">
        <f t="shared" si="52"/>
        <v>1.4730426025371295</v>
      </c>
    </row>
    <row r="26" spans="1:33" x14ac:dyDescent="0.3">
      <c r="A26" t="s">
        <v>3</v>
      </c>
      <c r="B26" s="4">
        <f t="shared" si="53"/>
        <v>1</v>
      </c>
      <c r="C26" s="4">
        <f t="shared" si="52"/>
        <v>0.98121058792432869</v>
      </c>
      <c r="D26" s="4">
        <f t="shared" si="52"/>
        <v>1.0285994789109996</v>
      </c>
      <c r="E26" s="4">
        <f t="shared" si="52"/>
        <v>1.0193482611486613</v>
      </c>
      <c r="F26" s="4">
        <f t="shared" si="52"/>
        <v>1.0072801419778725</v>
      </c>
      <c r="G26" s="4">
        <f t="shared" si="52"/>
        <v>0.99051466978816594</v>
      </c>
      <c r="H26" s="4">
        <f t="shared" si="52"/>
        <v>0.97393799796095604</v>
      </c>
      <c r="I26" s="4">
        <f t="shared" si="52"/>
        <v>0.98195823735981569</v>
      </c>
      <c r="J26" s="4">
        <f t="shared" si="52"/>
        <v>0.99200241664463995</v>
      </c>
      <c r="K26" s="4">
        <f t="shared" si="52"/>
        <v>1.0018577955669674</v>
      </c>
      <c r="L26" s="4">
        <f t="shared" si="52"/>
        <v>1.0116603103877959</v>
      </c>
      <c r="M26" s="4">
        <f t="shared" si="52"/>
        <v>1.0209946003096326</v>
      </c>
      <c r="N26" s="4">
        <f t="shared" si="52"/>
        <v>1.0360231091643697</v>
      </c>
      <c r="O26" s="4">
        <f t="shared" si="52"/>
        <v>1.0509156817581089</v>
      </c>
      <c r="P26" s="4">
        <f t="shared" si="52"/>
        <v>1.0657553902503492</v>
      </c>
      <c r="Q26" s="4">
        <f t="shared" si="52"/>
        <v>1.0800438016840992</v>
      </c>
      <c r="R26" s="4">
        <f t="shared" si="52"/>
        <v>1.0943095570743495</v>
      </c>
      <c r="S26" s="4">
        <f t="shared" si="52"/>
        <v>1.1090812974360911</v>
      </c>
      <c r="T26" s="4">
        <f t="shared" si="52"/>
        <v>1.1237624136238342</v>
      </c>
      <c r="U26" s="4">
        <f t="shared" si="52"/>
        <v>1.1379979609560851</v>
      </c>
      <c r="V26" s="4">
        <f t="shared" si="52"/>
        <v>1.1520749159838386</v>
      </c>
      <c r="W26" s="4">
        <f t="shared" si="52"/>
        <v>1.1657818223010987</v>
      </c>
      <c r="X26" s="4">
        <f t="shared" si="52"/>
        <v>1.1797001850243554</v>
      </c>
      <c r="Y26" s="4">
        <f t="shared" si="52"/>
        <v>1.1932787070951176</v>
      </c>
      <c r="Z26" s="4">
        <f t="shared" si="52"/>
        <v>1.206743948948382</v>
      </c>
      <c r="AA26" s="4">
        <f t="shared" si="52"/>
        <v>1.2198920061926517</v>
      </c>
      <c r="AB26" s="4">
        <f t="shared" si="52"/>
        <v>1.2329267832194237</v>
      </c>
      <c r="AC26" s="4">
        <f t="shared" si="52"/>
        <v>1.245938904202696</v>
      </c>
      <c r="AD26" s="4">
        <f t="shared" si="52"/>
        <v>1.2588301929539705</v>
      </c>
      <c r="AE26" s="4">
        <f t="shared" si="52"/>
        <v>1.2714798172412491</v>
      </c>
      <c r="AF26" s="4">
        <f t="shared" si="52"/>
        <v>1.2839859532530302</v>
      </c>
      <c r="AG26" s="4">
        <f t="shared" si="52"/>
        <v>1.296280632858815</v>
      </c>
    </row>
    <row r="27" spans="1:33" x14ac:dyDescent="0.3">
      <c r="A27" t="s">
        <v>4</v>
      </c>
      <c r="B27" s="4">
        <f t="shared" si="53"/>
        <v>1</v>
      </c>
      <c r="C27" s="4">
        <f t="shared" si="52"/>
        <v>0.95948963936845788</v>
      </c>
      <c r="D27" s="4">
        <f t="shared" si="52"/>
        <v>0.97808439982133499</v>
      </c>
      <c r="E27" s="4">
        <f t="shared" si="52"/>
        <v>1.0141524090653098</v>
      </c>
      <c r="F27" s="4">
        <f t="shared" si="52"/>
        <v>1.0599159109005107</v>
      </c>
      <c r="G27" s="4">
        <f t="shared" si="52"/>
        <v>1.0983386091313383</v>
      </c>
      <c r="H27" s="4">
        <f t="shared" si="52"/>
        <v>1.1401986677800866</v>
      </c>
      <c r="I27" s="4">
        <f t="shared" si="52"/>
        <v>1.1800584545472201</v>
      </c>
      <c r="J27" s="4">
        <f t="shared" si="52"/>
        <v>1.2218505427922242</v>
      </c>
      <c r="K27" s="4">
        <f t="shared" si="52"/>
        <v>1.2626230749810654</v>
      </c>
      <c r="L27" s="4">
        <f t="shared" si="52"/>
        <v>1.3037742994193384</v>
      </c>
      <c r="M27" s="4">
        <f t="shared" si="52"/>
        <v>1.344575961781213</v>
      </c>
      <c r="N27" s="4">
        <f t="shared" si="52"/>
        <v>1.394296312120094</v>
      </c>
      <c r="O27" s="4">
        <f t="shared" si="52"/>
        <v>1.4444681801409902</v>
      </c>
      <c r="P27" s="4">
        <f t="shared" si="52"/>
        <v>1.4947517138251802</v>
      </c>
      <c r="Q27" s="4">
        <f t="shared" si="52"/>
        <v>1.5450158273940149</v>
      </c>
      <c r="R27" s="4">
        <f t="shared" si="52"/>
        <v>1.5960470355193912</v>
      </c>
      <c r="S27" s="4">
        <f t="shared" si="52"/>
        <v>1.6510011069465753</v>
      </c>
      <c r="T27" s="4">
        <f t="shared" si="52"/>
        <v>1.7071640805546386</v>
      </c>
      <c r="U27" s="4">
        <f t="shared" si="52"/>
        <v>1.7639145126522053</v>
      </c>
      <c r="V27" s="4">
        <f t="shared" si="52"/>
        <v>1.8220146427669781</v>
      </c>
      <c r="W27" s="4">
        <f t="shared" si="52"/>
        <v>1.8815664265045735</v>
      </c>
      <c r="X27" s="4">
        <f t="shared" si="52"/>
        <v>1.9481531470296933</v>
      </c>
      <c r="Y27" s="4">
        <f t="shared" si="52"/>
        <v>2.016910065445789</v>
      </c>
      <c r="Z27" s="4">
        <f t="shared" si="52"/>
        <v>2.0882595692618415</v>
      </c>
      <c r="AA27" s="4">
        <f t="shared" si="52"/>
        <v>2.1623861495737287</v>
      </c>
      <c r="AB27" s="4">
        <f t="shared" si="52"/>
        <v>2.2400617559668308</v>
      </c>
      <c r="AC27" s="4">
        <f t="shared" si="52"/>
        <v>2.3293068960829628</v>
      </c>
      <c r="AD27" s="4">
        <f t="shared" si="52"/>
        <v>2.4231351834229895</v>
      </c>
      <c r="AE27" s="4">
        <f t="shared" si="52"/>
        <v>2.5216728487367219</v>
      </c>
      <c r="AF27" s="4">
        <f t="shared" si="52"/>
        <v>2.6257598120132837</v>
      </c>
      <c r="AG27" s="4">
        <f t="shared" si="52"/>
        <v>2.7360417920882454</v>
      </c>
    </row>
    <row r="28" spans="1:33" x14ac:dyDescent="0.3">
      <c r="A28" t="s">
        <v>5</v>
      </c>
      <c r="B28" s="4">
        <f t="shared" si="53"/>
        <v>1</v>
      </c>
      <c r="C28" s="4">
        <f t="shared" si="52"/>
        <v>0.98437968010543342</v>
      </c>
      <c r="D28" s="4">
        <f t="shared" si="52"/>
        <v>1.0321891411569721</v>
      </c>
      <c r="E28" s="4">
        <f t="shared" si="52"/>
        <v>1.0884003274825775</v>
      </c>
      <c r="F28" s="4">
        <f t="shared" si="52"/>
        <v>1.1495537051458695</v>
      </c>
      <c r="G28" s="4">
        <f t="shared" si="52"/>
        <v>1.199295113720322</v>
      </c>
      <c r="H28" s="4">
        <f t="shared" si="52"/>
        <v>1.2528105593162804</v>
      </c>
      <c r="I28" s="4">
        <f t="shared" si="52"/>
        <v>1.3236186824816789</v>
      </c>
      <c r="J28" s="4">
        <f t="shared" si="52"/>
        <v>1.3963936979572278</v>
      </c>
      <c r="K28" s="4">
        <f t="shared" si="52"/>
        <v>1.465973761456898</v>
      </c>
      <c r="L28" s="4">
        <f t="shared" si="52"/>
        <v>1.5358932886040058</v>
      </c>
      <c r="M28" s="4">
        <f t="shared" si="52"/>
        <v>1.6041853870884004</v>
      </c>
      <c r="N28" s="4">
        <f t="shared" si="52"/>
        <v>1.6940134587351983</v>
      </c>
      <c r="O28" s="4">
        <f t="shared" si="52"/>
        <v>1.783122666187424</v>
      </c>
      <c r="P28" s="4">
        <f t="shared" si="52"/>
        <v>1.8729507378342221</v>
      </c>
      <c r="Q28" s="4">
        <f t="shared" si="52"/>
        <v>1.961261207292478</v>
      </c>
      <c r="R28" s="4">
        <f t="shared" si="52"/>
        <v>2.051059326264502</v>
      </c>
      <c r="S28" s="4">
        <f t="shared" si="52"/>
        <v>2.1646897901315922</v>
      </c>
      <c r="T28" s="4">
        <f t="shared" si="52"/>
        <v>2.2795483136644101</v>
      </c>
      <c r="U28" s="4">
        <f t="shared" si="52"/>
        <v>2.3936080992032589</v>
      </c>
      <c r="V28" s="4">
        <f t="shared" si="52"/>
        <v>2.5085265280856248</v>
      </c>
      <c r="W28" s="4">
        <f t="shared" si="52"/>
        <v>2.6231653986701011</v>
      </c>
      <c r="X28" s="4">
        <f t="shared" si="52"/>
        <v>2.7638630963078334</v>
      </c>
      <c r="Y28" s="4">
        <f t="shared" si="52"/>
        <v>2.9054493899638572</v>
      </c>
      <c r="Z28" s="4">
        <f t="shared" si="52"/>
        <v>3.0486032069330458</v>
      </c>
      <c r="AA28" s="4">
        <f t="shared" si="52"/>
        <v>3.191667165877913</v>
      </c>
      <c r="AB28" s="4">
        <f t="shared" si="52"/>
        <v>3.3359292318137341</v>
      </c>
      <c r="AC28" s="4">
        <f t="shared" si="52"/>
        <v>3.5067293675991933</v>
      </c>
      <c r="AD28" s="4">
        <f t="shared" si="52"/>
        <v>3.6796661275185207</v>
      </c>
      <c r="AE28" s="4">
        <f t="shared" si="52"/>
        <v>3.8527426665867925</v>
      </c>
      <c r="AF28" s="4">
        <f t="shared" si="52"/>
        <v>4.026578006749336</v>
      </c>
      <c r="AG28" s="4">
        <f t="shared" si="52"/>
        <v>4.200203678188462</v>
      </c>
    </row>
    <row r="29" spans="1:33" x14ac:dyDescent="0.3">
      <c r="A29" t="s">
        <v>6</v>
      </c>
      <c r="B29" s="4">
        <f t="shared" si="53"/>
        <v>1</v>
      </c>
      <c r="C29" s="4">
        <f t="shared" si="52"/>
        <v>0.98915092406671312</v>
      </c>
      <c r="D29" s="4">
        <f t="shared" si="52"/>
        <v>1.0403434004015899</v>
      </c>
      <c r="E29" s="4">
        <f t="shared" si="52"/>
        <v>1.069159529566037</v>
      </c>
      <c r="F29" s="4">
        <f t="shared" si="52"/>
        <v>1.0946461500635167</v>
      </c>
      <c r="G29" s="4">
        <f t="shared" si="52"/>
        <v>1.1162828340777773</v>
      </c>
      <c r="H29" s="4">
        <f t="shared" si="52"/>
        <v>1.1362004671556776</v>
      </c>
      <c r="I29" s="4">
        <f t="shared" si="52"/>
        <v>1.1613039380404049</v>
      </c>
      <c r="J29" s="4">
        <f t="shared" si="52"/>
        <v>1.1860836782362825</v>
      </c>
      <c r="K29" s="4">
        <f t="shared" si="52"/>
        <v>1.2098758349383274</v>
      </c>
      <c r="L29" s="4">
        <f t="shared" si="52"/>
        <v>1.2329221816989715</v>
      </c>
      <c r="M29" s="4">
        <f t="shared" si="52"/>
        <v>1.2551325656681558</v>
      </c>
      <c r="N29" s="4">
        <f t="shared" si="52"/>
        <v>1.2762426750809328</v>
      </c>
      <c r="O29" s="4">
        <f t="shared" si="52"/>
        <v>1.296266852436176</v>
      </c>
      <c r="P29" s="4">
        <f t="shared" si="52"/>
        <v>1.3157644551899359</v>
      </c>
      <c r="Q29" s="4">
        <f t="shared" si="52"/>
        <v>1.334516248002295</v>
      </c>
      <c r="R29" s="4">
        <f t="shared" si="52"/>
        <v>1.3529135761996476</v>
      </c>
      <c r="S29" s="4">
        <f t="shared" si="52"/>
        <v>1.3709031676433225</v>
      </c>
      <c r="T29" s="4">
        <f t="shared" si="52"/>
        <v>1.3883231569888947</v>
      </c>
      <c r="U29" s="4">
        <f t="shared" si="52"/>
        <v>1.4051141253124617</v>
      </c>
      <c r="V29" s="4">
        <f t="shared" si="52"/>
        <v>1.4215035036675818</v>
      </c>
      <c r="W29" s="4">
        <f t="shared" si="52"/>
        <v>1.4373642584928084</v>
      </c>
      <c r="X29" s="4">
        <f t="shared" si="52"/>
        <v>1.4532823833135271</v>
      </c>
      <c r="Y29" s="4">
        <f t="shared" si="52"/>
        <v>1.4686985206736876</v>
      </c>
      <c r="Z29" s="4">
        <f t="shared" si="52"/>
        <v>1.4838851780518789</v>
      </c>
      <c r="AA29" s="4">
        <f t="shared" si="52"/>
        <v>1.4985821415399745</v>
      </c>
      <c r="AB29" s="4">
        <f t="shared" si="52"/>
        <v>1.5130414293324592</v>
      </c>
      <c r="AC29" s="4">
        <f t="shared" si="52"/>
        <v>1.5275662828340779</v>
      </c>
      <c r="AD29" s="4">
        <f t="shared" si="52"/>
        <v>1.5418124820718766</v>
      </c>
      <c r="AE29" s="4">
        <f t="shared" si="52"/>
        <v>1.5556980699094376</v>
      </c>
      <c r="AF29" s="4">
        <f t="shared" si="52"/>
        <v>1.5692783674138426</v>
      </c>
      <c r="AG29" s="4">
        <f t="shared" si="52"/>
        <v>1.5825164938737042</v>
      </c>
    </row>
    <row r="30" spans="1:33" x14ac:dyDescent="0.3">
      <c r="A30" t="s">
        <v>7</v>
      </c>
      <c r="B30" s="4">
        <f t="shared" si="53"/>
        <v>1</v>
      </c>
      <c r="C30" s="4">
        <f t="shared" si="52"/>
        <v>0.95316591990552602</v>
      </c>
      <c r="D30" s="4">
        <f t="shared" si="52"/>
        <v>1.0075370775589594</v>
      </c>
      <c r="E30" s="4">
        <f t="shared" si="52"/>
        <v>1.0317460317460316</v>
      </c>
      <c r="F30" s="4">
        <f t="shared" si="52"/>
        <v>1.0550936056406515</v>
      </c>
      <c r="G30" s="4">
        <f t="shared" si="52"/>
        <v>1.0745510749887117</v>
      </c>
      <c r="H30" s="4">
        <f t="shared" si="52"/>
        <v>1.093814039109444</v>
      </c>
      <c r="I30" s="4">
        <f t="shared" si="52"/>
        <v>1.1221979090688061</v>
      </c>
      <c r="J30" s="4">
        <f t="shared" si="52"/>
        <v>1.1509777360980862</v>
      </c>
      <c r="K30" s="4">
        <f t="shared" si="52"/>
        <v>1.1789378625264839</v>
      </c>
      <c r="L30" s="4">
        <f t="shared" si="52"/>
        <v>1.206453405578132</v>
      </c>
      <c r="M30" s="4">
        <f t="shared" si="52"/>
        <v>1.233267340488347</v>
      </c>
      <c r="N30" s="4">
        <f t="shared" si="52"/>
        <v>1.2674307943454552</v>
      </c>
      <c r="O30" s="4">
        <f t="shared" si="52"/>
        <v>1.3012399708242159</v>
      </c>
      <c r="P30" s="4">
        <f t="shared" si="52"/>
        <v>1.3348615886909103</v>
      </c>
      <c r="Q30" s="4">
        <f t="shared" si="52"/>
        <v>1.3677190788788163</v>
      </c>
      <c r="R30" s="4">
        <f t="shared" si="52"/>
        <v>1.4004167969157029</v>
      </c>
      <c r="S30" s="4">
        <f t="shared" si="52"/>
        <v>1.4390747108471398</v>
      </c>
      <c r="T30" s="4">
        <f t="shared" si="52"/>
        <v>1.4777395713938384</v>
      </c>
      <c r="U30" s="4">
        <f t="shared" si="52"/>
        <v>1.515869542565385</v>
      </c>
      <c r="V30" s="4">
        <f t="shared" si="52"/>
        <v>1.5536313431280608</v>
      </c>
      <c r="W30" s="4">
        <f t="shared" si="52"/>
        <v>1.5908235212392763</v>
      </c>
      <c r="X30" s="4">
        <f t="shared" si="52"/>
        <v>1.6334410058698898</v>
      </c>
      <c r="Y30" s="4">
        <f t="shared" si="52"/>
        <v>1.6759126115800076</v>
      </c>
      <c r="Z30" s="4">
        <f t="shared" si="52"/>
        <v>1.7182939112917233</v>
      </c>
      <c r="AA30" s="4">
        <f t="shared" si="52"/>
        <v>1.7601125351672398</v>
      </c>
      <c r="AB30" s="4">
        <f t="shared" si="52"/>
        <v>1.8017019207391198</v>
      </c>
      <c r="AC30" s="4">
        <f t="shared" si="52"/>
        <v>1.8476398874648328</v>
      </c>
      <c r="AD30" s="4">
        <f t="shared" si="52"/>
        <v>1.8936125872668541</v>
      </c>
      <c r="AE30" s="4">
        <f t="shared" si="52"/>
        <v>1.9392310096905283</v>
      </c>
      <c r="AF30" s="4">
        <f t="shared" si="52"/>
        <v>1.9844951547358549</v>
      </c>
      <c r="AG30" s="4">
        <f t="shared" si="52"/>
        <v>2.0293216630196937</v>
      </c>
    </row>
    <row r="31" spans="1:33" x14ac:dyDescent="0.3">
      <c r="A31" t="s">
        <v>8</v>
      </c>
      <c r="B31" s="4">
        <f t="shared" si="53"/>
        <v>1</v>
      </c>
      <c r="C31" s="4">
        <f t="shared" si="52"/>
        <v>0.97016191402839103</v>
      </c>
      <c r="D31" s="4">
        <f t="shared" si="52"/>
        <v>1.0221748205806285</v>
      </c>
      <c r="E31" s="4">
        <f t="shared" si="52"/>
        <v>1.0396053189631516</v>
      </c>
      <c r="F31" s="4">
        <f t="shared" si="52"/>
        <v>1.053721860472852</v>
      </c>
      <c r="G31" s="4">
        <f t="shared" si="52"/>
        <v>1.0643456494440702</v>
      </c>
      <c r="H31" s="4">
        <f t="shared" si="52"/>
        <v>1.0736056017097855</v>
      </c>
      <c r="I31" s="4">
        <f t="shared" si="52"/>
        <v>1.0977014361865796</v>
      </c>
      <c r="J31" s="4">
        <f t="shared" si="52"/>
        <v>1.1221548619946944</v>
      </c>
      <c r="K31" s="4">
        <f t="shared" si="52"/>
        <v>1.1458639988690134</v>
      </c>
      <c r="L31" s="4">
        <f t="shared" si="52"/>
        <v>1.1689577460103617</v>
      </c>
      <c r="M31" s="4">
        <f t="shared" si="52"/>
        <v>1.1912365175593975</v>
      </c>
      <c r="N31" s="4">
        <f t="shared" si="52"/>
        <v>1.2159560578466349</v>
      </c>
      <c r="O31" s="4">
        <f t="shared" si="52"/>
        <v>1.2397608296118885</v>
      </c>
      <c r="P31" s="4">
        <f t="shared" si="52"/>
        <v>1.2632495904331844</v>
      </c>
      <c r="Q31" s="4">
        <f t="shared" si="52"/>
        <v>1.2857653701901886</v>
      </c>
      <c r="R31" s="4">
        <f t="shared" si="52"/>
        <v>1.3081023542815324</v>
      </c>
      <c r="S31" s="4">
        <f t="shared" si="52"/>
        <v>1.3320859217124466</v>
      </c>
      <c r="T31" s="4">
        <f t="shared" si="52"/>
        <v>1.3556162629211053</v>
      </c>
      <c r="U31" s="4">
        <f t="shared" si="52"/>
        <v>1.3783066803050339</v>
      </c>
      <c r="V31" s="4">
        <f t="shared" si="52"/>
        <v>1.4005563455829155</v>
      </c>
      <c r="W31" s="4">
        <f t="shared" si="52"/>
        <v>1.4220575638882653</v>
      </c>
      <c r="X31" s="4">
        <f t="shared" si="52"/>
        <v>1.4450099377125798</v>
      </c>
      <c r="Y31" s="4">
        <f t="shared" ref="C31:AG39" si="54">Y52/$B52</f>
        <v>1.4672762351454065</v>
      </c>
      <c r="Z31" s="4">
        <f t="shared" si="54"/>
        <v>1.4892805761378471</v>
      </c>
      <c r="AA31" s="4">
        <f t="shared" si="54"/>
        <v>1.5105406281964924</v>
      </c>
      <c r="AB31" s="4">
        <f t="shared" si="54"/>
        <v>1.5314971434273881</v>
      </c>
      <c r="AC31" s="4">
        <f t="shared" si="54"/>
        <v>1.5531771573983983</v>
      </c>
      <c r="AD31" s="4">
        <f t="shared" si="54"/>
        <v>1.5745286863092416</v>
      </c>
      <c r="AE31" s="4">
        <f t="shared" si="54"/>
        <v>1.595306405874477</v>
      </c>
      <c r="AF31" s="4">
        <f t="shared" si="54"/>
        <v>1.6156433733336659</v>
      </c>
      <c r="AG31" s="4">
        <f t="shared" si="54"/>
        <v>1.6354148475247194</v>
      </c>
    </row>
    <row r="32" spans="1:33" x14ac:dyDescent="0.3">
      <c r="A32" t="s">
        <v>9</v>
      </c>
      <c r="B32" s="4">
        <f t="shared" si="53"/>
        <v>1</v>
      </c>
      <c r="C32" s="4">
        <f t="shared" si="54"/>
        <v>0.98257263122488192</v>
      </c>
      <c r="D32" s="4">
        <f t="shared" si="54"/>
        <v>1.037482170424562</v>
      </c>
      <c r="E32" s="4">
        <f t="shared" si="54"/>
        <v>1.0594662947643323</v>
      </c>
      <c r="F32" s="4">
        <f t="shared" si="54"/>
        <v>1.0776060532499407</v>
      </c>
      <c r="G32" s="4">
        <f t="shared" si="54"/>
        <v>1.0916634537732062</v>
      </c>
      <c r="H32" s="4">
        <f t="shared" si="54"/>
        <v>1.1046514764237083</v>
      </c>
      <c r="I32" s="4">
        <f t="shared" si="54"/>
        <v>1.1331423050011662</v>
      </c>
      <c r="J32" s="4">
        <f t="shared" si="54"/>
        <v>1.1623074445518053</v>
      </c>
      <c r="K32" s="4">
        <f t="shared" si="54"/>
        <v>1.1907300487249175</v>
      </c>
      <c r="L32" s="4">
        <f t="shared" si="54"/>
        <v>1.2184418498015939</v>
      </c>
      <c r="M32" s="4">
        <f t="shared" si="54"/>
        <v>1.2452429344109615</v>
      </c>
      <c r="N32" s="4">
        <f t="shared" si="54"/>
        <v>1.2682139326926585</v>
      </c>
      <c r="O32" s="4">
        <f t="shared" si="54"/>
        <v>1.2899489586258652</v>
      </c>
      <c r="P32" s="4">
        <f t="shared" si="54"/>
        <v>1.3110556853934723</v>
      </c>
      <c r="Q32" s="4">
        <f t="shared" si="54"/>
        <v>1.3311628453067164</v>
      </c>
      <c r="R32" s="4">
        <f t="shared" si="54"/>
        <v>1.3509003241452513</v>
      </c>
      <c r="S32" s="4">
        <f t="shared" si="54"/>
        <v>1.3668838741307336</v>
      </c>
      <c r="T32" s="4">
        <f t="shared" si="54"/>
        <v>1.3821058493700349</v>
      </c>
      <c r="U32" s="4">
        <f t="shared" si="54"/>
        <v>1.3965123049852999</v>
      </c>
      <c r="V32" s="4">
        <f t="shared" si="54"/>
        <v>1.4104427763842016</v>
      </c>
      <c r="W32" s="4">
        <f t="shared" si="54"/>
        <v>1.4237465352315584</v>
      </c>
      <c r="X32" s="4">
        <f t="shared" si="54"/>
        <v>1.4330694794160623</v>
      </c>
      <c r="Y32" s="4">
        <f t="shared" si="54"/>
        <v>1.4416292622403306</v>
      </c>
      <c r="Z32" s="4">
        <f t="shared" si="54"/>
        <v>1.4498542694990899</v>
      </c>
      <c r="AA32" s="4">
        <f t="shared" si="54"/>
        <v>1.4575588673479587</v>
      </c>
      <c r="AB32" s="4">
        <f t="shared" si="54"/>
        <v>1.4650064337199911</v>
      </c>
      <c r="AC32" s="4">
        <f t="shared" si="54"/>
        <v>1.4703580829259701</v>
      </c>
      <c r="AD32" s="4">
        <f t="shared" si="54"/>
        <v>1.4753400510572401</v>
      </c>
      <c r="AE32" s="4">
        <f t="shared" si="54"/>
        <v>1.4799412318154195</v>
      </c>
      <c r="AF32" s="4">
        <f t="shared" si="54"/>
        <v>1.4842742747983808</v>
      </c>
      <c r="AG32" s="4">
        <f t="shared" si="54"/>
        <v>1.4882995146547606</v>
      </c>
    </row>
    <row r="33" spans="1:33" x14ac:dyDescent="0.3">
      <c r="A33" t="s">
        <v>10</v>
      </c>
      <c r="B33" s="4">
        <f t="shared" si="53"/>
        <v>1</v>
      </c>
      <c r="C33" s="4">
        <f t="shared" si="54"/>
        <v>0.99148881504573327</v>
      </c>
      <c r="D33" s="4">
        <f t="shared" si="54"/>
        <v>1.0352694323592888</v>
      </c>
      <c r="E33" s="4">
        <f t="shared" si="54"/>
        <v>1.0634322222602857</v>
      </c>
      <c r="F33" s="4">
        <f t="shared" si="54"/>
        <v>1.0872049604330103</v>
      </c>
      <c r="G33" s="4">
        <f t="shared" si="54"/>
        <v>1.1057671885170086</v>
      </c>
      <c r="H33" s="4">
        <f t="shared" si="54"/>
        <v>1.1236459867767463</v>
      </c>
      <c r="I33" s="4">
        <f t="shared" si="54"/>
        <v>1.1604484258846905</v>
      </c>
      <c r="J33" s="4">
        <f t="shared" si="54"/>
        <v>1.1981980747490666</v>
      </c>
      <c r="K33" s="4">
        <f t="shared" si="54"/>
        <v>1.2352608680757768</v>
      </c>
      <c r="L33" s="4">
        <f t="shared" si="54"/>
        <v>1.2721438114487342</v>
      </c>
      <c r="M33" s="4">
        <f t="shared" si="54"/>
        <v>1.3083039292932754</v>
      </c>
      <c r="N33" s="4">
        <f t="shared" si="54"/>
        <v>1.3496848343667571</v>
      </c>
      <c r="O33" s="4">
        <f t="shared" si="54"/>
        <v>1.3905210510088728</v>
      </c>
      <c r="P33" s="4">
        <f t="shared" si="54"/>
        <v>1.4312527833921416</v>
      </c>
      <c r="Q33" s="4">
        <f t="shared" si="54"/>
        <v>1.4708848617724641</v>
      </c>
      <c r="R33" s="4">
        <f t="shared" si="54"/>
        <v>1.5105786029940738</v>
      </c>
      <c r="S33" s="4">
        <f t="shared" si="54"/>
        <v>1.5498407043266762</v>
      </c>
      <c r="T33" s="4">
        <f t="shared" si="54"/>
        <v>1.5888116200198692</v>
      </c>
      <c r="U33" s="4">
        <f t="shared" si="54"/>
        <v>1.6268164845329043</v>
      </c>
      <c r="V33" s="4">
        <f t="shared" si="54"/>
        <v>1.6645078962693982</v>
      </c>
      <c r="W33" s="4">
        <f t="shared" si="54"/>
        <v>1.7014319482032132</v>
      </c>
      <c r="X33" s="4">
        <f t="shared" si="54"/>
        <v>1.7376074817580764</v>
      </c>
      <c r="Y33" s="4">
        <f t="shared" si="54"/>
        <v>1.7730464869309035</v>
      </c>
      <c r="Z33" s="4">
        <f t="shared" si="54"/>
        <v>1.8082285635983697</v>
      </c>
      <c r="AA33" s="4">
        <f t="shared" si="54"/>
        <v>1.8427426261518962</v>
      </c>
      <c r="AB33" s="4">
        <f t="shared" si="54"/>
        <v>1.8770682744681582</v>
      </c>
      <c r="AC33" s="4">
        <f t="shared" si="54"/>
        <v>1.9117022369908534</v>
      </c>
      <c r="AD33" s="4">
        <f t="shared" si="54"/>
        <v>1.9462162995443801</v>
      </c>
      <c r="AE33" s="4">
        <f t="shared" si="54"/>
        <v>1.9801993765201604</v>
      </c>
      <c r="AF33" s="4">
        <f t="shared" si="54"/>
        <v>2.0139255249905794</v>
      </c>
      <c r="AG33" s="4">
        <f t="shared" si="54"/>
        <v>2.0472405878524205</v>
      </c>
    </row>
    <row r="34" spans="1:33" x14ac:dyDescent="0.3">
      <c r="A34" t="s">
        <v>11</v>
      </c>
      <c r="B34" s="4">
        <f t="shared" si="53"/>
        <v>1</v>
      </c>
      <c r="C34" s="4">
        <f t="shared" si="54"/>
        <v>0.98411173438290944</v>
      </c>
      <c r="D34" s="4">
        <f t="shared" si="54"/>
        <v>1.0199223148521193</v>
      </c>
      <c r="E34" s="4">
        <f t="shared" si="54"/>
        <v>1.0616419251867233</v>
      </c>
      <c r="F34" s="4">
        <f t="shared" si="54"/>
        <v>1.1029896385367919</v>
      </c>
      <c r="G34" s="4">
        <f t="shared" si="54"/>
        <v>1.1432836437640108</v>
      </c>
      <c r="H34" s="4">
        <f t="shared" si="54"/>
        <v>1.1819609301556802</v>
      </c>
      <c r="I34" s="4">
        <f t="shared" si="54"/>
        <v>1.2303901819196084</v>
      </c>
      <c r="J34" s="4">
        <f t="shared" si="54"/>
        <v>1.2790260431193894</v>
      </c>
      <c r="K34" s="4">
        <f t="shared" si="54"/>
        <v>1.3270575717193005</v>
      </c>
      <c r="L34" s="4">
        <f t="shared" si="54"/>
        <v>1.3745932376731647</v>
      </c>
      <c r="M34" s="4">
        <f t="shared" si="54"/>
        <v>1.4212818049400318</v>
      </c>
      <c r="N34" s="4">
        <f t="shared" si="54"/>
        <v>1.4744734042003698</v>
      </c>
      <c r="O34" s="4">
        <f t="shared" si="54"/>
        <v>1.5272517845890023</v>
      </c>
      <c r="P34" s="4">
        <f t="shared" si="54"/>
        <v>1.5797305812956479</v>
      </c>
      <c r="Q34" s="4">
        <f t="shared" si="54"/>
        <v>1.6313674445511928</v>
      </c>
      <c r="R34" s="4">
        <f t="shared" si="54"/>
        <v>1.682529106104276</v>
      </c>
      <c r="S34" s="4">
        <f t="shared" si="54"/>
        <v>1.7397909112509167</v>
      </c>
      <c r="T34" s="4">
        <f t="shared" si="54"/>
        <v>1.7969855683309057</v>
      </c>
      <c r="U34" s="4">
        <f t="shared" si="54"/>
        <v>1.8532866396008307</v>
      </c>
      <c r="V34" s="4">
        <f t="shared" si="54"/>
        <v>1.9090401958657455</v>
      </c>
      <c r="W34" s="4">
        <f t="shared" si="54"/>
        <v>1.9637607049513952</v>
      </c>
      <c r="X34" s="4">
        <f t="shared" si="54"/>
        <v>2.0237394241795026</v>
      </c>
      <c r="Y34" s="4">
        <f t="shared" si="54"/>
        <v>2.0831861241102883</v>
      </c>
      <c r="Z34" s="4">
        <f t="shared" si="54"/>
        <v>2.1421421266309233</v>
      </c>
      <c r="AA34" s="4">
        <f t="shared" si="54"/>
        <v>2.2000702472081901</v>
      </c>
      <c r="AB34" s="4">
        <f t="shared" si="54"/>
        <v>2.2573268871189347</v>
      </c>
      <c r="AC34" s="4">
        <f t="shared" si="54"/>
        <v>2.3198159109926553</v>
      </c>
      <c r="AD34" s="4">
        <f t="shared" si="54"/>
        <v>2.3821241516100042</v>
      </c>
      <c r="AE34" s="4">
        <f t="shared" si="54"/>
        <v>2.4434613278788446</v>
      </c>
      <c r="AF34" s="4">
        <f t="shared" si="54"/>
        <v>2.5039927273478582</v>
      </c>
      <c r="AG34" s="4">
        <f t="shared" si="54"/>
        <v>2.5634394272786443</v>
      </c>
    </row>
    <row r="35" spans="1:33" x14ac:dyDescent="0.3">
      <c r="A35" t="s">
        <v>12</v>
      </c>
      <c r="B35" s="4">
        <f t="shared" si="53"/>
        <v>1</v>
      </c>
      <c r="C35" s="4">
        <f t="shared" si="54"/>
        <v>1.0075713798681853</v>
      </c>
      <c r="D35" s="4">
        <f t="shared" si="54"/>
        <v>1.0484610433287744</v>
      </c>
      <c r="E35" s="4">
        <f t="shared" si="54"/>
        <v>1.0941762767818477</v>
      </c>
      <c r="F35" s="4">
        <f t="shared" si="54"/>
        <v>1.1407944946906885</v>
      </c>
      <c r="G35" s="4">
        <f t="shared" si="54"/>
        <v>1.1844668245353778</v>
      </c>
      <c r="H35" s="4">
        <f t="shared" si="54"/>
        <v>1.2280588598439126</v>
      </c>
      <c r="I35" s="4">
        <f t="shared" si="54"/>
        <v>1.2863553256996483</v>
      </c>
      <c r="J35" s="4">
        <f t="shared" si="54"/>
        <v>1.3457890781002575</v>
      </c>
      <c r="K35" s="4">
        <f t="shared" si="54"/>
        <v>1.4044830677251505</v>
      </c>
      <c r="L35" s="4">
        <f t="shared" si="54"/>
        <v>1.4627163509950598</v>
      </c>
      <c r="M35" s="4">
        <f t="shared" si="54"/>
        <v>1.5199887324388608</v>
      </c>
      <c r="N35" s="4">
        <f t="shared" si="54"/>
        <v>1.6007439749481047</v>
      </c>
      <c r="O35" s="4">
        <f t="shared" si="54"/>
        <v>1.6824469562447428</v>
      </c>
      <c r="P35" s="4">
        <f t="shared" si="54"/>
        <v>1.7643342200833747</v>
      </c>
      <c r="Q35" s="4">
        <f t="shared" si="54"/>
        <v>1.8448920170119112</v>
      </c>
      <c r="R35" s="4">
        <f t="shared" si="54"/>
        <v>1.9251470640500301</v>
      </c>
      <c r="S35" s="4">
        <f t="shared" si="54"/>
        <v>2.0228036482678098</v>
      </c>
      <c r="T35" s="4">
        <f t="shared" si="54"/>
        <v>2.1211710365761354</v>
      </c>
      <c r="U35" s="4">
        <f t="shared" si="54"/>
        <v>2.2183932405163596</v>
      </c>
      <c r="V35" s="4">
        <f t="shared" si="54"/>
        <v>2.3146940317466167</v>
      </c>
      <c r="W35" s="4">
        <f t="shared" si="54"/>
        <v>2.4094020952925024</v>
      </c>
      <c r="X35" s="4">
        <f t="shared" si="54"/>
        <v>2.526513650729298</v>
      </c>
      <c r="Y35" s="4">
        <f t="shared" si="54"/>
        <v>2.643980608211367</v>
      </c>
      <c r="Z35" s="4">
        <f t="shared" si="54"/>
        <v>2.7609473702223108</v>
      </c>
      <c r="AA35" s="4">
        <f t="shared" si="54"/>
        <v>2.8761502850456035</v>
      </c>
      <c r="AB35" s="4">
        <f t="shared" si="54"/>
        <v>2.9901027111910841</v>
      </c>
      <c r="AC35" s="4">
        <f t="shared" si="54"/>
        <v>3.130117953989914</v>
      </c>
      <c r="AD35" s="4">
        <f t="shared" si="54"/>
        <v>3.2710151203825708</v>
      </c>
      <c r="AE35" s="4">
        <f t="shared" si="54"/>
        <v>3.4105564937877038</v>
      </c>
      <c r="AF35" s="4">
        <f t="shared" si="54"/>
        <v>3.5484393243148964</v>
      </c>
      <c r="AG35" s="4">
        <f t="shared" si="54"/>
        <v>3.6842160686478795</v>
      </c>
    </row>
    <row r="36" spans="1:33" x14ac:dyDescent="0.3">
      <c r="A36" t="s">
        <v>13</v>
      </c>
      <c r="B36" s="4">
        <f t="shared" si="53"/>
        <v>1</v>
      </c>
      <c r="C36" s="4">
        <f t="shared" si="54"/>
        <v>1.0461171438507766</v>
      </c>
      <c r="D36" s="4">
        <f t="shared" si="54"/>
        <v>1.0818368852645504</v>
      </c>
      <c r="E36" s="4">
        <f t="shared" si="54"/>
        <v>1.1573196218062685</v>
      </c>
      <c r="F36" s="4">
        <f t="shared" si="54"/>
        <v>1.2313137649387498</v>
      </c>
      <c r="G36" s="4">
        <f t="shared" si="54"/>
        <v>1.299912569513737</v>
      </c>
      <c r="H36" s="4">
        <f t="shared" si="54"/>
        <v>1.3663012354025215</v>
      </c>
      <c r="I36" s="4">
        <f t="shared" si="54"/>
        <v>1.4534652049416101</v>
      </c>
      <c r="J36" s="4">
        <f t="shared" si="54"/>
        <v>1.5378762517347964</v>
      </c>
      <c r="K36" s="4">
        <f t="shared" si="54"/>
        <v>1.6175907538198022</v>
      </c>
      <c r="L36" s="4">
        <f t="shared" si="54"/>
        <v>1.6944808286719992</v>
      </c>
      <c r="M36" s="4">
        <f t="shared" si="54"/>
        <v>1.7675681649023476</v>
      </c>
      <c r="N36" s="4">
        <f t="shared" si="54"/>
        <v>1.8486575032583297</v>
      </c>
      <c r="O36" s="4">
        <f t="shared" si="54"/>
        <v>1.9257880932028486</v>
      </c>
      <c r="P36" s="4">
        <f t="shared" si="54"/>
        <v>2.0006240391584571</v>
      </c>
      <c r="Q36" s="4">
        <f t="shared" si="54"/>
        <v>2.0715792415974104</v>
      </c>
      <c r="R36" s="4">
        <f t="shared" si="54"/>
        <v>2.1409255930809659</v>
      </c>
      <c r="S36" s="4">
        <f t="shared" si="54"/>
        <v>2.2050651178361442</v>
      </c>
      <c r="T36" s="4">
        <f t="shared" si="54"/>
        <v>2.2671277622670822</v>
      </c>
      <c r="U36" s="4">
        <f t="shared" si="54"/>
        <v>2.3264537349718695</v>
      </c>
      <c r="V36" s="4">
        <f t="shared" si="54"/>
        <v>2.3841026024383027</v>
      </c>
      <c r="W36" s="4">
        <f t="shared" si="54"/>
        <v>2.4396713393765461</v>
      </c>
      <c r="X36" s="4">
        <f t="shared" si="54"/>
        <v>2.4924286498977808</v>
      </c>
      <c r="Y36" s="4">
        <f t="shared" si="54"/>
        <v>2.5434341004898058</v>
      </c>
      <c r="Z36" s="4">
        <f t="shared" si="54"/>
        <v>2.5933994858177352</v>
      </c>
      <c r="AA36" s="4">
        <f t="shared" si="54"/>
        <v>2.6417235181507639</v>
      </c>
      <c r="AB36" s="4">
        <f t="shared" si="54"/>
        <v>2.689163495009312</v>
      </c>
      <c r="AC36" s="4">
        <f t="shared" si="54"/>
        <v>2.7343965833856076</v>
      </c>
      <c r="AD36" s="4">
        <f t="shared" si="54"/>
        <v>2.7787651175111239</v>
      </c>
      <c r="AE36" s="4">
        <f t="shared" si="54"/>
        <v>2.8218920737276263</v>
      </c>
      <c r="AF36" s="4">
        <f t="shared" si="54"/>
        <v>2.8641024724301452</v>
      </c>
      <c r="AG36" s="4">
        <f t="shared" si="54"/>
        <v>2.9052630552567176</v>
      </c>
    </row>
    <row r="37" spans="1:33" x14ac:dyDescent="0.3">
      <c r="A37" t="s">
        <v>14</v>
      </c>
      <c r="B37" s="4">
        <f t="shared" si="53"/>
        <v>1</v>
      </c>
      <c r="C37" s="4">
        <f t="shared" si="54"/>
        <v>0.98311584295387799</v>
      </c>
      <c r="D37" s="4">
        <f t="shared" si="54"/>
        <v>1.0474932649445419</v>
      </c>
      <c r="E37" s="4">
        <f t="shared" si="54"/>
        <v>1.1152564175168074</v>
      </c>
      <c r="F37" s="4">
        <f t="shared" si="54"/>
        <v>1.1834604836295679</v>
      </c>
      <c r="G37" s="4">
        <f t="shared" si="54"/>
        <v>1.2462077390439052</v>
      </c>
      <c r="H37" s="4">
        <f t="shared" si="54"/>
        <v>1.3094848997225077</v>
      </c>
      <c r="I37" s="4">
        <f t="shared" si="54"/>
        <v>1.3876964896810051</v>
      </c>
      <c r="J37" s="4">
        <f t="shared" si="54"/>
        <v>1.4669314844628543</v>
      </c>
      <c r="K37" s="4">
        <f t="shared" si="54"/>
        <v>1.5437798830163341</v>
      </c>
      <c r="L37" s="4">
        <f t="shared" si="54"/>
        <v>1.6197140938619983</v>
      </c>
      <c r="M37" s="4">
        <f t="shared" si="54"/>
        <v>1.6936298106094314</v>
      </c>
      <c r="N37" s="4">
        <f t="shared" si="54"/>
        <v>1.7750612829370505</v>
      </c>
      <c r="O37" s="4">
        <f t="shared" si="54"/>
        <v>1.854955625490466</v>
      </c>
      <c r="P37" s="4">
        <f t="shared" si="54"/>
        <v>1.9341178088619579</v>
      </c>
      <c r="Q37" s="4">
        <f t="shared" si="54"/>
        <v>2.0104079866027007</v>
      </c>
      <c r="R37" s="4">
        <f t="shared" si="54"/>
        <v>2.0866334430897928</v>
      </c>
      <c r="S37" s="4">
        <f t="shared" si="54"/>
        <v>2.1692258529047708</v>
      </c>
      <c r="T37" s="4">
        <f t="shared" si="54"/>
        <v>2.2517697217795107</v>
      </c>
      <c r="U37" s="4">
        <f t="shared" si="54"/>
        <v>2.3315184415122121</v>
      </c>
      <c r="V37" s="4">
        <f t="shared" si="54"/>
        <v>2.4102235310297959</v>
      </c>
      <c r="W37" s="4">
        <f t="shared" si="54"/>
        <v>2.4865056186138328</v>
      </c>
      <c r="X37" s="4">
        <f t="shared" si="54"/>
        <v>2.5710760717435099</v>
      </c>
      <c r="Y37" s="4">
        <f t="shared" si="54"/>
        <v>2.6542024319011062</v>
      </c>
      <c r="Z37" s="4">
        <f t="shared" si="54"/>
        <v>2.7361031333176924</v>
      </c>
      <c r="AA37" s="4">
        <f t="shared" si="54"/>
        <v>2.8156091483492038</v>
      </c>
      <c r="AB37" s="4">
        <f t="shared" si="54"/>
        <v>2.8938530989345264</v>
      </c>
      <c r="AC37" s="4">
        <f t="shared" si="54"/>
        <v>2.9795076330628527</v>
      </c>
      <c r="AD37" s="4">
        <f t="shared" si="54"/>
        <v>3.0647536142775085</v>
      </c>
      <c r="AE37" s="4">
        <f t="shared" si="54"/>
        <v>3.1475240075400261</v>
      </c>
      <c r="AF37" s="4">
        <f t="shared" si="54"/>
        <v>3.2287572710283401</v>
      </c>
      <c r="AG37" s="4">
        <f t="shared" si="54"/>
        <v>3.3077455160306455</v>
      </c>
    </row>
    <row r="38" spans="1:33" x14ac:dyDescent="0.3">
      <c r="A38" t="s">
        <v>15</v>
      </c>
      <c r="B38" s="4">
        <f t="shared" si="53"/>
        <v>1</v>
      </c>
      <c r="C38" s="4">
        <f t="shared" si="54"/>
        <v>0.97541684042138654</v>
      </c>
      <c r="D38" s="4">
        <f t="shared" si="54"/>
        <v>1.0071028650729086</v>
      </c>
      <c r="E38" s="4">
        <f t="shared" si="54"/>
        <v>1.1019831964943705</v>
      </c>
      <c r="F38" s="4">
        <f t="shared" si="54"/>
        <v>1.2009037524183239</v>
      </c>
      <c r="G38" s="4">
        <f t="shared" si="54"/>
        <v>1.2974658016530054</v>
      </c>
      <c r="H38" s="4">
        <f t="shared" si="54"/>
        <v>1.3916419991933222</v>
      </c>
      <c r="I38" s="4">
        <f t="shared" si="54"/>
        <v>1.4584458466355388</v>
      </c>
      <c r="J38" s="4">
        <f t="shared" si="54"/>
        <v>1.521086417052345</v>
      </c>
      <c r="K38" s="4">
        <f t="shared" si="54"/>
        <v>1.5836244437000526</v>
      </c>
      <c r="L38" s="4">
        <f t="shared" si="54"/>
        <v>1.6424845671627506</v>
      </c>
      <c r="M38" s="4">
        <f t="shared" si="54"/>
        <v>1.7026982683775524</v>
      </c>
      <c r="N38" s="4">
        <f t="shared" si="54"/>
        <v>1.76187285939882</v>
      </c>
      <c r="O38" s="4">
        <f t="shared" si="54"/>
        <v>1.8217926018088721</v>
      </c>
      <c r="P38" s="4">
        <f t="shared" si="54"/>
        <v>1.8787385749150596</v>
      </c>
      <c r="Q38" s="4">
        <f t="shared" si="54"/>
        <v>1.9354179342215903</v>
      </c>
      <c r="R38" s="4">
        <f t="shared" si="54"/>
        <v>1.9904976107301799</v>
      </c>
      <c r="S38" s="4">
        <f t="shared" si="54"/>
        <v>2.045522597228584</v>
      </c>
      <c r="T38" s="4">
        <f t="shared" si="54"/>
        <v>2.0989479009290464</v>
      </c>
      <c r="U38" s="4">
        <f t="shared" si="54"/>
        <v>2.1509854456210391</v>
      </c>
      <c r="V38" s="4">
        <f t="shared" si="54"/>
        <v>2.2018745000991253</v>
      </c>
      <c r="W38" s="4">
        <f t="shared" si="54"/>
        <v>2.2512527430458236</v>
      </c>
      <c r="X38" s="4">
        <f t="shared" si="54"/>
        <v>2.3002823371775851</v>
      </c>
      <c r="Y38" s="4">
        <f t="shared" si="54"/>
        <v>2.3478216285317783</v>
      </c>
      <c r="Z38" s="4">
        <f t="shared" si="54"/>
        <v>2.3947730022764717</v>
      </c>
      <c r="AA38" s="4">
        <f t="shared" si="54"/>
        <v>2.4400836757155844</v>
      </c>
      <c r="AB38" s="4">
        <f t="shared" si="54"/>
        <v>2.4847722502888319</v>
      </c>
      <c r="AC38" s="4">
        <f t="shared" si="54"/>
        <v>2.5287430184783872</v>
      </c>
      <c r="AD38" s="4">
        <f t="shared" si="54"/>
        <v>2.5720848515508035</v>
      </c>
      <c r="AE38" s="4">
        <f t="shared" si="54"/>
        <v>2.6140457618660231</v>
      </c>
      <c r="AF38" s="4">
        <f t="shared" si="54"/>
        <v>2.6551042870131734</v>
      </c>
      <c r="AG38" s="4">
        <f t="shared" si="54"/>
        <v>2.6948912694234988</v>
      </c>
    </row>
    <row r="39" spans="1:33" x14ac:dyDescent="0.3">
      <c r="A39" t="s">
        <v>16</v>
      </c>
      <c r="B39" s="4">
        <f t="shared" si="53"/>
        <v>1</v>
      </c>
      <c r="C39" s="4">
        <f t="shared" si="54"/>
        <v>1.0139614003731403</v>
      </c>
      <c r="D39" s="4">
        <f t="shared" si="54"/>
        <v>1.042743886824598</v>
      </c>
      <c r="E39" s="4">
        <f t="shared" si="54"/>
        <v>1.0729347945377294</v>
      </c>
      <c r="F39" s="4">
        <f t="shared" si="54"/>
        <v>1.1026841007792045</v>
      </c>
      <c r="G39" s="4">
        <f t="shared" si="54"/>
        <v>1.130504993493564</v>
      </c>
      <c r="H39" s="4">
        <f t="shared" si="54"/>
        <v>1.1575524303759099</v>
      </c>
      <c r="I39" s="4">
        <f t="shared" si="54"/>
        <v>1.1959586932777282</v>
      </c>
      <c r="J39" s="4">
        <f t="shared" si="54"/>
        <v>1.2369936607978094</v>
      </c>
      <c r="K39" s="4">
        <f t="shared" si="54"/>
        <v>1.2738739162472761</v>
      </c>
      <c r="L39" s="4">
        <f t="shared" si="54"/>
        <v>1.314448991110484</v>
      </c>
      <c r="M39" s="4">
        <f t="shared" si="54"/>
        <v>1.3486613465447952</v>
      </c>
      <c r="N39" s="4">
        <f t="shared" si="54"/>
        <v>1.3914862371896379</v>
      </c>
      <c r="O39" s="4">
        <f t="shared" si="54"/>
        <v>1.4273029908700856</v>
      </c>
      <c r="P39" s="4">
        <f t="shared" si="54"/>
        <v>1.4680348473208642</v>
      </c>
      <c r="Q39" s="4">
        <f t="shared" si="54"/>
        <v>1.5025111184275852</v>
      </c>
      <c r="R39" s="4">
        <f t="shared" si="54"/>
        <v>1.5410114502819456</v>
      </c>
      <c r="S39" s="4">
        <f t="shared" si="54"/>
        <v>1.5786181270871549</v>
      </c>
      <c r="T39" s="4">
        <f t="shared" si="54"/>
        <v>1.6189109950927365</v>
      </c>
      <c r="U39" s="4">
        <f t="shared" si="54"/>
        <v>1.6553679402557633</v>
      </c>
      <c r="V39" s="4">
        <f t="shared" si="54"/>
        <v>1.6935886782789562</v>
      </c>
      <c r="W39" s="4">
        <f t="shared" si="54"/>
        <v>1.728903730879179</v>
      </c>
      <c r="X39" s="4">
        <f t="shared" si="54"/>
        <v>1.7687680625454014</v>
      </c>
      <c r="Y39" s="4">
        <f t="shared" si="54"/>
        <v>1.8067928235841317</v>
      </c>
      <c r="Z39" s="4">
        <f t="shared" si="54"/>
        <v>1.8453610941264393</v>
      </c>
      <c r="AA39" s="4">
        <f t="shared" si="54"/>
        <v>1.8824347135339092</v>
      </c>
      <c r="AB39" s="4">
        <f t="shared" si="54"/>
        <v>1.919584110708705</v>
      </c>
      <c r="AC39" s="4">
        <f t="shared" si="54"/>
        <v>1.9579198218961165</v>
      </c>
      <c r="AD39" s="4">
        <f t="shared" si="54"/>
        <v>1.996101364522417</v>
      </c>
      <c r="AE39" s="4">
        <f t="shared" si="54"/>
        <v>2.0334153823641619</v>
      </c>
      <c r="AF39" s="4">
        <f t="shared" ref="AF39:AG39" si="55">AF60/$B60</f>
        <v>2.0703217680782235</v>
      </c>
      <c r="AG39" s="4">
        <f t="shared" si="55"/>
        <v>2.1065069584894616</v>
      </c>
    </row>
    <row r="42" spans="1:33" x14ac:dyDescent="0.3">
      <c r="B42" t="s">
        <v>83</v>
      </c>
      <c r="C42" t="s">
        <v>83</v>
      </c>
      <c r="D42" t="s">
        <v>83</v>
      </c>
      <c r="E42" t="s">
        <v>83</v>
      </c>
      <c r="F42" t="s">
        <v>83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  <c r="O42" t="s">
        <v>83</v>
      </c>
      <c r="P42" t="s">
        <v>83</v>
      </c>
      <c r="Q42" t="s">
        <v>83</v>
      </c>
      <c r="R42" t="s">
        <v>83</v>
      </c>
      <c r="S42" t="s">
        <v>83</v>
      </c>
      <c r="T42" t="s">
        <v>83</v>
      </c>
      <c r="U42" t="s">
        <v>83</v>
      </c>
      <c r="V42" t="s">
        <v>83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 t="s">
        <v>83</v>
      </c>
      <c r="AC42" t="s">
        <v>83</v>
      </c>
      <c r="AD42" t="s">
        <v>83</v>
      </c>
      <c r="AE42" t="s">
        <v>83</v>
      </c>
      <c r="AF42" t="s">
        <v>83</v>
      </c>
      <c r="AG42" t="s">
        <v>83</v>
      </c>
    </row>
    <row r="43" spans="1:33" x14ac:dyDescent="0.3">
      <c r="B43">
        <v>2019</v>
      </c>
      <c r="C43">
        <v>2020</v>
      </c>
      <c r="D43">
        <v>2021</v>
      </c>
      <c r="E43">
        <v>2022</v>
      </c>
      <c r="F43">
        <v>2023</v>
      </c>
      <c r="G43">
        <v>2024</v>
      </c>
      <c r="H43">
        <v>2025</v>
      </c>
      <c r="I43">
        <v>2026</v>
      </c>
      <c r="J43">
        <v>2027</v>
      </c>
      <c r="K43">
        <v>2028</v>
      </c>
      <c r="L43">
        <v>2029</v>
      </c>
      <c r="M43">
        <v>2030</v>
      </c>
      <c r="N43">
        <v>2031</v>
      </c>
      <c r="O43">
        <v>2032</v>
      </c>
      <c r="P43">
        <v>2033</v>
      </c>
      <c r="Q43">
        <v>2034</v>
      </c>
      <c r="R43">
        <v>2035</v>
      </c>
      <c r="S43">
        <v>2036</v>
      </c>
      <c r="T43">
        <v>2037</v>
      </c>
      <c r="U43">
        <v>2038</v>
      </c>
      <c r="V43">
        <v>2039</v>
      </c>
      <c r="W43">
        <v>2040</v>
      </c>
      <c r="X43">
        <v>2041</v>
      </c>
      <c r="Y43">
        <v>2042</v>
      </c>
      <c r="Z43">
        <v>2043</v>
      </c>
      <c r="AA43">
        <v>2044</v>
      </c>
      <c r="AB43">
        <v>2045</v>
      </c>
      <c r="AC43">
        <v>2046</v>
      </c>
      <c r="AD43">
        <v>2047</v>
      </c>
      <c r="AE43">
        <v>2048</v>
      </c>
      <c r="AF43">
        <v>2049</v>
      </c>
      <c r="AG43">
        <v>2050</v>
      </c>
    </row>
    <row r="44" spans="1:33" x14ac:dyDescent="0.3">
      <c r="A44" t="s">
        <v>0</v>
      </c>
      <c r="B44">
        <v>5.5019400000000003</v>
      </c>
      <c r="C44">
        <v>5.5880599999999996</v>
      </c>
      <c r="D44">
        <v>5.8342499999999999</v>
      </c>
      <c r="E44">
        <v>6.0154500000000004</v>
      </c>
      <c r="F44">
        <v>6.1236600000000001</v>
      </c>
      <c r="G44">
        <v>6.3799799999999998</v>
      </c>
      <c r="H44">
        <v>6.7082800000000002</v>
      </c>
      <c r="I44">
        <v>6.8391200000000003</v>
      </c>
      <c r="J44">
        <v>6.9447099999999997</v>
      </c>
      <c r="K44">
        <v>7.09361</v>
      </c>
      <c r="L44">
        <v>7.2363099999999996</v>
      </c>
      <c r="M44">
        <v>7.4146200000000002</v>
      </c>
      <c r="N44">
        <v>7.5270900000000003</v>
      </c>
      <c r="O44">
        <v>7.7308199999999996</v>
      </c>
      <c r="P44">
        <v>7.8541299999999996</v>
      </c>
      <c r="Q44">
        <v>8.0856499999999993</v>
      </c>
      <c r="R44">
        <v>8.1927400000000006</v>
      </c>
      <c r="S44">
        <v>8.3410899999999994</v>
      </c>
      <c r="T44">
        <v>8.4114799999999992</v>
      </c>
      <c r="U44">
        <v>8.5524000000000004</v>
      </c>
      <c r="V44">
        <v>8.6273400000000002</v>
      </c>
      <c r="W44">
        <v>8.7740899999999993</v>
      </c>
      <c r="X44">
        <v>8.8389500000000005</v>
      </c>
      <c r="Y44">
        <v>8.9752100000000006</v>
      </c>
      <c r="Z44">
        <v>9.0378600000000002</v>
      </c>
      <c r="AA44">
        <v>9.1622299999999992</v>
      </c>
      <c r="AB44">
        <v>9.2228499999999993</v>
      </c>
      <c r="AC44">
        <v>9.32667</v>
      </c>
      <c r="AD44">
        <v>9.3823600000000003</v>
      </c>
      <c r="AE44">
        <v>9.4752899999999993</v>
      </c>
      <c r="AF44">
        <v>9.5321200000000008</v>
      </c>
      <c r="AG44">
        <v>9.6142199999999995</v>
      </c>
    </row>
    <row r="45" spans="1:33" x14ac:dyDescent="0.3">
      <c r="A45" t="s">
        <v>1</v>
      </c>
      <c r="B45">
        <v>94.546199999999999</v>
      </c>
      <c r="C45">
        <v>98.506500000000003</v>
      </c>
      <c r="D45">
        <v>106.687</v>
      </c>
      <c r="E45">
        <v>113.705</v>
      </c>
      <c r="F45">
        <v>120.074</v>
      </c>
      <c r="G45">
        <v>125.71299999999999</v>
      </c>
      <c r="H45">
        <v>131.13300000000001</v>
      </c>
      <c r="I45">
        <v>136.05600000000001</v>
      </c>
      <c r="J45">
        <v>140.745</v>
      </c>
      <c r="K45">
        <v>145.154</v>
      </c>
      <c r="L45">
        <v>149.417</v>
      </c>
      <c r="M45">
        <v>153.49700000000001</v>
      </c>
      <c r="N45">
        <v>157.148</v>
      </c>
      <c r="O45">
        <v>160.571</v>
      </c>
      <c r="P45">
        <v>163.90600000000001</v>
      </c>
      <c r="Q45">
        <v>167.05</v>
      </c>
      <c r="R45">
        <v>170.16800000000001</v>
      </c>
      <c r="S45">
        <v>172.42099999999999</v>
      </c>
      <c r="T45">
        <v>174.53800000000001</v>
      </c>
      <c r="U45">
        <v>176.499</v>
      </c>
      <c r="V45">
        <v>178.40600000000001</v>
      </c>
      <c r="W45">
        <v>180.21199999999999</v>
      </c>
      <c r="X45">
        <v>181.88900000000001</v>
      </c>
      <c r="Y45">
        <v>183.46600000000001</v>
      </c>
      <c r="Z45">
        <v>184.99600000000001</v>
      </c>
      <c r="AA45">
        <v>186.43299999999999</v>
      </c>
      <c r="AB45">
        <v>187.833</v>
      </c>
      <c r="AC45">
        <v>189.006</v>
      </c>
      <c r="AD45">
        <v>190.13200000000001</v>
      </c>
      <c r="AE45">
        <v>191.173</v>
      </c>
      <c r="AF45">
        <v>192.16800000000001</v>
      </c>
      <c r="AG45">
        <v>193.1</v>
      </c>
    </row>
    <row r="46" spans="1:33" x14ac:dyDescent="0.3">
      <c r="A46" t="s">
        <v>2</v>
      </c>
      <c r="B46">
        <v>9.4729100000000006</v>
      </c>
      <c r="C46">
        <v>9.3001199999999997</v>
      </c>
      <c r="D46">
        <v>9.4907800000000009</v>
      </c>
      <c r="E46">
        <v>9.73142</v>
      </c>
      <c r="F46">
        <v>10.0015</v>
      </c>
      <c r="G46">
        <v>10.2087</v>
      </c>
      <c r="H46">
        <v>10.425000000000001</v>
      </c>
      <c r="I46">
        <v>10.6097</v>
      </c>
      <c r="J46">
        <v>10.7948</v>
      </c>
      <c r="K46">
        <v>10.9597</v>
      </c>
      <c r="L46">
        <v>11.1205</v>
      </c>
      <c r="M46">
        <v>11.269</v>
      </c>
      <c r="N46">
        <v>11.4421</v>
      </c>
      <c r="O46">
        <v>11.6012</v>
      </c>
      <c r="P46">
        <v>11.7614</v>
      </c>
      <c r="Q46">
        <v>11.9061</v>
      </c>
      <c r="R46">
        <v>12.0563</v>
      </c>
      <c r="S46">
        <v>12.2018</v>
      </c>
      <c r="T46">
        <v>12.3467</v>
      </c>
      <c r="U46">
        <v>12.4801</v>
      </c>
      <c r="V46">
        <v>12.6122</v>
      </c>
      <c r="W46">
        <v>12.7348</v>
      </c>
      <c r="X46">
        <v>12.87</v>
      </c>
      <c r="Y46">
        <v>12.997</v>
      </c>
      <c r="Z46">
        <v>13.124499999999999</v>
      </c>
      <c r="AA46">
        <v>13.2433</v>
      </c>
      <c r="AB46">
        <v>13.362</v>
      </c>
      <c r="AC46">
        <v>13.4864</v>
      </c>
      <c r="AD46">
        <v>13.6105</v>
      </c>
      <c r="AE46">
        <v>13.728199999999999</v>
      </c>
      <c r="AF46">
        <v>13.8438</v>
      </c>
      <c r="AG46">
        <v>13.954000000000001</v>
      </c>
    </row>
    <row r="47" spans="1:33" x14ac:dyDescent="0.3">
      <c r="A47" t="s">
        <v>3</v>
      </c>
      <c r="B47">
        <v>13.2415</v>
      </c>
      <c r="C47">
        <v>12.992699999999999</v>
      </c>
      <c r="D47">
        <v>13.620200000000001</v>
      </c>
      <c r="E47">
        <v>13.4977</v>
      </c>
      <c r="F47">
        <v>13.337899999999999</v>
      </c>
      <c r="G47">
        <v>13.1159</v>
      </c>
      <c r="H47">
        <v>12.8964</v>
      </c>
      <c r="I47">
        <v>13.002599999999999</v>
      </c>
      <c r="J47">
        <v>13.1356</v>
      </c>
      <c r="K47">
        <v>13.2661</v>
      </c>
      <c r="L47">
        <v>13.395899999999999</v>
      </c>
      <c r="M47">
        <v>13.519500000000001</v>
      </c>
      <c r="N47">
        <v>13.718500000000001</v>
      </c>
      <c r="O47">
        <v>13.915699999999999</v>
      </c>
      <c r="P47">
        <v>14.1122</v>
      </c>
      <c r="Q47">
        <v>14.301399999999999</v>
      </c>
      <c r="R47">
        <v>14.4903</v>
      </c>
      <c r="S47">
        <v>14.6859</v>
      </c>
      <c r="T47">
        <v>14.8803</v>
      </c>
      <c r="U47">
        <v>15.0688</v>
      </c>
      <c r="V47">
        <v>15.2552</v>
      </c>
      <c r="W47">
        <v>15.4367</v>
      </c>
      <c r="X47">
        <v>15.621</v>
      </c>
      <c r="Y47">
        <v>15.800800000000001</v>
      </c>
      <c r="Z47">
        <v>15.979100000000001</v>
      </c>
      <c r="AA47">
        <v>16.153199999999998</v>
      </c>
      <c r="AB47">
        <v>16.325800000000001</v>
      </c>
      <c r="AC47">
        <v>16.498100000000001</v>
      </c>
      <c r="AD47">
        <v>16.668800000000001</v>
      </c>
      <c r="AE47">
        <v>16.836300000000001</v>
      </c>
      <c r="AF47">
        <v>17.001899999999999</v>
      </c>
      <c r="AG47">
        <v>17.1647</v>
      </c>
    </row>
    <row r="48" spans="1:33" x14ac:dyDescent="0.3">
      <c r="A48" t="s">
        <v>4</v>
      </c>
      <c r="B48">
        <v>0.20597199999999999</v>
      </c>
      <c r="C48">
        <v>0.197628</v>
      </c>
      <c r="D48">
        <v>0.201458</v>
      </c>
      <c r="E48">
        <v>0.20888699999999999</v>
      </c>
      <c r="F48">
        <v>0.21831300000000001</v>
      </c>
      <c r="G48">
        <v>0.22622700000000001</v>
      </c>
      <c r="H48">
        <v>0.234849</v>
      </c>
      <c r="I48">
        <v>0.243059</v>
      </c>
      <c r="J48">
        <v>0.25166699999999997</v>
      </c>
      <c r="K48">
        <v>0.26006499999999999</v>
      </c>
      <c r="L48">
        <v>0.26854099999999997</v>
      </c>
      <c r="M48">
        <v>0.276945</v>
      </c>
      <c r="N48">
        <v>0.287186</v>
      </c>
      <c r="O48">
        <v>0.29752000000000001</v>
      </c>
      <c r="P48">
        <v>0.30787700000000001</v>
      </c>
      <c r="Q48">
        <v>0.31823000000000001</v>
      </c>
      <c r="R48">
        <v>0.32874100000000001</v>
      </c>
      <c r="S48">
        <v>0.34005999999999997</v>
      </c>
      <c r="T48">
        <v>0.351628</v>
      </c>
      <c r="U48">
        <v>0.363317</v>
      </c>
      <c r="V48">
        <v>0.37528400000000001</v>
      </c>
      <c r="W48">
        <v>0.38755000000000001</v>
      </c>
      <c r="X48">
        <v>0.40126499999999998</v>
      </c>
      <c r="Y48">
        <v>0.41542699999999999</v>
      </c>
      <c r="Z48">
        <v>0.43012299999999998</v>
      </c>
      <c r="AA48">
        <v>0.44539099999999998</v>
      </c>
      <c r="AB48">
        <v>0.46139000000000002</v>
      </c>
      <c r="AC48">
        <v>0.47977199999999998</v>
      </c>
      <c r="AD48">
        <v>0.49909799999999999</v>
      </c>
      <c r="AE48">
        <v>0.51939400000000002</v>
      </c>
      <c r="AF48">
        <v>0.54083300000000001</v>
      </c>
      <c r="AG48">
        <v>0.56354800000000005</v>
      </c>
    </row>
    <row r="49" spans="1:33" x14ac:dyDescent="0.3">
      <c r="A49" t="s">
        <v>5</v>
      </c>
      <c r="B49">
        <v>0.100158</v>
      </c>
      <c r="C49">
        <v>9.8593500000000001E-2</v>
      </c>
      <c r="D49">
        <v>0.103382</v>
      </c>
      <c r="E49">
        <v>0.109012</v>
      </c>
      <c r="F49">
        <v>0.115137</v>
      </c>
      <c r="G49">
        <v>0.120119</v>
      </c>
      <c r="H49">
        <v>0.12547900000000001</v>
      </c>
      <c r="I49">
        <v>0.13257099999999999</v>
      </c>
      <c r="J49">
        <v>0.13986000000000001</v>
      </c>
      <c r="K49">
        <v>0.14682899999999999</v>
      </c>
      <c r="L49">
        <v>0.153832</v>
      </c>
      <c r="M49">
        <v>0.16067200000000001</v>
      </c>
      <c r="N49">
        <v>0.16966899999999999</v>
      </c>
      <c r="O49">
        <v>0.178594</v>
      </c>
      <c r="P49">
        <v>0.18759100000000001</v>
      </c>
      <c r="Q49">
        <v>0.196436</v>
      </c>
      <c r="R49">
        <v>0.20543</v>
      </c>
      <c r="S49">
        <v>0.216811</v>
      </c>
      <c r="T49">
        <v>0.22831499999999999</v>
      </c>
      <c r="U49">
        <v>0.23973900000000001</v>
      </c>
      <c r="V49">
        <v>0.251249</v>
      </c>
      <c r="W49">
        <v>0.26273099999999999</v>
      </c>
      <c r="X49">
        <v>0.27682299999999999</v>
      </c>
      <c r="Y49">
        <v>0.29100399999999998</v>
      </c>
      <c r="Z49">
        <v>0.305342</v>
      </c>
      <c r="AA49">
        <v>0.31967099999999998</v>
      </c>
      <c r="AB49">
        <v>0.33411999999999997</v>
      </c>
      <c r="AC49">
        <v>0.35122700000000001</v>
      </c>
      <c r="AD49">
        <v>0.36854799999999999</v>
      </c>
      <c r="AE49">
        <v>0.38588299999999998</v>
      </c>
      <c r="AF49">
        <v>0.40329399999999999</v>
      </c>
      <c r="AG49">
        <v>0.420684</v>
      </c>
    </row>
    <row r="50" spans="1:33" x14ac:dyDescent="0.3">
      <c r="A50" t="s">
        <v>6</v>
      </c>
      <c r="B50">
        <v>48.805999999999997</v>
      </c>
      <c r="C50">
        <v>48.276499999999999</v>
      </c>
      <c r="D50">
        <v>50.774999999999999</v>
      </c>
      <c r="E50">
        <v>52.181399999999996</v>
      </c>
      <c r="F50">
        <v>53.4253</v>
      </c>
      <c r="G50">
        <v>54.481299999999997</v>
      </c>
      <c r="H50">
        <v>55.453400000000002</v>
      </c>
      <c r="I50">
        <v>56.678600000000003</v>
      </c>
      <c r="J50">
        <v>57.887999999999998</v>
      </c>
      <c r="K50">
        <v>59.049199999999999</v>
      </c>
      <c r="L50">
        <v>60.173999999999999</v>
      </c>
      <c r="M50">
        <v>61.258000000000003</v>
      </c>
      <c r="N50">
        <v>62.2883</v>
      </c>
      <c r="O50">
        <v>63.265599999999999</v>
      </c>
      <c r="P50">
        <v>64.217200000000005</v>
      </c>
      <c r="Q50">
        <v>65.132400000000004</v>
      </c>
      <c r="R50">
        <v>66.030299999999997</v>
      </c>
      <c r="S50">
        <v>66.908299999999997</v>
      </c>
      <c r="T50">
        <v>67.758499999999998</v>
      </c>
      <c r="U50">
        <v>68.578000000000003</v>
      </c>
      <c r="V50">
        <v>69.377899999999997</v>
      </c>
      <c r="W50">
        <v>70.152000000000001</v>
      </c>
      <c r="X50">
        <v>70.928899999999999</v>
      </c>
      <c r="Y50">
        <v>71.681299999999993</v>
      </c>
      <c r="Z50">
        <v>72.422499999999999</v>
      </c>
      <c r="AA50">
        <v>73.139799999999994</v>
      </c>
      <c r="AB50">
        <v>73.845500000000001</v>
      </c>
      <c r="AC50">
        <v>74.554400000000001</v>
      </c>
      <c r="AD50">
        <v>75.249700000000004</v>
      </c>
      <c r="AE50">
        <v>75.927400000000006</v>
      </c>
      <c r="AF50">
        <v>76.590199999999996</v>
      </c>
      <c r="AG50">
        <v>77.2363</v>
      </c>
    </row>
    <row r="51" spans="1:33" x14ac:dyDescent="0.3">
      <c r="A51" t="s">
        <v>7</v>
      </c>
      <c r="B51">
        <v>14.3955</v>
      </c>
      <c r="C51">
        <v>13.721299999999999</v>
      </c>
      <c r="D51">
        <v>14.504</v>
      </c>
      <c r="E51">
        <v>14.852499999999999</v>
      </c>
      <c r="F51">
        <v>15.188599999999999</v>
      </c>
      <c r="G51">
        <v>15.4687</v>
      </c>
      <c r="H51">
        <v>15.746</v>
      </c>
      <c r="I51">
        <v>16.154599999999999</v>
      </c>
      <c r="J51">
        <v>16.568899999999999</v>
      </c>
      <c r="K51">
        <v>16.971399999999999</v>
      </c>
      <c r="L51">
        <v>17.3675</v>
      </c>
      <c r="M51">
        <v>17.753499999999999</v>
      </c>
      <c r="N51">
        <v>18.2453</v>
      </c>
      <c r="O51">
        <v>18.731999999999999</v>
      </c>
      <c r="P51">
        <v>19.216000000000001</v>
      </c>
      <c r="Q51">
        <v>19.689</v>
      </c>
      <c r="R51">
        <v>20.159700000000001</v>
      </c>
      <c r="S51">
        <v>20.716200000000001</v>
      </c>
      <c r="T51">
        <v>21.2728</v>
      </c>
      <c r="U51">
        <v>21.8217</v>
      </c>
      <c r="V51">
        <v>22.365300000000001</v>
      </c>
      <c r="W51">
        <v>22.900700000000001</v>
      </c>
      <c r="X51">
        <v>23.514199999999999</v>
      </c>
      <c r="Y51">
        <v>24.125599999999999</v>
      </c>
      <c r="Z51">
        <v>24.735700000000001</v>
      </c>
      <c r="AA51">
        <v>25.337700000000002</v>
      </c>
      <c r="AB51">
        <v>25.936399999999999</v>
      </c>
      <c r="AC51">
        <v>26.5977</v>
      </c>
      <c r="AD51">
        <v>27.259499999999999</v>
      </c>
      <c r="AE51">
        <v>27.9162</v>
      </c>
      <c r="AF51">
        <v>28.567799999999998</v>
      </c>
      <c r="AG51">
        <v>29.213100000000001</v>
      </c>
    </row>
    <row r="52" spans="1:33" x14ac:dyDescent="0.3">
      <c r="A52" t="s">
        <v>8</v>
      </c>
      <c r="B52">
        <v>24.049800000000001</v>
      </c>
      <c r="C52">
        <v>23.3322</v>
      </c>
      <c r="D52">
        <v>24.583100000000002</v>
      </c>
      <c r="E52">
        <v>25.002300000000002</v>
      </c>
      <c r="F52">
        <v>25.341799999999999</v>
      </c>
      <c r="G52">
        <v>25.597300000000001</v>
      </c>
      <c r="H52">
        <v>25.82</v>
      </c>
      <c r="I52">
        <v>26.3995</v>
      </c>
      <c r="J52">
        <v>26.9876</v>
      </c>
      <c r="K52">
        <v>27.5578</v>
      </c>
      <c r="L52">
        <v>28.113199999999999</v>
      </c>
      <c r="M52">
        <v>28.649000000000001</v>
      </c>
      <c r="N52">
        <v>29.243500000000001</v>
      </c>
      <c r="O52">
        <v>29.815999999999999</v>
      </c>
      <c r="P52">
        <v>30.3809</v>
      </c>
      <c r="Q52">
        <v>30.9224</v>
      </c>
      <c r="R52">
        <v>31.459599999999998</v>
      </c>
      <c r="S52">
        <v>32.0364</v>
      </c>
      <c r="T52">
        <v>32.6023</v>
      </c>
      <c r="U52">
        <v>33.148000000000003</v>
      </c>
      <c r="V52">
        <v>33.683100000000003</v>
      </c>
      <c r="W52">
        <v>34.200200000000002</v>
      </c>
      <c r="X52">
        <v>34.752200000000002</v>
      </c>
      <c r="Y52">
        <v>35.287700000000001</v>
      </c>
      <c r="Z52">
        <v>35.816899999999997</v>
      </c>
      <c r="AA52">
        <v>36.328200000000002</v>
      </c>
      <c r="AB52">
        <v>36.8322</v>
      </c>
      <c r="AC52">
        <v>37.3536</v>
      </c>
      <c r="AD52">
        <v>37.867100000000001</v>
      </c>
      <c r="AE52">
        <v>38.366799999999998</v>
      </c>
      <c r="AF52">
        <v>38.855899999999998</v>
      </c>
      <c r="AG52">
        <v>39.331400000000002</v>
      </c>
    </row>
    <row r="53" spans="1:33" x14ac:dyDescent="0.3">
      <c r="A53" t="s">
        <v>9</v>
      </c>
      <c r="B53">
        <v>6.3027300000000004</v>
      </c>
      <c r="C53">
        <v>6.1928900000000002</v>
      </c>
      <c r="D53">
        <v>6.5389699999999999</v>
      </c>
      <c r="E53">
        <v>6.67753</v>
      </c>
      <c r="F53">
        <v>6.7918599999999998</v>
      </c>
      <c r="G53">
        <v>6.8804600000000002</v>
      </c>
      <c r="H53">
        <v>6.9623200000000001</v>
      </c>
      <c r="I53">
        <v>7.1418900000000001</v>
      </c>
      <c r="J53">
        <v>7.3257099999999999</v>
      </c>
      <c r="K53">
        <v>7.5048500000000002</v>
      </c>
      <c r="L53">
        <v>7.6795099999999996</v>
      </c>
      <c r="M53">
        <v>7.8484299999999996</v>
      </c>
      <c r="N53">
        <v>7.9932100000000004</v>
      </c>
      <c r="O53">
        <v>8.1302000000000003</v>
      </c>
      <c r="P53">
        <v>8.2632300000000001</v>
      </c>
      <c r="Q53">
        <v>8.3899600000000003</v>
      </c>
      <c r="R53">
        <v>8.5143599999999999</v>
      </c>
      <c r="S53">
        <v>8.6151</v>
      </c>
      <c r="T53">
        <v>8.7110400000000006</v>
      </c>
      <c r="U53">
        <v>8.8018400000000003</v>
      </c>
      <c r="V53">
        <v>8.88964</v>
      </c>
      <c r="W53">
        <v>8.97349</v>
      </c>
      <c r="X53">
        <v>9.0322499999999994</v>
      </c>
      <c r="Y53">
        <v>9.0861999999999998</v>
      </c>
      <c r="Z53">
        <v>9.1380400000000002</v>
      </c>
      <c r="AA53">
        <v>9.1866000000000003</v>
      </c>
      <c r="AB53">
        <v>9.2335399999999996</v>
      </c>
      <c r="AC53">
        <v>9.2672699999999999</v>
      </c>
      <c r="AD53">
        <v>9.2986699999999995</v>
      </c>
      <c r="AE53">
        <v>9.3276699999999995</v>
      </c>
      <c r="AF53">
        <v>9.3549799999999994</v>
      </c>
      <c r="AG53">
        <v>9.38035</v>
      </c>
    </row>
    <row r="54" spans="1:33" x14ac:dyDescent="0.3">
      <c r="A54" t="s">
        <v>10</v>
      </c>
      <c r="B54">
        <v>5.8381999999999996</v>
      </c>
      <c r="C54">
        <v>5.7885099999999996</v>
      </c>
      <c r="D54">
        <v>6.0441099999999999</v>
      </c>
      <c r="E54">
        <v>6.2085299999999997</v>
      </c>
      <c r="F54">
        <v>6.3473199999999999</v>
      </c>
      <c r="G54">
        <v>6.4556899999999997</v>
      </c>
      <c r="H54">
        <v>6.5600699999999996</v>
      </c>
      <c r="I54">
        <v>6.7749300000000003</v>
      </c>
      <c r="J54">
        <v>6.9953200000000004</v>
      </c>
      <c r="K54">
        <v>7.2117000000000004</v>
      </c>
      <c r="L54">
        <v>7.4270300000000002</v>
      </c>
      <c r="M54">
        <v>7.6381399999999999</v>
      </c>
      <c r="N54">
        <v>7.8797300000000003</v>
      </c>
      <c r="O54">
        <v>8.1181400000000004</v>
      </c>
      <c r="P54">
        <v>8.3559400000000004</v>
      </c>
      <c r="Q54">
        <v>8.5873200000000001</v>
      </c>
      <c r="R54">
        <v>8.8190600000000003</v>
      </c>
      <c r="S54">
        <v>9.0482800000000001</v>
      </c>
      <c r="T54">
        <v>9.2758000000000003</v>
      </c>
      <c r="U54">
        <v>9.4976800000000008</v>
      </c>
      <c r="V54">
        <v>9.7177299999999995</v>
      </c>
      <c r="W54">
        <v>9.9332999999999991</v>
      </c>
      <c r="X54">
        <v>10.144500000000001</v>
      </c>
      <c r="Y54">
        <v>10.3514</v>
      </c>
      <c r="Z54">
        <v>10.556800000000001</v>
      </c>
      <c r="AA54">
        <v>10.7583</v>
      </c>
      <c r="AB54">
        <v>10.9587</v>
      </c>
      <c r="AC54">
        <v>11.1609</v>
      </c>
      <c r="AD54">
        <v>11.362399999999999</v>
      </c>
      <c r="AE54">
        <v>11.5608</v>
      </c>
      <c r="AF54">
        <v>11.7577</v>
      </c>
      <c r="AG54">
        <v>11.952199999999999</v>
      </c>
    </row>
    <row r="55" spans="1:33" x14ac:dyDescent="0.3">
      <c r="A55" t="s">
        <v>11</v>
      </c>
      <c r="B55">
        <v>19.360199999999999</v>
      </c>
      <c r="C55">
        <v>19.052600000000002</v>
      </c>
      <c r="D55">
        <v>19.745899999999999</v>
      </c>
      <c r="E55">
        <v>20.553599999999999</v>
      </c>
      <c r="F55">
        <v>21.354099999999999</v>
      </c>
      <c r="G55">
        <v>22.1342</v>
      </c>
      <c r="H55">
        <v>22.882999999999999</v>
      </c>
      <c r="I55">
        <v>23.820599999999999</v>
      </c>
      <c r="J55">
        <v>24.7622</v>
      </c>
      <c r="K55">
        <v>25.6921</v>
      </c>
      <c r="L55">
        <v>26.612400000000001</v>
      </c>
      <c r="M55">
        <v>27.516300000000001</v>
      </c>
      <c r="N55">
        <v>28.546099999999999</v>
      </c>
      <c r="O55">
        <v>29.567900000000002</v>
      </c>
      <c r="P55">
        <v>30.5839</v>
      </c>
      <c r="Q55">
        <v>31.583600000000001</v>
      </c>
      <c r="R55">
        <v>32.574100000000001</v>
      </c>
      <c r="S55">
        <v>33.682699999999997</v>
      </c>
      <c r="T55">
        <v>34.79</v>
      </c>
      <c r="U55">
        <v>35.880000000000003</v>
      </c>
      <c r="V55">
        <v>36.959400000000002</v>
      </c>
      <c r="W55">
        <v>38.018799999999999</v>
      </c>
      <c r="X55">
        <v>39.18</v>
      </c>
      <c r="Y55">
        <v>40.3309</v>
      </c>
      <c r="Z55">
        <v>41.472299999999997</v>
      </c>
      <c r="AA55">
        <v>42.593800000000002</v>
      </c>
      <c r="AB55">
        <v>43.702300000000001</v>
      </c>
      <c r="AC55">
        <v>44.912100000000002</v>
      </c>
      <c r="AD55">
        <v>46.118400000000001</v>
      </c>
      <c r="AE55">
        <v>47.305900000000001</v>
      </c>
      <c r="AF55">
        <v>48.477800000000002</v>
      </c>
      <c r="AG55">
        <v>49.628700000000002</v>
      </c>
    </row>
    <row r="56" spans="1:33" x14ac:dyDescent="0.3">
      <c r="A56" t="s">
        <v>12</v>
      </c>
      <c r="B56">
        <v>7.5970300000000002</v>
      </c>
      <c r="C56">
        <v>7.6545500000000004</v>
      </c>
      <c r="D56">
        <v>7.9651899999999998</v>
      </c>
      <c r="E56">
        <v>8.3124900000000004</v>
      </c>
      <c r="F56">
        <v>8.6666500000000006</v>
      </c>
      <c r="G56">
        <v>8.9984300000000008</v>
      </c>
      <c r="H56">
        <v>9.3295999999999992</v>
      </c>
      <c r="I56">
        <v>9.7724799999999998</v>
      </c>
      <c r="J56">
        <v>10.224</v>
      </c>
      <c r="K56">
        <v>10.6699</v>
      </c>
      <c r="L56">
        <v>11.112299999999999</v>
      </c>
      <c r="M56">
        <v>11.5474</v>
      </c>
      <c r="N56">
        <v>12.1609</v>
      </c>
      <c r="O56">
        <v>12.781599999999999</v>
      </c>
      <c r="P56">
        <v>13.403700000000001</v>
      </c>
      <c r="Q56">
        <v>14.015700000000001</v>
      </c>
      <c r="R56">
        <v>14.625400000000001</v>
      </c>
      <c r="S56">
        <v>15.3673</v>
      </c>
      <c r="T56">
        <v>16.114599999999999</v>
      </c>
      <c r="U56">
        <v>16.853200000000001</v>
      </c>
      <c r="V56">
        <v>17.584800000000001</v>
      </c>
      <c r="W56">
        <v>18.304300000000001</v>
      </c>
      <c r="X56">
        <v>19.193999999999999</v>
      </c>
      <c r="Y56">
        <v>20.086400000000001</v>
      </c>
      <c r="Z56">
        <v>20.975000000000001</v>
      </c>
      <c r="AA56">
        <v>21.850200000000001</v>
      </c>
      <c r="AB56">
        <v>22.715900000000001</v>
      </c>
      <c r="AC56">
        <v>23.779599999999999</v>
      </c>
      <c r="AD56">
        <v>24.85</v>
      </c>
      <c r="AE56">
        <v>25.9101</v>
      </c>
      <c r="AF56">
        <v>26.957599999999999</v>
      </c>
      <c r="AG56">
        <v>27.989100000000001</v>
      </c>
    </row>
    <row r="57" spans="1:33" x14ac:dyDescent="0.3">
      <c r="A57" t="s">
        <v>13</v>
      </c>
      <c r="B57">
        <v>3.07673</v>
      </c>
      <c r="C57">
        <v>3.21862</v>
      </c>
      <c r="D57">
        <v>3.3285200000000001</v>
      </c>
      <c r="E57">
        <v>3.5607600000000001</v>
      </c>
      <c r="F57">
        <v>3.7884199999999999</v>
      </c>
      <c r="G57">
        <v>3.9994800000000001</v>
      </c>
      <c r="H57">
        <v>4.2037399999999998</v>
      </c>
      <c r="I57">
        <v>4.4719199999999999</v>
      </c>
      <c r="J57">
        <v>4.73163</v>
      </c>
      <c r="K57">
        <v>4.97689</v>
      </c>
      <c r="L57">
        <v>5.2134600000000004</v>
      </c>
      <c r="M57">
        <v>5.4383299999999997</v>
      </c>
      <c r="N57">
        <v>5.6878200000000003</v>
      </c>
      <c r="O57">
        <v>5.9251300000000002</v>
      </c>
      <c r="P57">
        <v>6.1553800000000001</v>
      </c>
      <c r="Q57">
        <v>6.3736899999999999</v>
      </c>
      <c r="R57">
        <v>6.5870499999999996</v>
      </c>
      <c r="S57">
        <v>6.7843900000000001</v>
      </c>
      <c r="T57">
        <v>6.9753400000000001</v>
      </c>
      <c r="U57">
        <v>7.15787</v>
      </c>
      <c r="V57">
        <v>7.3352399999999998</v>
      </c>
      <c r="W57">
        <v>7.5062100000000003</v>
      </c>
      <c r="X57">
        <v>7.6685299999999996</v>
      </c>
      <c r="Y57">
        <v>7.8254599999999996</v>
      </c>
      <c r="Z57">
        <v>7.97919</v>
      </c>
      <c r="AA57">
        <v>8.1278699999999997</v>
      </c>
      <c r="AB57">
        <v>8.2738300000000002</v>
      </c>
      <c r="AC57">
        <v>8.4130000000000003</v>
      </c>
      <c r="AD57">
        <v>8.5495099999999997</v>
      </c>
      <c r="AE57">
        <v>8.6821999999999999</v>
      </c>
      <c r="AF57">
        <v>8.8120700000000003</v>
      </c>
      <c r="AG57">
        <v>8.9387100000000004</v>
      </c>
    </row>
    <row r="58" spans="1:33" x14ac:dyDescent="0.3">
      <c r="A58" t="s">
        <v>14</v>
      </c>
      <c r="B58">
        <v>24.721399999999999</v>
      </c>
      <c r="C58">
        <v>24.303999999999998</v>
      </c>
      <c r="D58">
        <v>25.895499999999998</v>
      </c>
      <c r="E58">
        <v>27.570699999999999</v>
      </c>
      <c r="F58">
        <v>29.256799999999998</v>
      </c>
      <c r="G58">
        <v>30.808</v>
      </c>
      <c r="H58">
        <v>32.372300000000003</v>
      </c>
      <c r="I58">
        <v>34.305799999999998</v>
      </c>
      <c r="J58">
        <v>36.264600000000002</v>
      </c>
      <c r="K58">
        <v>38.164400000000001</v>
      </c>
      <c r="L58">
        <v>40.041600000000003</v>
      </c>
      <c r="M58">
        <v>41.868899999999996</v>
      </c>
      <c r="N58">
        <v>43.881999999999998</v>
      </c>
      <c r="O58">
        <v>45.857100000000003</v>
      </c>
      <c r="P58">
        <v>47.814100000000003</v>
      </c>
      <c r="Q58">
        <v>49.700099999999999</v>
      </c>
      <c r="R58">
        <v>51.584499999999998</v>
      </c>
      <c r="S58">
        <v>53.626300000000001</v>
      </c>
      <c r="T58">
        <v>55.666899999999998</v>
      </c>
      <c r="U58">
        <v>57.638399999999997</v>
      </c>
      <c r="V58">
        <v>59.584099999999999</v>
      </c>
      <c r="W58">
        <v>61.469900000000003</v>
      </c>
      <c r="X58">
        <v>63.560600000000001</v>
      </c>
      <c r="Y58">
        <v>65.615600000000001</v>
      </c>
      <c r="Z58">
        <v>67.640299999999996</v>
      </c>
      <c r="AA58">
        <v>69.605800000000002</v>
      </c>
      <c r="AB58">
        <v>71.540099999999995</v>
      </c>
      <c r="AC58">
        <v>73.657600000000002</v>
      </c>
      <c r="AD58">
        <v>75.765000000000001</v>
      </c>
      <c r="AE58">
        <v>77.811199999999999</v>
      </c>
      <c r="AF58">
        <v>79.819400000000002</v>
      </c>
      <c r="AG58">
        <v>81.772099999999995</v>
      </c>
    </row>
    <row r="59" spans="1:33" x14ac:dyDescent="0.3">
      <c r="A59" t="s">
        <v>15</v>
      </c>
      <c r="B59">
        <v>14.6279</v>
      </c>
      <c r="C59">
        <v>14.2683</v>
      </c>
      <c r="D59">
        <v>14.7318</v>
      </c>
      <c r="E59">
        <v>16.119700000000002</v>
      </c>
      <c r="F59">
        <v>17.566700000000001</v>
      </c>
      <c r="G59">
        <v>18.979199999999999</v>
      </c>
      <c r="H59">
        <v>20.3568</v>
      </c>
      <c r="I59">
        <v>21.334</v>
      </c>
      <c r="J59">
        <v>22.250299999999999</v>
      </c>
      <c r="K59">
        <v>23.165099999999999</v>
      </c>
      <c r="L59">
        <v>24.0261</v>
      </c>
      <c r="M59">
        <v>24.9069</v>
      </c>
      <c r="N59">
        <v>25.772500000000001</v>
      </c>
      <c r="O59">
        <v>26.649000000000001</v>
      </c>
      <c r="P59">
        <v>27.481999999999999</v>
      </c>
      <c r="Q59">
        <v>28.3111</v>
      </c>
      <c r="R59">
        <v>29.116800000000001</v>
      </c>
      <c r="S59">
        <v>29.921700000000001</v>
      </c>
      <c r="T59">
        <v>30.703199999999999</v>
      </c>
      <c r="U59">
        <v>31.464400000000001</v>
      </c>
      <c r="V59">
        <v>32.208799999999997</v>
      </c>
      <c r="W59">
        <v>32.931100000000001</v>
      </c>
      <c r="X59">
        <v>33.648299999999999</v>
      </c>
      <c r="Y59">
        <v>34.343699999999998</v>
      </c>
      <c r="Z59">
        <v>35.030500000000004</v>
      </c>
      <c r="AA59">
        <v>35.693300000000001</v>
      </c>
      <c r="AB59">
        <v>36.347000000000001</v>
      </c>
      <c r="AC59">
        <v>36.990200000000002</v>
      </c>
      <c r="AD59">
        <v>37.624200000000002</v>
      </c>
      <c r="AE59">
        <v>38.238</v>
      </c>
      <c r="AF59">
        <v>38.8386</v>
      </c>
      <c r="AG59">
        <v>39.4206</v>
      </c>
    </row>
    <row r="60" spans="1:33" x14ac:dyDescent="0.3">
      <c r="A60" t="s">
        <v>16</v>
      </c>
      <c r="B60">
        <v>3.8269799999999998</v>
      </c>
      <c r="C60">
        <v>3.8804099999999999</v>
      </c>
      <c r="D60">
        <v>3.9905599999999999</v>
      </c>
      <c r="E60">
        <v>4.1060999999999996</v>
      </c>
      <c r="F60">
        <v>4.2199499999999999</v>
      </c>
      <c r="G60">
        <v>4.3264199999999997</v>
      </c>
      <c r="H60">
        <v>4.4299299999999997</v>
      </c>
      <c r="I60">
        <v>4.5769099999999998</v>
      </c>
      <c r="J60">
        <v>4.7339500000000001</v>
      </c>
      <c r="K60">
        <v>4.8750900000000001</v>
      </c>
      <c r="L60">
        <v>5.0303699999999996</v>
      </c>
      <c r="M60">
        <v>5.1612999999999998</v>
      </c>
      <c r="N60">
        <v>5.3251900000000001</v>
      </c>
      <c r="O60">
        <v>5.4622599999999997</v>
      </c>
      <c r="P60">
        <v>5.6181400000000004</v>
      </c>
      <c r="Q60">
        <v>5.7500799999999996</v>
      </c>
      <c r="R60">
        <v>5.8974200000000003</v>
      </c>
      <c r="S60">
        <v>6.0413399999999999</v>
      </c>
      <c r="T60">
        <v>6.1955400000000003</v>
      </c>
      <c r="U60">
        <v>6.3350600000000004</v>
      </c>
      <c r="V60">
        <v>6.4813299999999998</v>
      </c>
      <c r="W60">
        <v>6.6164800000000001</v>
      </c>
      <c r="X60">
        <v>6.7690400000000004</v>
      </c>
      <c r="Y60">
        <v>6.9145599999999998</v>
      </c>
      <c r="Z60">
        <v>7.0621600000000004</v>
      </c>
      <c r="AA60">
        <v>7.20404</v>
      </c>
      <c r="AB60">
        <v>7.3462100000000001</v>
      </c>
      <c r="AC60">
        <v>7.4929199999999998</v>
      </c>
      <c r="AD60">
        <v>7.6390399999999996</v>
      </c>
      <c r="AE60">
        <v>7.7818399999999999</v>
      </c>
      <c r="AF60">
        <v>7.9230799999999997</v>
      </c>
      <c r="AG60">
        <v>8.0615600000000001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3192D-9F54-4F75-9A80-DC7BCCB82108}">
  <dimension ref="A1:AG18"/>
  <sheetViews>
    <sheetView topLeftCell="L1" workbookViewId="0">
      <selection activeCell="AA23" sqref="AA23"/>
    </sheetView>
  </sheetViews>
  <sheetFormatPr defaultRowHeight="14.4" x14ac:dyDescent="0.3"/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f>PERMIT_NZ!B2</f>
        <v>1</v>
      </c>
      <c r="C2" s="30">
        <f>PERMIT_NZ!C2</f>
        <v>0.96880530280148291</v>
      </c>
      <c r="D2" s="30">
        <f>PERMIT_NZ!D2</f>
        <v>0.93761060560296583</v>
      </c>
      <c r="E2" s="30">
        <f>PERMIT_NZ!E2</f>
        <v>0.90641590840444874</v>
      </c>
      <c r="F2" s="30">
        <f>PERMIT_NZ!F2</f>
        <v>0.87522121120593166</v>
      </c>
      <c r="G2" s="30">
        <f>PERMIT_NZ!G2</f>
        <v>0.84402651400741457</v>
      </c>
      <c r="H2" s="30">
        <f>PERMIT_NZ!H2</f>
        <v>0.81283181680889749</v>
      </c>
      <c r="I2" s="30">
        <f>PERMIT_NZ!I2</f>
        <v>0.7816371196103804</v>
      </c>
      <c r="J2" s="30">
        <f>PERMIT_NZ!J2</f>
        <v>0.75044242241186332</v>
      </c>
      <c r="K2" s="30">
        <f>PERMIT_NZ!K2</f>
        <v>0.71924772521334623</v>
      </c>
      <c r="L2" s="30">
        <f>PERMIT_NZ!L2</f>
        <v>0.68805302801482915</v>
      </c>
      <c r="M2" s="30">
        <f>PERMIT_NZ!M2</f>
        <v>0.65685833081631229</v>
      </c>
      <c r="N2" s="30">
        <f>PERMIT_NZ!N2</f>
        <v>0.62811088203873577</v>
      </c>
      <c r="O2" s="30">
        <f>PERMIT_NZ!O2</f>
        <v>0.59936343326115926</v>
      </c>
      <c r="P2" s="30">
        <f>PERMIT_NZ!P2</f>
        <v>0.57061598448358275</v>
      </c>
      <c r="Q2" s="30">
        <f>PERMIT_NZ!Q2</f>
        <v>0.54186853570600624</v>
      </c>
      <c r="R2" s="30">
        <f>PERMIT_NZ!R2</f>
        <v>0.51312108692842973</v>
      </c>
      <c r="S2" s="30">
        <f>PERMIT_NZ!S2</f>
        <v>0.48437363815085327</v>
      </c>
      <c r="T2" s="30">
        <f>PERMIT_NZ!T2</f>
        <v>0.45562618937327681</v>
      </c>
      <c r="U2" s="30">
        <f>PERMIT_NZ!U2</f>
        <v>0.42687874059570036</v>
      </c>
      <c r="V2" s="30">
        <f>PERMIT_NZ!V2</f>
        <v>0.3981312918181239</v>
      </c>
      <c r="W2" s="30">
        <f>PERMIT_NZ!W2</f>
        <v>0.36938384304054761</v>
      </c>
      <c r="X2" s="30">
        <f>PERMIT_NZ!X2</f>
        <v>0.34063639426297115</v>
      </c>
      <c r="Y2" s="30">
        <f>PERMIT_NZ!Y2</f>
        <v>0.3118889454853947</v>
      </c>
      <c r="Z2" s="30">
        <f>PERMIT_NZ!Z2</f>
        <v>0.28314149670781824</v>
      </c>
      <c r="AA2" s="30">
        <f>PERMIT_NZ!AA2</f>
        <v>0.25439404793024178</v>
      </c>
      <c r="AB2" s="30">
        <f>PERMIT_NZ!AB2</f>
        <v>0.22564659915266533</v>
      </c>
      <c r="AC2" s="30">
        <f>PERMIT_NZ!AC2</f>
        <v>0.19689915037508887</v>
      </c>
      <c r="AD2" s="30">
        <f>PERMIT_NZ!AD2</f>
        <v>0.16815170159751242</v>
      </c>
      <c r="AE2" s="30">
        <f>PERMIT_NZ!AE2</f>
        <v>0.13940425281993596</v>
      </c>
      <c r="AF2" s="30">
        <f>PERMIT_NZ!AF2</f>
        <v>0.1106568040423595</v>
      </c>
      <c r="AG2" s="30">
        <f>PERMIT_NZ!AG2</f>
        <v>8.1909355264783101E-2</v>
      </c>
    </row>
    <row r="3" spans="1:33" x14ac:dyDescent="0.3">
      <c r="A3" s="1" t="s">
        <v>1</v>
      </c>
      <c r="B3" s="30">
        <f>PERMIT_NZ!B3</f>
        <v>1</v>
      </c>
      <c r="C3" s="30">
        <f>PERMIT_NZ!C3</f>
        <v>0.99732060293140912</v>
      </c>
      <c r="D3" s="30">
        <f>PERMIT_NZ!D3</f>
        <v>0.99464120586281823</v>
      </c>
      <c r="E3" s="30">
        <f>PERMIT_NZ!E3</f>
        <v>0.99196180879422735</v>
      </c>
      <c r="F3" s="30">
        <f>PERMIT_NZ!F3</f>
        <v>0.98928241172563647</v>
      </c>
      <c r="G3" s="30">
        <f>PERMIT_NZ!G3</f>
        <v>0.98660301465704558</v>
      </c>
      <c r="H3" s="30">
        <f>PERMIT_NZ!H3</f>
        <v>0.9839236175884547</v>
      </c>
      <c r="I3" s="30">
        <f>PERMIT_NZ!I3</f>
        <v>0.98124422051986382</v>
      </c>
      <c r="J3" s="30">
        <f>PERMIT_NZ!J3</f>
        <v>0.97856482345127294</v>
      </c>
      <c r="K3" s="30">
        <f>PERMIT_NZ!K3</f>
        <v>0.97588542638268205</v>
      </c>
      <c r="L3" s="30">
        <f>PERMIT_NZ!L3</f>
        <v>0.97320602931409117</v>
      </c>
      <c r="M3" s="30">
        <f>PERMIT_NZ!M3</f>
        <v>0.97052663224549995</v>
      </c>
      <c r="N3" s="30">
        <f>PERMIT_NZ!N3</f>
        <v>0.94123083520852557</v>
      </c>
      <c r="O3" s="30">
        <f>PERMIT_NZ!O3</f>
        <v>0.91193503817155119</v>
      </c>
      <c r="P3" s="30">
        <f>PERMIT_NZ!P3</f>
        <v>0.88263924113457681</v>
      </c>
      <c r="Q3" s="30">
        <f>PERMIT_NZ!Q3</f>
        <v>0.85334344409760243</v>
      </c>
      <c r="R3" s="30">
        <f>PERMIT_NZ!R3</f>
        <v>0.82404764706062805</v>
      </c>
      <c r="S3" s="30">
        <f>PERMIT_NZ!S3</f>
        <v>0.79475185002365367</v>
      </c>
      <c r="T3" s="30">
        <f>PERMIT_NZ!T3</f>
        <v>0.76545605298667929</v>
      </c>
      <c r="U3" s="30">
        <f>PERMIT_NZ!U3</f>
        <v>0.73616025594970491</v>
      </c>
      <c r="V3" s="30">
        <f>PERMIT_NZ!V3</f>
        <v>0.70686445891273053</v>
      </c>
      <c r="W3" s="30">
        <f>PERMIT_NZ!W3</f>
        <v>0.67756866187575593</v>
      </c>
      <c r="X3" s="30">
        <f>PERMIT_NZ!X3</f>
        <v>0.64827286483878155</v>
      </c>
      <c r="Y3" s="30">
        <f>PERMIT_NZ!Y3</f>
        <v>0.61897706780180717</v>
      </c>
      <c r="Z3" s="30">
        <f>PERMIT_NZ!Z3</f>
        <v>0.58968127076483279</v>
      </c>
      <c r="AA3" s="30">
        <f>PERMIT_NZ!AA3</f>
        <v>0.56038547372785841</v>
      </c>
      <c r="AB3" s="30">
        <f>PERMIT_NZ!AB3</f>
        <v>0.53108967669088403</v>
      </c>
      <c r="AC3" s="30">
        <f>PERMIT_NZ!AC3</f>
        <v>0.50179387965390965</v>
      </c>
      <c r="AD3" s="30">
        <f>PERMIT_NZ!AD3</f>
        <v>0.47249808261693527</v>
      </c>
      <c r="AE3" s="30">
        <f>PERMIT_NZ!AE3</f>
        <v>0.44320228557996089</v>
      </c>
      <c r="AF3" s="30">
        <f>PERMIT_NZ!AF3</f>
        <v>0.41390648854298651</v>
      </c>
      <c r="AG3" s="30">
        <f>PERMIT_NZ!AG3</f>
        <v>0.38461069150601185</v>
      </c>
    </row>
    <row r="4" spans="1:33" x14ac:dyDescent="0.3">
      <c r="A4" s="1" t="s">
        <v>2</v>
      </c>
      <c r="B4" s="30">
        <f>PERMIT_NZ!B4</f>
        <v>1</v>
      </c>
      <c r="C4" s="30">
        <f>PERMIT_NZ!C4</f>
        <v>0.97030956186559991</v>
      </c>
      <c r="D4" s="30">
        <f>PERMIT_NZ!D4</f>
        <v>0.94061912373119982</v>
      </c>
      <c r="E4" s="30">
        <f>PERMIT_NZ!E4</f>
        <v>0.91092868559679974</v>
      </c>
      <c r="F4" s="30">
        <f>PERMIT_NZ!F4</f>
        <v>0.88123824746239965</v>
      </c>
      <c r="G4" s="30">
        <f>PERMIT_NZ!G4</f>
        <v>0.85154780932799956</v>
      </c>
      <c r="H4" s="30">
        <f>PERMIT_NZ!H4</f>
        <v>0.82185737119359947</v>
      </c>
      <c r="I4" s="30">
        <f>PERMIT_NZ!I4</f>
        <v>0.79216693305919939</v>
      </c>
      <c r="J4" s="30">
        <f>PERMIT_NZ!J4</f>
        <v>0.7624764949247993</v>
      </c>
      <c r="K4" s="30">
        <f>PERMIT_NZ!K4</f>
        <v>0.73278605679039921</v>
      </c>
      <c r="L4" s="30">
        <f>PERMIT_NZ!L4</f>
        <v>0.70309561865599912</v>
      </c>
      <c r="M4" s="30">
        <f>PERMIT_NZ!M4</f>
        <v>0.67340518052159881</v>
      </c>
      <c r="N4" s="30">
        <f>PERMIT_NZ!N4</f>
        <v>0.64379368066983944</v>
      </c>
      <c r="O4" s="30">
        <f>PERMIT_NZ!O4</f>
        <v>0.61418218081808007</v>
      </c>
      <c r="P4" s="30">
        <f>PERMIT_NZ!P4</f>
        <v>0.5845706809663207</v>
      </c>
      <c r="Q4" s="30">
        <f>PERMIT_NZ!Q4</f>
        <v>0.55495918111456133</v>
      </c>
      <c r="R4" s="30">
        <f>PERMIT_NZ!R4</f>
        <v>0.52534768126280196</v>
      </c>
      <c r="S4" s="30">
        <f>PERMIT_NZ!S4</f>
        <v>0.49573618141104253</v>
      </c>
      <c r="T4" s="30">
        <f>PERMIT_NZ!T4</f>
        <v>0.4661246815592831</v>
      </c>
      <c r="U4" s="30">
        <f>PERMIT_NZ!U4</f>
        <v>0.43651318170752368</v>
      </c>
      <c r="V4" s="30">
        <f>PERMIT_NZ!V4</f>
        <v>0.40690168185576425</v>
      </c>
      <c r="W4" s="30">
        <f>PERMIT_NZ!W4</f>
        <v>0.37729018200400471</v>
      </c>
      <c r="X4" s="30">
        <f>PERMIT_NZ!X4</f>
        <v>0.34767868215224529</v>
      </c>
      <c r="Y4" s="30">
        <f>PERMIT_NZ!Y4</f>
        <v>0.31806718230048586</v>
      </c>
      <c r="Z4" s="30">
        <f>PERMIT_NZ!Z4</f>
        <v>0.28845568244872644</v>
      </c>
      <c r="AA4" s="30">
        <f>PERMIT_NZ!AA4</f>
        <v>0.25884418259696701</v>
      </c>
      <c r="AB4" s="30">
        <f>PERMIT_NZ!AB4</f>
        <v>0.22923268274520761</v>
      </c>
      <c r="AC4" s="30">
        <f>PERMIT_NZ!AC4</f>
        <v>0.19962118289344821</v>
      </c>
      <c r="AD4" s="30">
        <f>PERMIT_NZ!AD4</f>
        <v>0.17000968304168881</v>
      </c>
      <c r="AE4" s="30">
        <f>PERMIT_NZ!AE4</f>
        <v>0.14039818318992942</v>
      </c>
      <c r="AF4" s="30">
        <f>PERMIT_NZ!AF4</f>
        <v>0.11078668333817002</v>
      </c>
      <c r="AG4" s="30">
        <f>PERMIT_NZ!AG4</f>
        <v>8.1175183486410674E-2</v>
      </c>
    </row>
    <row r="5" spans="1:33" x14ac:dyDescent="0.3">
      <c r="A5" s="1" t="s">
        <v>3</v>
      </c>
      <c r="B5" s="30">
        <f>PERMIT_NZ!B5</f>
        <v>1</v>
      </c>
      <c r="C5" s="30">
        <f>PERMIT_NZ!C5</f>
        <v>1.0122286096130622</v>
      </c>
      <c r="D5" s="30">
        <f>PERMIT_NZ!D5</f>
        <v>1.0244572192261243</v>
      </c>
      <c r="E5" s="30">
        <f>PERMIT_NZ!E5</f>
        <v>1.0366858288391865</v>
      </c>
      <c r="F5" s="30">
        <f>PERMIT_NZ!F5</f>
        <v>1.0489144384522486</v>
      </c>
      <c r="G5" s="30">
        <f>PERMIT_NZ!G5</f>
        <v>1.0611430480653108</v>
      </c>
      <c r="H5" s="30">
        <f>PERMIT_NZ!H5</f>
        <v>1.0733716576783729</v>
      </c>
      <c r="I5" s="30">
        <f>PERMIT_NZ!I5</f>
        <v>1.0856002672914351</v>
      </c>
      <c r="J5" s="30">
        <f>PERMIT_NZ!J5</f>
        <v>1.0978288769044973</v>
      </c>
      <c r="K5" s="30">
        <f>PERMIT_NZ!K5</f>
        <v>1.1100574865175594</v>
      </c>
      <c r="L5" s="30">
        <f>PERMIT_NZ!L5</f>
        <v>1.1222860961306216</v>
      </c>
      <c r="M5" s="30">
        <f>PERMIT_NZ!M5</f>
        <v>1.1345147057436835</v>
      </c>
      <c r="N5" s="30">
        <f>PERMIT_NZ!N5</f>
        <v>1.1080095424954721</v>
      </c>
      <c r="O5" s="30">
        <f>PERMIT_NZ!O5</f>
        <v>1.0815043792472607</v>
      </c>
      <c r="P5" s="30">
        <f>PERMIT_NZ!P5</f>
        <v>1.0549992159990493</v>
      </c>
      <c r="Q5" s="30">
        <f>PERMIT_NZ!Q5</f>
        <v>1.0284940527508379</v>
      </c>
      <c r="R5" s="30">
        <f>PERMIT_NZ!R5</f>
        <v>1.0019888895026265</v>
      </c>
      <c r="S5" s="30">
        <f>PERMIT_NZ!S5</f>
        <v>0.97548372625441504</v>
      </c>
      <c r="T5" s="30">
        <f>PERMIT_NZ!T5</f>
        <v>0.94897856300620353</v>
      </c>
      <c r="U5" s="30">
        <f>PERMIT_NZ!U5</f>
        <v>0.92247339975799203</v>
      </c>
      <c r="V5" s="30">
        <f>PERMIT_NZ!V5</f>
        <v>0.89596823650978052</v>
      </c>
      <c r="W5" s="30">
        <f>PERMIT_NZ!W5</f>
        <v>0.86946307326156869</v>
      </c>
      <c r="X5" s="30">
        <f>PERMIT_NZ!X5</f>
        <v>0.84295791001335718</v>
      </c>
      <c r="Y5" s="30">
        <f>PERMIT_NZ!Y5</f>
        <v>0.81645274676514568</v>
      </c>
      <c r="Z5" s="30">
        <f>PERMIT_NZ!Z5</f>
        <v>0.78994758351693417</v>
      </c>
      <c r="AA5" s="30">
        <f>PERMIT_NZ!AA5</f>
        <v>0.76344242026872267</v>
      </c>
      <c r="AB5" s="30">
        <f>PERMIT_NZ!AB5</f>
        <v>0.73693725702051116</v>
      </c>
      <c r="AC5" s="30">
        <f>PERMIT_NZ!AC5</f>
        <v>0.71043209377229966</v>
      </c>
      <c r="AD5" s="30">
        <f>PERMIT_NZ!AD5</f>
        <v>0.68392693052408815</v>
      </c>
      <c r="AE5" s="30">
        <f>PERMIT_NZ!AE5</f>
        <v>0.65742176727587665</v>
      </c>
      <c r="AF5" s="30">
        <f>PERMIT_NZ!AF5</f>
        <v>0.63091660402766514</v>
      </c>
      <c r="AG5" s="30">
        <f>PERMIT_NZ!AG5</f>
        <v>0.60441144077945386</v>
      </c>
    </row>
    <row r="6" spans="1:33" x14ac:dyDescent="0.3">
      <c r="A6" s="23" t="s">
        <v>4</v>
      </c>
      <c r="B6" s="30">
        <f>PERMIT_NZ!B6</f>
        <v>1</v>
      </c>
      <c r="C6" s="30">
        <f>PERMIT_NZ!C6</f>
        <v>1.0122286096130622</v>
      </c>
      <c r="D6" s="30">
        <f>PERMIT_NZ!D6</f>
        <v>1.0244572192261243</v>
      </c>
      <c r="E6" s="30">
        <f>PERMIT_NZ!E6</f>
        <v>1.0366858288391865</v>
      </c>
      <c r="F6" s="30">
        <f>PERMIT_NZ!F6</f>
        <v>1.0489144384522486</v>
      </c>
      <c r="G6" s="30">
        <f>PERMIT_NZ!G6</f>
        <v>1.0611430480653108</v>
      </c>
      <c r="H6" s="30">
        <f>PERMIT_NZ!H6</f>
        <v>1.0733716576783729</v>
      </c>
      <c r="I6" s="30">
        <f>PERMIT_NZ!I6</f>
        <v>1.0856002672914351</v>
      </c>
      <c r="J6" s="30">
        <f>PERMIT_NZ!J6</f>
        <v>1.0978288769044973</v>
      </c>
      <c r="K6" s="30">
        <f>PERMIT_NZ!K6</f>
        <v>1.1100574865175594</v>
      </c>
      <c r="L6" s="30">
        <f>PERMIT_NZ!L6</f>
        <v>1.1222860961306216</v>
      </c>
      <c r="M6" s="30">
        <f>PERMIT_NZ!M6</f>
        <v>1.1345147057436833</v>
      </c>
      <c r="N6" s="30">
        <f>PERMIT_NZ!N6</f>
        <v>1.1080095424954719</v>
      </c>
      <c r="O6" s="30">
        <f>PERMIT_NZ!O6</f>
        <v>1.0815043792472605</v>
      </c>
      <c r="P6" s="30">
        <f>PERMIT_NZ!P6</f>
        <v>1.0549992159990491</v>
      </c>
      <c r="Q6" s="30">
        <f>PERMIT_NZ!Q6</f>
        <v>1.0284940527508377</v>
      </c>
      <c r="R6" s="30">
        <f>PERMIT_NZ!R6</f>
        <v>1.0019888895026263</v>
      </c>
      <c r="S6" s="30">
        <f>PERMIT_NZ!S6</f>
        <v>0.97548372625441493</v>
      </c>
      <c r="T6" s="30">
        <f>PERMIT_NZ!T6</f>
        <v>0.94897856300620353</v>
      </c>
      <c r="U6" s="30">
        <f>PERMIT_NZ!U6</f>
        <v>0.92247339975799214</v>
      </c>
      <c r="V6" s="30">
        <f>PERMIT_NZ!V6</f>
        <v>0.89596823650978075</v>
      </c>
      <c r="W6" s="30">
        <f>PERMIT_NZ!W6</f>
        <v>0.8694630732615688</v>
      </c>
      <c r="X6" s="30">
        <f>PERMIT_NZ!X6</f>
        <v>0.84295791001335729</v>
      </c>
      <c r="Y6" s="30">
        <f>PERMIT_NZ!Y6</f>
        <v>0.81645274676514579</v>
      </c>
      <c r="Z6" s="30">
        <f>PERMIT_NZ!Z6</f>
        <v>0.78994758351693428</v>
      </c>
      <c r="AA6" s="30">
        <f>PERMIT_NZ!AA6</f>
        <v>0.76344242026872278</v>
      </c>
      <c r="AB6" s="30">
        <f>PERMIT_NZ!AB6</f>
        <v>0.73693725702051127</v>
      </c>
      <c r="AC6" s="30">
        <f>PERMIT_NZ!AC6</f>
        <v>0.71043209377229977</v>
      </c>
      <c r="AD6" s="30">
        <f>PERMIT_NZ!AD6</f>
        <v>0.68392693052408826</v>
      </c>
      <c r="AE6" s="30">
        <f>PERMIT_NZ!AE6</f>
        <v>0.65742176727587676</v>
      </c>
      <c r="AF6" s="30">
        <f>PERMIT_NZ!AF6</f>
        <v>0.63091660402766525</v>
      </c>
      <c r="AG6" s="30">
        <f>PERMIT_NZ!AG6</f>
        <v>0.60441144077945386</v>
      </c>
    </row>
    <row r="7" spans="1:33" x14ac:dyDescent="0.3">
      <c r="A7" s="23" t="s">
        <v>5</v>
      </c>
      <c r="B7" s="30">
        <f>PERMIT_NZ!B7</f>
        <v>1</v>
      </c>
      <c r="C7" s="30">
        <f>PERMIT_NZ!C7</f>
        <v>1.0122286096130622</v>
      </c>
      <c r="D7" s="30">
        <f>PERMIT_NZ!D7</f>
        <v>1.0244572192261243</v>
      </c>
      <c r="E7" s="30">
        <f>PERMIT_NZ!E7</f>
        <v>1.0366858288391865</v>
      </c>
      <c r="F7" s="30">
        <f>PERMIT_NZ!F7</f>
        <v>1.0489144384522486</v>
      </c>
      <c r="G7" s="30">
        <f>PERMIT_NZ!G7</f>
        <v>1.0611430480653108</v>
      </c>
      <c r="H7" s="30">
        <f>PERMIT_NZ!H7</f>
        <v>1.0733716576783729</v>
      </c>
      <c r="I7" s="30">
        <f>PERMIT_NZ!I7</f>
        <v>1.0856002672914351</v>
      </c>
      <c r="J7" s="30">
        <f>PERMIT_NZ!J7</f>
        <v>1.0978288769044973</v>
      </c>
      <c r="K7" s="30">
        <f>PERMIT_NZ!K7</f>
        <v>1.1100574865175594</v>
      </c>
      <c r="L7" s="30">
        <f>PERMIT_NZ!L7</f>
        <v>1.1222860961306216</v>
      </c>
      <c r="M7" s="30">
        <f>PERMIT_NZ!M7</f>
        <v>1.1345147057436835</v>
      </c>
      <c r="N7" s="30">
        <f>PERMIT_NZ!N7</f>
        <v>1.1080095424954721</v>
      </c>
      <c r="O7" s="30">
        <f>PERMIT_NZ!O7</f>
        <v>1.0815043792472607</v>
      </c>
      <c r="P7" s="30">
        <f>PERMIT_NZ!P7</f>
        <v>1.0549992159990493</v>
      </c>
      <c r="Q7" s="30">
        <f>PERMIT_NZ!Q7</f>
        <v>1.0284940527508379</v>
      </c>
      <c r="R7" s="30">
        <f>PERMIT_NZ!R7</f>
        <v>1.0019888895026265</v>
      </c>
      <c r="S7" s="30">
        <f>PERMIT_NZ!S7</f>
        <v>0.97548372625441504</v>
      </c>
      <c r="T7" s="30">
        <f>PERMIT_NZ!T7</f>
        <v>0.94897856300620353</v>
      </c>
      <c r="U7" s="30">
        <f>PERMIT_NZ!U7</f>
        <v>0.92247339975799203</v>
      </c>
      <c r="V7" s="30">
        <f>PERMIT_NZ!V7</f>
        <v>0.89596823650978052</v>
      </c>
      <c r="W7" s="30">
        <f>PERMIT_NZ!W7</f>
        <v>0.86946307326156858</v>
      </c>
      <c r="X7" s="30">
        <f>PERMIT_NZ!X7</f>
        <v>0.84295791001335707</v>
      </c>
      <c r="Y7" s="30">
        <f>PERMIT_NZ!Y7</f>
        <v>0.81645274676514556</v>
      </c>
      <c r="Z7" s="30">
        <f>PERMIT_NZ!Z7</f>
        <v>0.78994758351693406</v>
      </c>
      <c r="AA7" s="30">
        <f>PERMIT_NZ!AA7</f>
        <v>0.76344242026872255</v>
      </c>
      <c r="AB7" s="30">
        <f>PERMIT_NZ!AB7</f>
        <v>0.73693725702051105</v>
      </c>
      <c r="AC7" s="30">
        <f>PERMIT_NZ!AC7</f>
        <v>0.71043209377229954</v>
      </c>
      <c r="AD7" s="30">
        <f>PERMIT_NZ!AD7</f>
        <v>0.68392693052408804</v>
      </c>
      <c r="AE7" s="30">
        <f>PERMIT_NZ!AE7</f>
        <v>0.65742176727587653</v>
      </c>
      <c r="AF7" s="30">
        <f>PERMIT_NZ!AF7</f>
        <v>0.63091660402766503</v>
      </c>
      <c r="AG7" s="30">
        <f>PERMIT_NZ!AG7</f>
        <v>0.60441144077945386</v>
      </c>
    </row>
    <row r="8" spans="1:33" x14ac:dyDescent="0.3">
      <c r="A8" s="1" t="s">
        <v>6</v>
      </c>
      <c r="B8" s="30">
        <f>PERMIT_NZ!B8</f>
        <v>1</v>
      </c>
      <c r="C8" s="30">
        <f>PERMIT_NZ!C8</f>
        <v>0.95454545454545459</v>
      </c>
      <c r="D8" s="30">
        <f>PERMIT_NZ!D8</f>
        <v>0.90909090909090917</v>
      </c>
      <c r="E8" s="30">
        <f>PERMIT_NZ!E8</f>
        <v>0.86363636363636376</v>
      </c>
      <c r="F8" s="30">
        <f>PERMIT_NZ!F8</f>
        <v>0.81818181818181834</v>
      </c>
      <c r="G8" s="30">
        <f>PERMIT_NZ!G8</f>
        <v>0.77272727272727293</v>
      </c>
      <c r="H8" s="30">
        <f>PERMIT_NZ!H8</f>
        <v>0.72727272727272751</v>
      </c>
      <c r="I8" s="30">
        <f>PERMIT_NZ!I8</f>
        <v>0.6818181818181821</v>
      </c>
      <c r="J8" s="30">
        <f>PERMIT_NZ!J8</f>
        <v>0.63636363636363669</v>
      </c>
      <c r="K8" s="30">
        <f>PERMIT_NZ!K8</f>
        <v>0.59090909090909127</v>
      </c>
      <c r="L8" s="30">
        <f>PERMIT_NZ!L8</f>
        <v>0.54545454545454586</v>
      </c>
      <c r="M8" s="30">
        <f>PERMIT_NZ!M8</f>
        <v>0.5</v>
      </c>
      <c r="N8" s="30">
        <f>PERMIT_NZ!N8</f>
        <v>0.48</v>
      </c>
      <c r="O8" s="30">
        <f>PERMIT_NZ!O8</f>
        <v>0.45999999999999996</v>
      </c>
      <c r="P8" s="30">
        <f>PERMIT_NZ!P8</f>
        <v>0.43999999999999995</v>
      </c>
      <c r="Q8" s="30">
        <f>PERMIT_NZ!Q8</f>
        <v>0.41999999999999993</v>
      </c>
      <c r="R8" s="30">
        <f>PERMIT_NZ!R8</f>
        <v>0.39999999999999991</v>
      </c>
      <c r="S8" s="30">
        <f>PERMIT_NZ!S8</f>
        <v>0.37999999999999989</v>
      </c>
      <c r="T8" s="30">
        <f>PERMIT_NZ!T8</f>
        <v>0.35999999999999988</v>
      </c>
      <c r="U8" s="30">
        <f>PERMIT_NZ!U8</f>
        <v>0.33999999999999986</v>
      </c>
      <c r="V8" s="30">
        <f>PERMIT_NZ!V8</f>
        <v>0.31999999999999984</v>
      </c>
      <c r="W8" s="30">
        <f>PERMIT_NZ!W8</f>
        <v>0.29999999999999977</v>
      </c>
      <c r="X8" s="30">
        <f>PERMIT_NZ!X8</f>
        <v>0.2749999999999998</v>
      </c>
      <c r="Y8" s="30">
        <f>PERMIT_NZ!Y8</f>
        <v>0.24999999999999983</v>
      </c>
      <c r="Z8" s="30">
        <f>PERMIT_NZ!Z8</f>
        <v>0.22499999999999987</v>
      </c>
      <c r="AA8" s="30">
        <f>PERMIT_NZ!AA8</f>
        <v>0.1999999999999999</v>
      </c>
      <c r="AB8" s="30">
        <f>PERMIT_NZ!AB8</f>
        <v>0.17499999999999993</v>
      </c>
      <c r="AC8" s="30">
        <f>PERMIT_NZ!AC8</f>
        <v>0.14999999999999997</v>
      </c>
      <c r="AD8" s="30">
        <f>PERMIT_NZ!AD8</f>
        <v>0.12499999999999999</v>
      </c>
      <c r="AE8" s="30">
        <f>PERMIT_NZ!AE8</f>
        <v>0.1</v>
      </c>
      <c r="AF8" s="30">
        <f>PERMIT_NZ!AF8</f>
        <v>7.5000000000000025E-2</v>
      </c>
      <c r="AG8" s="30">
        <f>PERMIT_NZ!AG8</f>
        <v>0.05</v>
      </c>
    </row>
    <row r="9" spans="1:33" x14ac:dyDescent="0.3">
      <c r="A9" s="1" t="s">
        <v>7</v>
      </c>
      <c r="B9" s="30">
        <f>PERMIT_NZ!B9</f>
        <v>1</v>
      </c>
      <c r="C9" s="30">
        <f>PERMIT_NZ!C9</f>
        <v>0.99732060293140912</v>
      </c>
      <c r="D9" s="30">
        <f>PERMIT_NZ!D9</f>
        <v>0.99464120586281823</v>
      </c>
      <c r="E9" s="30">
        <f>PERMIT_NZ!E9</f>
        <v>0.99196180879422735</v>
      </c>
      <c r="F9" s="30">
        <f>PERMIT_NZ!F9</f>
        <v>0.98928241172563647</v>
      </c>
      <c r="G9" s="30">
        <f>PERMIT_NZ!G9</f>
        <v>0.98660301465704558</v>
      </c>
      <c r="H9" s="30">
        <f>PERMIT_NZ!H9</f>
        <v>0.9839236175884547</v>
      </c>
      <c r="I9" s="30">
        <f>PERMIT_NZ!I9</f>
        <v>0.98124422051986382</v>
      </c>
      <c r="J9" s="30">
        <f>PERMIT_NZ!J9</f>
        <v>0.97856482345127294</v>
      </c>
      <c r="K9" s="30">
        <f>PERMIT_NZ!K9</f>
        <v>0.97588542638268205</v>
      </c>
      <c r="L9" s="30">
        <f>PERMIT_NZ!L9</f>
        <v>0.97320602931409117</v>
      </c>
      <c r="M9" s="30">
        <f>PERMIT_NZ!M9</f>
        <v>0.97052663224550006</v>
      </c>
      <c r="N9" s="30">
        <f>PERMIT_NZ!N9</f>
        <v>0.94123083520852568</v>
      </c>
      <c r="O9" s="30">
        <f>PERMIT_NZ!O9</f>
        <v>0.9119350381715513</v>
      </c>
      <c r="P9" s="30">
        <f>PERMIT_NZ!P9</f>
        <v>0.88263924113457692</v>
      </c>
      <c r="Q9" s="30">
        <f>PERMIT_NZ!Q9</f>
        <v>0.85334344409760254</v>
      </c>
      <c r="R9" s="30">
        <f>PERMIT_NZ!R9</f>
        <v>0.82404764706062816</v>
      </c>
      <c r="S9" s="30">
        <f>PERMIT_NZ!S9</f>
        <v>0.79475185002365378</v>
      </c>
      <c r="T9" s="30">
        <f>PERMIT_NZ!T9</f>
        <v>0.7654560529866794</v>
      </c>
      <c r="U9" s="30">
        <f>PERMIT_NZ!U9</f>
        <v>0.73616025594970502</v>
      </c>
      <c r="V9" s="30">
        <f>PERMIT_NZ!V9</f>
        <v>0.70686445891273064</v>
      </c>
      <c r="W9" s="30">
        <f>PERMIT_NZ!W9</f>
        <v>0.67756866187575593</v>
      </c>
      <c r="X9" s="30">
        <f>PERMIT_NZ!X9</f>
        <v>0.64981179568818037</v>
      </c>
      <c r="Y9" s="30">
        <f>PERMIT_NZ!Y9</f>
        <v>0.62205492950060481</v>
      </c>
      <c r="Z9" s="30">
        <f>PERMIT_NZ!Z9</f>
        <v>0.59429806331302926</v>
      </c>
      <c r="AA9" s="30">
        <f>PERMIT_NZ!AA9</f>
        <v>0.5665411971254537</v>
      </c>
      <c r="AB9" s="30">
        <f>PERMIT_NZ!AB9</f>
        <v>0.53878433093787814</v>
      </c>
      <c r="AC9" s="30">
        <f>PERMIT_NZ!AC9</f>
        <v>0.51102746475030258</v>
      </c>
      <c r="AD9" s="30">
        <f>PERMIT_NZ!AD9</f>
        <v>0.48327059856272697</v>
      </c>
      <c r="AE9" s="30">
        <f>PERMIT_NZ!AE9</f>
        <v>0.45551373237515136</v>
      </c>
      <c r="AF9" s="30">
        <f>PERMIT_NZ!AF9</f>
        <v>0.42775686618757575</v>
      </c>
      <c r="AG9" s="30">
        <f>PERMIT_NZ!AG9</f>
        <v>0.39999999999999997</v>
      </c>
    </row>
    <row r="10" spans="1:33" x14ac:dyDescent="0.3">
      <c r="A10" s="1" t="s">
        <v>8</v>
      </c>
      <c r="B10" s="30">
        <f>PERMIT_NZ!B10</f>
        <v>1</v>
      </c>
      <c r="C10" s="30">
        <f>PERMIT_NZ!C10</f>
        <v>0.95454545454545459</v>
      </c>
      <c r="D10" s="30">
        <f>PERMIT_NZ!D10</f>
        <v>0.90909090909090917</v>
      </c>
      <c r="E10" s="30">
        <f>PERMIT_NZ!E10</f>
        <v>0.86363636363636376</v>
      </c>
      <c r="F10" s="30">
        <f>PERMIT_NZ!F10</f>
        <v>0.81818181818181834</v>
      </c>
      <c r="G10" s="30">
        <f>PERMIT_NZ!G10</f>
        <v>0.77272727272727293</v>
      </c>
      <c r="H10" s="30">
        <f>PERMIT_NZ!H10</f>
        <v>0.72727272727272751</v>
      </c>
      <c r="I10" s="30">
        <f>PERMIT_NZ!I10</f>
        <v>0.6818181818181821</v>
      </c>
      <c r="J10" s="30">
        <f>PERMIT_NZ!J10</f>
        <v>0.63636363636363669</v>
      </c>
      <c r="K10" s="30">
        <f>PERMIT_NZ!K10</f>
        <v>0.59090909090909127</v>
      </c>
      <c r="L10" s="30">
        <f>PERMIT_NZ!L10</f>
        <v>0.54545454545454586</v>
      </c>
      <c r="M10" s="30">
        <f>PERMIT_NZ!M10</f>
        <v>0.49999999999999989</v>
      </c>
      <c r="N10" s="30">
        <f>PERMIT_NZ!N10</f>
        <v>0.47999999999999987</v>
      </c>
      <c r="O10" s="30">
        <f>PERMIT_NZ!O10</f>
        <v>0.45999999999999985</v>
      </c>
      <c r="P10" s="30">
        <f>PERMIT_NZ!P10</f>
        <v>0.43999999999999984</v>
      </c>
      <c r="Q10" s="30">
        <f>PERMIT_NZ!Q10</f>
        <v>0.41999999999999982</v>
      </c>
      <c r="R10" s="30">
        <f>PERMIT_NZ!R10</f>
        <v>0.3999999999999998</v>
      </c>
      <c r="S10" s="30">
        <f>PERMIT_NZ!S10</f>
        <v>0.37999999999999978</v>
      </c>
      <c r="T10" s="30">
        <f>PERMIT_NZ!T10</f>
        <v>0.35999999999999976</v>
      </c>
      <c r="U10" s="30">
        <f>PERMIT_NZ!U10</f>
        <v>0.33999999999999975</v>
      </c>
      <c r="V10" s="30">
        <f>PERMIT_NZ!V10</f>
        <v>0.31999999999999973</v>
      </c>
      <c r="W10" s="30">
        <f>PERMIT_NZ!W10</f>
        <v>0.29999999999999977</v>
      </c>
      <c r="X10" s="30">
        <f>PERMIT_NZ!X10</f>
        <v>0.2799999999999998</v>
      </c>
      <c r="Y10" s="30">
        <f>PERMIT_NZ!Y10</f>
        <v>0.25999999999999984</v>
      </c>
      <c r="Z10" s="30">
        <f>PERMIT_NZ!Z10</f>
        <v>0.23999999999999985</v>
      </c>
      <c r="AA10" s="30">
        <f>PERMIT_NZ!AA10</f>
        <v>0.21999999999999986</v>
      </c>
      <c r="AB10" s="30">
        <f>PERMIT_NZ!AB10</f>
        <v>0.19999999999999987</v>
      </c>
      <c r="AC10" s="30">
        <f>PERMIT_NZ!AC10</f>
        <v>0.17999999999999988</v>
      </c>
      <c r="AD10" s="30">
        <f>PERMIT_NZ!AD10</f>
        <v>0.15999999999999989</v>
      </c>
      <c r="AE10" s="30">
        <f>PERMIT_NZ!AE10</f>
        <v>0.1399999999999999</v>
      </c>
      <c r="AF10" s="30">
        <f>PERMIT_NZ!AF10</f>
        <v>0.11999999999999991</v>
      </c>
      <c r="AG10" s="30">
        <f>PERMIT_NZ!AG10</f>
        <v>9.9999999999999922E-2</v>
      </c>
    </row>
    <row r="11" spans="1:33" x14ac:dyDescent="0.3">
      <c r="A11" s="1" t="s">
        <v>9</v>
      </c>
      <c r="B11" s="30">
        <f>PERMIT_NZ!B11</f>
        <v>1</v>
      </c>
      <c r="C11" s="30">
        <f>PERMIT_NZ!C11</f>
        <v>0.95454545454545459</v>
      </c>
      <c r="D11" s="30">
        <f>PERMIT_NZ!D11</f>
        <v>0.90909090909090917</v>
      </c>
      <c r="E11" s="30">
        <f>PERMIT_NZ!E11</f>
        <v>0.86363636363636376</v>
      </c>
      <c r="F11" s="30">
        <f>PERMIT_NZ!F11</f>
        <v>0.81818181818181834</v>
      </c>
      <c r="G11" s="30">
        <f>PERMIT_NZ!G11</f>
        <v>0.77272727272727293</v>
      </c>
      <c r="H11" s="30">
        <f>PERMIT_NZ!H11</f>
        <v>0.72727272727272751</v>
      </c>
      <c r="I11" s="30">
        <f>PERMIT_NZ!I11</f>
        <v>0.6818181818181821</v>
      </c>
      <c r="J11" s="30">
        <f>PERMIT_NZ!J11</f>
        <v>0.63636363636363669</v>
      </c>
      <c r="K11" s="30">
        <f>PERMIT_NZ!K11</f>
        <v>0.59090909090909127</v>
      </c>
      <c r="L11" s="30">
        <f>PERMIT_NZ!L11</f>
        <v>0.54545454545454586</v>
      </c>
      <c r="M11" s="30">
        <f>PERMIT_NZ!M11</f>
        <v>0.50000000000000011</v>
      </c>
      <c r="N11" s="30">
        <f>PERMIT_NZ!N11</f>
        <v>0.48000000000000009</v>
      </c>
      <c r="O11" s="30">
        <f>PERMIT_NZ!O11</f>
        <v>0.46000000000000008</v>
      </c>
      <c r="P11" s="30">
        <f>PERMIT_NZ!P11</f>
        <v>0.44000000000000006</v>
      </c>
      <c r="Q11" s="30">
        <f>PERMIT_NZ!Q11</f>
        <v>0.42000000000000004</v>
      </c>
      <c r="R11" s="30">
        <f>PERMIT_NZ!R11</f>
        <v>0.4</v>
      </c>
      <c r="S11" s="30">
        <f>PERMIT_NZ!S11</f>
        <v>0.38</v>
      </c>
      <c r="T11" s="30">
        <f>PERMIT_NZ!T11</f>
        <v>0.36</v>
      </c>
      <c r="U11" s="30">
        <f>PERMIT_NZ!U11</f>
        <v>0.33999999999999997</v>
      </c>
      <c r="V11" s="30">
        <f>PERMIT_NZ!V11</f>
        <v>0.31999999999999995</v>
      </c>
      <c r="W11" s="30">
        <f>PERMIT_NZ!W11</f>
        <v>0.29999999999999977</v>
      </c>
      <c r="X11" s="30">
        <f>PERMIT_NZ!X11</f>
        <v>0.2799999999999998</v>
      </c>
      <c r="Y11" s="30">
        <f>PERMIT_NZ!Y11</f>
        <v>0.25999999999999984</v>
      </c>
      <c r="Z11" s="30">
        <f>PERMIT_NZ!Z11</f>
        <v>0.23999999999999988</v>
      </c>
      <c r="AA11" s="30">
        <f>PERMIT_NZ!AA11</f>
        <v>0.21999999999999992</v>
      </c>
      <c r="AB11" s="30">
        <f>PERMIT_NZ!AB11</f>
        <v>0.19999999999999996</v>
      </c>
      <c r="AC11" s="30">
        <f>PERMIT_NZ!AC11</f>
        <v>0.18</v>
      </c>
      <c r="AD11" s="30">
        <f>PERMIT_NZ!AD11</f>
        <v>0.16000000000000003</v>
      </c>
      <c r="AE11" s="30">
        <f>PERMIT_NZ!AE11</f>
        <v>0.14000000000000007</v>
      </c>
      <c r="AF11" s="30">
        <f>PERMIT_NZ!AF11</f>
        <v>0.12000000000000009</v>
      </c>
      <c r="AG11" s="30">
        <f>PERMIT_NZ!AG11</f>
        <v>0.1</v>
      </c>
    </row>
    <row r="12" spans="1:33" x14ac:dyDescent="0.3">
      <c r="A12" s="1" t="s">
        <v>10</v>
      </c>
      <c r="B12" s="30">
        <f>PERMIT_NZ!B12</f>
        <v>1</v>
      </c>
      <c r="C12" s="30">
        <f>PERMIT_NZ!C12</f>
        <v>0.99732060293140912</v>
      </c>
      <c r="D12" s="30">
        <f>PERMIT_NZ!D12</f>
        <v>0.99464120586281823</v>
      </c>
      <c r="E12" s="30">
        <f>PERMIT_NZ!E12</f>
        <v>0.99196180879422735</v>
      </c>
      <c r="F12" s="30">
        <f>PERMIT_NZ!F12</f>
        <v>0.98928241172563647</v>
      </c>
      <c r="G12" s="30">
        <f>PERMIT_NZ!G12</f>
        <v>0.98660301465704558</v>
      </c>
      <c r="H12" s="30">
        <f>PERMIT_NZ!H12</f>
        <v>0.9839236175884547</v>
      </c>
      <c r="I12" s="30">
        <f>PERMIT_NZ!I12</f>
        <v>0.98124422051986382</v>
      </c>
      <c r="J12" s="30">
        <f>PERMIT_NZ!J12</f>
        <v>0.97856482345127294</v>
      </c>
      <c r="K12" s="30">
        <f>PERMIT_NZ!K12</f>
        <v>0.97588542638268205</v>
      </c>
      <c r="L12" s="30">
        <f>PERMIT_NZ!L12</f>
        <v>0.97320602931409117</v>
      </c>
      <c r="M12" s="30">
        <f>PERMIT_NZ!M12</f>
        <v>0.97052663224550006</v>
      </c>
      <c r="N12" s="30">
        <f>PERMIT_NZ!N12</f>
        <v>0.94123083520852568</v>
      </c>
      <c r="O12" s="30">
        <f>PERMIT_NZ!O12</f>
        <v>0.9119350381715513</v>
      </c>
      <c r="P12" s="30">
        <f>PERMIT_NZ!P12</f>
        <v>0.88263924113457692</v>
      </c>
      <c r="Q12" s="30">
        <f>PERMIT_NZ!Q12</f>
        <v>0.85334344409760254</v>
      </c>
      <c r="R12" s="30">
        <f>PERMIT_NZ!R12</f>
        <v>0.82404764706062816</v>
      </c>
      <c r="S12" s="30">
        <f>PERMIT_NZ!S12</f>
        <v>0.79475185002365378</v>
      </c>
      <c r="T12" s="30">
        <f>PERMIT_NZ!T12</f>
        <v>0.7654560529866794</v>
      </c>
      <c r="U12" s="30">
        <f>PERMIT_NZ!U12</f>
        <v>0.73616025594970502</v>
      </c>
      <c r="V12" s="30">
        <f>PERMIT_NZ!V12</f>
        <v>0.70686445891273064</v>
      </c>
      <c r="W12" s="30">
        <f>PERMIT_NZ!W12</f>
        <v>0.67756866187575593</v>
      </c>
      <c r="X12" s="30">
        <f>PERMIT_NZ!X12</f>
        <v>0.64981179568818037</v>
      </c>
      <c r="Y12" s="30">
        <f>PERMIT_NZ!Y12</f>
        <v>0.62205492950060481</v>
      </c>
      <c r="Z12" s="30">
        <f>PERMIT_NZ!Z12</f>
        <v>0.59429806331302926</v>
      </c>
      <c r="AA12" s="30">
        <f>PERMIT_NZ!AA12</f>
        <v>0.5665411971254537</v>
      </c>
      <c r="AB12" s="30">
        <f>PERMIT_NZ!AB12</f>
        <v>0.53878433093787814</v>
      </c>
      <c r="AC12" s="30">
        <f>PERMIT_NZ!AC12</f>
        <v>0.51102746475030258</v>
      </c>
      <c r="AD12" s="30">
        <f>PERMIT_NZ!AD12</f>
        <v>0.48327059856272697</v>
      </c>
      <c r="AE12" s="30">
        <f>PERMIT_NZ!AE12</f>
        <v>0.45551373237515136</v>
      </c>
      <c r="AF12" s="30">
        <f>PERMIT_NZ!AF12</f>
        <v>0.42775686618757575</v>
      </c>
      <c r="AG12" s="30">
        <f>PERMIT_NZ!AG12</f>
        <v>0.39999999999999997</v>
      </c>
    </row>
    <row r="13" spans="1:33" x14ac:dyDescent="0.3">
      <c r="A13" s="1" t="s">
        <v>11</v>
      </c>
      <c r="B13" s="30">
        <f>PERMIT_NZ!B13</f>
        <v>1</v>
      </c>
      <c r="C13" s="30">
        <f>PERMIT_NZ!C13</f>
        <v>0.99732060293140912</v>
      </c>
      <c r="D13" s="30">
        <f>PERMIT_NZ!D13</f>
        <v>0.99464120586281823</v>
      </c>
      <c r="E13" s="30">
        <f>PERMIT_NZ!E13</f>
        <v>0.99196180879422735</v>
      </c>
      <c r="F13" s="30">
        <f>PERMIT_NZ!F13</f>
        <v>0.98928241172563647</v>
      </c>
      <c r="G13" s="30">
        <f>PERMIT_NZ!G13</f>
        <v>0.98660301465704558</v>
      </c>
      <c r="H13" s="30">
        <f>PERMIT_NZ!H13</f>
        <v>0.9839236175884547</v>
      </c>
      <c r="I13" s="30">
        <f>PERMIT_NZ!I13</f>
        <v>0.98124422051986382</v>
      </c>
      <c r="J13" s="30">
        <f>PERMIT_NZ!J13</f>
        <v>0.97856482345127294</v>
      </c>
      <c r="K13" s="30">
        <f>PERMIT_NZ!K13</f>
        <v>0.97588542638268205</v>
      </c>
      <c r="L13" s="30">
        <f>PERMIT_NZ!L13</f>
        <v>0.97320602931409117</v>
      </c>
      <c r="M13" s="30">
        <f>PERMIT_NZ!M13</f>
        <v>0.97052663224549995</v>
      </c>
      <c r="N13" s="30">
        <f>PERMIT_NZ!N13</f>
        <v>0.94123083520852557</v>
      </c>
      <c r="O13" s="30">
        <f>PERMIT_NZ!O13</f>
        <v>0.91193503817155119</v>
      </c>
      <c r="P13" s="30">
        <f>PERMIT_NZ!P13</f>
        <v>0.88263924113457681</v>
      </c>
      <c r="Q13" s="30">
        <f>PERMIT_NZ!Q13</f>
        <v>0.85334344409760243</v>
      </c>
      <c r="R13" s="30">
        <f>PERMIT_NZ!R13</f>
        <v>0.82404764706062805</v>
      </c>
      <c r="S13" s="30">
        <f>PERMIT_NZ!S13</f>
        <v>0.79475185002365367</v>
      </c>
      <c r="T13" s="30">
        <f>PERMIT_NZ!T13</f>
        <v>0.76545605298667929</v>
      </c>
      <c r="U13" s="30">
        <f>PERMIT_NZ!U13</f>
        <v>0.73616025594970491</v>
      </c>
      <c r="V13" s="30">
        <f>PERMIT_NZ!V13</f>
        <v>0.70686445891273053</v>
      </c>
      <c r="W13" s="30">
        <f>PERMIT_NZ!W13</f>
        <v>0.67756866187575593</v>
      </c>
      <c r="X13" s="30">
        <f>PERMIT_NZ!X13</f>
        <v>0.64981179568818037</v>
      </c>
      <c r="Y13" s="30">
        <f>PERMIT_NZ!Y13</f>
        <v>0.62205492950060481</v>
      </c>
      <c r="Z13" s="30">
        <f>PERMIT_NZ!Z13</f>
        <v>0.59429806331302926</v>
      </c>
      <c r="AA13" s="30">
        <f>PERMIT_NZ!AA13</f>
        <v>0.5665411971254537</v>
      </c>
      <c r="AB13" s="30">
        <f>PERMIT_NZ!AB13</f>
        <v>0.53878433093787814</v>
      </c>
      <c r="AC13" s="30">
        <f>PERMIT_NZ!AC13</f>
        <v>0.51102746475030258</v>
      </c>
      <c r="AD13" s="30">
        <f>PERMIT_NZ!AD13</f>
        <v>0.48327059856272697</v>
      </c>
      <c r="AE13" s="30">
        <f>PERMIT_NZ!AE13</f>
        <v>0.45551373237515136</v>
      </c>
      <c r="AF13" s="30">
        <f>PERMIT_NZ!AF13</f>
        <v>0.42775686618757575</v>
      </c>
      <c r="AG13" s="30">
        <f>PERMIT_NZ!AG13</f>
        <v>0.39999999999999997</v>
      </c>
    </row>
    <row r="14" spans="1:33" x14ac:dyDescent="0.3">
      <c r="A14" s="1" t="s">
        <v>12</v>
      </c>
      <c r="B14" s="30">
        <f>PERMIT_NZ!B14</f>
        <v>1</v>
      </c>
      <c r="C14" s="30">
        <f>PERMIT_NZ!C14</f>
        <v>0.99732060293140912</v>
      </c>
      <c r="D14" s="30">
        <f>PERMIT_NZ!D14</f>
        <v>0.99464120586281823</v>
      </c>
      <c r="E14" s="30">
        <f>PERMIT_NZ!E14</f>
        <v>0.99196180879422735</v>
      </c>
      <c r="F14" s="30">
        <f>PERMIT_NZ!F14</f>
        <v>0.98928241172563647</v>
      </c>
      <c r="G14" s="30">
        <f>PERMIT_NZ!G14</f>
        <v>0.98660301465704558</v>
      </c>
      <c r="H14" s="30">
        <f>PERMIT_NZ!H14</f>
        <v>0.9839236175884547</v>
      </c>
      <c r="I14" s="30">
        <f>PERMIT_NZ!I14</f>
        <v>0.98124422051986382</v>
      </c>
      <c r="J14" s="30">
        <f>PERMIT_NZ!J14</f>
        <v>0.97856482345127294</v>
      </c>
      <c r="K14" s="30">
        <f>PERMIT_NZ!K14</f>
        <v>0.97588542638268205</v>
      </c>
      <c r="L14" s="30">
        <f>PERMIT_NZ!L14</f>
        <v>0.97320602931409117</v>
      </c>
      <c r="M14" s="30">
        <f>PERMIT_NZ!M14</f>
        <v>0.97052663224549995</v>
      </c>
      <c r="N14" s="30">
        <f>PERMIT_NZ!N14</f>
        <v>0.94123083520852557</v>
      </c>
      <c r="O14" s="30">
        <f>PERMIT_NZ!O14</f>
        <v>0.91193503817155119</v>
      </c>
      <c r="P14" s="30">
        <f>PERMIT_NZ!P14</f>
        <v>0.88263924113457681</v>
      </c>
      <c r="Q14" s="30">
        <f>PERMIT_NZ!Q14</f>
        <v>0.85334344409760243</v>
      </c>
      <c r="R14" s="30">
        <f>PERMIT_NZ!R14</f>
        <v>0.82404764706062805</v>
      </c>
      <c r="S14" s="30">
        <f>PERMIT_NZ!S14</f>
        <v>0.79475185002365367</v>
      </c>
      <c r="T14" s="30">
        <f>PERMIT_NZ!T14</f>
        <v>0.76545605298667929</v>
      </c>
      <c r="U14" s="30">
        <f>PERMIT_NZ!U14</f>
        <v>0.73616025594970491</v>
      </c>
      <c r="V14" s="30">
        <f>PERMIT_NZ!V14</f>
        <v>0.70686445891273053</v>
      </c>
      <c r="W14" s="30">
        <f>PERMIT_NZ!W14</f>
        <v>0.67756866187575593</v>
      </c>
      <c r="X14" s="30">
        <f>PERMIT_NZ!X14</f>
        <v>0.64981179568818037</v>
      </c>
      <c r="Y14" s="30">
        <f>PERMIT_NZ!Y14</f>
        <v>0.62205492950060481</v>
      </c>
      <c r="Z14" s="30">
        <f>PERMIT_NZ!Z14</f>
        <v>0.59429806331302926</v>
      </c>
      <c r="AA14" s="30">
        <f>PERMIT_NZ!AA14</f>
        <v>0.5665411971254537</v>
      </c>
      <c r="AB14" s="30">
        <f>PERMIT_NZ!AB14</f>
        <v>0.53878433093787814</v>
      </c>
      <c r="AC14" s="30">
        <f>PERMIT_NZ!AC14</f>
        <v>0.51102746475030258</v>
      </c>
      <c r="AD14" s="30">
        <f>PERMIT_NZ!AD14</f>
        <v>0.48327059856272697</v>
      </c>
      <c r="AE14" s="30">
        <f>PERMIT_NZ!AE14</f>
        <v>0.45551373237515136</v>
      </c>
      <c r="AF14" s="30">
        <f>PERMIT_NZ!AF14</f>
        <v>0.42775686618757575</v>
      </c>
      <c r="AG14" s="30">
        <f>PERMIT_NZ!AG14</f>
        <v>0.39999999999999997</v>
      </c>
    </row>
    <row r="15" spans="1:33" x14ac:dyDescent="0.3">
      <c r="A15" s="1" t="s">
        <v>13</v>
      </c>
      <c r="B15" s="30">
        <f>PERMIT_NZ!B15</f>
        <v>1</v>
      </c>
      <c r="C15" s="30">
        <f>PERMIT_NZ!C15</f>
        <v>0.99732060293140912</v>
      </c>
      <c r="D15" s="30">
        <f>PERMIT_NZ!D15</f>
        <v>0.99464120586281823</v>
      </c>
      <c r="E15" s="30">
        <f>PERMIT_NZ!E15</f>
        <v>0.99196180879422735</v>
      </c>
      <c r="F15" s="30">
        <f>PERMIT_NZ!F15</f>
        <v>0.98928241172563647</v>
      </c>
      <c r="G15" s="30">
        <f>PERMIT_NZ!G15</f>
        <v>0.98660301465704558</v>
      </c>
      <c r="H15" s="30">
        <f>PERMIT_NZ!H15</f>
        <v>0.9839236175884547</v>
      </c>
      <c r="I15" s="30">
        <f>PERMIT_NZ!I15</f>
        <v>0.98124422051986382</v>
      </c>
      <c r="J15" s="30">
        <f>PERMIT_NZ!J15</f>
        <v>0.97856482345127294</v>
      </c>
      <c r="K15" s="30">
        <f>PERMIT_NZ!K15</f>
        <v>0.97588542638268205</v>
      </c>
      <c r="L15" s="30">
        <f>PERMIT_NZ!L15</f>
        <v>0.97320602931409117</v>
      </c>
      <c r="M15" s="30">
        <f>PERMIT_NZ!M15</f>
        <v>0.97052663224550006</v>
      </c>
      <c r="N15" s="30">
        <f>PERMIT_NZ!N15</f>
        <v>0.94123083520852568</v>
      </c>
      <c r="O15" s="30">
        <f>PERMIT_NZ!O15</f>
        <v>0.9119350381715513</v>
      </c>
      <c r="P15" s="30">
        <f>PERMIT_NZ!P15</f>
        <v>0.88263924113457692</v>
      </c>
      <c r="Q15" s="30">
        <f>PERMIT_NZ!Q15</f>
        <v>0.85334344409760254</v>
      </c>
      <c r="R15" s="30">
        <f>PERMIT_NZ!R15</f>
        <v>0.82404764706062816</v>
      </c>
      <c r="S15" s="30">
        <f>PERMIT_NZ!S15</f>
        <v>0.79475185002365378</v>
      </c>
      <c r="T15" s="30">
        <f>PERMIT_NZ!T15</f>
        <v>0.7654560529866794</v>
      </c>
      <c r="U15" s="30">
        <f>PERMIT_NZ!U15</f>
        <v>0.73616025594970502</v>
      </c>
      <c r="V15" s="30">
        <f>PERMIT_NZ!V15</f>
        <v>0.70686445891273064</v>
      </c>
      <c r="W15" s="30">
        <f>PERMIT_NZ!W15</f>
        <v>0.67756866187575593</v>
      </c>
      <c r="X15" s="30">
        <f>PERMIT_NZ!X15</f>
        <v>0.64981179568818037</v>
      </c>
      <c r="Y15" s="30">
        <f>PERMIT_NZ!Y15</f>
        <v>0.62205492950060481</v>
      </c>
      <c r="Z15" s="30">
        <f>PERMIT_NZ!Z15</f>
        <v>0.59429806331302926</v>
      </c>
      <c r="AA15" s="30">
        <f>PERMIT_NZ!AA15</f>
        <v>0.5665411971254537</v>
      </c>
      <c r="AB15" s="30">
        <f>PERMIT_NZ!AB15</f>
        <v>0.53878433093787814</v>
      </c>
      <c r="AC15" s="30">
        <f>PERMIT_NZ!AC15</f>
        <v>0.51102746475030258</v>
      </c>
      <c r="AD15" s="30">
        <f>PERMIT_NZ!AD15</f>
        <v>0.48327059856272697</v>
      </c>
      <c r="AE15" s="30">
        <f>PERMIT_NZ!AE15</f>
        <v>0.45551373237515136</v>
      </c>
      <c r="AF15" s="30">
        <f>PERMIT_NZ!AF15</f>
        <v>0.42775686618757575</v>
      </c>
      <c r="AG15" s="30">
        <f>PERMIT_NZ!AG15</f>
        <v>0.39999999999999997</v>
      </c>
    </row>
    <row r="16" spans="1:33" x14ac:dyDescent="0.3">
      <c r="A16" s="1" t="s">
        <v>14</v>
      </c>
      <c r="B16" s="30">
        <f>PERMIT_NZ!B16</f>
        <v>1</v>
      </c>
      <c r="C16" s="30">
        <f>PERMIT_NZ!C16</f>
        <v>0.99732060293140912</v>
      </c>
      <c r="D16" s="30">
        <f>PERMIT_NZ!D16</f>
        <v>0.99464120586281823</v>
      </c>
      <c r="E16" s="30">
        <f>PERMIT_NZ!E16</f>
        <v>0.99196180879422735</v>
      </c>
      <c r="F16" s="30">
        <f>PERMIT_NZ!F16</f>
        <v>0.98928241172563647</v>
      </c>
      <c r="G16" s="30">
        <f>PERMIT_NZ!G16</f>
        <v>0.98660301465704558</v>
      </c>
      <c r="H16" s="30">
        <f>PERMIT_NZ!H16</f>
        <v>0.9839236175884547</v>
      </c>
      <c r="I16" s="30">
        <f>PERMIT_NZ!I16</f>
        <v>0.98124422051986382</v>
      </c>
      <c r="J16" s="30">
        <f>PERMIT_NZ!J16</f>
        <v>0.97856482345127294</v>
      </c>
      <c r="K16" s="30">
        <f>PERMIT_NZ!K16</f>
        <v>0.97588542638268205</v>
      </c>
      <c r="L16" s="30">
        <f>PERMIT_NZ!L16</f>
        <v>0.97320602931409117</v>
      </c>
      <c r="M16" s="30">
        <f>PERMIT_NZ!M16</f>
        <v>0.97052663224550018</v>
      </c>
      <c r="N16" s="30">
        <f>PERMIT_NZ!N16</f>
        <v>0.9412308352085258</v>
      </c>
      <c r="O16" s="30">
        <f>PERMIT_NZ!O16</f>
        <v>0.91193503817155142</v>
      </c>
      <c r="P16" s="30">
        <f>PERMIT_NZ!P16</f>
        <v>0.88263924113457704</v>
      </c>
      <c r="Q16" s="30">
        <f>PERMIT_NZ!Q16</f>
        <v>0.85334344409760265</v>
      </c>
      <c r="R16" s="30">
        <f>PERMIT_NZ!R16</f>
        <v>0.82404764706062827</v>
      </c>
      <c r="S16" s="30">
        <f>PERMIT_NZ!S16</f>
        <v>0.79475185002365389</v>
      </c>
      <c r="T16" s="30">
        <f>PERMIT_NZ!T16</f>
        <v>0.76545605298667951</v>
      </c>
      <c r="U16" s="30">
        <f>PERMIT_NZ!U16</f>
        <v>0.73616025594970513</v>
      </c>
      <c r="V16" s="30">
        <f>PERMIT_NZ!V16</f>
        <v>0.70686445891273075</v>
      </c>
      <c r="W16" s="30">
        <f>PERMIT_NZ!W16</f>
        <v>0.67756866187575593</v>
      </c>
      <c r="X16" s="30">
        <f>PERMIT_NZ!X16</f>
        <v>0.64981179568818037</v>
      </c>
      <c r="Y16" s="30">
        <f>PERMIT_NZ!Y16</f>
        <v>0.62205492950060481</v>
      </c>
      <c r="Z16" s="30">
        <f>PERMIT_NZ!Z16</f>
        <v>0.59429806331302926</v>
      </c>
      <c r="AA16" s="30">
        <f>PERMIT_NZ!AA16</f>
        <v>0.5665411971254537</v>
      </c>
      <c r="AB16" s="30">
        <f>PERMIT_NZ!AB16</f>
        <v>0.53878433093787814</v>
      </c>
      <c r="AC16" s="30">
        <f>PERMIT_NZ!AC16</f>
        <v>0.51102746475030258</v>
      </c>
      <c r="AD16" s="30">
        <f>PERMIT_NZ!AD16</f>
        <v>0.48327059856272697</v>
      </c>
      <c r="AE16" s="30">
        <f>PERMIT_NZ!AE16</f>
        <v>0.45551373237515136</v>
      </c>
      <c r="AF16" s="30">
        <f>PERMIT_NZ!AF16</f>
        <v>0.42775686618757575</v>
      </c>
      <c r="AG16" s="30">
        <f>PERMIT_NZ!AG16</f>
        <v>0.39999999999999997</v>
      </c>
    </row>
    <row r="17" spans="1:33" x14ac:dyDescent="0.3">
      <c r="A17" s="1" t="s">
        <v>15</v>
      </c>
      <c r="B17" s="30">
        <f>PERMIT_NZ!B17</f>
        <v>1</v>
      </c>
      <c r="C17" s="30">
        <f>PERMIT_NZ!C17</f>
        <v>0.99732060293140912</v>
      </c>
      <c r="D17" s="30">
        <f>PERMIT_NZ!D17</f>
        <v>0.99464120586281823</v>
      </c>
      <c r="E17" s="30">
        <f>PERMIT_NZ!E17</f>
        <v>0.99196180879422735</v>
      </c>
      <c r="F17" s="30">
        <f>PERMIT_NZ!F17</f>
        <v>0.98928241172563647</v>
      </c>
      <c r="G17" s="30">
        <f>PERMIT_NZ!G17</f>
        <v>0.98660301465704558</v>
      </c>
      <c r="H17" s="30">
        <f>PERMIT_NZ!H17</f>
        <v>0.9839236175884547</v>
      </c>
      <c r="I17" s="30">
        <f>PERMIT_NZ!I17</f>
        <v>0.98124422051986382</v>
      </c>
      <c r="J17" s="30">
        <f>PERMIT_NZ!J17</f>
        <v>0.97856482345127294</v>
      </c>
      <c r="K17" s="30">
        <f>PERMIT_NZ!K17</f>
        <v>0.97588542638268205</v>
      </c>
      <c r="L17" s="30">
        <f>PERMIT_NZ!L17</f>
        <v>0.97320602931409117</v>
      </c>
      <c r="M17" s="30">
        <f>PERMIT_NZ!M17</f>
        <v>0.97052663224550018</v>
      </c>
      <c r="N17" s="30">
        <f>PERMIT_NZ!N17</f>
        <v>0.9412308352085258</v>
      </c>
      <c r="O17" s="30">
        <f>PERMIT_NZ!O17</f>
        <v>0.91193503817155142</v>
      </c>
      <c r="P17" s="30">
        <f>PERMIT_NZ!P17</f>
        <v>0.88263924113457704</v>
      </c>
      <c r="Q17" s="30">
        <f>PERMIT_NZ!Q17</f>
        <v>0.85334344409760265</v>
      </c>
      <c r="R17" s="30">
        <f>PERMIT_NZ!R17</f>
        <v>0.82404764706062827</v>
      </c>
      <c r="S17" s="30">
        <f>PERMIT_NZ!S17</f>
        <v>0.79475185002365389</v>
      </c>
      <c r="T17" s="30">
        <f>PERMIT_NZ!T17</f>
        <v>0.76545605298667951</v>
      </c>
      <c r="U17" s="30">
        <f>PERMIT_NZ!U17</f>
        <v>0.73616025594970513</v>
      </c>
      <c r="V17" s="30">
        <f>PERMIT_NZ!V17</f>
        <v>0.70686445891273075</v>
      </c>
      <c r="W17" s="30">
        <f>PERMIT_NZ!W17</f>
        <v>0.67756866187575593</v>
      </c>
      <c r="X17" s="30">
        <f>PERMIT_NZ!X17</f>
        <v>0.64981179568818037</v>
      </c>
      <c r="Y17" s="30">
        <f>PERMIT_NZ!Y17</f>
        <v>0.62205492950060481</v>
      </c>
      <c r="Z17" s="30">
        <f>PERMIT_NZ!Z17</f>
        <v>0.59429806331302926</v>
      </c>
      <c r="AA17" s="30">
        <f>PERMIT_NZ!AA17</f>
        <v>0.5665411971254537</v>
      </c>
      <c r="AB17" s="30">
        <f>PERMIT_NZ!AB17</f>
        <v>0.53878433093787814</v>
      </c>
      <c r="AC17" s="30">
        <f>PERMIT_NZ!AC17</f>
        <v>0.51102746475030258</v>
      </c>
      <c r="AD17" s="30">
        <f>PERMIT_NZ!AD17</f>
        <v>0.48327059856272697</v>
      </c>
      <c r="AE17" s="30">
        <f>PERMIT_NZ!AE17</f>
        <v>0.45551373237515136</v>
      </c>
      <c r="AF17" s="30">
        <f>PERMIT_NZ!AF17</f>
        <v>0.42775686618757575</v>
      </c>
      <c r="AG17" s="30">
        <f>PERMIT_NZ!AG17</f>
        <v>0.39999999999999997</v>
      </c>
    </row>
    <row r="18" spans="1:33" x14ac:dyDescent="0.3">
      <c r="A18" s="1" t="s">
        <v>16</v>
      </c>
      <c r="B18" s="30">
        <f>PERMIT_NZ!B18</f>
        <v>1</v>
      </c>
      <c r="C18" s="30">
        <f>PERMIT_NZ!C18</f>
        <v>0.96880530280148291</v>
      </c>
      <c r="D18" s="30">
        <f>PERMIT_NZ!D18</f>
        <v>0.93761060560296583</v>
      </c>
      <c r="E18" s="30">
        <f>PERMIT_NZ!E18</f>
        <v>0.90641590840444874</v>
      </c>
      <c r="F18" s="30">
        <f>PERMIT_NZ!F18</f>
        <v>0.87522121120593166</v>
      </c>
      <c r="G18" s="30">
        <f>PERMIT_NZ!G18</f>
        <v>0.84402651400741457</v>
      </c>
      <c r="H18" s="30">
        <f>PERMIT_NZ!H18</f>
        <v>0.81283181680889749</v>
      </c>
      <c r="I18" s="30">
        <f>PERMIT_NZ!I18</f>
        <v>0.7816371196103804</v>
      </c>
      <c r="J18" s="30">
        <f>PERMIT_NZ!J18</f>
        <v>0.75044242241186332</v>
      </c>
      <c r="K18" s="30">
        <f>PERMIT_NZ!K18</f>
        <v>0.71924772521334623</v>
      </c>
      <c r="L18" s="30">
        <f>PERMIT_NZ!L18</f>
        <v>0.68805302801482915</v>
      </c>
      <c r="M18" s="30">
        <f>PERMIT_NZ!M18</f>
        <v>0.65685833081631206</v>
      </c>
      <c r="N18" s="30">
        <f>PERMIT_NZ!N18</f>
        <v>0.62811088203873566</v>
      </c>
      <c r="O18" s="30">
        <f>PERMIT_NZ!O18</f>
        <v>0.59936343326115926</v>
      </c>
      <c r="P18" s="30">
        <f>PERMIT_NZ!P18</f>
        <v>0.57061598448358286</v>
      </c>
      <c r="Q18" s="30">
        <f>PERMIT_NZ!Q18</f>
        <v>0.54186853570600646</v>
      </c>
      <c r="R18" s="30">
        <f>PERMIT_NZ!R18</f>
        <v>0.51312108692843006</v>
      </c>
      <c r="S18" s="30">
        <f>PERMIT_NZ!S18</f>
        <v>0.4843736381508536</v>
      </c>
      <c r="T18" s="30">
        <f>PERMIT_NZ!T18</f>
        <v>0.45562618937327715</v>
      </c>
      <c r="U18" s="30">
        <f>PERMIT_NZ!U18</f>
        <v>0.42687874059570069</v>
      </c>
      <c r="V18" s="30">
        <f>PERMIT_NZ!V18</f>
        <v>0.39813129181812423</v>
      </c>
      <c r="W18" s="30">
        <f>PERMIT_NZ!W18</f>
        <v>0.36938384304054761</v>
      </c>
      <c r="X18" s="30">
        <f>PERMIT_NZ!X18</f>
        <v>0.34063639426297115</v>
      </c>
      <c r="Y18" s="30">
        <f>PERMIT_NZ!Y18</f>
        <v>0.3118889454853947</v>
      </c>
      <c r="Z18" s="30">
        <f>PERMIT_NZ!Z18</f>
        <v>0.28314149670781824</v>
      </c>
      <c r="AA18" s="30">
        <f>PERMIT_NZ!AA18</f>
        <v>0.25439404793024178</v>
      </c>
      <c r="AB18" s="30">
        <f>PERMIT_NZ!AB18</f>
        <v>0.22564659915266533</v>
      </c>
      <c r="AC18" s="30">
        <f>PERMIT_NZ!AC18</f>
        <v>0.19689915037508887</v>
      </c>
      <c r="AD18" s="30">
        <f>PERMIT_NZ!AD18</f>
        <v>0.16815170159751242</v>
      </c>
      <c r="AE18" s="30">
        <f>PERMIT_NZ!AE18</f>
        <v>0.13940425281993596</v>
      </c>
      <c r="AF18" s="30">
        <f>PERMIT_NZ!AF18</f>
        <v>0.1106568040423595</v>
      </c>
      <c r="AG18" s="30">
        <f>PERMIT_NZ!AG18</f>
        <v>8.1909355264783101E-2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Baseyear</vt:lpstr>
      <vt:lpstr>GDP</vt:lpstr>
      <vt:lpstr>TOT_POP</vt:lpstr>
      <vt:lpstr>GDP_Projection</vt:lpstr>
      <vt:lpstr>TOT_POP_Projection</vt:lpstr>
      <vt:lpstr>Saving rate</vt:lpstr>
      <vt:lpstr>g_SDR</vt:lpstr>
      <vt:lpstr>AEEI_low</vt:lpstr>
      <vt:lpstr>AEEI_medium</vt:lpstr>
      <vt:lpstr>AEEI_high</vt:lpstr>
      <vt:lpstr>PERMIT_NDC_old</vt:lpstr>
      <vt:lpstr>PERMIT_NZ</vt:lpstr>
      <vt:lpstr>PERMIT_NEA_NZ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김진태</cp:lastModifiedBy>
  <dcterms:created xsi:type="dcterms:W3CDTF">2023-10-04T23:56:50Z</dcterms:created>
  <dcterms:modified xsi:type="dcterms:W3CDTF">2025-09-16T08:33:33Z</dcterms:modified>
</cp:coreProperties>
</file>