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7. IEA WEB\"/>
    </mc:Choice>
  </mc:AlternateContent>
  <xr:revisionPtr revIDLastSave="0" documentId="13_ncr:1_{E70F6DD6-DDAB-45D4-BE4D-7EFAFE74DFA7}" xr6:coauthVersionLast="36" xr6:coauthVersionMax="36" xr10:uidLastSave="{00000000-0000-0000-0000-000000000000}"/>
  <bookViews>
    <workbookView xWindow="0" yWindow="0" windowWidth="17256" windowHeight="5556" xr2:uid="{A97BEB2F-358D-4F94-830D-1D2358E8E0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K2" i="1" l="1"/>
  <c r="K3" i="1"/>
  <c r="K4" i="1"/>
  <c r="K5" i="1"/>
  <c r="K6" i="1"/>
  <c r="L6" i="1" s="1"/>
  <c r="K7" i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K15" i="1"/>
  <c r="K16" i="1"/>
  <c r="K17" i="1"/>
  <c r="K18" i="1"/>
  <c r="L18" i="1" s="1"/>
  <c r="K19" i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K27" i="1"/>
  <c r="K28" i="1"/>
  <c r="K29" i="1"/>
  <c r="K30" i="1"/>
  <c r="L30" i="1" s="1"/>
  <c r="K31" i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K39" i="1"/>
  <c r="K40" i="1"/>
  <c r="K41" i="1"/>
  <c r="K42" i="1"/>
  <c r="L42" i="1" s="1"/>
  <c r="K43" i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K51" i="1"/>
  <c r="K52" i="1"/>
  <c r="K53" i="1"/>
  <c r="K54" i="1"/>
  <c r="L54" i="1" s="1"/>
  <c r="K55" i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K63" i="1"/>
  <c r="K64" i="1"/>
  <c r="K65" i="1"/>
  <c r="L65" i="1" s="1"/>
  <c r="K66" i="1"/>
  <c r="L66" i="1" s="1"/>
  <c r="K67" i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K100" i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C2" i="1"/>
  <c r="D2" i="1" s="1"/>
  <c r="C3" i="1"/>
  <c r="C4" i="1"/>
  <c r="C5" i="1"/>
  <c r="C6" i="1"/>
  <c r="C7" i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C16" i="1"/>
  <c r="C17" i="1"/>
  <c r="D17" i="1" s="1"/>
  <c r="C18" i="1"/>
  <c r="D18" i="1" s="1"/>
  <c r="C19" i="1"/>
  <c r="D19" i="1" s="1"/>
  <c r="D20" i="1"/>
  <c r="D21" i="1"/>
  <c r="D22" i="1"/>
  <c r="D23" i="1"/>
  <c r="D24" i="1"/>
  <c r="D25" i="1"/>
  <c r="D26" i="1"/>
  <c r="D32" i="1"/>
  <c r="D33" i="1"/>
  <c r="D34" i="1"/>
  <c r="D35" i="1"/>
  <c r="D36" i="1"/>
  <c r="D37" i="1"/>
  <c r="D38" i="1"/>
  <c r="D44" i="1"/>
  <c r="D45" i="1"/>
  <c r="D46" i="1"/>
  <c r="D47" i="1"/>
  <c r="D48" i="1"/>
  <c r="D49" i="1"/>
  <c r="D50" i="1"/>
  <c r="D55" i="1"/>
  <c r="D56" i="1"/>
  <c r="D57" i="1"/>
  <c r="D58" i="1"/>
  <c r="D59" i="1"/>
  <c r="D60" i="1"/>
  <c r="D61" i="1"/>
  <c r="D62" i="1"/>
  <c r="D68" i="1"/>
  <c r="K1" i="1"/>
  <c r="L1" i="1" s="1"/>
  <c r="C1" i="1"/>
  <c r="L2" i="1"/>
  <c r="L3" i="1"/>
  <c r="L4" i="1"/>
  <c r="L5" i="1"/>
  <c r="L7" i="1"/>
  <c r="L14" i="1"/>
  <c r="L15" i="1"/>
  <c r="L16" i="1"/>
  <c r="L17" i="1"/>
  <c r="L19" i="1"/>
  <c r="L26" i="1"/>
  <c r="L27" i="1"/>
  <c r="L28" i="1"/>
  <c r="L29" i="1"/>
  <c r="L31" i="1"/>
  <c r="L38" i="1"/>
  <c r="L39" i="1"/>
  <c r="L40" i="1"/>
  <c r="L41" i="1"/>
  <c r="L43" i="1"/>
  <c r="L50" i="1"/>
  <c r="L51" i="1"/>
  <c r="L52" i="1"/>
  <c r="L53" i="1"/>
  <c r="L55" i="1"/>
  <c r="L62" i="1"/>
  <c r="L63" i="1"/>
  <c r="L64" i="1"/>
  <c r="L67" i="1"/>
  <c r="L74" i="1"/>
  <c r="L99" i="1"/>
  <c r="L100" i="1"/>
  <c r="D3" i="1"/>
  <c r="D4" i="1"/>
  <c r="D5" i="1"/>
  <c r="D6" i="1"/>
  <c r="D7" i="1"/>
  <c r="D15" i="1"/>
  <c r="D16" i="1"/>
  <c r="D27" i="1"/>
  <c r="D28" i="1"/>
  <c r="D29" i="1"/>
  <c r="D30" i="1"/>
  <c r="D31" i="1"/>
  <c r="D39" i="1"/>
  <c r="D40" i="1"/>
  <c r="D41" i="1"/>
  <c r="D42" i="1"/>
  <c r="D43" i="1"/>
  <c r="D51" i="1"/>
  <c r="D52" i="1"/>
  <c r="D53" i="1"/>
  <c r="D54" i="1"/>
  <c r="D63" i="1"/>
  <c r="D64" i="1"/>
  <c r="D65" i="1"/>
  <c r="D66" i="1"/>
  <c r="D67" i="1"/>
  <c r="D1" i="1"/>
</calcChain>
</file>

<file path=xl/sharedStrings.xml><?xml version="1.0" encoding="utf-8"?>
<sst xmlns="http://schemas.openxmlformats.org/spreadsheetml/2006/main" count="528" uniqueCount="527">
  <si>
    <t>HARDCOAL</t>
  </si>
  <si>
    <t>BROWN</t>
  </si>
  <si>
    <t>ANTCOAL</t>
  </si>
  <si>
    <t>COKCOAL</t>
  </si>
  <si>
    <t>BITCOAL</t>
  </si>
  <si>
    <t>SUBCOAL</t>
  </si>
  <si>
    <t>LIGNITE</t>
  </si>
  <si>
    <t>PATFUEL</t>
  </si>
  <si>
    <t>OVENCOKE</t>
  </si>
  <si>
    <t>GASCOKE</t>
  </si>
  <si>
    <t>COALTAR</t>
  </si>
  <si>
    <t>BKB</t>
  </si>
  <si>
    <t>GASWKSGS</t>
  </si>
  <si>
    <t>COKEOVGS</t>
  </si>
  <si>
    <t>BLFURGS</t>
  </si>
  <si>
    <t>OGASES</t>
  </si>
  <si>
    <t>PEAT</t>
  </si>
  <si>
    <t>PEATPROD</t>
  </si>
  <si>
    <t>OILSHALE</t>
  </si>
  <si>
    <t>MANGAS</t>
  </si>
  <si>
    <t>INDWASTE</t>
  </si>
  <si>
    <t>MUNWASTER</t>
  </si>
  <si>
    <t>MUNWASTEN</t>
  </si>
  <si>
    <t>PRIMSBIO</t>
  </si>
  <si>
    <t>BIOGASES</t>
  </si>
  <si>
    <t>BIOGASOL</t>
  </si>
  <si>
    <t>BIOJETKERO</t>
  </si>
  <si>
    <t>BIODIESEL</t>
  </si>
  <si>
    <t>OBIOLIQ</t>
  </si>
  <si>
    <t>RENEWNS</t>
  </si>
  <si>
    <t>CHARCOAL</t>
  </si>
  <si>
    <t>NATGAS</t>
  </si>
  <si>
    <t>CRNGFEED</t>
  </si>
  <si>
    <t>CRUDEOIL</t>
  </si>
  <si>
    <t>NGL</t>
  </si>
  <si>
    <t>REFFEEDS</t>
  </si>
  <si>
    <t>ADDITIVE</t>
  </si>
  <si>
    <t>NONCRUDE</t>
  </si>
  <si>
    <t>REFINGAS</t>
  </si>
  <si>
    <t>ETHANE</t>
  </si>
  <si>
    <t>LPG</t>
  </si>
  <si>
    <t>NONBIOGASO</t>
  </si>
  <si>
    <t>AVGAS</t>
  </si>
  <si>
    <t>JETGAS</t>
  </si>
  <si>
    <t>NONBIOJETK</t>
  </si>
  <si>
    <t>OTHKERO</t>
  </si>
  <si>
    <t>NONBIODIES</t>
  </si>
  <si>
    <t>RESFUEL</t>
  </si>
  <si>
    <t>NAPHTHA</t>
  </si>
  <si>
    <t>WHITESP</t>
  </si>
  <si>
    <t>LUBRIC</t>
  </si>
  <si>
    <t>BITUMEN</t>
  </si>
  <si>
    <t>PARWAX</t>
  </si>
  <si>
    <t>PETCOKE</t>
  </si>
  <si>
    <t>ONONSPEC</t>
  </si>
  <si>
    <t>HEATNS</t>
  </si>
  <si>
    <t>NUCLEAR</t>
  </si>
  <si>
    <t>HYDRO</t>
  </si>
  <si>
    <t>GEOTHERM</t>
  </si>
  <si>
    <t>SOLARPV</t>
  </si>
  <si>
    <t>SOLARTH</t>
  </si>
  <si>
    <t>TIDE</t>
  </si>
  <si>
    <t>WIND</t>
  </si>
  <si>
    <t>OTHER</t>
  </si>
  <si>
    <t>ELECTR</t>
  </si>
  <si>
    <t>HEAT</t>
  </si>
  <si>
    <t>TOTAL</t>
  </si>
  <si>
    <t>MRENEW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</si>
  <si>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</si>
  <si>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</si>
  <si>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</si>
  <si>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</si>
  <si>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</si>
  <si>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</si>
  <si>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</si>
  <si>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</si>
  <si>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</si>
  <si>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</si>
  <si>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</si>
  <si>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</si>
  <si>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</si>
  <si>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</si>
  <si>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</si>
  <si>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</si>
  <si>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</si>
  <si>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</si>
  <si>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</si>
  <si>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</si>
  <si>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</si>
  <si>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</si>
  <si>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</si>
  <si>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</si>
  <si>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</si>
  <si>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</si>
  <si>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</si>
  <si>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</si>
  <si>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</si>
  <si>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</si>
  <si>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</si>
  <si>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</si>
  <si>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</si>
  <si>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</si>
  <si>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</si>
  <si>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</si>
  <si>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</si>
  <si>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</si>
  <si>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</si>
  <si>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</si>
  <si>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</si>
  <si>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</si>
  <si>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</si>
  <si>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</si>
  <si>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</si>
  <si>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</si>
  <si>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</si>
  <si>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</si>
  <si>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</si>
  <si>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</si>
  <si>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</si>
  <si>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</si>
  <si>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</si>
  <si>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</si>
  <si>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</si>
  <si>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</si>
  <si>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</si>
  <si>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</si>
  <si>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</si>
  <si>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</si>
  <si>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</si>
  <si>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</si>
  <si>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</si>
  <si>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</si>
  <si>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</si>
  <si>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</si>
  <si>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</si>
  <si>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</si>
  <si>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INDPROD</t>
  </si>
  <si>
    <t>IMPORTS</t>
  </si>
  <si>
    <t>EXPORTS</t>
  </si>
  <si>
    <t>MARBUNK</t>
  </si>
  <si>
    <t>AVBUNK</t>
  </si>
  <si>
    <t>STOCKCHA</t>
  </si>
  <si>
    <t>TES</t>
  </si>
  <si>
    <t>TRANSFER</t>
  </si>
  <si>
    <t>STATDIFF</t>
  </si>
  <si>
    <t>TOTTRANF</t>
  </si>
  <si>
    <t>MAINELEC</t>
  </si>
  <si>
    <t>AUTOELEC</t>
  </si>
  <si>
    <t>MAINCHP</t>
  </si>
  <si>
    <t>AUTOCHP</t>
  </si>
  <si>
    <t>MAINHEAT</t>
  </si>
  <si>
    <t>AUTOHEAT</t>
  </si>
  <si>
    <t>THEAT</t>
  </si>
  <si>
    <t>TBOILER</t>
  </si>
  <si>
    <t>TELE</t>
  </si>
  <si>
    <t>TPATFUEL</t>
  </si>
  <si>
    <t>TCOKEOVS</t>
  </si>
  <si>
    <t>TGASWKS</t>
  </si>
  <si>
    <t>TBLASTFUR</t>
  </si>
  <si>
    <t>TPETCHEM</t>
  </si>
  <si>
    <t>TBKB</t>
  </si>
  <si>
    <t>TREFINER</t>
  </si>
  <si>
    <t>TCOALLIQ</t>
  </si>
  <si>
    <t>TGTL</t>
  </si>
  <si>
    <t>TBLENDGAS</t>
  </si>
  <si>
    <t>TCHARCOAL</t>
  </si>
  <si>
    <t>TNONSPEC</t>
  </si>
  <si>
    <t>TOTENGY</t>
  </si>
  <si>
    <t>EMINES</t>
  </si>
  <si>
    <t>EOILGASEX</t>
  </si>
  <si>
    <t>EPATFUEL</t>
  </si>
  <si>
    <t>ECOKEOVS</t>
  </si>
  <si>
    <t>EGASWKS</t>
  </si>
  <si>
    <t>EBIOGAS</t>
  </si>
  <si>
    <t>EBLASTFUR</t>
  </si>
  <si>
    <t>EBKB</t>
  </si>
  <si>
    <t>EREFINER</t>
  </si>
  <si>
    <t>ECOALLIQ</t>
  </si>
  <si>
    <t>ELNG</t>
  </si>
  <si>
    <t>EGTL</t>
  </si>
  <si>
    <t>EPOWERPLT</t>
  </si>
  <si>
    <t>EPUMPST</t>
  </si>
  <si>
    <t>ENUC</t>
  </si>
  <si>
    <t>ECHARCOAL</t>
  </si>
  <si>
    <t>ENONSPEC</t>
  </si>
  <si>
    <t>DISTLOSS</t>
  </si>
  <si>
    <t>TFC</t>
  </si>
  <si>
    <t>TOTIND</t>
  </si>
  <si>
    <t>IRONSTL</t>
  </si>
  <si>
    <t>CHEMICAL</t>
  </si>
  <si>
    <t>NONFERR</t>
  </si>
  <si>
    <t>NONMET</t>
  </si>
  <si>
    <t>MACHINE</t>
  </si>
  <si>
    <t>MINING</t>
  </si>
  <si>
    <t>FOODPRO</t>
  </si>
  <si>
    <t>PAPERPRO</t>
  </si>
  <si>
    <t>WOODPRO</t>
  </si>
  <si>
    <t>CONSTRUC</t>
  </si>
  <si>
    <t>TEXTILES</t>
  </si>
  <si>
    <t>TOTTRANS</t>
  </si>
  <si>
    <t>ROAD</t>
  </si>
  <si>
    <t>WORLDAV</t>
  </si>
  <si>
    <t>DOMESAIR</t>
  </si>
  <si>
    <t>RAIL</t>
  </si>
  <si>
    <t>PIPELINE</t>
  </si>
  <si>
    <t>WORLDMAR</t>
  </si>
  <si>
    <t>DOMESNAV</t>
  </si>
  <si>
    <t>TRNONSPE</t>
  </si>
  <si>
    <t>RESIDENT</t>
  </si>
  <si>
    <t>COMMPUB</t>
  </si>
  <si>
    <t>NONENUSE</t>
  </si>
  <si>
    <t>NEINTREN</t>
  </si>
  <si>
    <t>NETRANS</t>
  </si>
  <si>
    <t>NEOTHER</t>
  </si>
  <si>
    <t>NEIND</t>
  </si>
  <si>
    <t>NEIRONSTL</t>
  </si>
  <si>
    <t>NECHEM</t>
  </si>
  <si>
    <t>NENONFERR</t>
  </si>
  <si>
    <t>NENONMET</t>
  </si>
  <si>
    <t>NETRANSEQ</t>
  </si>
  <si>
    <t>NEMACHINE</t>
  </si>
  <si>
    <t>NEMINING</t>
  </si>
  <si>
    <t>NEFOODPRO</t>
  </si>
  <si>
    <t>NEPAPERPRO</t>
  </si>
  <si>
    <t>NEWOODPRO</t>
  </si>
  <si>
    <t>NECONSTRUC</t>
  </si>
  <si>
    <t>NETEXTILES</t>
  </si>
  <si>
    <t>NEINONSPEC</t>
  </si>
  <si>
    <t>ELOUTPUT</t>
  </si>
  <si>
    <t>ELMAINE</t>
  </si>
  <si>
    <t>ELAUTOE</t>
  </si>
  <si>
    <t>ELMAINC</t>
  </si>
  <si>
    <t>ELAUTOC</t>
  </si>
  <si>
    <t>HEMAINC</t>
  </si>
  <si>
    <t>HEAUTOC</t>
  </si>
  <si>
    <t>HEMAINH</t>
  </si>
  <si>
    <t>HEAUTOH</t>
  </si>
  <si>
    <t>HEATOUT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</si>
  <si>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</si>
  <si>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</si>
  <si>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</si>
  <si>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</si>
  <si>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</si>
  <si>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</si>
  <si>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</si>
  <si>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</si>
  <si>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</si>
  <si>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</si>
  <si>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</si>
  <si>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</si>
  <si>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</si>
  <si>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</si>
  <si>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</si>
  <si>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</si>
  <si>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</si>
  <si>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</si>
  <si>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</si>
  <si>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</si>
  <si>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</si>
  <si>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</si>
  <si>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</si>
  <si>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</si>
  <si>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</si>
  <si>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</si>
  <si>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</si>
  <si>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</si>
  <si>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</si>
  <si>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</si>
  <si>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</si>
  <si>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</si>
  <si>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</si>
  <si>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</si>
  <si>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</si>
  <si>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</si>
  <si>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</si>
  <si>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</si>
  <si>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</si>
  <si>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</si>
  <si>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</si>
  <si>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</si>
  <si>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</si>
  <si>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</si>
  <si>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</si>
  <si>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</si>
  <si>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</si>
  <si>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</si>
  <si>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</si>
  <si>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</si>
  <si>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</si>
  <si>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</si>
  <si>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</si>
  <si>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</si>
  <si>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</si>
  <si>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</si>
  <si>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</si>
  <si>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</si>
  <si>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</si>
  <si>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</si>
  <si>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</si>
  <si>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</si>
  <si>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</si>
  <si>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</si>
  <si>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</si>
  <si>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</si>
  <si>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</si>
  <si>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</si>
  <si>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</si>
  <si>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</si>
  <si>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</si>
  <si>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</si>
  <si>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</si>
  <si>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</si>
  <si>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</si>
  <si>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</si>
  <si>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</si>
  <si>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</si>
  <si>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</si>
  <si>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</si>
  <si>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</si>
  <si>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</si>
  <si>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</si>
  <si>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</si>
  <si>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</si>
  <si>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</si>
  <si>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</si>
  <si>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</si>
  <si>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</si>
  <si>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</si>
  <si>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</si>
  <si>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</si>
  <si>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</si>
  <si>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</si>
  <si>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</si>
  <si>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</si>
  <si>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</si>
  <si>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</si>
  <si>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</si>
  <si>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</si>
  <si>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</si>
  <si>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</si>
  <si>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</si>
  <si>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</si>
  <si>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</si>
  <si>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</si>
  <si>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</si>
  <si>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</si>
  <si>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f1_INDPROD Production</t>
  </si>
  <si>
    <t>f2_IMPORTS Imports</t>
  </si>
  <si>
    <t>f3_EXPORTS Exports</t>
  </si>
  <si>
    <t>f4_MARBUNK International marine bunkers</t>
  </si>
  <si>
    <t>f5_AVBUNK International aviation bunkers</t>
  </si>
  <si>
    <t>f6_STOCKCHA Stock changes</t>
  </si>
  <si>
    <t>f7_TES Total energy supply</t>
  </si>
  <si>
    <t>f8_TRANSFER Transfers</t>
  </si>
  <si>
    <t>f9_STATDIFF Statistical differences</t>
  </si>
  <si>
    <t>f10_TOTTRANF Transformation process</t>
  </si>
  <si>
    <t>f11_MAINELEC Main activity producer electricity plants</t>
  </si>
  <si>
    <t>f12_AUTOELEC Autoproducer electricity plants</t>
  </si>
  <si>
    <t>f13_MAINCHP Main activity producer CHP plants</t>
  </si>
  <si>
    <t>f14_AUTOCHP Autoproducer CHP plants</t>
  </si>
  <si>
    <t>f15_MAINHEAT Main activity producer heat plants</t>
  </si>
  <si>
    <t>f16_AUTOHEAT Autoproducer heat plants</t>
  </si>
  <si>
    <t>f17_THEAT Heat pumps</t>
  </si>
  <si>
    <t>f19_TBOILER Electric boilers</t>
  </si>
  <si>
    <t>f18_TELE Chemical heat for electricity production</t>
  </si>
  <si>
    <t>f20_TBLASTFUR Blast furances</t>
  </si>
  <si>
    <t>f21_TGASWKS Gas works</t>
  </si>
  <si>
    <t>f22_TCOKEOVS Coke ovens</t>
  </si>
  <si>
    <t>f23_TPATFUEL Patent fuel plants</t>
  </si>
  <si>
    <t>f24_TBKB BKB peat briquettes</t>
  </si>
  <si>
    <t>f25_TREFINER Oil refineries</t>
  </si>
  <si>
    <t>f26_TPETCHEM Petrochemical plants</t>
  </si>
  <si>
    <t>f27_TCOALLIQ Coal liquefaction</t>
  </si>
  <si>
    <t>f28_TGTL Gas-to-liquids plants</t>
  </si>
  <si>
    <t>f29_TBLENDGAS For blened natural gas</t>
  </si>
  <si>
    <t>f30_TCHARCOAL Charocal production plants</t>
  </si>
  <si>
    <t>f31_TNONSPEC Non-specific transformation</t>
  </si>
  <si>
    <t>f32_TOTENGY Energy industry own use</t>
  </si>
  <si>
    <t>f33_EMINES Coal mines</t>
  </si>
  <si>
    <t>f34_EOILGASEX Oil and gas extraction</t>
  </si>
  <si>
    <t>f35_EBLASTFUR Blast furances</t>
  </si>
  <si>
    <t>f36_EGASWKS Gas works</t>
  </si>
  <si>
    <t>f37_EBIOGAS Gasfication plants for biogases</t>
  </si>
  <si>
    <t>f38_ECOKEOVS Coke ovens</t>
  </si>
  <si>
    <t>f39_EPATFUEL Patent fuel plants</t>
  </si>
  <si>
    <t>f40_EBKB BKB peat briquettes</t>
  </si>
  <si>
    <t>f41_EREFINER Oil refineries</t>
  </si>
  <si>
    <t>f42_ECOALLIQ Coal liquefaction plants</t>
  </si>
  <si>
    <t>f43_ELNG Liqefaction regasification plants</t>
  </si>
  <si>
    <t>f44_EGTL Gas to liquids plants</t>
  </si>
  <si>
    <t>f45_EPOWERPLT Own use in electricity CHP and heat plants</t>
  </si>
  <si>
    <t>f46_EPUMPST Pumped storage plants</t>
  </si>
  <si>
    <t>f47_ENUC Nuclear industry</t>
  </si>
  <si>
    <t>f48_ECHARCOAL Charcoal production plants</t>
  </si>
  <si>
    <t>f49_ENONSPEC Non specified</t>
  </si>
  <si>
    <t>f50_DISTLOSS Losses</t>
  </si>
  <si>
    <t>f51_TFC Total final consumption</t>
  </si>
  <si>
    <t>f52_AGRICULT Agriculture forestry</t>
  </si>
  <si>
    <t>f53_FISHING Fishing</t>
  </si>
  <si>
    <t>f54_MINING Mining and quarrying</t>
  </si>
  <si>
    <t>f55_FOODPRO Food and tobacco</t>
  </si>
  <si>
    <t>f56_TEXTILES Textile and leather</t>
  </si>
  <si>
    <t>f57_WOODPRO Wood and wood products</t>
  </si>
  <si>
    <t>f58_PAPERPRO Paper pulp and print</t>
  </si>
  <si>
    <t>f59_CHEMICAL Chemical and petrochemical</t>
  </si>
  <si>
    <t>f60_NONMET Non metallic minerals</t>
  </si>
  <si>
    <t>f61_IRONSTL Iron and steel</t>
  </si>
  <si>
    <t>f62_NONFERR Non ferrous metals</t>
  </si>
  <si>
    <t>f63_MACHINE Machinery</t>
  </si>
  <si>
    <t>f64_TRANSEQ Transport equipment</t>
  </si>
  <si>
    <t>f65_INONSPEC Industry not elsewhere specified</t>
  </si>
  <si>
    <t>f66_CONSTRUC Construction</t>
  </si>
  <si>
    <t>f67_COMMPUB Commerical and public services</t>
  </si>
  <si>
    <t>f68_ONONSPEC Final consumption not elsewhere specified</t>
  </si>
  <si>
    <t>f69_RESIDENT Residential</t>
  </si>
  <si>
    <t>f70_ROAD Road</t>
  </si>
  <si>
    <t>f71_RAIL Rail</t>
  </si>
  <si>
    <t>f72_DOMESAIR Domestic aviation</t>
  </si>
  <si>
    <t>f73_DOMESNAV Domestic navigation</t>
  </si>
  <si>
    <t>f74_PIPELINE Pipeline transport</t>
  </si>
  <si>
    <t>f75_TRNONSPE Transport not elsewhere</t>
  </si>
  <si>
    <t>f76_NEMINING Non energy use in mining and quarrying</t>
  </si>
  <si>
    <t>f77_NEFOODPRO Non energy use in food beverages tobacco</t>
  </si>
  <si>
    <t>f78_NETEXTILES Non energy use in textiles and leather</t>
  </si>
  <si>
    <t>f79_NEWOODPRO Non energy use in wood and wood products</t>
  </si>
  <si>
    <t>f80_NEPAPERPRO Non energy use in paper pulp and printing</t>
  </si>
  <si>
    <t>f81_NECHEM Non energy use in chemical petrochemical</t>
  </si>
  <si>
    <t>f82_NENONMET Non energy use in non metallic minerals</t>
  </si>
  <si>
    <t>f83_NEIRONSTL Non energy use in iron and steel</t>
  </si>
  <si>
    <t>f84_NENONFERR Non energy use in non ferrous metals</t>
  </si>
  <si>
    <t>f85_NEMACHINE Non energy use in machinery</t>
  </si>
  <si>
    <t>f86_NETRANSEQ Non energy use in transport equipment</t>
  </si>
  <si>
    <t>f87_NEINONSPEC Non energy use in non specified industry</t>
  </si>
  <si>
    <t>f88_NECONSTRUC Non energy use in construction</t>
  </si>
  <si>
    <t>f89_NEOTHER Non energy use in other residential commerical public services agriculture forestry and fishing</t>
  </si>
  <si>
    <t>f90_NETRANS Non energy use in transport</t>
  </si>
  <si>
    <t>f91_TOTIND Industry</t>
  </si>
  <si>
    <t>f92_MANUFACT Mnaufacturing</t>
  </si>
  <si>
    <t>f93_TOTTRANS Transport</t>
  </si>
  <si>
    <t>f94_NONENUSE Non energy use</t>
  </si>
  <si>
    <t>f95_NEINTREN Non energy use industry transformation energy</t>
  </si>
  <si>
    <t>f96_NEIND Non energy use in industry</t>
  </si>
  <si>
    <t>f97_WORLDAV World aviation bunkers</t>
  </si>
  <si>
    <t>f98_WORLDMAR World marine bunkers</t>
  </si>
  <si>
    <t>f99_ELOUTPUT Electrictiy output GWh</t>
  </si>
  <si>
    <t>f100_ELMAINE Electrictiy output GWh main activity producer electrictiy plants</t>
  </si>
  <si>
    <t>f101_ELAUTOE Electrictiy output GWh autoproducer electricity plants</t>
  </si>
  <si>
    <t>f102_ELMAINC Electrictiy output GWh main activty producer CHP plants</t>
  </si>
  <si>
    <t>f103_ELAUTOC Electrictiy output GWh autoproducer CHP plants</t>
  </si>
  <si>
    <t>f104_HEATOUT Heat output</t>
  </si>
  <si>
    <t>f105_HEMAINC Heat output main activity producer CHP plants</t>
  </si>
  <si>
    <t>f106_HEAUTOC Heat output autoproducer CHP plants</t>
  </si>
  <si>
    <t>f107_HEMAINH Heat output main activity producer heat plants</t>
  </si>
  <si>
    <t>f108_HEAUTOH Heat output autoproducer heat plants</t>
  </si>
  <si>
    <t xml:space="preserve">AGRICULT </t>
  </si>
  <si>
    <t xml:space="preserve">FISHING </t>
  </si>
  <si>
    <t xml:space="preserve">TRANSEQ </t>
  </si>
  <si>
    <t xml:space="preserve">INONSPEC </t>
  </si>
  <si>
    <t xml:space="preserve">MANUFACT </t>
  </si>
  <si>
    <t>p1_HARDCOAL      Hard coal</t>
  </si>
  <si>
    <t>p2_BROWN         Brown coal</t>
  </si>
  <si>
    <t>p3_ANTCOAL       Anthracite</t>
  </si>
  <si>
    <t>p4_COKCOAL       Coking coal</t>
  </si>
  <si>
    <t>p5_BITCOAL       Other bittuminous coal</t>
  </si>
  <si>
    <t>p6_SUBCOAL       Sub-bituminous coal</t>
  </si>
  <si>
    <t>p7_LIGNITE       Lignite</t>
  </si>
  <si>
    <t>p8_PATFUEL       Patent fuel</t>
  </si>
  <si>
    <t>p9_OVENCOKE      Coke oven coke</t>
  </si>
  <si>
    <t>p10_GASCOKE      Gas coke</t>
  </si>
  <si>
    <t>p11_COALTAR      Coal tar</t>
  </si>
  <si>
    <t>p12_BKB          Brown coal briquettes</t>
  </si>
  <si>
    <t>p13_GASWKSGS     Gas works gas</t>
  </si>
  <si>
    <t>p14_COKEOVGS     Coke oven gas</t>
  </si>
  <si>
    <t>p15_BLFURGS      Blast furnace gas</t>
  </si>
  <si>
    <t>p16_OGASES       Other recovered gases</t>
  </si>
  <si>
    <t>p17_PEAT         Peat</t>
  </si>
  <si>
    <t>p18_PEATPROD     Peat products</t>
  </si>
  <si>
    <t>p19_OILSHALE     Oil shale and oil sands</t>
  </si>
  <si>
    <t>p20_NATGAS       Natural gas</t>
  </si>
  <si>
    <t>p21_CRNGFEED     Crude NGL feedstock</t>
  </si>
  <si>
    <t>p22_CRUDEOIL     Curde oil</t>
  </si>
  <si>
    <t>p23_NGL          Natural gas liquids</t>
  </si>
  <si>
    <t>p24_REFFEEDS     Refinery feedstocks</t>
  </si>
  <si>
    <t>p25_ADDITIVE     Addtitives blending components</t>
  </si>
  <si>
    <t>p26_NONCRUDE     Other hydrocarbons</t>
  </si>
  <si>
    <t>p27_REFINGAS     Refinery gas</t>
  </si>
  <si>
    <t>p28_ETHANE       Ethane</t>
  </si>
  <si>
    <t>p29_LPG          Liquefied petroleum gases(LPG)</t>
  </si>
  <si>
    <t>p30_NONBIOGASO   Motor gasoline (excl. biofuels)</t>
  </si>
  <si>
    <t>p31_AVGAS        Aviation gasoline</t>
  </si>
  <si>
    <t>p32_JETGAS       Jet fuel Gasoline tpye</t>
  </si>
  <si>
    <t>p33_NONBIOJETK   Jet fuel Kerosene type (excl. biofuels)</t>
  </si>
  <si>
    <t>p34_OTHKERO      Kerosene</t>
  </si>
  <si>
    <t>p35_NONBIODIES   Diesel oil (excl. biofuels)</t>
  </si>
  <si>
    <t>p36_RESFUEL      Fuel oil</t>
  </si>
  <si>
    <t>p37_NAPHTHA      Naphtha</t>
  </si>
  <si>
    <t>p38_WHITESP      Solvent (White spirit and industrial sprit SBP)</t>
  </si>
  <si>
    <t>p39_LUBRIC       Lubricants</t>
  </si>
  <si>
    <t>p40_BITUMEN      Bitumen (Asphalt)</t>
  </si>
  <si>
    <t>p41_PARWAX       Paraffin waxes</t>
  </si>
  <si>
    <t>p42_PETCOKE      Petroleum coke</t>
  </si>
  <si>
    <t>p43_ONONSPEC     Other oil products</t>
  </si>
  <si>
    <t>p44_INDWASTE     Industrial waste</t>
  </si>
  <si>
    <t>p45_MUNWASTER    Municipal waste(renewable)</t>
  </si>
  <si>
    <t>p46_MUNWASTEN    Municipal waste(non-renewable)</t>
  </si>
  <si>
    <t>p47_PRIMSBIO     Primary solid biofuels</t>
  </si>
  <si>
    <t>p48_BIOGASES     Biogases</t>
  </si>
  <si>
    <t>p49_BIOGASOL     Biogasoline</t>
  </si>
  <si>
    <t>p50_BIODIESEL    Biodiesels</t>
  </si>
  <si>
    <t>p51_BIOJETKERO   Bio jet kerosene</t>
  </si>
  <si>
    <t>p52_OBIOLIQ      Other liquid biofuels</t>
  </si>
  <si>
    <t>p53_RENEWNS      Non-specified primary biofuels and waste</t>
  </si>
  <si>
    <t>p54_CHARCOAL     Charcoal</t>
  </si>
  <si>
    <t>p55_NUCLEAR      Nuclear</t>
  </si>
  <si>
    <t>p56_HYDRO        Hydro</t>
  </si>
  <si>
    <t>p57_GEOTHERM     Geothermal</t>
  </si>
  <si>
    <t>p58_SOLARPV      Solar photovaltaics</t>
  </si>
  <si>
    <t>p59_SOLARTH      Solar thermal</t>
  </si>
  <si>
    <t>p60_TIDE         Tide wave and ocean</t>
  </si>
  <si>
    <t>p61_WIND         Wind</t>
  </si>
  <si>
    <t>p62_OTHER        Other sources includes production not included elsewhere such as fuel cells</t>
  </si>
  <si>
    <t>p63_ELECTR       Electricity</t>
  </si>
  <si>
    <t>p64_HEAT         Heat</t>
  </si>
  <si>
    <t>p65_HEATNS       Heat output from non-specified combustible fuels</t>
  </si>
  <si>
    <t>p66_TOTAL        Total</t>
  </si>
  <si>
    <t>p67_MANGAS       Elec heat output from non-specified manufactured gases</t>
  </si>
  <si>
    <t>p68_MRENEW       Memo 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</si>
</sst>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2AB8-7F7A-4650-951C-1E2F85A6A76E}">
  <dimension ref="A1:O108"/>
  <sheetViews>
    <sheetView tabSelected="1" topLeftCell="A19" zoomScale="70" zoomScaleNormal="70" workbookViewId="0">
      <selection activeCell="C19" sqref="C19"/>
    </sheetView>
  </sheetViews>
  <sheetFormatPr defaultRowHeight="14.4" x14ac:dyDescent="0.3"/>
  <cols>
    <col min="1" max="1" width="14.44140625" style="1" bestFit="1" customWidth="1"/>
    <col min="3" max="3" width="16.44140625" bestFit="1" customWidth="1"/>
    <col min="4" max="4" width="18.88671875" bestFit="1" customWidth="1"/>
    <col min="5" max="5" width="17.88671875" customWidth="1"/>
    <col min="6" max="6" width="83.88671875" bestFit="1" customWidth="1"/>
    <col min="7" max="7" width="17.88671875" customWidth="1"/>
    <col min="8" max="8" width="10.77734375" bestFit="1" customWidth="1"/>
    <col min="9" max="9" width="13" bestFit="1" customWidth="1"/>
    <col min="10" max="10" width="5" bestFit="1" customWidth="1"/>
    <col min="11" max="11" width="16" bestFit="1" customWidth="1"/>
    <col min="12" max="12" width="17.44140625" bestFit="1" customWidth="1"/>
    <col min="15" max="15" width="99" bestFit="1" customWidth="1"/>
  </cols>
  <sheetData>
    <row r="1" spans="1:15" x14ac:dyDescent="0.3">
      <c r="A1" s="2" t="s">
        <v>0</v>
      </c>
      <c r="B1" s="3" t="s">
        <v>68</v>
      </c>
      <c r="C1" s="3" t="str">
        <f>B1&amp;"_"&amp;A1</f>
        <v>p1_HARDCOAL</v>
      </c>
      <c r="D1" s="3" t="str">
        <f>"'"&amp;C1&amp;"'"&amp;","</f>
        <v>'p1_HARDCOAL',</v>
      </c>
      <c r="E1" s="3"/>
      <c r="F1" s="3" t="s">
        <v>459</v>
      </c>
      <c r="I1" t="s">
        <v>136</v>
      </c>
      <c r="J1" t="s">
        <v>238</v>
      </c>
      <c r="K1" t="str">
        <f>J1&amp;"_"&amp;I1</f>
        <v>f1_INDPROD</v>
      </c>
      <c r="L1" t="str">
        <f>"'"&amp;K1&amp;"'"&amp;","</f>
        <v>'f1_INDPROD',</v>
      </c>
      <c r="O1" t="s">
        <v>346</v>
      </c>
    </row>
    <row r="2" spans="1:15" x14ac:dyDescent="0.3">
      <c r="A2" s="2" t="s">
        <v>1</v>
      </c>
      <c r="B2" s="3" t="s">
        <v>69</v>
      </c>
      <c r="C2" s="3" t="str">
        <f t="shared" ref="C2:C65" si="0">B2&amp;"_"&amp;A2</f>
        <v>p2_BROWN</v>
      </c>
      <c r="D2" s="3" t="str">
        <f t="shared" ref="D2:D65" si="1">"'"&amp;C2&amp;"'"&amp;","</f>
        <v>'p2_BROWN',</v>
      </c>
      <c r="E2" s="3"/>
      <c r="F2" s="3" t="s">
        <v>460</v>
      </c>
      <c r="I2" t="s">
        <v>137</v>
      </c>
      <c r="J2" t="s">
        <v>239</v>
      </c>
      <c r="K2" t="str">
        <f t="shared" ref="K2:K65" si="2">J2&amp;"_"&amp;I2</f>
        <v>f2_IMPORTS</v>
      </c>
      <c r="L2" t="str">
        <f t="shared" ref="L2:L65" si="3">"'"&amp;K2&amp;"'"&amp;","</f>
        <v>'f2_IMPORTS',</v>
      </c>
      <c r="O2" t="s">
        <v>347</v>
      </c>
    </row>
    <row r="3" spans="1:15" x14ac:dyDescent="0.3">
      <c r="A3" s="2" t="s">
        <v>2</v>
      </c>
      <c r="B3" s="3" t="s">
        <v>70</v>
      </c>
      <c r="C3" s="3" t="str">
        <f t="shared" si="0"/>
        <v>p3_ANTCOAL</v>
      </c>
      <c r="D3" s="3" t="str">
        <f t="shared" si="1"/>
        <v>'p3_ANTCOAL',</v>
      </c>
      <c r="E3" s="3"/>
      <c r="F3" s="3" t="s">
        <v>461</v>
      </c>
      <c r="I3" t="s">
        <v>138</v>
      </c>
      <c r="J3" t="s">
        <v>240</v>
      </c>
      <c r="K3" t="str">
        <f t="shared" si="2"/>
        <v>f3_EXPORTS</v>
      </c>
      <c r="L3" t="str">
        <f t="shared" si="3"/>
        <v>'f3_EXPORTS',</v>
      </c>
      <c r="O3" t="s">
        <v>348</v>
      </c>
    </row>
    <row r="4" spans="1:15" x14ac:dyDescent="0.3">
      <c r="A4" s="2" t="s">
        <v>3</v>
      </c>
      <c r="B4" s="3" t="s">
        <v>71</v>
      </c>
      <c r="C4" s="3" t="str">
        <f t="shared" si="0"/>
        <v>p4_COKCOAL</v>
      </c>
      <c r="D4" s="3" t="str">
        <f t="shared" si="1"/>
        <v>'p4_COKCOAL',</v>
      </c>
      <c r="E4" s="3"/>
      <c r="F4" s="3" t="s">
        <v>462</v>
      </c>
      <c r="I4" t="s">
        <v>139</v>
      </c>
      <c r="J4" t="s">
        <v>241</v>
      </c>
      <c r="K4" t="str">
        <f t="shared" si="2"/>
        <v>f4_MARBUNK</v>
      </c>
      <c r="L4" t="str">
        <f t="shared" si="3"/>
        <v>'f4_MARBUNK',</v>
      </c>
      <c r="O4" t="s">
        <v>349</v>
      </c>
    </row>
    <row r="5" spans="1:15" x14ac:dyDescent="0.3">
      <c r="A5" s="2" t="s">
        <v>4</v>
      </c>
      <c r="B5" s="3" t="s">
        <v>72</v>
      </c>
      <c r="C5" s="3" t="str">
        <f t="shared" si="0"/>
        <v>p5_BITCOAL</v>
      </c>
      <c r="D5" s="3" t="str">
        <f t="shared" si="1"/>
        <v>'p5_BITCOAL',</v>
      </c>
      <c r="E5" s="3"/>
      <c r="F5" s="3" t="s">
        <v>463</v>
      </c>
      <c r="I5" t="s">
        <v>140</v>
      </c>
      <c r="J5" t="s">
        <v>242</v>
      </c>
      <c r="K5" t="str">
        <f t="shared" si="2"/>
        <v>f5_AVBUNK</v>
      </c>
      <c r="L5" t="str">
        <f t="shared" si="3"/>
        <v>'f5_AVBUNK',</v>
      </c>
      <c r="O5" t="s">
        <v>350</v>
      </c>
    </row>
    <row r="6" spans="1:15" x14ac:dyDescent="0.3">
      <c r="A6" s="2" t="s">
        <v>5</v>
      </c>
      <c r="B6" s="3" t="s">
        <v>73</v>
      </c>
      <c r="C6" s="3" t="str">
        <f t="shared" si="0"/>
        <v>p6_SUBCOAL</v>
      </c>
      <c r="D6" s="3" t="str">
        <f t="shared" si="1"/>
        <v>'p6_SUBCOAL',</v>
      </c>
      <c r="E6" s="3"/>
      <c r="F6" s="3" t="s">
        <v>464</v>
      </c>
      <c r="I6" t="s">
        <v>141</v>
      </c>
      <c r="J6" t="s">
        <v>243</v>
      </c>
      <c r="K6" t="str">
        <f t="shared" si="2"/>
        <v>f6_STOCKCHA</v>
      </c>
      <c r="L6" t="str">
        <f t="shared" si="3"/>
        <v>'f6_STOCKCHA',</v>
      </c>
      <c r="O6" t="s">
        <v>351</v>
      </c>
    </row>
    <row r="7" spans="1:15" x14ac:dyDescent="0.3">
      <c r="A7" s="2" t="s">
        <v>6</v>
      </c>
      <c r="B7" s="3" t="s">
        <v>74</v>
      </c>
      <c r="C7" s="3" t="str">
        <f t="shared" si="0"/>
        <v>p7_LIGNITE</v>
      </c>
      <c r="D7" s="3" t="str">
        <f t="shared" si="1"/>
        <v>'p7_LIGNITE',</v>
      </c>
      <c r="E7" s="3"/>
      <c r="F7" s="3" t="s">
        <v>465</v>
      </c>
      <c r="I7" t="s">
        <v>142</v>
      </c>
      <c r="J7" t="s">
        <v>244</v>
      </c>
      <c r="K7" t="str">
        <f t="shared" si="2"/>
        <v>f7_TES</v>
      </c>
      <c r="L7" t="str">
        <f t="shared" si="3"/>
        <v>'f7_TES',</v>
      </c>
      <c r="O7" t="s">
        <v>352</v>
      </c>
    </row>
    <row r="8" spans="1:15" x14ac:dyDescent="0.3">
      <c r="A8" s="2" t="s">
        <v>7</v>
      </c>
      <c r="B8" s="3" t="s">
        <v>75</v>
      </c>
      <c r="C8" s="3" t="str">
        <f t="shared" si="0"/>
        <v>p8_PATFUEL</v>
      </c>
      <c r="D8" s="3" t="str">
        <f t="shared" si="1"/>
        <v>'p8_PATFUEL',</v>
      </c>
      <c r="E8" s="3"/>
      <c r="F8" s="3" t="s">
        <v>466</v>
      </c>
      <c r="I8" t="s">
        <v>143</v>
      </c>
      <c r="J8" t="s">
        <v>245</v>
      </c>
      <c r="K8" t="str">
        <f t="shared" si="2"/>
        <v>f8_TRANSFER</v>
      </c>
      <c r="L8" t="str">
        <f t="shared" si="3"/>
        <v>'f8_TRANSFER',</v>
      </c>
      <c r="O8" t="s">
        <v>353</v>
      </c>
    </row>
    <row r="9" spans="1:15" x14ac:dyDescent="0.3">
      <c r="A9" s="2" t="s">
        <v>8</v>
      </c>
      <c r="B9" s="3" t="s">
        <v>76</v>
      </c>
      <c r="C9" s="3" t="str">
        <f t="shared" si="0"/>
        <v>p9_OVENCOKE</v>
      </c>
      <c r="D9" s="3" t="str">
        <f t="shared" si="1"/>
        <v>'p9_OVENCOKE',</v>
      </c>
      <c r="E9" s="3"/>
      <c r="F9" s="3" t="s">
        <v>467</v>
      </c>
      <c r="I9" t="s">
        <v>144</v>
      </c>
      <c r="J9" t="s">
        <v>246</v>
      </c>
      <c r="K9" t="str">
        <f t="shared" si="2"/>
        <v>f9_STATDIFF</v>
      </c>
      <c r="L9" t="str">
        <f t="shared" si="3"/>
        <v>'f9_STATDIFF',</v>
      </c>
      <c r="O9" t="s">
        <v>354</v>
      </c>
    </row>
    <row r="10" spans="1:15" x14ac:dyDescent="0.3">
      <c r="A10" s="2" t="s">
        <v>9</v>
      </c>
      <c r="B10" s="3" t="s">
        <v>77</v>
      </c>
      <c r="C10" s="3" t="str">
        <f t="shared" si="0"/>
        <v>p10_GASCOKE</v>
      </c>
      <c r="D10" s="3" t="str">
        <f t="shared" si="1"/>
        <v>'p10_GASCOKE',</v>
      </c>
      <c r="E10" s="3"/>
      <c r="F10" s="3" t="s">
        <v>468</v>
      </c>
      <c r="I10" t="s">
        <v>145</v>
      </c>
      <c r="J10" t="s">
        <v>247</v>
      </c>
      <c r="K10" t="str">
        <f t="shared" si="2"/>
        <v>f10_TOTTRANF</v>
      </c>
      <c r="L10" t="str">
        <f t="shared" si="3"/>
        <v>'f10_TOTTRANF',</v>
      </c>
      <c r="O10" t="s">
        <v>355</v>
      </c>
    </row>
    <row r="11" spans="1:15" x14ac:dyDescent="0.3">
      <c r="A11" s="2" t="s">
        <v>10</v>
      </c>
      <c r="B11" s="3" t="s">
        <v>78</v>
      </c>
      <c r="C11" s="3" t="str">
        <f t="shared" si="0"/>
        <v>p11_COALTAR</v>
      </c>
      <c r="D11" s="3" t="str">
        <f t="shared" si="1"/>
        <v>'p11_COALTAR',</v>
      </c>
      <c r="E11" s="3"/>
      <c r="F11" s="3" t="s">
        <v>469</v>
      </c>
      <c r="I11" t="s">
        <v>146</v>
      </c>
      <c r="J11" t="s">
        <v>248</v>
      </c>
      <c r="K11" t="str">
        <f t="shared" si="2"/>
        <v>f11_MAINELEC</v>
      </c>
      <c r="L11" t="str">
        <f t="shared" si="3"/>
        <v>'f11_MAINELEC',</v>
      </c>
      <c r="O11" t="s">
        <v>356</v>
      </c>
    </row>
    <row r="12" spans="1:15" x14ac:dyDescent="0.3">
      <c r="A12" s="2" t="s">
        <v>11</v>
      </c>
      <c r="B12" s="3" t="s">
        <v>79</v>
      </c>
      <c r="C12" s="3" t="str">
        <f t="shared" si="0"/>
        <v>p12_BKB</v>
      </c>
      <c r="D12" s="3" t="str">
        <f t="shared" si="1"/>
        <v>'p12_BKB',</v>
      </c>
      <c r="E12" s="3"/>
      <c r="F12" s="3" t="s">
        <v>470</v>
      </c>
      <c r="I12" t="s">
        <v>147</v>
      </c>
      <c r="J12" t="s">
        <v>249</v>
      </c>
      <c r="K12" t="str">
        <f t="shared" si="2"/>
        <v>f12_AUTOELEC</v>
      </c>
      <c r="L12" t="str">
        <f t="shared" si="3"/>
        <v>'f12_AUTOELEC',</v>
      </c>
      <c r="O12" t="s">
        <v>357</v>
      </c>
    </row>
    <row r="13" spans="1:15" x14ac:dyDescent="0.3">
      <c r="A13" s="2" t="s">
        <v>12</v>
      </c>
      <c r="B13" s="3" t="s">
        <v>80</v>
      </c>
      <c r="C13" s="3" t="str">
        <f t="shared" si="0"/>
        <v>p13_GASWKSGS</v>
      </c>
      <c r="D13" s="3" t="str">
        <f t="shared" si="1"/>
        <v>'p13_GASWKSGS',</v>
      </c>
      <c r="E13" s="3"/>
      <c r="F13" s="3" t="s">
        <v>471</v>
      </c>
      <c r="I13" t="s">
        <v>148</v>
      </c>
      <c r="J13" t="s">
        <v>250</v>
      </c>
      <c r="K13" t="str">
        <f t="shared" si="2"/>
        <v>f13_MAINCHP</v>
      </c>
      <c r="L13" t="str">
        <f t="shared" si="3"/>
        <v>'f13_MAINCHP',</v>
      </c>
      <c r="O13" t="s">
        <v>358</v>
      </c>
    </row>
    <row r="14" spans="1:15" x14ac:dyDescent="0.3">
      <c r="A14" s="2" t="s">
        <v>13</v>
      </c>
      <c r="B14" s="3" t="s">
        <v>81</v>
      </c>
      <c r="C14" s="3" t="str">
        <f t="shared" si="0"/>
        <v>p14_COKEOVGS</v>
      </c>
      <c r="D14" s="3" t="str">
        <f t="shared" si="1"/>
        <v>'p14_COKEOVGS',</v>
      </c>
      <c r="E14" s="3"/>
      <c r="F14" s="3" t="s">
        <v>472</v>
      </c>
      <c r="I14" t="s">
        <v>149</v>
      </c>
      <c r="J14" t="s">
        <v>251</v>
      </c>
      <c r="K14" t="str">
        <f t="shared" si="2"/>
        <v>f14_AUTOCHP</v>
      </c>
      <c r="L14" t="str">
        <f t="shared" si="3"/>
        <v>'f14_AUTOCHP',</v>
      </c>
      <c r="O14" t="s">
        <v>359</v>
      </c>
    </row>
    <row r="15" spans="1:15" x14ac:dyDescent="0.3">
      <c r="A15" s="2" t="s">
        <v>14</v>
      </c>
      <c r="B15" s="3" t="s">
        <v>82</v>
      </c>
      <c r="C15" s="3" t="str">
        <f t="shared" si="0"/>
        <v>p15_BLFURGS</v>
      </c>
      <c r="D15" s="3" t="str">
        <f t="shared" si="1"/>
        <v>'p15_BLFURGS',</v>
      </c>
      <c r="E15" s="3"/>
      <c r="F15" s="3" t="s">
        <v>473</v>
      </c>
      <c r="I15" t="s">
        <v>150</v>
      </c>
      <c r="J15" t="s">
        <v>252</v>
      </c>
      <c r="K15" t="str">
        <f t="shared" si="2"/>
        <v>f15_MAINHEAT</v>
      </c>
      <c r="L15" t="str">
        <f t="shared" si="3"/>
        <v>'f15_MAINHEAT',</v>
      </c>
      <c r="O15" t="s">
        <v>360</v>
      </c>
    </row>
    <row r="16" spans="1:15" x14ac:dyDescent="0.3">
      <c r="A16" s="2" t="s">
        <v>15</v>
      </c>
      <c r="B16" s="3" t="s">
        <v>83</v>
      </c>
      <c r="C16" s="3" t="str">
        <f t="shared" si="0"/>
        <v>p16_OGASES</v>
      </c>
      <c r="D16" s="3" t="str">
        <f t="shared" si="1"/>
        <v>'p16_OGASES',</v>
      </c>
      <c r="E16" s="3"/>
      <c r="F16" s="3" t="s">
        <v>474</v>
      </c>
      <c r="I16" t="s">
        <v>151</v>
      </c>
      <c r="J16" t="s">
        <v>253</v>
      </c>
      <c r="K16" t="str">
        <f t="shared" si="2"/>
        <v>f16_AUTOHEAT</v>
      </c>
      <c r="L16" t="str">
        <f t="shared" si="3"/>
        <v>'f16_AUTOHEAT',</v>
      </c>
      <c r="O16" t="s">
        <v>361</v>
      </c>
    </row>
    <row r="17" spans="1:15" x14ac:dyDescent="0.3">
      <c r="A17" s="2" t="s">
        <v>16</v>
      </c>
      <c r="B17" s="3" t="s">
        <v>84</v>
      </c>
      <c r="C17" s="3" t="str">
        <f t="shared" si="0"/>
        <v>p17_PEAT</v>
      </c>
      <c r="D17" s="3" t="str">
        <f t="shared" si="1"/>
        <v>'p17_PEAT',</v>
      </c>
      <c r="E17" s="3"/>
      <c r="F17" s="3" t="s">
        <v>475</v>
      </c>
      <c r="I17" t="s">
        <v>152</v>
      </c>
      <c r="J17" t="s">
        <v>254</v>
      </c>
      <c r="K17" t="str">
        <f t="shared" si="2"/>
        <v>f17_THEAT</v>
      </c>
      <c r="L17" t="str">
        <f t="shared" si="3"/>
        <v>'f17_THEAT',</v>
      </c>
      <c r="O17" t="s">
        <v>362</v>
      </c>
    </row>
    <row r="18" spans="1:15" x14ac:dyDescent="0.3">
      <c r="A18" s="2" t="s">
        <v>17</v>
      </c>
      <c r="B18" s="3" t="s">
        <v>85</v>
      </c>
      <c r="C18" s="3" t="str">
        <f t="shared" si="0"/>
        <v>p18_PEATPROD</v>
      </c>
      <c r="D18" s="3" t="str">
        <f t="shared" si="1"/>
        <v>'p18_PEATPROD',</v>
      </c>
      <c r="E18" s="3"/>
      <c r="F18" s="3" t="s">
        <v>476</v>
      </c>
      <c r="I18" t="s">
        <v>153</v>
      </c>
      <c r="J18" t="s">
        <v>255</v>
      </c>
      <c r="K18" t="str">
        <f t="shared" si="2"/>
        <v>f18_TBOILER</v>
      </c>
      <c r="L18" t="str">
        <f t="shared" si="3"/>
        <v>'f18_TBOILER',</v>
      </c>
      <c r="O18" t="s">
        <v>363</v>
      </c>
    </row>
    <row r="19" spans="1:15" x14ac:dyDescent="0.3">
      <c r="A19" s="2" t="s">
        <v>18</v>
      </c>
      <c r="B19" s="3" t="s">
        <v>86</v>
      </c>
      <c r="C19" s="3" t="str">
        <f t="shared" si="0"/>
        <v>p19_OILSHALE</v>
      </c>
      <c r="D19" s="3" t="str">
        <f t="shared" si="1"/>
        <v>'p19_OILSHALE',</v>
      </c>
      <c r="E19" s="3"/>
      <c r="F19" s="3" t="s">
        <v>477</v>
      </c>
      <c r="I19" t="s">
        <v>154</v>
      </c>
      <c r="J19" t="s">
        <v>256</v>
      </c>
      <c r="K19" t="str">
        <f t="shared" si="2"/>
        <v>f19_TELE</v>
      </c>
      <c r="L19" t="str">
        <f t="shared" si="3"/>
        <v>'f19_TELE',</v>
      </c>
      <c r="O19" t="s">
        <v>364</v>
      </c>
    </row>
    <row r="20" spans="1:15" x14ac:dyDescent="0.3">
      <c r="A20" s="1" t="s">
        <v>31</v>
      </c>
      <c r="B20" t="s">
        <v>87</v>
      </c>
      <c r="C20" t="str">
        <f>B20&amp;"_"&amp;A67</f>
        <v>p20_MANGAS</v>
      </c>
      <c r="D20" t="str">
        <f t="shared" si="1"/>
        <v>'p20_MANGAS',</v>
      </c>
      <c r="F20" t="s">
        <v>478</v>
      </c>
      <c r="I20" t="s">
        <v>158</v>
      </c>
      <c r="J20" t="s">
        <v>257</v>
      </c>
      <c r="K20" t="str">
        <f t="shared" si="2"/>
        <v>f20_TBLASTFUR</v>
      </c>
      <c r="L20" t="str">
        <f t="shared" si="3"/>
        <v>'f20_TBLASTFUR',</v>
      </c>
      <c r="O20" t="s">
        <v>365</v>
      </c>
    </row>
    <row r="21" spans="1:15" x14ac:dyDescent="0.3">
      <c r="A21" s="1" t="s">
        <v>32</v>
      </c>
      <c r="B21" t="s">
        <v>88</v>
      </c>
      <c r="C21" t="str">
        <f>B21&amp;"_"&amp;A44</f>
        <v>p21_INDWASTE</v>
      </c>
      <c r="D21" t="str">
        <f t="shared" si="1"/>
        <v>'p21_INDWASTE',</v>
      </c>
      <c r="F21" t="s">
        <v>479</v>
      </c>
      <c r="I21" t="s">
        <v>157</v>
      </c>
      <c r="J21" t="s">
        <v>258</v>
      </c>
      <c r="K21" t="str">
        <f t="shared" si="2"/>
        <v>f21_TGASWKS</v>
      </c>
      <c r="L21" t="str">
        <f t="shared" si="3"/>
        <v>'f21_TGASWKS',</v>
      </c>
      <c r="O21" t="s">
        <v>366</v>
      </c>
    </row>
    <row r="22" spans="1:15" x14ac:dyDescent="0.3">
      <c r="A22" s="1" t="s">
        <v>33</v>
      </c>
      <c r="B22" t="s">
        <v>89</v>
      </c>
      <c r="C22" t="str">
        <f>B22&amp;"_"&amp;A45</f>
        <v>p22_MUNWASTER</v>
      </c>
      <c r="D22" t="str">
        <f t="shared" si="1"/>
        <v>'p22_MUNWASTER',</v>
      </c>
      <c r="F22" t="s">
        <v>480</v>
      </c>
      <c r="I22" t="s">
        <v>156</v>
      </c>
      <c r="J22" t="s">
        <v>259</v>
      </c>
      <c r="K22" t="str">
        <f t="shared" si="2"/>
        <v>f22_TCOKEOVS</v>
      </c>
      <c r="L22" t="str">
        <f t="shared" si="3"/>
        <v>'f22_TCOKEOVS',</v>
      </c>
      <c r="O22" t="s">
        <v>367</v>
      </c>
    </row>
    <row r="23" spans="1:15" x14ac:dyDescent="0.3">
      <c r="A23" s="1" t="s">
        <v>34</v>
      </c>
      <c r="B23" t="s">
        <v>90</v>
      </c>
      <c r="C23" t="str">
        <f>B23&amp;"_"&amp;A46</f>
        <v>p23_MUNWASTEN</v>
      </c>
      <c r="D23" t="str">
        <f t="shared" si="1"/>
        <v>'p23_MUNWASTEN',</v>
      </c>
      <c r="F23" t="s">
        <v>481</v>
      </c>
      <c r="I23" t="s">
        <v>155</v>
      </c>
      <c r="J23" t="s">
        <v>260</v>
      </c>
      <c r="K23" t="str">
        <f t="shared" si="2"/>
        <v>f23_TPATFUEL</v>
      </c>
      <c r="L23" t="str">
        <f t="shared" si="3"/>
        <v>'f23_TPATFUEL',</v>
      </c>
      <c r="O23" t="s">
        <v>368</v>
      </c>
    </row>
    <row r="24" spans="1:15" x14ac:dyDescent="0.3">
      <c r="A24" s="1" t="s">
        <v>35</v>
      </c>
      <c r="B24" t="s">
        <v>91</v>
      </c>
      <c r="C24" t="str">
        <f>B24&amp;"_"&amp;A47</f>
        <v>p24_PRIMSBIO</v>
      </c>
      <c r="D24" t="str">
        <f t="shared" si="1"/>
        <v>'p24_PRIMSBIO',</v>
      </c>
      <c r="F24" t="s">
        <v>482</v>
      </c>
      <c r="I24" t="s">
        <v>160</v>
      </c>
      <c r="J24" t="s">
        <v>261</v>
      </c>
      <c r="K24" t="str">
        <f t="shared" si="2"/>
        <v>f24_TBKB</v>
      </c>
      <c r="L24" t="str">
        <f t="shared" si="3"/>
        <v>'f24_TBKB',</v>
      </c>
      <c r="O24" t="s">
        <v>369</v>
      </c>
    </row>
    <row r="25" spans="1:15" x14ac:dyDescent="0.3">
      <c r="A25" s="1" t="s">
        <v>36</v>
      </c>
      <c r="B25" t="s">
        <v>92</v>
      </c>
      <c r="C25" t="str">
        <f>B25&amp;"_"&amp;A48</f>
        <v>p25_BIOGASES</v>
      </c>
      <c r="D25" t="str">
        <f t="shared" si="1"/>
        <v>'p25_BIOGASES',</v>
      </c>
      <c r="F25" t="s">
        <v>483</v>
      </c>
      <c r="I25" t="s">
        <v>161</v>
      </c>
      <c r="J25" t="s">
        <v>262</v>
      </c>
      <c r="K25" t="str">
        <f t="shared" si="2"/>
        <v>f25_TREFINER</v>
      </c>
      <c r="L25" t="str">
        <f t="shared" si="3"/>
        <v>'f25_TREFINER',</v>
      </c>
      <c r="O25" t="s">
        <v>370</v>
      </c>
    </row>
    <row r="26" spans="1:15" x14ac:dyDescent="0.3">
      <c r="A26" s="1" t="s">
        <v>37</v>
      </c>
      <c r="B26" t="s">
        <v>93</v>
      </c>
      <c r="C26" t="str">
        <f>B26&amp;"_"&amp;A49</f>
        <v>p26_BIOGASOL</v>
      </c>
      <c r="D26" t="str">
        <f t="shared" si="1"/>
        <v>'p26_BIOGASOL',</v>
      </c>
      <c r="F26" t="s">
        <v>484</v>
      </c>
      <c r="I26" t="s">
        <v>159</v>
      </c>
      <c r="J26" t="s">
        <v>263</v>
      </c>
      <c r="K26" t="str">
        <f t="shared" si="2"/>
        <v>f26_TPETCHEM</v>
      </c>
      <c r="L26" t="str">
        <f t="shared" si="3"/>
        <v>'f26_TPETCHEM',</v>
      </c>
      <c r="O26" t="s">
        <v>371</v>
      </c>
    </row>
    <row r="27" spans="1:15" x14ac:dyDescent="0.3">
      <c r="A27" s="1" t="s">
        <v>38</v>
      </c>
      <c r="B27" t="s">
        <v>94</v>
      </c>
      <c r="C27" t="str">
        <f>B27&amp;"_"&amp;A50</f>
        <v>p27_BIOJETKERO</v>
      </c>
      <c r="D27" t="str">
        <f t="shared" si="1"/>
        <v>'p27_BIOJETKERO',</v>
      </c>
      <c r="F27" t="s">
        <v>485</v>
      </c>
      <c r="I27" t="s">
        <v>162</v>
      </c>
      <c r="J27" t="s">
        <v>264</v>
      </c>
      <c r="K27" t="str">
        <f t="shared" si="2"/>
        <v>f27_TCOALLIQ</v>
      </c>
      <c r="L27" t="str">
        <f t="shared" si="3"/>
        <v>'f27_TCOALLIQ',</v>
      </c>
      <c r="O27" t="s">
        <v>372</v>
      </c>
    </row>
    <row r="28" spans="1:15" x14ac:dyDescent="0.3">
      <c r="A28" s="1" t="s">
        <v>39</v>
      </c>
      <c r="B28" t="s">
        <v>95</v>
      </c>
      <c r="C28" t="str">
        <f>B28&amp;"_"&amp;A51</f>
        <v>p28_BIODIESEL</v>
      </c>
      <c r="D28" t="str">
        <f t="shared" si="1"/>
        <v>'p28_BIODIESEL',</v>
      </c>
      <c r="F28" t="s">
        <v>486</v>
      </c>
      <c r="I28" t="s">
        <v>163</v>
      </c>
      <c r="J28" t="s">
        <v>265</v>
      </c>
      <c r="K28" t="str">
        <f t="shared" si="2"/>
        <v>f28_TGTL</v>
      </c>
      <c r="L28" t="str">
        <f t="shared" si="3"/>
        <v>'f28_TGTL',</v>
      </c>
      <c r="O28" t="s">
        <v>373</v>
      </c>
    </row>
    <row r="29" spans="1:15" x14ac:dyDescent="0.3">
      <c r="A29" s="1" t="s">
        <v>40</v>
      </c>
      <c r="B29" t="s">
        <v>96</v>
      </c>
      <c r="C29" t="str">
        <f>B29&amp;"_"&amp;A52</f>
        <v>p29_OBIOLIQ</v>
      </c>
      <c r="D29" t="str">
        <f t="shared" si="1"/>
        <v>'p29_OBIOLIQ',</v>
      </c>
      <c r="F29" t="s">
        <v>487</v>
      </c>
      <c r="I29" t="s">
        <v>164</v>
      </c>
      <c r="J29" t="s">
        <v>266</v>
      </c>
      <c r="K29" t="str">
        <f t="shared" si="2"/>
        <v>f29_TBLENDGAS</v>
      </c>
      <c r="L29" t="str">
        <f t="shared" si="3"/>
        <v>'f29_TBLENDGAS',</v>
      </c>
      <c r="O29" t="s">
        <v>374</v>
      </c>
    </row>
    <row r="30" spans="1:15" x14ac:dyDescent="0.3">
      <c r="A30" s="1" t="s">
        <v>41</v>
      </c>
      <c r="B30" t="s">
        <v>97</v>
      </c>
      <c r="C30" t="str">
        <f>B30&amp;"_"&amp;A53</f>
        <v>p30_RENEWNS</v>
      </c>
      <c r="D30" t="str">
        <f t="shared" si="1"/>
        <v>'p30_RENEWNS',</v>
      </c>
      <c r="F30" t="s">
        <v>488</v>
      </c>
      <c r="I30" t="s">
        <v>165</v>
      </c>
      <c r="J30" t="s">
        <v>267</v>
      </c>
      <c r="K30" t="str">
        <f t="shared" si="2"/>
        <v>f30_TCHARCOAL</v>
      </c>
      <c r="L30" t="str">
        <f t="shared" si="3"/>
        <v>'f30_TCHARCOAL',</v>
      </c>
      <c r="O30" t="s">
        <v>375</v>
      </c>
    </row>
    <row r="31" spans="1:15" x14ac:dyDescent="0.3">
      <c r="A31" s="1" t="s">
        <v>42</v>
      </c>
      <c r="B31" t="s">
        <v>98</v>
      </c>
      <c r="C31" t="str">
        <f>B31&amp;"_"&amp;A54</f>
        <v>p31_CHARCOAL</v>
      </c>
      <c r="D31" t="str">
        <f t="shared" si="1"/>
        <v>'p31_CHARCOAL',</v>
      </c>
      <c r="F31" t="s">
        <v>489</v>
      </c>
      <c r="I31" t="s">
        <v>166</v>
      </c>
      <c r="J31" t="s">
        <v>268</v>
      </c>
      <c r="K31" t="str">
        <f t="shared" si="2"/>
        <v>f31_TNONSPEC</v>
      </c>
      <c r="L31" t="str">
        <f t="shared" si="3"/>
        <v>'f31_TNONSPEC',</v>
      </c>
      <c r="O31" t="s">
        <v>376</v>
      </c>
    </row>
    <row r="32" spans="1:15" x14ac:dyDescent="0.3">
      <c r="A32" s="1" t="s">
        <v>43</v>
      </c>
      <c r="B32" t="s">
        <v>99</v>
      </c>
      <c r="C32" t="str">
        <f>B32&amp;"_"&amp;A20</f>
        <v>p32_NATGAS</v>
      </c>
      <c r="D32" t="str">
        <f t="shared" si="1"/>
        <v>'p32_NATGAS',</v>
      </c>
      <c r="F32" t="s">
        <v>490</v>
      </c>
      <c r="I32" t="s">
        <v>167</v>
      </c>
      <c r="J32" t="s">
        <v>269</v>
      </c>
      <c r="K32" t="str">
        <f t="shared" si="2"/>
        <v>f32_TOTENGY</v>
      </c>
      <c r="L32" t="str">
        <f t="shared" si="3"/>
        <v>'f32_TOTENGY',</v>
      </c>
      <c r="O32" t="s">
        <v>377</v>
      </c>
    </row>
    <row r="33" spans="1:15" x14ac:dyDescent="0.3">
      <c r="A33" s="1" t="s">
        <v>44</v>
      </c>
      <c r="B33" t="s">
        <v>100</v>
      </c>
      <c r="C33" t="str">
        <f>B33&amp;"_"&amp;A21</f>
        <v>p33_CRNGFEED</v>
      </c>
      <c r="D33" t="str">
        <f t="shared" si="1"/>
        <v>'p33_CRNGFEED',</v>
      </c>
      <c r="F33" t="s">
        <v>491</v>
      </c>
      <c r="I33" t="s">
        <v>168</v>
      </c>
      <c r="J33" t="s">
        <v>270</v>
      </c>
      <c r="K33" t="str">
        <f t="shared" si="2"/>
        <v>f33_EMINES</v>
      </c>
      <c r="L33" t="str">
        <f t="shared" si="3"/>
        <v>'f33_EMINES',</v>
      </c>
      <c r="O33" t="s">
        <v>378</v>
      </c>
    </row>
    <row r="34" spans="1:15" x14ac:dyDescent="0.3">
      <c r="A34" s="1" t="s">
        <v>45</v>
      </c>
      <c r="B34" t="s">
        <v>101</v>
      </c>
      <c r="C34" t="str">
        <f>B34&amp;"_"&amp;A22</f>
        <v>p34_CRUDEOIL</v>
      </c>
      <c r="D34" t="str">
        <f t="shared" si="1"/>
        <v>'p34_CRUDEOIL',</v>
      </c>
      <c r="F34" t="s">
        <v>492</v>
      </c>
      <c r="I34" t="s">
        <v>169</v>
      </c>
      <c r="J34" t="s">
        <v>271</v>
      </c>
      <c r="K34" t="str">
        <f t="shared" si="2"/>
        <v>f34_EOILGASEX</v>
      </c>
      <c r="L34" t="str">
        <f t="shared" si="3"/>
        <v>'f34_EOILGASEX',</v>
      </c>
      <c r="O34" t="s">
        <v>379</v>
      </c>
    </row>
    <row r="35" spans="1:15" x14ac:dyDescent="0.3">
      <c r="A35" s="1" t="s">
        <v>46</v>
      </c>
      <c r="B35" t="s">
        <v>102</v>
      </c>
      <c r="C35" t="str">
        <f>B35&amp;"_"&amp;A23</f>
        <v>p35_NGL</v>
      </c>
      <c r="D35" t="str">
        <f t="shared" si="1"/>
        <v>'p35_NGL',</v>
      </c>
      <c r="F35" t="s">
        <v>493</v>
      </c>
      <c r="I35" t="s">
        <v>174</v>
      </c>
      <c r="J35" t="s">
        <v>272</v>
      </c>
      <c r="K35" t="str">
        <f t="shared" si="2"/>
        <v>f35_EBLASTFUR</v>
      </c>
      <c r="L35" t="str">
        <f t="shared" si="3"/>
        <v>'f35_EBLASTFUR',</v>
      </c>
      <c r="O35" t="s">
        <v>380</v>
      </c>
    </row>
    <row r="36" spans="1:15" x14ac:dyDescent="0.3">
      <c r="A36" s="1" t="s">
        <v>47</v>
      </c>
      <c r="B36" t="s">
        <v>103</v>
      </c>
      <c r="C36" t="str">
        <f>B36&amp;"_"&amp;A24</f>
        <v>p36_REFFEEDS</v>
      </c>
      <c r="D36" t="str">
        <f t="shared" si="1"/>
        <v>'p36_REFFEEDS',</v>
      </c>
      <c r="F36" t="s">
        <v>494</v>
      </c>
      <c r="I36" t="s">
        <v>172</v>
      </c>
      <c r="J36" t="s">
        <v>273</v>
      </c>
      <c r="K36" t="str">
        <f t="shared" si="2"/>
        <v>f36_EGASWKS</v>
      </c>
      <c r="L36" t="str">
        <f t="shared" si="3"/>
        <v>'f36_EGASWKS',</v>
      </c>
      <c r="O36" t="s">
        <v>381</v>
      </c>
    </row>
    <row r="37" spans="1:15" x14ac:dyDescent="0.3">
      <c r="A37" s="1" t="s">
        <v>48</v>
      </c>
      <c r="B37" t="s">
        <v>104</v>
      </c>
      <c r="C37" t="str">
        <f>B37&amp;"_"&amp;A25</f>
        <v>p37_ADDITIVE</v>
      </c>
      <c r="D37" t="str">
        <f t="shared" si="1"/>
        <v>'p37_ADDITIVE',</v>
      </c>
      <c r="F37" t="s">
        <v>495</v>
      </c>
      <c r="I37" t="s">
        <v>173</v>
      </c>
      <c r="J37" t="s">
        <v>274</v>
      </c>
      <c r="K37" t="str">
        <f t="shared" si="2"/>
        <v>f37_EBIOGAS</v>
      </c>
      <c r="L37" t="str">
        <f t="shared" si="3"/>
        <v>'f37_EBIOGAS',</v>
      </c>
      <c r="O37" t="s">
        <v>382</v>
      </c>
    </row>
    <row r="38" spans="1:15" x14ac:dyDescent="0.3">
      <c r="A38" s="1" t="s">
        <v>49</v>
      </c>
      <c r="B38" t="s">
        <v>105</v>
      </c>
      <c r="C38" t="str">
        <f>B38&amp;"_"&amp;A26</f>
        <v>p38_NONCRUDE</v>
      </c>
      <c r="D38" t="str">
        <f t="shared" si="1"/>
        <v>'p38_NONCRUDE',</v>
      </c>
      <c r="F38" t="s">
        <v>496</v>
      </c>
      <c r="I38" t="s">
        <v>171</v>
      </c>
      <c r="J38" t="s">
        <v>275</v>
      </c>
      <c r="K38" t="str">
        <f t="shared" si="2"/>
        <v>f38_ECOKEOVS</v>
      </c>
      <c r="L38" t="str">
        <f t="shared" si="3"/>
        <v>'f38_ECOKEOVS',</v>
      </c>
      <c r="O38" t="s">
        <v>383</v>
      </c>
    </row>
    <row r="39" spans="1:15" x14ac:dyDescent="0.3">
      <c r="A39" s="1" t="s">
        <v>50</v>
      </c>
      <c r="B39" t="s">
        <v>106</v>
      </c>
      <c r="C39" t="str">
        <f>B39&amp;"_"&amp;A27</f>
        <v>p39_REFINGAS</v>
      </c>
      <c r="D39" t="str">
        <f t="shared" si="1"/>
        <v>'p39_REFINGAS',</v>
      </c>
      <c r="F39" t="s">
        <v>497</v>
      </c>
      <c r="I39" t="s">
        <v>170</v>
      </c>
      <c r="J39" t="s">
        <v>276</v>
      </c>
      <c r="K39" t="str">
        <f t="shared" si="2"/>
        <v>f39_EPATFUEL</v>
      </c>
      <c r="L39" t="str">
        <f t="shared" si="3"/>
        <v>'f39_EPATFUEL',</v>
      </c>
      <c r="O39" t="s">
        <v>384</v>
      </c>
    </row>
    <row r="40" spans="1:15" x14ac:dyDescent="0.3">
      <c r="A40" s="1" t="s">
        <v>51</v>
      </c>
      <c r="B40" t="s">
        <v>107</v>
      </c>
      <c r="C40" t="str">
        <f>B40&amp;"_"&amp;A28</f>
        <v>p40_ETHANE</v>
      </c>
      <c r="D40" t="str">
        <f t="shared" si="1"/>
        <v>'p40_ETHANE',</v>
      </c>
      <c r="F40" t="s">
        <v>498</v>
      </c>
      <c r="I40" t="s">
        <v>175</v>
      </c>
      <c r="J40" t="s">
        <v>277</v>
      </c>
      <c r="K40" t="str">
        <f t="shared" si="2"/>
        <v>f40_EBKB</v>
      </c>
      <c r="L40" t="str">
        <f t="shared" si="3"/>
        <v>'f40_EBKB',</v>
      </c>
      <c r="O40" t="s">
        <v>385</v>
      </c>
    </row>
    <row r="41" spans="1:15" x14ac:dyDescent="0.3">
      <c r="A41" s="1" t="s">
        <v>52</v>
      </c>
      <c r="B41" t="s">
        <v>108</v>
      </c>
      <c r="C41" t="str">
        <f>B41&amp;"_"&amp;A29</f>
        <v>p41_LPG</v>
      </c>
      <c r="D41" t="str">
        <f t="shared" si="1"/>
        <v>'p41_LPG',</v>
      </c>
      <c r="F41" t="s">
        <v>499</v>
      </c>
      <c r="I41" t="s">
        <v>176</v>
      </c>
      <c r="J41" t="s">
        <v>278</v>
      </c>
      <c r="K41" t="str">
        <f t="shared" si="2"/>
        <v>f41_EREFINER</v>
      </c>
      <c r="L41" t="str">
        <f t="shared" si="3"/>
        <v>'f41_EREFINER',</v>
      </c>
      <c r="O41" t="s">
        <v>386</v>
      </c>
    </row>
    <row r="42" spans="1:15" x14ac:dyDescent="0.3">
      <c r="A42" s="1" t="s">
        <v>53</v>
      </c>
      <c r="B42" t="s">
        <v>109</v>
      </c>
      <c r="C42" t="str">
        <f>B42&amp;"_"&amp;A30</f>
        <v>p42_NONBIOGASO</v>
      </c>
      <c r="D42" t="str">
        <f t="shared" si="1"/>
        <v>'p42_NONBIOGASO',</v>
      </c>
      <c r="F42" t="s">
        <v>500</v>
      </c>
      <c r="I42" t="s">
        <v>177</v>
      </c>
      <c r="J42" t="s">
        <v>279</v>
      </c>
      <c r="K42" t="str">
        <f t="shared" si="2"/>
        <v>f42_ECOALLIQ</v>
      </c>
      <c r="L42" t="str">
        <f t="shared" si="3"/>
        <v>'f42_ECOALLIQ',</v>
      </c>
      <c r="O42" t="s">
        <v>387</v>
      </c>
    </row>
    <row r="43" spans="1:15" x14ac:dyDescent="0.3">
      <c r="A43" s="1" t="s">
        <v>54</v>
      </c>
      <c r="B43" t="s">
        <v>110</v>
      </c>
      <c r="C43" t="str">
        <f>B43&amp;"_"&amp;A31</f>
        <v>p43_AVGAS</v>
      </c>
      <c r="D43" t="str">
        <f t="shared" si="1"/>
        <v>'p43_AVGAS',</v>
      </c>
      <c r="F43" t="s">
        <v>501</v>
      </c>
      <c r="I43" t="s">
        <v>178</v>
      </c>
      <c r="J43" t="s">
        <v>280</v>
      </c>
      <c r="K43" t="str">
        <f t="shared" si="2"/>
        <v>f43_ELNG</v>
      </c>
      <c r="L43" t="str">
        <f t="shared" si="3"/>
        <v>'f43_ELNG',</v>
      </c>
      <c r="O43" t="s">
        <v>388</v>
      </c>
    </row>
    <row r="44" spans="1:15" x14ac:dyDescent="0.3">
      <c r="A44" s="1" t="s">
        <v>20</v>
      </c>
      <c r="B44" t="s">
        <v>111</v>
      </c>
      <c r="C44" t="str">
        <f>B44&amp;"_"&amp;A32</f>
        <v>p44_JETGAS</v>
      </c>
      <c r="D44" t="str">
        <f t="shared" si="1"/>
        <v>'p44_JETGAS',</v>
      </c>
      <c r="F44" t="s">
        <v>502</v>
      </c>
      <c r="I44" t="s">
        <v>179</v>
      </c>
      <c r="J44" t="s">
        <v>281</v>
      </c>
      <c r="K44" t="str">
        <f t="shared" si="2"/>
        <v>f44_EGTL</v>
      </c>
      <c r="L44" t="str">
        <f t="shared" si="3"/>
        <v>'f44_EGTL',</v>
      </c>
      <c r="O44" t="s">
        <v>389</v>
      </c>
    </row>
    <row r="45" spans="1:15" x14ac:dyDescent="0.3">
      <c r="A45" s="1" t="s">
        <v>21</v>
      </c>
      <c r="B45" t="s">
        <v>112</v>
      </c>
      <c r="C45" t="str">
        <f>B45&amp;"_"&amp;A33</f>
        <v>p45_NONBIOJETK</v>
      </c>
      <c r="D45" t="str">
        <f t="shared" si="1"/>
        <v>'p45_NONBIOJETK',</v>
      </c>
      <c r="F45" t="s">
        <v>503</v>
      </c>
      <c r="I45" t="s">
        <v>180</v>
      </c>
      <c r="J45" t="s">
        <v>282</v>
      </c>
      <c r="K45" t="str">
        <f t="shared" si="2"/>
        <v>f45_EPOWERPLT</v>
      </c>
      <c r="L45" t="str">
        <f t="shared" si="3"/>
        <v>'f45_EPOWERPLT',</v>
      </c>
      <c r="O45" t="s">
        <v>390</v>
      </c>
    </row>
    <row r="46" spans="1:15" x14ac:dyDescent="0.3">
      <c r="A46" s="1" t="s">
        <v>22</v>
      </c>
      <c r="B46" t="s">
        <v>113</v>
      </c>
      <c r="C46" t="str">
        <f>B46&amp;"_"&amp;A34</f>
        <v>p46_OTHKERO</v>
      </c>
      <c r="D46" t="str">
        <f t="shared" si="1"/>
        <v>'p46_OTHKERO',</v>
      </c>
      <c r="F46" t="s">
        <v>504</v>
      </c>
      <c r="I46" t="s">
        <v>181</v>
      </c>
      <c r="J46" t="s">
        <v>283</v>
      </c>
      <c r="K46" t="str">
        <f t="shared" si="2"/>
        <v>f46_EPUMPST</v>
      </c>
      <c r="L46" t="str">
        <f t="shared" si="3"/>
        <v>'f46_EPUMPST',</v>
      </c>
      <c r="O46" t="s">
        <v>391</v>
      </c>
    </row>
    <row r="47" spans="1:15" x14ac:dyDescent="0.3">
      <c r="A47" s="1" t="s">
        <v>23</v>
      </c>
      <c r="B47" t="s">
        <v>114</v>
      </c>
      <c r="C47" t="str">
        <f>B47&amp;"_"&amp;A35</f>
        <v>p47_NONBIODIES</v>
      </c>
      <c r="D47" t="str">
        <f t="shared" si="1"/>
        <v>'p47_NONBIODIES',</v>
      </c>
      <c r="F47" t="s">
        <v>505</v>
      </c>
      <c r="I47" t="s">
        <v>182</v>
      </c>
      <c r="J47" t="s">
        <v>284</v>
      </c>
      <c r="K47" t="str">
        <f t="shared" si="2"/>
        <v>f47_ENUC</v>
      </c>
      <c r="L47" t="str">
        <f t="shared" si="3"/>
        <v>'f47_ENUC',</v>
      </c>
      <c r="O47" t="s">
        <v>392</v>
      </c>
    </row>
    <row r="48" spans="1:15" x14ac:dyDescent="0.3">
      <c r="A48" s="1" t="s">
        <v>24</v>
      </c>
      <c r="B48" t="s">
        <v>115</v>
      </c>
      <c r="C48" t="str">
        <f>B48&amp;"_"&amp;A36</f>
        <v>p48_RESFUEL</v>
      </c>
      <c r="D48" t="str">
        <f t="shared" si="1"/>
        <v>'p48_RESFUEL',</v>
      </c>
      <c r="F48" t="s">
        <v>506</v>
      </c>
      <c r="I48" t="s">
        <v>183</v>
      </c>
      <c r="J48" t="s">
        <v>285</v>
      </c>
      <c r="K48" t="str">
        <f t="shared" si="2"/>
        <v>f48_ECHARCOAL</v>
      </c>
      <c r="L48" t="str">
        <f t="shared" si="3"/>
        <v>'f48_ECHARCOAL',</v>
      </c>
      <c r="O48" t="s">
        <v>393</v>
      </c>
    </row>
    <row r="49" spans="1:15" x14ac:dyDescent="0.3">
      <c r="A49" s="1" t="s">
        <v>25</v>
      </c>
      <c r="B49" t="s">
        <v>116</v>
      </c>
      <c r="C49" t="str">
        <f>B49&amp;"_"&amp;A37</f>
        <v>p49_NAPHTHA</v>
      </c>
      <c r="D49" t="str">
        <f t="shared" si="1"/>
        <v>'p49_NAPHTHA',</v>
      </c>
      <c r="F49" t="s">
        <v>507</v>
      </c>
      <c r="I49" t="s">
        <v>184</v>
      </c>
      <c r="J49" t="s">
        <v>286</v>
      </c>
      <c r="K49" t="str">
        <f t="shared" si="2"/>
        <v>f49_ENONSPEC</v>
      </c>
      <c r="L49" t="str">
        <f t="shared" si="3"/>
        <v>'f49_ENONSPEC',</v>
      </c>
      <c r="O49" t="s">
        <v>394</v>
      </c>
    </row>
    <row r="50" spans="1:15" x14ac:dyDescent="0.3">
      <c r="A50" s="1" t="s">
        <v>26</v>
      </c>
      <c r="B50" t="s">
        <v>117</v>
      </c>
      <c r="C50" t="str">
        <f>B50&amp;"_"&amp;A38</f>
        <v>p50_WHITESP</v>
      </c>
      <c r="D50" t="str">
        <f t="shared" si="1"/>
        <v>'p50_WHITESP',</v>
      </c>
      <c r="F50" t="s">
        <v>508</v>
      </c>
      <c r="I50" t="s">
        <v>185</v>
      </c>
      <c r="J50" t="s">
        <v>287</v>
      </c>
      <c r="K50" t="str">
        <f t="shared" si="2"/>
        <v>f50_DISTLOSS</v>
      </c>
      <c r="L50" t="str">
        <f t="shared" si="3"/>
        <v>'f50_DISTLOSS',</v>
      </c>
      <c r="O50" t="s">
        <v>395</v>
      </c>
    </row>
    <row r="51" spans="1:15" x14ac:dyDescent="0.3">
      <c r="A51" s="1" t="s">
        <v>27</v>
      </c>
      <c r="B51" t="s">
        <v>118</v>
      </c>
      <c r="C51" t="str">
        <f>B51&amp;"_"&amp;A39</f>
        <v>p51_LUBRIC</v>
      </c>
      <c r="D51" t="str">
        <f t="shared" si="1"/>
        <v>'p51_LUBRIC',</v>
      </c>
      <c r="F51" t="s">
        <v>509</v>
      </c>
      <c r="I51" t="s">
        <v>186</v>
      </c>
      <c r="J51" t="s">
        <v>288</v>
      </c>
      <c r="K51" t="str">
        <f t="shared" si="2"/>
        <v>f51_TFC</v>
      </c>
      <c r="L51" t="str">
        <f t="shared" si="3"/>
        <v>'f51_TFC',</v>
      </c>
      <c r="O51" t="s">
        <v>396</v>
      </c>
    </row>
    <row r="52" spans="1:15" x14ac:dyDescent="0.3">
      <c r="A52" s="1" t="s">
        <v>28</v>
      </c>
      <c r="B52" t="s">
        <v>119</v>
      </c>
      <c r="C52" t="str">
        <f>B52&amp;"_"&amp;A40</f>
        <v>p52_BITUMEN</v>
      </c>
      <c r="D52" t="str">
        <f t="shared" si="1"/>
        <v>'p52_BITUMEN',</v>
      </c>
      <c r="F52" t="s">
        <v>510</v>
      </c>
      <c r="I52" t="s">
        <v>454</v>
      </c>
      <c r="J52" t="s">
        <v>289</v>
      </c>
      <c r="K52" t="str">
        <f t="shared" si="2"/>
        <v xml:space="preserve">f52_AGRICULT </v>
      </c>
      <c r="L52" t="str">
        <f t="shared" si="3"/>
        <v>'f52_AGRICULT ',</v>
      </c>
      <c r="O52" t="s">
        <v>397</v>
      </c>
    </row>
    <row r="53" spans="1:15" x14ac:dyDescent="0.3">
      <c r="A53" s="1" t="s">
        <v>29</v>
      </c>
      <c r="B53" t="s">
        <v>120</v>
      </c>
      <c r="C53" t="str">
        <f>B53&amp;"_"&amp;A41</f>
        <v>p53_PARWAX</v>
      </c>
      <c r="D53" t="str">
        <f t="shared" si="1"/>
        <v>'p53_PARWAX',</v>
      </c>
      <c r="F53" t="s">
        <v>511</v>
      </c>
      <c r="I53" t="s">
        <v>455</v>
      </c>
      <c r="J53" t="s">
        <v>290</v>
      </c>
      <c r="K53" t="str">
        <f t="shared" si="2"/>
        <v xml:space="preserve">f53_FISHING </v>
      </c>
      <c r="L53" t="str">
        <f t="shared" si="3"/>
        <v>'f53_FISHING ',</v>
      </c>
      <c r="O53" t="s">
        <v>398</v>
      </c>
    </row>
    <row r="54" spans="1:15" x14ac:dyDescent="0.3">
      <c r="A54" s="1" t="s">
        <v>30</v>
      </c>
      <c r="B54" t="s">
        <v>121</v>
      </c>
      <c r="C54" t="str">
        <f>B54&amp;"_"&amp;A42</f>
        <v>p54_PETCOKE</v>
      </c>
      <c r="D54" t="str">
        <f t="shared" si="1"/>
        <v>'p54_PETCOKE',</v>
      </c>
      <c r="F54" t="s">
        <v>512</v>
      </c>
      <c r="I54" t="s">
        <v>193</v>
      </c>
      <c r="J54" t="s">
        <v>291</v>
      </c>
      <c r="K54" t="str">
        <f t="shared" si="2"/>
        <v>f54_MINING</v>
      </c>
      <c r="L54" t="str">
        <f t="shared" si="3"/>
        <v>'f54_MINING',</v>
      </c>
      <c r="O54" t="s">
        <v>399</v>
      </c>
    </row>
    <row r="55" spans="1:15" x14ac:dyDescent="0.3">
      <c r="A55" s="1" t="s">
        <v>56</v>
      </c>
      <c r="B55" t="s">
        <v>122</v>
      </c>
      <c r="C55" t="str">
        <f>B55&amp;"_"&amp;A43</f>
        <v>p55_ONONSPEC</v>
      </c>
      <c r="D55" t="str">
        <f t="shared" si="1"/>
        <v>'p55_ONONSPEC',</v>
      </c>
      <c r="F55" t="s">
        <v>513</v>
      </c>
      <c r="I55" t="s">
        <v>194</v>
      </c>
      <c r="J55" t="s">
        <v>292</v>
      </c>
      <c r="K55" t="str">
        <f t="shared" si="2"/>
        <v>f55_FOODPRO</v>
      </c>
      <c r="L55" t="str">
        <f t="shared" si="3"/>
        <v>'f55_FOODPRO',</v>
      </c>
      <c r="O55" t="s">
        <v>400</v>
      </c>
    </row>
    <row r="56" spans="1:15" x14ac:dyDescent="0.3">
      <c r="A56" s="1" t="s">
        <v>57</v>
      </c>
      <c r="B56" t="s">
        <v>123</v>
      </c>
      <c r="C56" t="str">
        <f>B56&amp;"_"&amp;A65</f>
        <v>p56_HEATNS</v>
      </c>
      <c r="D56" t="str">
        <f t="shared" si="1"/>
        <v>'p56_HEATNS',</v>
      </c>
      <c r="F56" t="s">
        <v>514</v>
      </c>
      <c r="I56" t="s">
        <v>198</v>
      </c>
      <c r="J56" t="s">
        <v>293</v>
      </c>
      <c r="K56" t="str">
        <f t="shared" si="2"/>
        <v>f56_TEXTILES</v>
      </c>
      <c r="L56" t="str">
        <f t="shared" si="3"/>
        <v>'f56_TEXTILES',</v>
      </c>
      <c r="O56" t="s">
        <v>401</v>
      </c>
    </row>
    <row r="57" spans="1:15" x14ac:dyDescent="0.3">
      <c r="A57" s="1" t="s">
        <v>58</v>
      </c>
      <c r="B57" t="s">
        <v>124</v>
      </c>
      <c r="C57" t="str">
        <f>B57&amp;"_"&amp;A55</f>
        <v>p57_NUCLEAR</v>
      </c>
      <c r="D57" t="str">
        <f t="shared" si="1"/>
        <v>'p57_NUCLEAR',</v>
      </c>
      <c r="F57" t="s">
        <v>515</v>
      </c>
      <c r="I57" t="s">
        <v>196</v>
      </c>
      <c r="J57" t="s">
        <v>294</v>
      </c>
      <c r="K57" t="str">
        <f t="shared" si="2"/>
        <v>f57_WOODPRO</v>
      </c>
      <c r="L57" t="str">
        <f t="shared" si="3"/>
        <v>'f57_WOODPRO',</v>
      </c>
      <c r="O57" t="s">
        <v>402</v>
      </c>
    </row>
    <row r="58" spans="1:15" x14ac:dyDescent="0.3">
      <c r="A58" s="1" t="s">
        <v>59</v>
      </c>
      <c r="B58" t="s">
        <v>125</v>
      </c>
      <c r="C58" t="str">
        <f>B58&amp;"_"&amp;A56</f>
        <v>p58_HYDRO</v>
      </c>
      <c r="D58" t="str">
        <f t="shared" si="1"/>
        <v>'p58_HYDRO',</v>
      </c>
      <c r="F58" t="s">
        <v>516</v>
      </c>
      <c r="I58" t="s">
        <v>195</v>
      </c>
      <c r="J58" t="s">
        <v>295</v>
      </c>
      <c r="K58" t="str">
        <f t="shared" si="2"/>
        <v>f58_PAPERPRO</v>
      </c>
      <c r="L58" t="str">
        <f t="shared" si="3"/>
        <v>'f58_PAPERPRO',</v>
      </c>
      <c r="O58" t="s">
        <v>403</v>
      </c>
    </row>
    <row r="59" spans="1:15" x14ac:dyDescent="0.3">
      <c r="A59" s="1" t="s">
        <v>60</v>
      </c>
      <c r="B59" t="s">
        <v>126</v>
      </c>
      <c r="C59" t="str">
        <f>B59&amp;"_"&amp;A57</f>
        <v>p59_GEOTHERM</v>
      </c>
      <c r="D59" t="str">
        <f t="shared" si="1"/>
        <v>'p59_GEOTHERM',</v>
      </c>
      <c r="F59" t="s">
        <v>517</v>
      </c>
      <c r="I59" t="s">
        <v>189</v>
      </c>
      <c r="J59" t="s">
        <v>296</v>
      </c>
      <c r="K59" t="str">
        <f t="shared" si="2"/>
        <v>f59_CHEMICAL</v>
      </c>
      <c r="L59" t="str">
        <f t="shared" si="3"/>
        <v>'f59_CHEMICAL',</v>
      </c>
      <c r="O59" t="s">
        <v>404</v>
      </c>
    </row>
    <row r="60" spans="1:15" x14ac:dyDescent="0.3">
      <c r="A60" s="1" t="s">
        <v>61</v>
      </c>
      <c r="B60" t="s">
        <v>127</v>
      </c>
      <c r="C60" t="str">
        <f>B60&amp;"_"&amp;A58</f>
        <v>p60_SOLARPV</v>
      </c>
      <c r="D60" t="str">
        <f t="shared" si="1"/>
        <v>'p60_SOLARPV',</v>
      </c>
      <c r="F60" t="s">
        <v>518</v>
      </c>
      <c r="I60" t="s">
        <v>191</v>
      </c>
      <c r="J60" t="s">
        <v>297</v>
      </c>
      <c r="K60" t="str">
        <f t="shared" si="2"/>
        <v>f60_NONMET</v>
      </c>
      <c r="L60" t="str">
        <f t="shared" si="3"/>
        <v>'f60_NONMET',</v>
      </c>
      <c r="O60" t="s">
        <v>405</v>
      </c>
    </row>
    <row r="61" spans="1:15" x14ac:dyDescent="0.3">
      <c r="A61" s="1" t="s">
        <v>62</v>
      </c>
      <c r="B61" t="s">
        <v>128</v>
      </c>
      <c r="C61" t="str">
        <f>B61&amp;"_"&amp;A59</f>
        <v>p61_SOLARTH</v>
      </c>
      <c r="D61" t="str">
        <f t="shared" si="1"/>
        <v>'p61_SOLARTH',</v>
      </c>
      <c r="F61" t="s">
        <v>519</v>
      </c>
      <c r="I61" t="s">
        <v>188</v>
      </c>
      <c r="J61" t="s">
        <v>298</v>
      </c>
      <c r="K61" t="str">
        <f t="shared" si="2"/>
        <v>f61_IRONSTL</v>
      </c>
      <c r="L61" t="str">
        <f t="shared" si="3"/>
        <v>'f61_IRONSTL',</v>
      </c>
      <c r="O61" t="s">
        <v>406</v>
      </c>
    </row>
    <row r="62" spans="1:15" x14ac:dyDescent="0.3">
      <c r="A62" s="1" t="s">
        <v>63</v>
      </c>
      <c r="B62" t="s">
        <v>129</v>
      </c>
      <c r="C62" t="str">
        <f>B62&amp;"_"&amp;A60</f>
        <v>p62_TIDE</v>
      </c>
      <c r="D62" t="str">
        <f t="shared" si="1"/>
        <v>'p62_TIDE',</v>
      </c>
      <c r="F62" t="s">
        <v>520</v>
      </c>
      <c r="I62" t="s">
        <v>190</v>
      </c>
      <c r="J62" t="s">
        <v>299</v>
      </c>
      <c r="K62" t="str">
        <f t="shared" si="2"/>
        <v>f62_NONFERR</v>
      </c>
      <c r="L62" t="str">
        <f t="shared" si="3"/>
        <v>'f62_NONFERR',</v>
      </c>
      <c r="O62" t="s">
        <v>407</v>
      </c>
    </row>
    <row r="63" spans="1:15" x14ac:dyDescent="0.3">
      <c r="A63" s="1" t="s">
        <v>64</v>
      </c>
      <c r="B63" t="s">
        <v>130</v>
      </c>
      <c r="C63" t="str">
        <f>B63&amp;"_"&amp;A61</f>
        <v>p63_WIND</v>
      </c>
      <c r="D63" t="str">
        <f t="shared" si="1"/>
        <v>'p63_WIND',</v>
      </c>
      <c r="F63" t="s">
        <v>521</v>
      </c>
      <c r="I63" t="s">
        <v>192</v>
      </c>
      <c r="J63" t="s">
        <v>300</v>
      </c>
      <c r="K63" t="str">
        <f t="shared" si="2"/>
        <v>f63_MACHINE</v>
      </c>
      <c r="L63" t="str">
        <f t="shared" si="3"/>
        <v>'f63_MACHINE',</v>
      </c>
      <c r="O63" t="s">
        <v>408</v>
      </c>
    </row>
    <row r="64" spans="1:15" x14ac:dyDescent="0.3">
      <c r="A64" s="1" t="s">
        <v>65</v>
      </c>
      <c r="B64" t="s">
        <v>131</v>
      </c>
      <c r="C64" t="str">
        <f>B64&amp;"_"&amp;A62</f>
        <v>p64_OTHER</v>
      </c>
      <c r="D64" t="str">
        <f t="shared" si="1"/>
        <v>'p64_OTHER',</v>
      </c>
      <c r="F64" t="s">
        <v>522</v>
      </c>
      <c r="I64" t="s">
        <v>456</v>
      </c>
      <c r="J64" t="s">
        <v>301</v>
      </c>
      <c r="K64" t="str">
        <f t="shared" si="2"/>
        <v xml:space="preserve">f64_TRANSEQ </v>
      </c>
      <c r="L64" t="str">
        <f t="shared" si="3"/>
        <v>'f64_TRANSEQ ',</v>
      </c>
      <c r="O64" t="s">
        <v>409</v>
      </c>
    </row>
    <row r="65" spans="1:15" x14ac:dyDescent="0.3">
      <c r="A65" s="1" t="s">
        <v>55</v>
      </c>
      <c r="B65" t="s">
        <v>132</v>
      </c>
      <c r="C65" t="str">
        <f>B65&amp;"_"&amp;A63</f>
        <v>p65_ELECTR</v>
      </c>
      <c r="D65" t="str">
        <f t="shared" si="1"/>
        <v>'p65_ELECTR',</v>
      </c>
      <c r="F65" t="s">
        <v>523</v>
      </c>
      <c r="I65" t="s">
        <v>457</v>
      </c>
      <c r="J65" t="s">
        <v>302</v>
      </c>
      <c r="K65" t="str">
        <f t="shared" si="2"/>
        <v xml:space="preserve">f65_INONSPEC </v>
      </c>
      <c r="L65" t="str">
        <f t="shared" si="3"/>
        <v>'f65_INONSPEC ',</v>
      </c>
      <c r="O65" t="s">
        <v>410</v>
      </c>
    </row>
    <row r="66" spans="1:15" x14ac:dyDescent="0.3">
      <c r="A66" s="1" t="s">
        <v>66</v>
      </c>
      <c r="B66" t="s">
        <v>133</v>
      </c>
      <c r="C66" t="str">
        <f>B66&amp;"_"&amp;A64</f>
        <v>p66_HEAT</v>
      </c>
      <c r="D66" t="str">
        <f t="shared" ref="D66:D68" si="4">"'"&amp;C66&amp;"'"&amp;","</f>
        <v>'p66_HEAT',</v>
      </c>
      <c r="F66" t="s">
        <v>524</v>
      </c>
      <c r="I66" t="s">
        <v>197</v>
      </c>
      <c r="J66" t="s">
        <v>303</v>
      </c>
      <c r="K66" t="str">
        <f t="shared" ref="K66:K108" si="5">J66&amp;"_"&amp;I66</f>
        <v>f66_CONSTRUC</v>
      </c>
      <c r="L66" t="str">
        <f t="shared" ref="L66:L108" si="6">"'"&amp;K66&amp;"'"&amp;","</f>
        <v>'f66_CONSTRUC',</v>
      </c>
      <c r="O66" t="s">
        <v>411</v>
      </c>
    </row>
    <row r="67" spans="1:15" x14ac:dyDescent="0.3">
      <c r="A67" s="1" t="s">
        <v>19</v>
      </c>
      <c r="B67" t="s">
        <v>134</v>
      </c>
      <c r="C67" t="str">
        <f>B67&amp;"_"&amp;A66</f>
        <v>p67_TOTAL</v>
      </c>
      <c r="D67" t="str">
        <f t="shared" si="4"/>
        <v>'p67_TOTAL',</v>
      </c>
      <c r="F67" t="s">
        <v>525</v>
      </c>
      <c r="I67" t="s">
        <v>209</v>
      </c>
      <c r="J67" t="s">
        <v>304</v>
      </c>
      <c r="K67" t="str">
        <f t="shared" si="5"/>
        <v>f67_COMMPUB</v>
      </c>
      <c r="L67" t="str">
        <f t="shared" si="6"/>
        <v>'f67_COMMPUB',</v>
      </c>
      <c r="O67" t="s">
        <v>412</v>
      </c>
    </row>
    <row r="68" spans="1:15" x14ac:dyDescent="0.3">
      <c r="A68" s="1" t="s">
        <v>67</v>
      </c>
      <c r="B68" t="s">
        <v>135</v>
      </c>
      <c r="C68" t="str">
        <f>B68&amp;"_"&amp;A68</f>
        <v>p68_MRENEW</v>
      </c>
      <c r="D68" t="str">
        <f t="shared" si="4"/>
        <v>'p68_MRENEW',</v>
      </c>
      <c r="F68" t="s">
        <v>526</v>
      </c>
      <c r="I68" t="s">
        <v>54</v>
      </c>
      <c r="J68" t="s">
        <v>305</v>
      </c>
      <c r="K68" t="str">
        <f t="shared" si="5"/>
        <v>f68_ONONSPEC</v>
      </c>
      <c r="L68" t="str">
        <f t="shared" si="6"/>
        <v>'f68_ONONSPEC',</v>
      </c>
      <c r="O68" t="s">
        <v>413</v>
      </c>
    </row>
    <row r="69" spans="1:15" x14ac:dyDescent="0.3">
      <c r="I69" t="s">
        <v>208</v>
      </c>
      <c r="J69" t="s">
        <v>306</v>
      </c>
      <c r="K69" t="str">
        <f t="shared" si="5"/>
        <v>f69_RESIDENT</v>
      </c>
      <c r="L69" t="str">
        <f t="shared" si="6"/>
        <v>'f69_RESIDENT',</v>
      </c>
      <c r="O69" t="s">
        <v>414</v>
      </c>
    </row>
    <row r="70" spans="1:15" x14ac:dyDescent="0.3">
      <c r="I70" t="s">
        <v>200</v>
      </c>
      <c r="J70" t="s">
        <v>307</v>
      </c>
      <c r="K70" t="str">
        <f t="shared" si="5"/>
        <v>f70_ROAD</v>
      </c>
      <c r="L70" t="str">
        <f t="shared" si="6"/>
        <v>'f70_ROAD',</v>
      </c>
      <c r="O70" t="s">
        <v>415</v>
      </c>
    </row>
    <row r="71" spans="1:15" x14ac:dyDescent="0.3">
      <c r="I71" t="s">
        <v>203</v>
      </c>
      <c r="J71" t="s">
        <v>308</v>
      </c>
      <c r="K71" t="str">
        <f t="shared" si="5"/>
        <v>f71_RAIL</v>
      </c>
      <c r="L71" t="str">
        <f t="shared" si="6"/>
        <v>'f71_RAIL',</v>
      </c>
      <c r="O71" t="s">
        <v>416</v>
      </c>
    </row>
    <row r="72" spans="1:15" x14ac:dyDescent="0.3">
      <c r="I72" t="s">
        <v>202</v>
      </c>
      <c r="J72" t="s">
        <v>309</v>
      </c>
      <c r="K72" t="str">
        <f t="shared" si="5"/>
        <v>f72_DOMESAIR</v>
      </c>
      <c r="L72" t="str">
        <f t="shared" si="6"/>
        <v>'f72_DOMESAIR',</v>
      </c>
      <c r="O72" t="s">
        <v>417</v>
      </c>
    </row>
    <row r="73" spans="1:15" x14ac:dyDescent="0.3">
      <c r="I73" t="s">
        <v>206</v>
      </c>
      <c r="J73" t="s">
        <v>310</v>
      </c>
      <c r="K73" t="str">
        <f t="shared" si="5"/>
        <v>f73_DOMESNAV</v>
      </c>
      <c r="L73" t="str">
        <f t="shared" si="6"/>
        <v>'f73_DOMESNAV',</v>
      </c>
      <c r="O73" t="s">
        <v>418</v>
      </c>
    </row>
    <row r="74" spans="1:15" x14ac:dyDescent="0.3">
      <c r="I74" t="s">
        <v>204</v>
      </c>
      <c r="J74" t="s">
        <v>311</v>
      </c>
      <c r="K74" t="str">
        <f t="shared" si="5"/>
        <v>f74_PIPELINE</v>
      </c>
      <c r="L74" t="str">
        <f t="shared" si="6"/>
        <v>'f74_PIPELINE',</v>
      </c>
      <c r="O74" t="s">
        <v>419</v>
      </c>
    </row>
    <row r="75" spans="1:15" x14ac:dyDescent="0.3">
      <c r="I75" t="s">
        <v>207</v>
      </c>
      <c r="J75" t="s">
        <v>312</v>
      </c>
      <c r="K75" t="str">
        <f t="shared" si="5"/>
        <v>f75_TRNONSPE</v>
      </c>
      <c r="L75" t="str">
        <f t="shared" si="6"/>
        <v>'f75_TRNONSPE',</v>
      </c>
      <c r="O75" t="s">
        <v>420</v>
      </c>
    </row>
    <row r="76" spans="1:15" x14ac:dyDescent="0.3">
      <c r="I76" t="s">
        <v>221</v>
      </c>
      <c r="J76" t="s">
        <v>313</v>
      </c>
      <c r="K76" t="str">
        <f t="shared" si="5"/>
        <v>f76_NEMINING</v>
      </c>
      <c r="L76" t="str">
        <f t="shared" si="6"/>
        <v>'f76_NEMINING',</v>
      </c>
      <c r="O76" t="s">
        <v>421</v>
      </c>
    </row>
    <row r="77" spans="1:15" x14ac:dyDescent="0.3">
      <c r="I77" t="s">
        <v>222</v>
      </c>
      <c r="J77" t="s">
        <v>314</v>
      </c>
      <c r="K77" t="str">
        <f t="shared" si="5"/>
        <v>f77_NEFOODPRO</v>
      </c>
      <c r="L77" t="str">
        <f t="shared" si="6"/>
        <v>'f77_NEFOODPRO',</v>
      </c>
      <c r="O77" t="s">
        <v>422</v>
      </c>
    </row>
    <row r="78" spans="1:15" x14ac:dyDescent="0.3">
      <c r="I78" t="s">
        <v>226</v>
      </c>
      <c r="J78" t="s">
        <v>315</v>
      </c>
      <c r="K78" t="str">
        <f t="shared" si="5"/>
        <v>f78_NETEXTILES</v>
      </c>
      <c r="L78" t="str">
        <f t="shared" si="6"/>
        <v>'f78_NETEXTILES',</v>
      </c>
      <c r="O78" t="s">
        <v>423</v>
      </c>
    </row>
    <row r="79" spans="1:15" x14ac:dyDescent="0.3">
      <c r="I79" t="s">
        <v>224</v>
      </c>
      <c r="J79" t="s">
        <v>316</v>
      </c>
      <c r="K79" t="str">
        <f t="shared" si="5"/>
        <v>f79_NEWOODPRO</v>
      </c>
      <c r="L79" t="str">
        <f t="shared" si="6"/>
        <v>'f79_NEWOODPRO',</v>
      </c>
      <c r="O79" t="s">
        <v>424</v>
      </c>
    </row>
    <row r="80" spans="1:15" x14ac:dyDescent="0.3">
      <c r="I80" t="s">
        <v>223</v>
      </c>
      <c r="J80" t="s">
        <v>317</v>
      </c>
      <c r="K80" t="str">
        <f t="shared" si="5"/>
        <v>f80_NEPAPERPRO</v>
      </c>
      <c r="L80" t="str">
        <f t="shared" si="6"/>
        <v>'f80_NEPAPERPRO',</v>
      </c>
      <c r="O80" t="s">
        <v>425</v>
      </c>
    </row>
    <row r="81" spans="9:15" x14ac:dyDescent="0.3">
      <c r="I81" t="s">
        <v>216</v>
      </c>
      <c r="J81" t="s">
        <v>318</v>
      </c>
      <c r="K81" t="str">
        <f t="shared" si="5"/>
        <v>f81_NECHEM</v>
      </c>
      <c r="L81" t="str">
        <f t="shared" si="6"/>
        <v>'f81_NECHEM',</v>
      </c>
      <c r="O81" t="s">
        <v>426</v>
      </c>
    </row>
    <row r="82" spans="9:15" x14ac:dyDescent="0.3">
      <c r="I82" t="s">
        <v>218</v>
      </c>
      <c r="J82" t="s">
        <v>319</v>
      </c>
      <c r="K82" t="str">
        <f t="shared" si="5"/>
        <v>f82_NENONMET</v>
      </c>
      <c r="L82" t="str">
        <f t="shared" si="6"/>
        <v>'f82_NENONMET',</v>
      </c>
      <c r="O82" t="s">
        <v>427</v>
      </c>
    </row>
    <row r="83" spans="9:15" x14ac:dyDescent="0.3">
      <c r="I83" t="s">
        <v>215</v>
      </c>
      <c r="J83" t="s">
        <v>320</v>
      </c>
      <c r="K83" t="str">
        <f t="shared" si="5"/>
        <v>f83_NEIRONSTL</v>
      </c>
      <c r="L83" t="str">
        <f t="shared" si="6"/>
        <v>'f83_NEIRONSTL',</v>
      </c>
      <c r="O83" t="s">
        <v>428</v>
      </c>
    </row>
    <row r="84" spans="9:15" x14ac:dyDescent="0.3">
      <c r="I84" t="s">
        <v>217</v>
      </c>
      <c r="J84" t="s">
        <v>321</v>
      </c>
      <c r="K84" t="str">
        <f t="shared" si="5"/>
        <v>f84_NENONFERR</v>
      </c>
      <c r="L84" t="str">
        <f t="shared" si="6"/>
        <v>'f84_NENONFERR',</v>
      </c>
      <c r="O84" t="s">
        <v>429</v>
      </c>
    </row>
    <row r="85" spans="9:15" x14ac:dyDescent="0.3">
      <c r="I85" t="s">
        <v>220</v>
      </c>
      <c r="J85" t="s">
        <v>322</v>
      </c>
      <c r="K85" t="str">
        <f t="shared" si="5"/>
        <v>f85_NEMACHINE</v>
      </c>
      <c r="L85" t="str">
        <f t="shared" si="6"/>
        <v>'f85_NEMACHINE',</v>
      </c>
      <c r="O85" t="s">
        <v>430</v>
      </c>
    </row>
    <row r="86" spans="9:15" x14ac:dyDescent="0.3">
      <c r="I86" t="s">
        <v>219</v>
      </c>
      <c r="J86" t="s">
        <v>323</v>
      </c>
      <c r="K86" t="str">
        <f t="shared" si="5"/>
        <v>f86_NETRANSEQ</v>
      </c>
      <c r="L86" t="str">
        <f t="shared" si="6"/>
        <v>'f86_NETRANSEQ',</v>
      </c>
      <c r="O86" t="s">
        <v>431</v>
      </c>
    </row>
    <row r="87" spans="9:15" x14ac:dyDescent="0.3">
      <c r="I87" t="s">
        <v>227</v>
      </c>
      <c r="J87" t="s">
        <v>324</v>
      </c>
      <c r="K87" t="str">
        <f t="shared" si="5"/>
        <v>f87_NEINONSPEC</v>
      </c>
      <c r="L87" t="str">
        <f t="shared" si="6"/>
        <v>'f87_NEINONSPEC',</v>
      </c>
      <c r="O87" t="s">
        <v>432</v>
      </c>
    </row>
    <row r="88" spans="9:15" x14ac:dyDescent="0.3">
      <c r="I88" t="s">
        <v>225</v>
      </c>
      <c r="J88" t="s">
        <v>325</v>
      </c>
      <c r="K88" t="str">
        <f t="shared" si="5"/>
        <v>f88_NECONSTRUC</v>
      </c>
      <c r="L88" t="str">
        <f t="shared" si="6"/>
        <v>'f88_NECONSTRUC',</v>
      </c>
      <c r="O88" t="s">
        <v>433</v>
      </c>
    </row>
    <row r="89" spans="9:15" x14ac:dyDescent="0.3">
      <c r="I89" t="s">
        <v>213</v>
      </c>
      <c r="J89" t="s">
        <v>326</v>
      </c>
      <c r="K89" t="str">
        <f t="shared" si="5"/>
        <v>f89_NEOTHER</v>
      </c>
      <c r="L89" t="str">
        <f t="shared" si="6"/>
        <v>'f89_NEOTHER',</v>
      </c>
      <c r="O89" t="s">
        <v>434</v>
      </c>
    </row>
    <row r="90" spans="9:15" x14ac:dyDescent="0.3">
      <c r="I90" t="s">
        <v>212</v>
      </c>
      <c r="J90" t="s">
        <v>327</v>
      </c>
      <c r="K90" t="str">
        <f t="shared" si="5"/>
        <v>f90_NETRANS</v>
      </c>
      <c r="L90" t="str">
        <f t="shared" si="6"/>
        <v>'f90_NETRANS',</v>
      </c>
      <c r="O90" t="s">
        <v>435</v>
      </c>
    </row>
    <row r="91" spans="9:15" x14ac:dyDescent="0.3">
      <c r="I91" t="s">
        <v>187</v>
      </c>
      <c r="J91" t="s">
        <v>328</v>
      </c>
      <c r="K91" t="str">
        <f t="shared" si="5"/>
        <v>f91_TOTIND</v>
      </c>
      <c r="L91" t="str">
        <f t="shared" si="6"/>
        <v>'f91_TOTIND',</v>
      </c>
      <c r="O91" t="s">
        <v>436</v>
      </c>
    </row>
    <row r="92" spans="9:15" x14ac:dyDescent="0.3">
      <c r="I92" t="s">
        <v>458</v>
      </c>
      <c r="J92" t="s">
        <v>329</v>
      </c>
      <c r="K92" t="str">
        <f t="shared" si="5"/>
        <v xml:space="preserve">f92_MANUFACT </v>
      </c>
      <c r="L92" t="str">
        <f t="shared" si="6"/>
        <v>'f92_MANUFACT ',</v>
      </c>
      <c r="O92" t="s">
        <v>437</v>
      </c>
    </row>
    <row r="93" spans="9:15" x14ac:dyDescent="0.3">
      <c r="I93" t="s">
        <v>199</v>
      </c>
      <c r="J93" t="s">
        <v>330</v>
      </c>
      <c r="K93" t="str">
        <f t="shared" si="5"/>
        <v>f93_TOTTRANS</v>
      </c>
      <c r="L93" t="str">
        <f t="shared" si="6"/>
        <v>'f93_TOTTRANS',</v>
      </c>
      <c r="O93" t="s">
        <v>438</v>
      </c>
    </row>
    <row r="94" spans="9:15" x14ac:dyDescent="0.3">
      <c r="I94" t="s">
        <v>210</v>
      </c>
      <c r="J94" t="s">
        <v>331</v>
      </c>
      <c r="K94" t="str">
        <f t="shared" si="5"/>
        <v>f94_NONENUSE</v>
      </c>
      <c r="L94" t="str">
        <f t="shared" si="6"/>
        <v>'f94_NONENUSE',</v>
      </c>
      <c r="O94" t="s">
        <v>439</v>
      </c>
    </row>
    <row r="95" spans="9:15" x14ac:dyDescent="0.3">
      <c r="I95" t="s">
        <v>211</v>
      </c>
      <c r="J95" t="s">
        <v>332</v>
      </c>
      <c r="K95" t="str">
        <f t="shared" si="5"/>
        <v>f95_NEINTREN</v>
      </c>
      <c r="L95" t="str">
        <f t="shared" si="6"/>
        <v>'f95_NEINTREN',</v>
      </c>
      <c r="O95" t="s">
        <v>440</v>
      </c>
    </row>
    <row r="96" spans="9:15" x14ac:dyDescent="0.3">
      <c r="I96" t="s">
        <v>214</v>
      </c>
      <c r="J96" t="s">
        <v>333</v>
      </c>
      <c r="K96" t="str">
        <f t="shared" si="5"/>
        <v>f96_NEIND</v>
      </c>
      <c r="L96" t="str">
        <f t="shared" si="6"/>
        <v>'f96_NEIND',</v>
      </c>
      <c r="O96" t="s">
        <v>441</v>
      </c>
    </row>
    <row r="97" spans="9:15" x14ac:dyDescent="0.3">
      <c r="I97" t="s">
        <v>201</v>
      </c>
      <c r="J97" t="s">
        <v>334</v>
      </c>
      <c r="K97" t="str">
        <f t="shared" si="5"/>
        <v>f97_WORLDAV</v>
      </c>
      <c r="L97" t="str">
        <f t="shared" si="6"/>
        <v>'f97_WORLDAV',</v>
      </c>
      <c r="O97" t="s">
        <v>442</v>
      </c>
    </row>
    <row r="98" spans="9:15" x14ac:dyDescent="0.3">
      <c r="I98" t="s">
        <v>205</v>
      </c>
      <c r="J98" t="s">
        <v>335</v>
      </c>
      <c r="K98" t="str">
        <f t="shared" si="5"/>
        <v>f98_WORLDMAR</v>
      </c>
      <c r="L98" t="str">
        <f t="shared" si="6"/>
        <v>'f98_WORLDMAR',</v>
      </c>
      <c r="O98" t="s">
        <v>443</v>
      </c>
    </row>
    <row r="99" spans="9:15" x14ac:dyDescent="0.3">
      <c r="I99" t="s">
        <v>228</v>
      </c>
      <c r="J99" t="s">
        <v>336</v>
      </c>
      <c r="K99" t="str">
        <f t="shared" si="5"/>
        <v>f99_ELOUTPUT</v>
      </c>
      <c r="L99" t="str">
        <f t="shared" si="6"/>
        <v>'f99_ELOUTPUT',</v>
      </c>
      <c r="O99" t="s">
        <v>444</v>
      </c>
    </row>
    <row r="100" spans="9:15" x14ac:dyDescent="0.3">
      <c r="I100" t="s">
        <v>229</v>
      </c>
      <c r="J100" t="s">
        <v>337</v>
      </c>
      <c r="K100" t="str">
        <f t="shared" si="5"/>
        <v>f100_ELMAINE</v>
      </c>
      <c r="L100" t="str">
        <f t="shared" si="6"/>
        <v>'f100_ELMAINE',</v>
      </c>
      <c r="O100" t="s">
        <v>445</v>
      </c>
    </row>
    <row r="101" spans="9:15" x14ac:dyDescent="0.3">
      <c r="I101" t="s">
        <v>230</v>
      </c>
      <c r="J101" t="s">
        <v>338</v>
      </c>
      <c r="K101" t="str">
        <f t="shared" si="5"/>
        <v>f101_ELAUTOE</v>
      </c>
      <c r="L101" t="str">
        <f t="shared" si="6"/>
        <v>'f101_ELAUTOE',</v>
      </c>
      <c r="O101" t="s">
        <v>446</v>
      </c>
    </row>
    <row r="102" spans="9:15" x14ac:dyDescent="0.3">
      <c r="I102" t="s">
        <v>231</v>
      </c>
      <c r="J102" t="s">
        <v>339</v>
      </c>
      <c r="K102" t="str">
        <f t="shared" si="5"/>
        <v>f102_ELMAINC</v>
      </c>
      <c r="L102" t="str">
        <f t="shared" si="6"/>
        <v>'f102_ELMAINC',</v>
      </c>
      <c r="O102" t="s">
        <v>447</v>
      </c>
    </row>
    <row r="103" spans="9:15" x14ac:dyDescent="0.3">
      <c r="I103" t="s">
        <v>232</v>
      </c>
      <c r="J103" t="s">
        <v>340</v>
      </c>
      <c r="K103" t="str">
        <f t="shared" si="5"/>
        <v>f103_ELAUTOC</v>
      </c>
      <c r="L103" t="str">
        <f t="shared" si="6"/>
        <v>'f103_ELAUTOC',</v>
      </c>
      <c r="O103" t="s">
        <v>448</v>
      </c>
    </row>
    <row r="104" spans="9:15" x14ac:dyDescent="0.3">
      <c r="I104" t="s">
        <v>237</v>
      </c>
      <c r="J104" t="s">
        <v>341</v>
      </c>
      <c r="K104" t="str">
        <f t="shared" si="5"/>
        <v>f104_HEATOUT</v>
      </c>
      <c r="L104" t="str">
        <f t="shared" si="6"/>
        <v>'f104_HEATOUT',</v>
      </c>
      <c r="O104" t="s">
        <v>449</v>
      </c>
    </row>
    <row r="105" spans="9:15" x14ac:dyDescent="0.3">
      <c r="I105" t="s">
        <v>233</v>
      </c>
      <c r="J105" t="s">
        <v>342</v>
      </c>
      <c r="K105" t="str">
        <f t="shared" si="5"/>
        <v>f105_HEMAINC</v>
      </c>
      <c r="L105" t="str">
        <f t="shared" si="6"/>
        <v>'f105_HEMAINC',</v>
      </c>
      <c r="O105" t="s">
        <v>450</v>
      </c>
    </row>
    <row r="106" spans="9:15" x14ac:dyDescent="0.3">
      <c r="I106" t="s">
        <v>234</v>
      </c>
      <c r="J106" t="s">
        <v>343</v>
      </c>
      <c r="K106" t="str">
        <f t="shared" si="5"/>
        <v>f106_HEAUTOC</v>
      </c>
      <c r="L106" t="str">
        <f t="shared" si="6"/>
        <v>'f106_HEAUTOC',</v>
      </c>
      <c r="O106" t="s">
        <v>451</v>
      </c>
    </row>
    <row r="107" spans="9:15" x14ac:dyDescent="0.3">
      <c r="I107" t="s">
        <v>235</v>
      </c>
      <c r="J107" t="s">
        <v>344</v>
      </c>
      <c r="K107" t="str">
        <f t="shared" si="5"/>
        <v>f107_HEMAINH</v>
      </c>
      <c r="L107" t="str">
        <f t="shared" si="6"/>
        <v>'f107_HEMAINH',</v>
      </c>
      <c r="O107" t="s">
        <v>452</v>
      </c>
    </row>
    <row r="108" spans="9:15" x14ac:dyDescent="0.3">
      <c r="I108" t="s">
        <v>236</v>
      </c>
      <c r="J108" t="s">
        <v>345</v>
      </c>
      <c r="K108" t="str">
        <f t="shared" si="5"/>
        <v>f108_HEAUTOH</v>
      </c>
      <c r="L108" t="str">
        <f t="shared" si="6"/>
        <v>'f108_HEAUTOH',</v>
      </c>
      <c r="O108" t="s">
        <v>453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86EB-98AB-4C02-9630-054417D27860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2026-06-11T14:25:01Z</dcterms:created>
  <dcterms:modified xsi:type="dcterms:W3CDTF">2026-06-11T15:28:07Z</dcterms:modified>
</cp:coreProperties>
</file>