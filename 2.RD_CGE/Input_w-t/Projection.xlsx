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-t\"/>
    </mc:Choice>
  </mc:AlternateContent>
  <xr:revisionPtr revIDLastSave="0" documentId="13_ncr:1_{E7DD9A0F-22F2-45AE-8CB7-D3FC552A8E39}" xr6:coauthVersionLast="36" xr6:coauthVersionMax="36" xr10:uidLastSave="{00000000-0000-0000-0000-000000000000}"/>
  <bookViews>
    <workbookView xWindow="0" yWindow="0" windowWidth="23040" windowHeight="9684" tabRatio="870" activeTab="13" xr2:uid="{F15F39B2-9333-4C81-A44C-4FDD4B656403}"/>
  </bookViews>
  <sheets>
    <sheet name="Baseyear" sheetId="12" r:id="rId1"/>
    <sheet name="GDP" sheetId="2" r:id="rId2"/>
    <sheet name="TOT_POP" sheetId="4" r:id="rId3"/>
    <sheet name="Saving rate" sheetId="19" r:id="rId4"/>
    <sheet name="GDP_Projection" sheetId="3" r:id="rId5"/>
    <sheet name="TOT_POP_Projection" sheetId="5" r:id="rId6"/>
    <sheet name="g_SDR" sheetId="20" r:id="rId7"/>
    <sheet name="AEEI_low" sheetId="22" r:id="rId8"/>
    <sheet name="AEEI_high" sheetId="11" r:id="rId9"/>
    <sheet name="TREND" sheetId="18" r:id="rId10"/>
    <sheet name="TREND2" sheetId="26" r:id="rId11"/>
    <sheet name="CTAX_Cal" sheetId="23" r:id="rId12"/>
    <sheet name="CTAX_CPS" sheetId="24" r:id="rId13"/>
    <sheet name="CTAX_NZS" sheetId="25" r:id="rId14"/>
    <sheet name="CTAX_61" sheetId="17" r:id="rId15"/>
    <sheet name="CTAX_145" sheetId="13" r:id="rId16"/>
    <sheet name="CTAX_285" sheetId="14" r:id="rId17"/>
    <sheet name="CTAX_425" sheetId="15" r:id="rId18"/>
    <sheet name="CTAX_565" sheetId="16" r:id="rId19"/>
  </sheets>
  <definedNames>
    <definedName name="_xlnm._FilterDatabase" localSheetId="4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" i="24" l="1"/>
  <c r="AI2" i="24" s="1"/>
  <c r="AI3" i="24"/>
  <c r="AI4" i="24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F7" i="24" l="1"/>
  <c r="G7" i="24" s="1"/>
  <c r="H7" i="24" s="1"/>
  <c r="I7" i="24" s="1"/>
  <c r="J7" i="24" s="1"/>
  <c r="K7" i="24" s="1"/>
  <c r="L7" i="24" s="1"/>
  <c r="M7" i="24" s="1"/>
  <c r="N7" i="24" s="1"/>
  <c r="O7" i="24" s="1"/>
  <c r="P7" i="24" s="1"/>
  <c r="Q7" i="24" s="1"/>
  <c r="R7" i="24" s="1"/>
  <c r="S7" i="24" s="1"/>
  <c r="T7" i="24" s="1"/>
  <c r="U7" i="24" s="1"/>
  <c r="V7" i="24" s="1"/>
  <c r="W7" i="24" s="1"/>
  <c r="X7" i="24" s="1"/>
  <c r="Y7" i="24" s="1"/>
  <c r="Z7" i="24" s="1"/>
  <c r="AA7" i="24" s="1"/>
  <c r="AB7" i="24" s="1"/>
  <c r="AC7" i="24" s="1"/>
  <c r="AD7" i="24" s="1"/>
  <c r="AE7" i="24" s="1"/>
  <c r="AF7" i="24" s="1"/>
  <c r="G19" i="2" l="1"/>
  <c r="G20" i="2"/>
  <c r="G21" i="2"/>
  <c r="G22" i="2"/>
  <c r="G23" i="2"/>
  <c r="G24" i="2"/>
  <c r="G25" i="2"/>
  <c r="G26" i="2"/>
  <c r="G27" i="2"/>
  <c r="G28" i="2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6" i="2"/>
  <c r="AI1" i="25" l="1"/>
  <c r="AI16" i="25" s="1"/>
  <c r="F16" i="25" s="1"/>
  <c r="G16" i="25" s="1"/>
  <c r="H16" i="25" s="1"/>
  <c r="I16" i="25" s="1"/>
  <c r="J16" i="25" s="1"/>
  <c r="K16" i="25" s="1"/>
  <c r="L16" i="25" s="1"/>
  <c r="M16" i="25" s="1"/>
  <c r="N16" i="25" s="1"/>
  <c r="O16" i="25" s="1"/>
  <c r="P16" i="25" s="1"/>
  <c r="Q16" i="25" s="1"/>
  <c r="R16" i="25" s="1"/>
  <c r="S16" i="25" s="1"/>
  <c r="T16" i="25" s="1"/>
  <c r="U16" i="25" s="1"/>
  <c r="V16" i="25" s="1"/>
  <c r="W16" i="25" s="1"/>
  <c r="X16" i="25" s="1"/>
  <c r="Y16" i="25" s="1"/>
  <c r="Z16" i="25" s="1"/>
  <c r="AA16" i="25" s="1"/>
  <c r="AB16" i="25" s="1"/>
  <c r="AC16" i="25" s="1"/>
  <c r="AD16" i="25" s="1"/>
  <c r="AE16" i="25" s="1"/>
  <c r="AF16" i="25" s="1"/>
  <c r="F8" i="24"/>
  <c r="F9" i="24"/>
  <c r="F10" i="24"/>
  <c r="F11" i="24"/>
  <c r="F12" i="24"/>
  <c r="F13" i="24"/>
  <c r="F14" i="24"/>
  <c r="F15" i="24"/>
  <c r="F16" i="24"/>
  <c r="F17" i="24"/>
  <c r="F18" i="24"/>
  <c r="F5" i="24"/>
  <c r="G5" i="24" s="1"/>
  <c r="H5" i="24" s="1"/>
  <c r="I5" i="24" s="1"/>
  <c r="J5" i="24" s="1"/>
  <c r="K5" i="24" s="1"/>
  <c r="L5" i="24" s="1"/>
  <c r="M5" i="24" s="1"/>
  <c r="N5" i="24" s="1"/>
  <c r="O5" i="24" s="1"/>
  <c r="P5" i="24" s="1"/>
  <c r="Q5" i="24" s="1"/>
  <c r="R5" i="24" s="1"/>
  <c r="S5" i="24" s="1"/>
  <c r="T5" i="24" s="1"/>
  <c r="U5" i="24" s="1"/>
  <c r="V5" i="24" s="1"/>
  <c r="W5" i="24" s="1"/>
  <c r="X5" i="24" s="1"/>
  <c r="Y5" i="24" s="1"/>
  <c r="Z5" i="24" s="1"/>
  <c r="AA5" i="24" s="1"/>
  <c r="AB5" i="24" s="1"/>
  <c r="AC5" i="24" s="1"/>
  <c r="AD5" i="24" s="1"/>
  <c r="AE5" i="24" s="1"/>
  <c r="AF5" i="24" s="1"/>
  <c r="AI17" i="25" l="1"/>
  <c r="F17" i="25" s="1"/>
  <c r="G17" i="25" s="1"/>
  <c r="H17" i="25" s="1"/>
  <c r="I17" i="25" s="1"/>
  <c r="J17" i="25" s="1"/>
  <c r="K17" i="25" s="1"/>
  <c r="L17" i="25" s="1"/>
  <c r="M17" i="25" s="1"/>
  <c r="N17" i="25" s="1"/>
  <c r="O17" i="25" s="1"/>
  <c r="P17" i="25" s="1"/>
  <c r="Q17" i="25" s="1"/>
  <c r="R17" i="25" s="1"/>
  <c r="S17" i="25" s="1"/>
  <c r="T17" i="25" s="1"/>
  <c r="U17" i="25" s="1"/>
  <c r="V17" i="25" s="1"/>
  <c r="W17" i="25" s="1"/>
  <c r="X17" i="25" s="1"/>
  <c r="Y17" i="25" s="1"/>
  <c r="Z17" i="25" s="1"/>
  <c r="AA17" i="25" s="1"/>
  <c r="AB17" i="25" s="1"/>
  <c r="AC17" i="25" s="1"/>
  <c r="AD17" i="25" s="1"/>
  <c r="AE17" i="25" s="1"/>
  <c r="AF17" i="25" s="1"/>
  <c r="AI14" i="25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AI8" i="25"/>
  <c r="F8" i="25" s="1"/>
  <c r="G8" i="25" s="1"/>
  <c r="H8" i="25" s="1"/>
  <c r="I8" i="25" s="1"/>
  <c r="J8" i="25" s="1"/>
  <c r="K8" i="25" s="1"/>
  <c r="L8" i="25" s="1"/>
  <c r="M8" i="25" s="1"/>
  <c r="N8" i="25" s="1"/>
  <c r="O8" i="25" s="1"/>
  <c r="P8" i="25" s="1"/>
  <c r="Q8" i="25" s="1"/>
  <c r="R8" i="25" s="1"/>
  <c r="S8" i="25" s="1"/>
  <c r="T8" i="25" s="1"/>
  <c r="U8" i="25" s="1"/>
  <c r="V8" i="25" s="1"/>
  <c r="W8" i="25" s="1"/>
  <c r="X8" i="25" s="1"/>
  <c r="Y8" i="25" s="1"/>
  <c r="Z8" i="25" s="1"/>
  <c r="AA8" i="25" s="1"/>
  <c r="AB8" i="25" s="1"/>
  <c r="AC8" i="25" s="1"/>
  <c r="AD8" i="25" s="1"/>
  <c r="AE8" i="25" s="1"/>
  <c r="AF8" i="25" s="1"/>
  <c r="AI2" i="25"/>
  <c r="F2" i="25" s="1"/>
  <c r="G2" i="25" s="1"/>
  <c r="H2" i="25" s="1"/>
  <c r="I2" i="25" s="1"/>
  <c r="J2" i="25" s="1"/>
  <c r="K2" i="25" s="1"/>
  <c r="L2" i="25" s="1"/>
  <c r="M2" i="25" s="1"/>
  <c r="N2" i="25" s="1"/>
  <c r="O2" i="25" s="1"/>
  <c r="P2" i="25" s="1"/>
  <c r="Q2" i="25" s="1"/>
  <c r="R2" i="25" s="1"/>
  <c r="S2" i="25" s="1"/>
  <c r="T2" i="25" s="1"/>
  <c r="U2" i="25" s="1"/>
  <c r="V2" i="25" s="1"/>
  <c r="W2" i="25" s="1"/>
  <c r="X2" i="25" s="1"/>
  <c r="Y2" i="25" s="1"/>
  <c r="Z2" i="25" s="1"/>
  <c r="AA2" i="25" s="1"/>
  <c r="AB2" i="25" s="1"/>
  <c r="AC2" i="25" s="1"/>
  <c r="AD2" i="25" s="1"/>
  <c r="AE2" i="25" s="1"/>
  <c r="AF2" i="25" s="1"/>
  <c r="AI11" i="25"/>
  <c r="F11" i="25" s="1"/>
  <c r="G11" i="25" s="1"/>
  <c r="H11" i="25" s="1"/>
  <c r="I11" i="25" s="1"/>
  <c r="J11" i="25" s="1"/>
  <c r="K11" i="25" s="1"/>
  <c r="L11" i="25" s="1"/>
  <c r="M11" i="25" s="1"/>
  <c r="N11" i="25" s="1"/>
  <c r="O11" i="25" s="1"/>
  <c r="P11" i="25" s="1"/>
  <c r="Q11" i="25" s="1"/>
  <c r="R11" i="25" s="1"/>
  <c r="S11" i="25" s="1"/>
  <c r="T11" i="25" s="1"/>
  <c r="U11" i="25" s="1"/>
  <c r="V11" i="25" s="1"/>
  <c r="W11" i="25" s="1"/>
  <c r="X11" i="25" s="1"/>
  <c r="Y11" i="25" s="1"/>
  <c r="Z11" i="25" s="1"/>
  <c r="AA11" i="25" s="1"/>
  <c r="AB11" i="25" s="1"/>
  <c r="AC11" i="25" s="1"/>
  <c r="AD11" i="25" s="1"/>
  <c r="AE11" i="25" s="1"/>
  <c r="AF11" i="25" s="1"/>
  <c r="AI5" i="25"/>
  <c r="F5" i="25" s="1"/>
  <c r="G5" i="25" s="1"/>
  <c r="H5" i="25" s="1"/>
  <c r="I5" i="25" s="1"/>
  <c r="J5" i="25" s="1"/>
  <c r="K5" i="25" s="1"/>
  <c r="L5" i="25" s="1"/>
  <c r="M5" i="25" s="1"/>
  <c r="N5" i="25" s="1"/>
  <c r="O5" i="25" s="1"/>
  <c r="P5" i="25" s="1"/>
  <c r="Q5" i="25" s="1"/>
  <c r="R5" i="25" s="1"/>
  <c r="S5" i="25" s="1"/>
  <c r="T5" i="25" s="1"/>
  <c r="U5" i="25" s="1"/>
  <c r="V5" i="25" s="1"/>
  <c r="W5" i="25" s="1"/>
  <c r="X5" i="25" s="1"/>
  <c r="Y5" i="25" s="1"/>
  <c r="Z5" i="25" s="1"/>
  <c r="AA5" i="25" s="1"/>
  <c r="AB5" i="25" s="1"/>
  <c r="AC5" i="25" s="1"/>
  <c r="AD5" i="25" s="1"/>
  <c r="AE5" i="25" s="1"/>
  <c r="AF5" i="25" s="1"/>
  <c r="AI13" i="25"/>
  <c r="F13" i="25" s="1"/>
  <c r="G13" i="25" s="1"/>
  <c r="H13" i="25" s="1"/>
  <c r="I13" i="25" s="1"/>
  <c r="J13" i="25" s="1"/>
  <c r="K13" i="25" s="1"/>
  <c r="L13" i="25" s="1"/>
  <c r="M13" i="25" s="1"/>
  <c r="N13" i="25" s="1"/>
  <c r="O13" i="25" s="1"/>
  <c r="P13" i="25" s="1"/>
  <c r="Q13" i="25" s="1"/>
  <c r="R13" i="25" s="1"/>
  <c r="S13" i="25" s="1"/>
  <c r="T13" i="25" s="1"/>
  <c r="U13" i="25" s="1"/>
  <c r="V13" i="25" s="1"/>
  <c r="W13" i="25" s="1"/>
  <c r="X13" i="25" s="1"/>
  <c r="Y13" i="25" s="1"/>
  <c r="Z13" i="25" s="1"/>
  <c r="AA13" i="25" s="1"/>
  <c r="AB13" i="25" s="1"/>
  <c r="AC13" i="25" s="1"/>
  <c r="AD13" i="25" s="1"/>
  <c r="AE13" i="25" s="1"/>
  <c r="AF13" i="25" s="1"/>
  <c r="AI3" i="25"/>
  <c r="F3" i="25" s="1"/>
  <c r="G3" i="25" s="1"/>
  <c r="H3" i="25" s="1"/>
  <c r="I3" i="25" s="1"/>
  <c r="J3" i="25" s="1"/>
  <c r="K3" i="25" s="1"/>
  <c r="L3" i="25" s="1"/>
  <c r="M3" i="25" s="1"/>
  <c r="N3" i="25" s="1"/>
  <c r="O3" i="25" s="1"/>
  <c r="P3" i="25" s="1"/>
  <c r="Q3" i="25" s="1"/>
  <c r="R3" i="25" s="1"/>
  <c r="S3" i="25" s="1"/>
  <c r="T3" i="25" s="1"/>
  <c r="U3" i="25" s="1"/>
  <c r="V3" i="25" s="1"/>
  <c r="W3" i="25" s="1"/>
  <c r="X3" i="25" s="1"/>
  <c r="Y3" i="25" s="1"/>
  <c r="Z3" i="25" s="1"/>
  <c r="AA3" i="25" s="1"/>
  <c r="AB3" i="25" s="1"/>
  <c r="AC3" i="25" s="1"/>
  <c r="AD3" i="25" s="1"/>
  <c r="AE3" i="25" s="1"/>
  <c r="AF3" i="25" s="1"/>
  <c r="AI15" i="25"/>
  <c r="F15" i="25" s="1"/>
  <c r="G15" i="25" s="1"/>
  <c r="H15" i="25" s="1"/>
  <c r="I15" i="25" s="1"/>
  <c r="J15" i="25" s="1"/>
  <c r="K15" i="25" s="1"/>
  <c r="L15" i="25" s="1"/>
  <c r="M15" i="25" s="1"/>
  <c r="N15" i="25" s="1"/>
  <c r="O15" i="25" s="1"/>
  <c r="P15" i="25" s="1"/>
  <c r="Q15" i="25" s="1"/>
  <c r="R15" i="25" s="1"/>
  <c r="S15" i="25" s="1"/>
  <c r="T15" i="25" s="1"/>
  <c r="U15" i="25" s="1"/>
  <c r="V15" i="25" s="1"/>
  <c r="W15" i="25" s="1"/>
  <c r="X15" i="25" s="1"/>
  <c r="Y15" i="25" s="1"/>
  <c r="Z15" i="25" s="1"/>
  <c r="AA15" i="25" s="1"/>
  <c r="AB15" i="25" s="1"/>
  <c r="AC15" i="25" s="1"/>
  <c r="AD15" i="25" s="1"/>
  <c r="AE15" i="25" s="1"/>
  <c r="AF15" i="25" s="1"/>
  <c r="AI4" i="25"/>
  <c r="AI7" i="25"/>
  <c r="AI12" i="25"/>
  <c r="F12" i="25" s="1"/>
  <c r="G12" i="25" s="1"/>
  <c r="H12" i="25" s="1"/>
  <c r="I12" i="25" s="1"/>
  <c r="J12" i="25" s="1"/>
  <c r="K12" i="25" s="1"/>
  <c r="L12" i="25" s="1"/>
  <c r="M12" i="25" s="1"/>
  <c r="N12" i="25" s="1"/>
  <c r="O12" i="25" s="1"/>
  <c r="P12" i="25" s="1"/>
  <c r="Q12" i="25" s="1"/>
  <c r="R12" i="25" s="1"/>
  <c r="S12" i="25" s="1"/>
  <c r="T12" i="25" s="1"/>
  <c r="U12" i="25" s="1"/>
  <c r="V12" i="25" s="1"/>
  <c r="W12" i="25" s="1"/>
  <c r="X12" i="25" s="1"/>
  <c r="Y12" i="25" s="1"/>
  <c r="Z12" i="25" s="1"/>
  <c r="AA12" i="25" s="1"/>
  <c r="AB12" i="25" s="1"/>
  <c r="AC12" i="25" s="1"/>
  <c r="AD12" i="25" s="1"/>
  <c r="AE12" i="25" s="1"/>
  <c r="AF12" i="25" s="1"/>
  <c r="AI6" i="25"/>
  <c r="AI10" i="25"/>
  <c r="F10" i="25" s="1"/>
  <c r="G10" i="25" s="1"/>
  <c r="H10" i="25" s="1"/>
  <c r="I10" i="25" s="1"/>
  <c r="J10" i="25" s="1"/>
  <c r="K10" i="25" s="1"/>
  <c r="L10" i="25" s="1"/>
  <c r="M10" i="25" s="1"/>
  <c r="N10" i="25" s="1"/>
  <c r="O10" i="25" s="1"/>
  <c r="P10" i="25" s="1"/>
  <c r="Q10" i="25" s="1"/>
  <c r="R10" i="25" s="1"/>
  <c r="S10" i="25" s="1"/>
  <c r="T10" i="25" s="1"/>
  <c r="U10" i="25" s="1"/>
  <c r="V10" i="25" s="1"/>
  <c r="W10" i="25" s="1"/>
  <c r="X10" i="25" s="1"/>
  <c r="Y10" i="25" s="1"/>
  <c r="Z10" i="25" s="1"/>
  <c r="AA10" i="25" s="1"/>
  <c r="AB10" i="25" s="1"/>
  <c r="AC10" i="25" s="1"/>
  <c r="AD10" i="25" s="1"/>
  <c r="AE10" i="25" s="1"/>
  <c r="AF10" i="25" s="1"/>
  <c r="AI9" i="25"/>
  <c r="F9" i="25" s="1"/>
  <c r="G9" i="25" s="1"/>
  <c r="H9" i="25" s="1"/>
  <c r="I9" i="25" s="1"/>
  <c r="J9" i="25" s="1"/>
  <c r="K9" i="25" s="1"/>
  <c r="L9" i="25" s="1"/>
  <c r="M9" i="25" s="1"/>
  <c r="N9" i="25" s="1"/>
  <c r="O9" i="25" s="1"/>
  <c r="P9" i="25" s="1"/>
  <c r="Q9" i="25" s="1"/>
  <c r="R9" i="25" s="1"/>
  <c r="S9" i="25" s="1"/>
  <c r="T9" i="25" s="1"/>
  <c r="U9" i="25" s="1"/>
  <c r="V9" i="25" s="1"/>
  <c r="W9" i="25" s="1"/>
  <c r="X9" i="25" s="1"/>
  <c r="Y9" i="25" s="1"/>
  <c r="Z9" i="25" s="1"/>
  <c r="AA9" i="25" s="1"/>
  <c r="AB9" i="25" s="1"/>
  <c r="AC9" i="25" s="1"/>
  <c r="AD9" i="25" s="1"/>
  <c r="AE9" i="25" s="1"/>
  <c r="AF9" i="25" s="1"/>
  <c r="AI18" i="25"/>
  <c r="F18" i="25" s="1"/>
  <c r="G18" i="25" s="1"/>
  <c r="H18" i="25" s="1"/>
  <c r="I18" i="25" s="1"/>
  <c r="J18" i="25" s="1"/>
  <c r="K18" i="25" s="1"/>
  <c r="L18" i="25" s="1"/>
  <c r="M18" i="25" s="1"/>
  <c r="N18" i="25" s="1"/>
  <c r="O18" i="25" s="1"/>
  <c r="P18" i="25" s="1"/>
  <c r="Q18" i="25" s="1"/>
  <c r="R18" i="25" s="1"/>
  <c r="S18" i="25" s="1"/>
  <c r="T18" i="25" s="1"/>
  <c r="U18" i="25" s="1"/>
  <c r="V18" i="25" s="1"/>
  <c r="W18" i="25" s="1"/>
  <c r="X18" i="25" s="1"/>
  <c r="Y18" i="25" s="1"/>
  <c r="Z18" i="25" s="1"/>
  <c r="AA18" i="25" s="1"/>
  <c r="AB18" i="25" s="1"/>
  <c r="AC18" i="25" s="1"/>
  <c r="AD18" i="25" s="1"/>
  <c r="AE18" i="25" s="1"/>
  <c r="AF18" i="25" s="1"/>
  <c r="G15" i="24"/>
  <c r="H15" i="24" s="1"/>
  <c r="I15" i="24" s="1"/>
  <c r="J15" i="24" s="1"/>
  <c r="K15" i="24" s="1"/>
  <c r="L15" i="24" s="1"/>
  <c r="M15" i="24" s="1"/>
  <c r="N15" i="24" s="1"/>
  <c r="O15" i="24" s="1"/>
  <c r="P15" i="24" s="1"/>
  <c r="Q15" i="24" s="1"/>
  <c r="R15" i="24" s="1"/>
  <c r="S15" i="24" s="1"/>
  <c r="T15" i="24" s="1"/>
  <c r="U15" i="24" s="1"/>
  <c r="V15" i="24" s="1"/>
  <c r="W15" i="24" s="1"/>
  <c r="X15" i="24" s="1"/>
  <c r="Y15" i="24" s="1"/>
  <c r="Z15" i="24" s="1"/>
  <c r="AA15" i="24" s="1"/>
  <c r="AB15" i="24" s="1"/>
  <c r="AC15" i="24" s="1"/>
  <c r="AD15" i="24" s="1"/>
  <c r="AE15" i="24" s="1"/>
  <c r="AF15" i="24" s="1"/>
  <c r="G16" i="24"/>
  <c r="H16" i="24" s="1"/>
  <c r="I16" i="24" s="1"/>
  <c r="J16" i="24" s="1"/>
  <c r="K16" i="24" s="1"/>
  <c r="L16" i="24" s="1"/>
  <c r="M16" i="24" s="1"/>
  <c r="N16" i="24" s="1"/>
  <c r="O16" i="24" s="1"/>
  <c r="P16" i="24" s="1"/>
  <c r="Q16" i="24" s="1"/>
  <c r="R16" i="24" s="1"/>
  <c r="S16" i="24" s="1"/>
  <c r="T16" i="24" s="1"/>
  <c r="U16" i="24" s="1"/>
  <c r="V16" i="24" s="1"/>
  <c r="W16" i="24" s="1"/>
  <c r="X16" i="24" s="1"/>
  <c r="Y16" i="24" s="1"/>
  <c r="Z16" i="24" s="1"/>
  <c r="AA16" i="24" s="1"/>
  <c r="AB16" i="24" s="1"/>
  <c r="AC16" i="24" s="1"/>
  <c r="AD16" i="24" s="1"/>
  <c r="AE16" i="24" s="1"/>
  <c r="AF16" i="24" s="1"/>
  <c r="G17" i="24"/>
  <c r="H17" i="24" s="1"/>
  <c r="I17" i="24" s="1"/>
  <c r="J17" i="24" s="1"/>
  <c r="K17" i="24" s="1"/>
  <c r="L17" i="24" s="1"/>
  <c r="M17" i="24" s="1"/>
  <c r="N17" i="24" s="1"/>
  <c r="O17" i="24" s="1"/>
  <c r="P17" i="24" s="1"/>
  <c r="Q17" i="24" s="1"/>
  <c r="R17" i="24" s="1"/>
  <c r="S17" i="24" s="1"/>
  <c r="T17" i="24" s="1"/>
  <c r="U17" i="24" s="1"/>
  <c r="V17" i="24" s="1"/>
  <c r="W17" i="24" s="1"/>
  <c r="X17" i="24" s="1"/>
  <c r="Y17" i="24" s="1"/>
  <c r="Z17" i="24" s="1"/>
  <c r="AA17" i="24" s="1"/>
  <c r="AB17" i="24" s="1"/>
  <c r="AC17" i="24" s="1"/>
  <c r="AD17" i="24" s="1"/>
  <c r="AE17" i="24" s="1"/>
  <c r="AF17" i="24" s="1"/>
  <c r="G18" i="24"/>
  <c r="H18" i="24" s="1"/>
  <c r="I18" i="24" s="1"/>
  <c r="J18" i="24" s="1"/>
  <c r="K18" i="24" s="1"/>
  <c r="L18" i="24" s="1"/>
  <c r="M18" i="24" s="1"/>
  <c r="N18" i="24" s="1"/>
  <c r="O18" i="24" s="1"/>
  <c r="P18" i="24" s="1"/>
  <c r="Q18" i="24" s="1"/>
  <c r="R18" i="24" s="1"/>
  <c r="S18" i="24" s="1"/>
  <c r="T18" i="24" s="1"/>
  <c r="U18" i="24" s="1"/>
  <c r="V18" i="24" s="1"/>
  <c r="W18" i="24" s="1"/>
  <c r="X18" i="24" s="1"/>
  <c r="Y18" i="24" s="1"/>
  <c r="Z18" i="24" s="1"/>
  <c r="AA18" i="24" s="1"/>
  <c r="AB18" i="24" s="1"/>
  <c r="AC18" i="24" s="1"/>
  <c r="AD18" i="24" s="1"/>
  <c r="AE18" i="24" s="1"/>
  <c r="AF18" i="24" s="1"/>
  <c r="G8" i="24"/>
  <c r="H8" i="24" s="1"/>
  <c r="I8" i="24" s="1"/>
  <c r="J8" i="24" s="1"/>
  <c r="K8" i="24" s="1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G9" i="24"/>
  <c r="H9" i="24" s="1"/>
  <c r="I9" i="24" s="1"/>
  <c r="J9" i="24" s="1"/>
  <c r="K9" i="24" s="1"/>
  <c r="L9" i="24" s="1"/>
  <c r="M9" i="24" s="1"/>
  <c r="N9" i="24" s="1"/>
  <c r="O9" i="24" s="1"/>
  <c r="P9" i="24" s="1"/>
  <c r="Q9" i="24" s="1"/>
  <c r="R9" i="24" s="1"/>
  <c r="S9" i="24" s="1"/>
  <c r="T9" i="24" s="1"/>
  <c r="U9" i="24" s="1"/>
  <c r="V9" i="24" s="1"/>
  <c r="W9" i="24" s="1"/>
  <c r="X9" i="24" s="1"/>
  <c r="Y9" i="24" s="1"/>
  <c r="Z9" i="24" s="1"/>
  <c r="AA9" i="24" s="1"/>
  <c r="AB9" i="24" s="1"/>
  <c r="AC9" i="24" s="1"/>
  <c r="AD9" i="24" s="1"/>
  <c r="AE9" i="24" s="1"/>
  <c r="AF9" i="24" s="1"/>
  <c r="G10" i="24"/>
  <c r="H10" i="24" s="1"/>
  <c r="I10" i="24" s="1"/>
  <c r="J10" i="24" s="1"/>
  <c r="K10" i="24" s="1"/>
  <c r="L10" i="24" s="1"/>
  <c r="M10" i="24" s="1"/>
  <c r="N10" i="24" s="1"/>
  <c r="O10" i="24" s="1"/>
  <c r="P10" i="24" s="1"/>
  <c r="Q10" i="24" s="1"/>
  <c r="R10" i="24" s="1"/>
  <c r="S10" i="24" s="1"/>
  <c r="T10" i="24" s="1"/>
  <c r="U10" i="24" s="1"/>
  <c r="V10" i="24" s="1"/>
  <c r="W10" i="24" s="1"/>
  <c r="X10" i="24" s="1"/>
  <c r="Y10" i="24" s="1"/>
  <c r="Z10" i="24" s="1"/>
  <c r="AA10" i="24" s="1"/>
  <c r="AB10" i="24" s="1"/>
  <c r="AC10" i="24" s="1"/>
  <c r="AD10" i="24" s="1"/>
  <c r="AE10" i="24" s="1"/>
  <c r="AF10" i="24" s="1"/>
  <c r="G11" i="24"/>
  <c r="H11" i="24" s="1"/>
  <c r="I11" i="24" s="1"/>
  <c r="J11" i="24" s="1"/>
  <c r="K11" i="24" s="1"/>
  <c r="L11" i="24" s="1"/>
  <c r="M11" i="24" s="1"/>
  <c r="N11" i="24" s="1"/>
  <c r="O11" i="24" s="1"/>
  <c r="P11" i="24" s="1"/>
  <c r="Q11" i="24" s="1"/>
  <c r="R11" i="24" s="1"/>
  <c r="S11" i="24" s="1"/>
  <c r="T11" i="24" s="1"/>
  <c r="U11" i="24" s="1"/>
  <c r="V11" i="24" s="1"/>
  <c r="W11" i="24" s="1"/>
  <c r="X11" i="24" s="1"/>
  <c r="Y11" i="24" s="1"/>
  <c r="Z11" i="24" s="1"/>
  <c r="AA11" i="24" s="1"/>
  <c r="AB11" i="24" s="1"/>
  <c r="AC11" i="24" s="1"/>
  <c r="AD11" i="24" s="1"/>
  <c r="AE11" i="24" s="1"/>
  <c r="AF11" i="24" s="1"/>
  <c r="G12" i="24"/>
  <c r="H12" i="24" s="1"/>
  <c r="I12" i="24" s="1"/>
  <c r="J12" i="24" s="1"/>
  <c r="K12" i="24" s="1"/>
  <c r="L12" i="24" s="1"/>
  <c r="M12" i="24" s="1"/>
  <c r="N12" i="24" s="1"/>
  <c r="O12" i="24" s="1"/>
  <c r="P12" i="24" s="1"/>
  <c r="Q12" i="24" s="1"/>
  <c r="R12" i="24" s="1"/>
  <c r="S12" i="24" s="1"/>
  <c r="T12" i="24" s="1"/>
  <c r="U12" i="24" s="1"/>
  <c r="V12" i="24" s="1"/>
  <c r="W12" i="24" s="1"/>
  <c r="X12" i="24" s="1"/>
  <c r="Y12" i="24" s="1"/>
  <c r="Z12" i="24" s="1"/>
  <c r="AA12" i="24" s="1"/>
  <c r="AB12" i="24" s="1"/>
  <c r="AC12" i="24" s="1"/>
  <c r="AD12" i="24" s="1"/>
  <c r="AE12" i="24" s="1"/>
  <c r="AF12" i="24" s="1"/>
  <c r="G13" i="24"/>
  <c r="H13" i="24" s="1"/>
  <c r="I13" i="24" s="1"/>
  <c r="J13" i="24" s="1"/>
  <c r="K13" i="24" s="1"/>
  <c r="L13" i="24" s="1"/>
  <c r="M13" i="24" s="1"/>
  <c r="N13" i="24" s="1"/>
  <c r="O13" i="24" s="1"/>
  <c r="P13" i="24" s="1"/>
  <c r="Q13" i="24" s="1"/>
  <c r="R13" i="24" s="1"/>
  <c r="S13" i="24" s="1"/>
  <c r="T13" i="24" s="1"/>
  <c r="U13" i="24" s="1"/>
  <c r="V13" i="24" s="1"/>
  <c r="W13" i="24" s="1"/>
  <c r="X13" i="24" s="1"/>
  <c r="Y13" i="24" s="1"/>
  <c r="Z13" i="24" s="1"/>
  <c r="AA13" i="24" s="1"/>
  <c r="AB13" i="24" s="1"/>
  <c r="AC13" i="24" s="1"/>
  <c r="AD13" i="24" s="1"/>
  <c r="AE13" i="24" s="1"/>
  <c r="AF13" i="24" s="1"/>
  <c r="G14" i="24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AB14" i="24" s="1"/>
  <c r="AC14" i="24" s="1"/>
  <c r="AD14" i="24" s="1"/>
  <c r="AE14" i="24" s="1"/>
  <c r="AF14" i="24" s="1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G2" i="23" l="1"/>
  <c r="H2" i="23" s="1"/>
  <c r="I2" i="23" s="1"/>
  <c r="J2" i="23" s="1"/>
  <c r="K2" i="23" s="1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AB2" i="23" s="1"/>
  <c r="AC2" i="23" s="1"/>
  <c r="AD2" i="23" s="1"/>
  <c r="AE2" i="23" s="1"/>
  <c r="AF2" i="23" s="1"/>
  <c r="AG2" i="23" s="1"/>
  <c r="G3" i="23"/>
  <c r="H3" i="23" s="1"/>
  <c r="I3" i="23" s="1"/>
  <c r="J3" i="23" s="1"/>
  <c r="K3" i="23" s="1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AG3" i="23" s="1"/>
  <c r="G4" i="23"/>
  <c r="H4" i="23" s="1"/>
  <c r="I4" i="23" s="1"/>
  <c r="J4" i="23" s="1"/>
  <c r="K4" i="23" s="1"/>
  <c r="L4" i="23" s="1"/>
  <c r="M4" i="23" s="1"/>
  <c r="N4" i="23" s="1"/>
  <c r="O4" i="23" s="1"/>
  <c r="P4" i="23" s="1"/>
  <c r="Q4" i="23" s="1"/>
  <c r="R4" i="23" s="1"/>
  <c r="S4" i="23" s="1"/>
  <c r="T4" i="23" s="1"/>
  <c r="U4" i="23" s="1"/>
  <c r="V4" i="23" s="1"/>
  <c r="W4" i="23" s="1"/>
  <c r="X4" i="23" s="1"/>
  <c r="Y4" i="23" s="1"/>
  <c r="Z4" i="23" s="1"/>
  <c r="AA4" i="23" s="1"/>
  <c r="AB4" i="23" s="1"/>
  <c r="AC4" i="23" s="1"/>
  <c r="AD4" i="23" s="1"/>
  <c r="AE4" i="23" s="1"/>
  <c r="AF4" i="23" s="1"/>
  <c r="AG4" i="23" s="1"/>
  <c r="G8" i="23"/>
  <c r="H8" i="23" s="1"/>
  <c r="I8" i="23" s="1"/>
  <c r="J8" i="23" s="1"/>
  <c r="K8" i="23" s="1"/>
  <c r="L8" i="23" s="1"/>
  <c r="M8" i="23" s="1"/>
  <c r="N8" i="23" s="1"/>
  <c r="O8" i="23" s="1"/>
  <c r="P8" i="23" s="1"/>
  <c r="Q8" i="23" s="1"/>
  <c r="R8" i="23" s="1"/>
  <c r="S8" i="23" s="1"/>
  <c r="T8" i="23" s="1"/>
  <c r="U8" i="23" s="1"/>
  <c r="V8" i="23" s="1"/>
  <c r="W8" i="23" s="1"/>
  <c r="X8" i="23" s="1"/>
  <c r="Y8" i="23" s="1"/>
  <c r="Z8" i="23" s="1"/>
  <c r="AA8" i="23" s="1"/>
  <c r="AB8" i="23" s="1"/>
  <c r="AC8" i="23" s="1"/>
  <c r="AD8" i="23" s="1"/>
  <c r="AE8" i="23" s="1"/>
  <c r="AF8" i="23" s="1"/>
  <c r="AG8" i="23" s="1"/>
  <c r="G9" i="23"/>
  <c r="H9" i="23"/>
  <c r="I9" i="23" s="1"/>
  <c r="J9" i="23" s="1"/>
  <c r="K9" i="23" s="1"/>
  <c r="L9" i="23" s="1"/>
  <c r="M9" i="23" s="1"/>
  <c r="N9" i="23" s="1"/>
  <c r="O9" i="23" s="1"/>
  <c r="P9" i="23" s="1"/>
  <c r="Q9" i="23" s="1"/>
  <c r="R9" i="23" s="1"/>
  <c r="S9" i="23" s="1"/>
  <c r="T9" i="23" s="1"/>
  <c r="U9" i="23" s="1"/>
  <c r="V9" i="23" s="1"/>
  <c r="W9" i="23" s="1"/>
  <c r="X9" i="23" s="1"/>
  <c r="Y9" i="23" s="1"/>
  <c r="Z9" i="23" s="1"/>
  <c r="AA9" i="23" s="1"/>
  <c r="AB9" i="23" s="1"/>
  <c r="AC9" i="23" s="1"/>
  <c r="AD9" i="23" s="1"/>
  <c r="AE9" i="23" s="1"/>
  <c r="AF9" i="23" s="1"/>
  <c r="AG9" i="23" s="1"/>
  <c r="G10" i="23"/>
  <c r="H10" i="23" s="1"/>
  <c r="I10" i="23" s="1"/>
  <c r="J10" i="23" s="1"/>
  <c r="K10" i="23" s="1"/>
  <c r="L10" i="23" s="1"/>
  <c r="M10" i="23" s="1"/>
  <c r="N10" i="23" s="1"/>
  <c r="O10" i="23" s="1"/>
  <c r="P10" i="23" s="1"/>
  <c r="Q10" i="23" s="1"/>
  <c r="R10" i="23" s="1"/>
  <c r="S10" i="23" s="1"/>
  <c r="T10" i="23" s="1"/>
  <c r="U10" i="23" s="1"/>
  <c r="V10" i="23" s="1"/>
  <c r="W10" i="23" s="1"/>
  <c r="X10" i="23" s="1"/>
  <c r="Y10" i="23" s="1"/>
  <c r="Z10" i="23" s="1"/>
  <c r="AA10" i="23" s="1"/>
  <c r="AB10" i="23" s="1"/>
  <c r="AC10" i="23" s="1"/>
  <c r="AD10" i="23" s="1"/>
  <c r="AE10" i="23" s="1"/>
  <c r="AF10" i="23" s="1"/>
  <c r="AG10" i="23" s="1"/>
  <c r="G11" i="23"/>
  <c r="H11" i="23" s="1"/>
  <c r="I11" i="23" s="1"/>
  <c r="J11" i="23" s="1"/>
  <c r="K11" i="23" s="1"/>
  <c r="L11" i="23" s="1"/>
  <c r="M11" i="23" s="1"/>
  <c r="N11" i="23" s="1"/>
  <c r="O11" i="23" s="1"/>
  <c r="P11" i="23" s="1"/>
  <c r="Q11" i="23" s="1"/>
  <c r="R11" i="23" s="1"/>
  <c r="S11" i="23" s="1"/>
  <c r="T11" i="23" s="1"/>
  <c r="U11" i="23" s="1"/>
  <c r="V11" i="23" s="1"/>
  <c r="W11" i="23" s="1"/>
  <c r="X11" i="23" s="1"/>
  <c r="Y11" i="23" s="1"/>
  <c r="Z11" i="23" s="1"/>
  <c r="AA11" i="23" s="1"/>
  <c r="AB11" i="23" s="1"/>
  <c r="AC11" i="23" s="1"/>
  <c r="AD11" i="23" s="1"/>
  <c r="AE11" i="23" s="1"/>
  <c r="AF11" i="23" s="1"/>
  <c r="AG11" i="23" s="1"/>
  <c r="G12" i="23"/>
  <c r="H12" i="23" s="1"/>
  <c r="I12" i="23" s="1"/>
  <c r="J12" i="23" s="1"/>
  <c r="K12" i="23" s="1"/>
  <c r="L12" i="23" s="1"/>
  <c r="M12" i="23" s="1"/>
  <c r="N12" i="23" s="1"/>
  <c r="O12" i="23" s="1"/>
  <c r="P12" i="23" s="1"/>
  <c r="Q12" i="23" s="1"/>
  <c r="R12" i="23" s="1"/>
  <c r="S12" i="23" s="1"/>
  <c r="T12" i="23" s="1"/>
  <c r="U12" i="23" s="1"/>
  <c r="V12" i="23" s="1"/>
  <c r="W12" i="23" s="1"/>
  <c r="X12" i="23" s="1"/>
  <c r="Y12" i="23" s="1"/>
  <c r="Z12" i="23" s="1"/>
  <c r="AA12" i="23" s="1"/>
  <c r="AB12" i="23" s="1"/>
  <c r="AC12" i="23" s="1"/>
  <c r="AD12" i="23" s="1"/>
  <c r="AE12" i="23" s="1"/>
  <c r="AF12" i="23" s="1"/>
  <c r="AG12" i="23" s="1"/>
  <c r="G13" i="23"/>
  <c r="H13" i="23"/>
  <c r="I13" i="23" s="1"/>
  <c r="J13" i="23" s="1"/>
  <c r="K13" i="23" s="1"/>
  <c r="L13" i="23" s="1"/>
  <c r="M13" i="23" s="1"/>
  <c r="N13" i="23" s="1"/>
  <c r="O13" i="23" s="1"/>
  <c r="P13" i="23" s="1"/>
  <c r="Q13" i="23" s="1"/>
  <c r="R13" i="23" s="1"/>
  <c r="S13" i="23" s="1"/>
  <c r="T13" i="23" s="1"/>
  <c r="U13" i="23" s="1"/>
  <c r="V13" i="23" s="1"/>
  <c r="W13" i="23" s="1"/>
  <c r="X13" i="23" s="1"/>
  <c r="Y13" i="23" s="1"/>
  <c r="Z13" i="23" s="1"/>
  <c r="AA13" i="23" s="1"/>
  <c r="AB13" i="23" s="1"/>
  <c r="AC13" i="23" s="1"/>
  <c r="AD13" i="23" s="1"/>
  <c r="AE13" i="23" s="1"/>
  <c r="AF13" i="23" s="1"/>
  <c r="AG13" i="23" s="1"/>
  <c r="G18" i="23"/>
  <c r="H18" i="23" s="1"/>
  <c r="I18" i="23" s="1"/>
  <c r="J18" i="23" s="1"/>
  <c r="K18" i="23" s="1"/>
  <c r="L18" i="23" s="1"/>
  <c r="M18" i="23" s="1"/>
  <c r="N18" i="23" s="1"/>
  <c r="O18" i="23" s="1"/>
  <c r="P18" i="23" s="1"/>
  <c r="Q18" i="23" s="1"/>
  <c r="R18" i="23" s="1"/>
  <c r="S18" i="23" s="1"/>
  <c r="T18" i="23" s="1"/>
  <c r="U18" i="23" s="1"/>
  <c r="V18" i="23" s="1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AG18" i="23" s="1"/>
  <c r="F3" i="23"/>
  <c r="F4" i="23"/>
  <c r="F5" i="23"/>
  <c r="G5" i="23" s="1"/>
  <c r="H5" i="23" s="1"/>
  <c r="I5" i="23" s="1"/>
  <c r="J5" i="23" s="1"/>
  <c r="K5" i="23" s="1"/>
  <c r="L5" i="23" s="1"/>
  <c r="M5" i="23" s="1"/>
  <c r="N5" i="23" s="1"/>
  <c r="O5" i="23" s="1"/>
  <c r="P5" i="23" s="1"/>
  <c r="Q5" i="23" s="1"/>
  <c r="R5" i="23" s="1"/>
  <c r="S5" i="23" s="1"/>
  <c r="T5" i="23" s="1"/>
  <c r="U5" i="23" s="1"/>
  <c r="V5" i="23" s="1"/>
  <c r="W5" i="23" s="1"/>
  <c r="X5" i="23" s="1"/>
  <c r="Y5" i="23" s="1"/>
  <c r="Z5" i="23" s="1"/>
  <c r="AA5" i="23" s="1"/>
  <c r="AB5" i="23" s="1"/>
  <c r="AC5" i="23" s="1"/>
  <c r="AD5" i="23" s="1"/>
  <c r="AE5" i="23" s="1"/>
  <c r="AF5" i="23" s="1"/>
  <c r="AG5" i="23" s="1"/>
  <c r="F8" i="23"/>
  <c r="F9" i="23"/>
  <c r="F10" i="23"/>
  <c r="F11" i="23"/>
  <c r="F12" i="23"/>
  <c r="F13" i="23"/>
  <c r="F14" i="23"/>
  <c r="G14" i="23" s="1"/>
  <c r="H14" i="23" s="1"/>
  <c r="I14" i="23" s="1"/>
  <c r="J14" i="23" s="1"/>
  <c r="K14" i="23" s="1"/>
  <c r="L14" i="23" s="1"/>
  <c r="M14" i="23" s="1"/>
  <c r="N14" i="23" s="1"/>
  <c r="O14" i="23" s="1"/>
  <c r="P14" i="23" s="1"/>
  <c r="Q14" i="23" s="1"/>
  <c r="R14" i="23" s="1"/>
  <c r="S14" i="23" s="1"/>
  <c r="T14" i="23" s="1"/>
  <c r="U14" i="23" s="1"/>
  <c r="V14" i="23" s="1"/>
  <c r="W14" i="23" s="1"/>
  <c r="X14" i="23" s="1"/>
  <c r="Y14" i="23" s="1"/>
  <c r="Z14" i="23" s="1"/>
  <c r="AA14" i="23" s="1"/>
  <c r="AB14" i="23" s="1"/>
  <c r="AC14" i="23" s="1"/>
  <c r="AD14" i="23" s="1"/>
  <c r="AE14" i="23" s="1"/>
  <c r="AF14" i="23" s="1"/>
  <c r="AG14" i="23" s="1"/>
  <c r="F15" i="23"/>
  <c r="G15" i="23" s="1"/>
  <c r="H15" i="23" s="1"/>
  <c r="I15" i="23" s="1"/>
  <c r="J15" i="23" s="1"/>
  <c r="K15" i="23" s="1"/>
  <c r="L15" i="23" s="1"/>
  <c r="M15" i="23" s="1"/>
  <c r="N15" i="23" s="1"/>
  <c r="O15" i="23" s="1"/>
  <c r="P15" i="23" s="1"/>
  <c r="Q15" i="23" s="1"/>
  <c r="R15" i="23" s="1"/>
  <c r="S15" i="23" s="1"/>
  <c r="T15" i="23" s="1"/>
  <c r="U15" i="23" s="1"/>
  <c r="V15" i="23" s="1"/>
  <c r="W15" i="23" s="1"/>
  <c r="X15" i="23" s="1"/>
  <c r="Y15" i="23" s="1"/>
  <c r="Z15" i="23" s="1"/>
  <c r="AA15" i="23" s="1"/>
  <c r="AB15" i="23" s="1"/>
  <c r="AC15" i="23" s="1"/>
  <c r="AD15" i="23" s="1"/>
  <c r="AE15" i="23" s="1"/>
  <c r="AF15" i="23" s="1"/>
  <c r="AG15" i="23" s="1"/>
  <c r="F16" i="23"/>
  <c r="G16" i="23" s="1"/>
  <c r="H16" i="23" s="1"/>
  <c r="I16" i="23" s="1"/>
  <c r="J16" i="23" s="1"/>
  <c r="K16" i="23" s="1"/>
  <c r="L16" i="23" s="1"/>
  <c r="M16" i="23" s="1"/>
  <c r="N16" i="23" s="1"/>
  <c r="O16" i="23" s="1"/>
  <c r="P16" i="23" s="1"/>
  <c r="Q16" i="23" s="1"/>
  <c r="R16" i="23" s="1"/>
  <c r="S16" i="23" s="1"/>
  <c r="T16" i="23" s="1"/>
  <c r="U16" i="23" s="1"/>
  <c r="V16" i="23" s="1"/>
  <c r="W16" i="23" s="1"/>
  <c r="X16" i="23" s="1"/>
  <c r="Y16" i="23" s="1"/>
  <c r="Z16" i="23" s="1"/>
  <c r="AA16" i="23" s="1"/>
  <c r="AB16" i="23" s="1"/>
  <c r="AC16" i="23" s="1"/>
  <c r="AD16" i="23" s="1"/>
  <c r="AE16" i="23" s="1"/>
  <c r="AF16" i="23" s="1"/>
  <c r="AG16" i="23" s="1"/>
  <c r="F17" i="23"/>
  <c r="G17" i="23" s="1"/>
  <c r="H17" i="23" s="1"/>
  <c r="I17" i="23" s="1"/>
  <c r="J17" i="23" s="1"/>
  <c r="K17" i="23" s="1"/>
  <c r="L17" i="23" s="1"/>
  <c r="M17" i="23" s="1"/>
  <c r="N17" i="23" s="1"/>
  <c r="O17" i="23" s="1"/>
  <c r="P17" i="23" s="1"/>
  <c r="Q17" i="23" s="1"/>
  <c r="R17" i="23" s="1"/>
  <c r="S17" i="23" s="1"/>
  <c r="T17" i="23" s="1"/>
  <c r="U17" i="23" s="1"/>
  <c r="V17" i="23" s="1"/>
  <c r="W17" i="23" s="1"/>
  <c r="X17" i="23" s="1"/>
  <c r="Y17" i="23" s="1"/>
  <c r="Z17" i="23" s="1"/>
  <c r="AA17" i="23" s="1"/>
  <c r="AB17" i="23" s="1"/>
  <c r="AC17" i="23" s="1"/>
  <c r="AD17" i="23" s="1"/>
  <c r="AE17" i="23" s="1"/>
  <c r="AF17" i="23" s="1"/>
  <c r="AG17" i="23" s="1"/>
  <c r="F18" i="23"/>
  <c r="F2" i="23"/>
  <c r="D2" i="22" l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D6" i="22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D7" i="22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D8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D9" i="22"/>
  <c r="E9" i="22" s="1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D10" i="22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D12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D14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D17" i="22"/>
  <c r="E17" i="22" s="1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D18" i="22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2" i="22"/>
  <c r="C3" i="11"/>
  <c r="D3" i="11"/>
  <c r="E3" i="11"/>
  <c r="F3" i="1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C4" i="11"/>
  <c r="D4" i="11"/>
  <c r="E4" i="1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C5" i="11"/>
  <c r="D5" i="1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C6" i="1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C7" i="11"/>
  <c r="D7" i="11"/>
  <c r="E7" i="11"/>
  <c r="F7" i="11"/>
  <c r="G7" i="11"/>
  <c r="H7" i="1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C8" i="1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C9" i="11"/>
  <c r="D9" i="11"/>
  <c r="E9" i="1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C10" i="11"/>
  <c r="D10" i="11"/>
  <c r="E10" i="1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11" i="11"/>
  <c r="D11" i="11"/>
  <c r="E11" i="11" s="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C12" i="1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C13" i="11"/>
  <c r="D13" i="11"/>
  <c r="E13" i="11" s="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C14" i="11"/>
  <c r="D14" i="11"/>
  <c r="E14" i="11"/>
  <c r="F14" i="11"/>
  <c r="G14" i="1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C15" i="11"/>
  <c r="D15" i="11" s="1"/>
  <c r="E15" i="11" s="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C16" i="11"/>
  <c r="D16" i="11"/>
  <c r="E16" i="1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C17" i="11"/>
  <c r="D17" i="11"/>
  <c r="E17" i="11" s="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C18" i="11"/>
  <c r="D18" i="11" s="1"/>
  <c r="E18" i="11" s="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D2" i="11"/>
  <c r="E2" i="11"/>
  <c r="F2" i="1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C2" i="11"/>
  <c r="G22" i="19" l="1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B3" i="20" l="1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G3" i="17" l="1"/>
  <c r="H3" i="17"/>
  <c r="I3" i="17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AG3" i="17" s="1"/>
  <c r="G4" i="17"/>
  <c r="H4" i="17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T4" i="17" s="1"/>
  <c r="U4" i="17" s="1"/>
  <c r="V4" i="17" s="1"/>
  <c r="W4" i="17" s="1"/>
  <c r="X4" i="17" s="1"/>
  <c r="Y4" i="17" s="1"/>
  <c r="Z4" i="17" s="1"/>
  <c r="AA4" i="17" s="1"/>
  <c r="AB4" i="17" s="1"/>
  <c r="AC4" i="17" s="1"/>
  <c r="AD4" i="17" s="1"/>
  <c r="AE4" i="17" s="1"/>
  <c r="AF4" i="17" s="1"/>
  <c r="AG4" i="17" s="1"/>
  <c r="G5" i="17"/>
  <c r="H5" i="17" s="1"/>
  <c r="I5" i="17" s="1"/>
  <c r="J5" i="17" s="1"/>
  <c r="K5" i="17" s="1"/>
  <c r="L5" i="17" s="1"/>
  <c r="M5" i="17" s="1"/>
  <c r="N5" i="17" s="1"/>
  <c r="O5" i="17" s="1"/>
  <c r="P5" i="17" s="1"/>
  <c r="Q5" i="17" s="1"/>
  <c r="R5" i="17" s="1"/>
  <c r="S5" i="17" s="1"/>
  <c r="T5" i="17" s="1"/>
  <c r="U5" i="17" s="1"/>
  <c r="V5" i="17" s="1"/>
  <c r="W5" i="17" s="1"/>
  <c r="X5" i="17" s="1"/>
  <c r="Y5" i="17" s="1"/>
  <c r="Z5" i="17" s="1"/>
  <c r="AA5" i="17" s="1"/>
  <c r="AB5" i="17" s="1"/>
  <c r="AC5" i="17" s="1"/>
  <c r="AD5" i="17" s="1"/>
  <c r="AE5" i="17" s="1"/>
  <c r="AF5" i="17" s="1"/>
  <c r="AG5" i="17" s="1"/>
  <c r="G6" i="17"/>
  <c r="H6" i="17" s="1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T6" i="17" s="1"/>
  <c r="U6" i="17" s="1"/>
  <c r="V6" i="17" s="1"/>
  <c r="W6" i="17" s="1"/>
  <c r="X6" i="17" s="1"/>
  <c r="Y6" i="17" s="1"/>
  <c r="Z6" i="17" s="1"/>
  <c r="AA6" i="17" s="1"/>
  <c r="AB6" i="17" s="1"/>
  <c r="AC6" i="17" s="1"/>
  <c r="AD6" i="17" s="1"/>
  <c r="AE6" i="17" s="1"/>
  <c r="AF6" i="17" s="1"/>
  <c r="AG6" i="17" s="1"/>
  <c r="G7" i="17"/>
  <c r="H7" i="17" s="1"/>
  <c r="I7" i="17" s="1"/>
  <c r="J7" i="17" s="1"/>
  <c r="K7" i="17" s="1"/>
  <c r="L7" i="17" s="1"/>
  <c r="M7" i="17" s="1"/>
  <c r="N7" i="17" s="1"/>
  <c r="O7" i="17" s="1"/>
  <c r="P7" i="17" s="1"/>
  <c r="Q7" i="17" s="1"/>
  <c r="R7" i="17" s="1"/>
  <c r="S7" i="17" s="1"/>
  <c r="T7" i="17" s="1"/>
  <c r="U7" i="17" s="1"/>
  <c r="V7" i="17" s="1"/>
  <c r="W7" i="17" s="1"/>
  <c r="X7" i="17" s="1"/>
  <c r="Y7" i="17" s="1"/>
  <c r="Z7" i="17" s="1"/>
  <c r="AA7" i="17" s="1"/>
  <c r="AB7" i="17" s="1"/>
  <c r="AC7" i="17" s="1"/>
  <c r="AD7" i="17" s="1"/>
  <c r="AE7" i="17" s="1"/>
  <c r="AF7" i="17" s="1"/>
  <c r="AG7" i="17" s="1"/>
  <c r="G8" i="17"/>
  <c r="H8" i="17" s="1"/>
  <c r="I8" i="17" s="1"/>
  <c r="J8" i="17" s="1"/>
  <c r="K8" i="17" s="1"/>
  <c r="L8" i="17" s="1"/>
  <c r="M8" i="17" s="1"/>
  <c r="N8" i="17" s="1"/>
  <c r="O8" i="17" s="1"/>
  <c r="P8" i="17" s="1"/>
  <c r="Q8" i="17" s="1"/>
  <c r="R8" i="17" s="1"/>
  <c r="S8" i="17" s="1"/>
  <c r="T8" i="17" s="1"/>
  <c r="U8" i="17" s="1"/>
  <c r="V8" i="17" s="1"/>
  <c r="W8" i="17" s="1"/>
  <c r="X8" i="17" s="1"/>
  <c r="Y8" i="17" s="1"/>
  <c r="Z8" i="17" s="1"/>
  <c r="AA8" i="17" s="1"/>
  <c r="AB8" i="17" s="1"/>
  <c r="AC8" i="17" s="1"/>
  <c r="AD8" i="17" s="1"/>
  <c r="AE8" i="17" s="1"/>
  <c r="AF8" i="17" s="1"/>
  <c r="AG8" i="17" s="1"/>
  <c r="G9" i="17"/>
  <c r="H9" i="17" s="1"/>
  <c r="I9" i="17" s="1"/>
  <c r="J9" i="17" s="1"/>
  <c r="K9" i="17" s="1"/>
  <c r="L9" i="17" s="1"/>
  <c r="M9" i="17" s="1"/>
  <c r="N9" i="17" s="1"/>
  <c r="O9" i="17" s="1"/>
  <c r="P9" i="17" s="1"/>
  <c r="Q9" i="17" s="1"/>
  <c r="R9" i="17" s="1"/>
  <c r="S9" i="17" s="1"/>
  <c r="T9" i="17" s="1"/>
  <c r="U9" i="17" s="1"/>
  <c r="V9" i="17" s="1"/>
  <c r="W9" i="17" s="1"/>
  <c r="X9" i="17" s="1"/>
  <c r="Y9" i="17" s="1"/>
  <c r="Z9" i="17" s="1"/>
  <c r="AA9" i="17" s="1"/>
  <c r="AB9" i="17" s="1"/>
  <c r="AC9" i="17" s="1"/>
  <c r="AD9" i="17" s="1"/>
  <c r="AE9" i="17" s="1"/>
  <c r="AF9" i="17" s="1"/>
  <c r="AG9" i="17" s="1"/>
  <c r="G10" i="17"/>
  <c r="H10" i="17" s="1"/>
  <c r="I10" i="17" s="1"/>
  <c r="J10" i="17" s="1"/>
  <c r="K10" i="17" s="1"/>
  <c r="L10" i="17" s="1"/>
  <c r="M10" i="17" s="1"/>
  <c r="N10" i="17" s="1"/>
  <c r="O10" i="17" s="1"/>
  <c r="P10" i="17" s="1"/>
  <c r="Q10" i="17" s="1"/>
  <c r="R10" i="17" s="1"/>
  <c r="S10" i="17" s="1"/>
  <c r="T10" i="17" s="1"/>
  <c r="U10" i="17" s="1"/>
  <c r="V10" i="17" s="1"/>
  <c r="W10" i="17" s="1"/>
  <c r="X10" i="17" s="1"/>
  <c r="Y10" i="17" s="1"/>
  <c r="Z10" i="17" s="1"/>
  <c r="AA10" i="17" s="1"/>
  <c r="AB10" i="17" s="1"/>
  <c r="AC10" i="17" s="1"/>
  <c r="AD10" i="17" s="1"/>
  <c r="AE10" i="17" s="1"/>
  <c r="AF10" i="17" s="1"/>
  <c r="AG10" i="17" s="1"/>
  <c r="G11" i="17"/>
  <c r="H11" i="17"/>
  <c r="I11" i="17" s="1"/>
  <c r="J11" i="17" s="1"/>
  <c r="K11" i="17" s="1"/>
  <c r="L11" i="17" s="1"/>
  <c r="M11" i="17" s="1"/>
  <c r="N11" i="17" s="1"/>
  <c r="O11" i="17" s="1"/>
  <c r="P11" i="17" s="1"/>
  <c r="Q11" i="17" s="1"/>
  <c r="R11" i="17" s="1"/>
  <c r="S11" i="17" s="1"/>
  <c r="T11" i="17" s="1"/>
  <c r="U11" i="17" s="1"/>
  <c r="V11" i="17" s="1"/>
  <c r="W11" i="17" s="1"/>
  <c r="X11" i="17" s="1"/>
  <c r="Y11" i="17" s="1"/>
  <c r="Z11" i="17" s="1"/>
  <c r="AA11" i="17" s="1"/>
  <c r="AB11" i="17" s="1"/>
  <c r="AC11" i="17" s="1"/>
  <c r="AD11" i="17" s="1"/>
  <c r="AE11" i="17" s="1"/>
  <c r="AF11" i="17" s="1"/>
  <c r="AG11" i="17" s="1"/>
  <c r="G12" i="17"/>
  <c r="H12" i="17" s="1"/>
  <c r="I12" i="17" s="1"/>
  <c r="J12" i="17" s="1"/>
  <c r="K12" i="17" s="1"/>
  <c r="L12" i="17" s="1"/>
  <c r="M12" i="17" s="1"/>
  <c r="N12" i="17" s="1"/>
  <c r="O12" i="17" s="1"/>
  <c r="P12" i="17" s="1"/>
  <c r="Q12" i="17" s="1"/>
  <c r="R12" i="17" s="1"/>
  <c r="S12" i="17" s="1"/>
  <c r="T12" i="17" s="1"/>
  <c r="U12" i="17" s="1"/>
  <c r="V12" i="17" s="1"/>
  <c r="W12" i="17" s="1"/>
  <c r="X12" i="17" s="1"/>
  <c r="Y12" i="17" s="1"/>
  <c r="Z12" i="17" s="1"/>
  <c r="AA12" i="17" s="1"/>
  <c r="AB12" i="17" s="1"/>
  <c r="AC12" i="17" s="1"/>
  <c r="AD12" i="17" s="1"/>
  <c r="AE12" i="17" s="1"/>
  <c r="AF12" i="17" s="1"/>
  <c r="AG12" i="17" s="1"/>
  <c r="G13" i="17"/>
  <c r="H13" i="17"/>
  <c r="I13" i="17"/>
  <c r="J13" i="17" s="1"/>
  <c r="K13" i="17" s="1"/>
  <c r="L13" i="17" s="1"/>
  <c r="M13" i="17" s="1"/>
  <c r="N13" i="17" s="1"/>
  <c r="O13" i="17" s="1"/>
  <c r="P13" i="17" s="1"/>
  <c r="Q13" i="17" s="1"/>
  <c r="R13" i="17" s="1"/>
  <c r="S13" i="17" s="1"/>
  <c r="T13" i="17" s="1"/>
  <c r="U13" i="17" s="1"/>
  <c r="V13" i="17" s="1"/>
  <c r="W13" i="17" s="1"/>
  <c r="X13" i="17" s="1"/>
  <c r="Y13" i="17" s="1"/>
  <c r="Z13" i="17" s="1"/>
  <c r="AA13" i="17" s="1"/>
  <c r="AB13" i="17" s="1"/>
  <c r="AC13" i="17" s="1"/>
  <c r="AD13" i="17" s="1"/>
  <c r="AE13" i="17" s="1"/>
  <c r="AF13" i="17" s="1"/>
  <c r="AG13" i="17" s="1"/>
  <c r="G14" i="17"/>
  <c r="H14" i="17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G14" i="17" s="1"/>
  <c r="G15" i="17"/>
  <c r="H15" i="17" s="1"/>
  <c r="I15" i="17" s="1"/>
  <c r="J15" i="17" s="1"/>
  <c r="K15" i="17" s="1"/>
  <c r="L15" i="17" s="1"/>
  <c r="M15" i="17" s="1"/>
  <c r="N15" i="17" s="1"/>
  <c r="O15" i="17" s="1"/>
  <c r="P15" i="17" s="1"/>
  <c r="Q15" i="17" s="1"/>
  <c r="R15" i="17" s="1"/>
  <c r="S15" i="17" s="1"/>
  <c r="T15" i="17" s="1"/>
  <c r="U15" i="17" s="1"/>
  <c r="V15" i="17" s="1"/>
  <c r="W15" i="17" s="1"/>
  <c r="X15" i="17" s="1"/>
  <c r="Y15" i="17" s="1"/>
  <c r="Z15" i="17" s="1"/>
  <c r="AA15" i="17" s="1"/>
  <c r="AB15" i="17" s="1"/>
  <c r="AC15" i="17" s="1"/>
  <c r="AD15" i="17" s="1"/>
  <c r="AE15" i="17" s="1"/>
  <c r="AF15" i="17" s="1"/>
  <c r="AG15" i="17" s="1"/>
  <c r="G16" i="17"/>
  <c r="H16" i="17"/>
  <c r="I16" i="17" s="1"/>
  <c r="J16" i="17" s="1"/>
  <c r="K16" i="17" s="1"/>
  <c r="L16" i="17" s="1"/>
  <c r="M16" i="17" s="1"/>
  <c r="N16" i="17" s="1"/>
  <c r="O16" i="17" s="1"/>
  <c r="P16" i="17" s="1"/>
  <c r="Q16" i="17" s="1"/>
  <c r="R16" i="17" s="1"/>
  <c r="S16" i="17" s="1"/>
  <c r="T16" i="17" s="1"/>
  <c r="U16" i="17" s="1"/>
  <c r="V16" i="17" s="1"/>
  <c r="W16" i="17" s="1"/>
  <c r="X16" i="17" s="1"/>
  <c r="Y16" i="17" s="1"/>
  <c r="Z16" i="17" s="1"/>
  <c r="AA16" i="17" s="1"/>
  <c r="AB16" i="17" s="1"/>
  <c r="AC16" i="17" s="1"/>
  <c r="AD16" i="17" s="1"/>
  <c r="AE16" i="17" s="1"/>
  <c r="AF16" i="17" s="1"/>
  <c r="AG16" i="17" s="1"/>
  <c r="G17" i="17"/>
  <c r="H17" i="17"/>
  <c r="I17" i="17" s="1"/>
  <c r="J17" i="17" s="1"/>
  <c r="K17" i="17" s="1"/>
  <c r="L17" i="17" s="1"/>
  <c r="M17" i="17" s="1"/>
  <c r="N17" i="17" s="1"/>
  <c r="O17" i="17" s="1"/>
  <c r="P17" i="17" s="1"/>
  <c r="Q17" i="17" s="1"/>
  <c r="R17" i="17" s="1"/>
  <c r="S17" i="17" s="1"/>
  <c r="T17" i="17" s="1"/>
  <c r="U17" i="17" s="1"/>
  <c r="V17" i="17" s="1"/>
  <c r="W17" i="17" s="1"/>
  <c r="X17" i="17" s="1"/>
  <c r="Y17" i="17" s="1"/>
  <c r="Z17" i="17" s="1"/>
  <c r="AA17" i="17" s="1"/>
  <c r="AB17" i="17" s="1"/>
  <c r="AC17" i="17" s="1"/>
  <c r="AD17" i="17" s="1"/>
  <c r="AE17" i="17" s="1"/>
  <c r="AF17" i="17" s="1"/>
  <c r="AG17" i="17" s="1"/>
  <c r="G18" i="17"/>
  <c r="H18" i="17" s="1"/>
  <c r="I18" i="17" s="1"/>
  <c r="J18" i="17" s="1"/>
  <c r="K18" i="17" s="1"/>
  <c r="L18" i="17" s="1"/>
  <c r="M18" i="17" s="1"/>
  <c r="N18" i="17" s="1"/>
  <c r="O18" i="17" s="1"/>
  <c r="P18" i="17" s="1"/>
  <c r="Q18" i="17" s="1"/>
  <c r="R18" i="17" s="1"/>
  <c r="S18" i="17" s="1"/>
  <c r="T18" i="17" s="1"/>
  <c r="U18" i="17" s="1"/>
  <c r="V18" i="17" s="1"/>
  <c r="W18" i="17" s="1"/>
  <c r="X18" i="17" s="1"/>
  <c r="Y18" i="17" s="1"/>
  <c r="Z18" i="17" s="1"/>
  <c r="AA18" i="17" s="1"/>
  <c r="AB18" i="17" s="1"/>
  <c r="AC18" i="17" s="1"/>
  <c r="AD18" i="17" s="1"/>
  <c r="AE18" i="17" s="1"/>
  <c r="AF18" i="17" s="1"/>
  <c r="AG18" i="17" s="1"/>
  <c r="G2" i="17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AG2" i="17" s="1"/>
  <c r="F3" i="16" l="1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AD3" i="16" s="1"/>
  <c r="AE3" i="16" s="1"/>
  <c r="AF3" i="16" s="1"/>
  <c r="AG3" i="16" s="1"/>
  <c r="F4" i="16"/>
  <c r="G4" i="16"/>
  <c r="H4" i="16"/>
  <c r="I4" i="16"/>
  <c r="J4" i="16"/>
  <c r="K4" i="16"/>
  <c r="L4" i="16"/>
  <c r="M4" i="16" s="1"/>
  <c r="N4" i="16" s="1"/>
  <c r="O4" i="16" s="1"/>
  <c r="P4" i="16" s="1"/>
  <c r="Q4" i="16" s="1"/>
  <c r="R4" i="16" s="1"/>
  <c r="S4" i="16" s="1"/>
  <c r="T4" i="16" s="1"/>
  <c r="U4" i="16" s="1"/>
  <c r="V4" i="16" s="1"/>
  <c r="W4" i="16" s="1"/>
  <c r="X4" i="16" s="1"/>
  <c r="Y4" i="16" s="1"/>
  <c r="Z4" i="16" s="1"/>
  <c r="AA4" i="16" s="1"/>
  <c r="AB4" i="16" s="1"/>
  <c r="AC4" i="16" s="1"/>
  <c r="AD4" i="16" s="1"/>
  <c r="AE4" i="16" s="1"/>
  <c r="AF4" i="16" s="1"/>
  <c r="AG4" i="16" s="1"/>
  <c r="F5" i="16"/>
  <c r="G5" i="16"/>
  <c r="H5" i="16"/>
  <c r="I5" i="16" s="1"/>
  <c r="J5" i="16" s="1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U5" i="16" s="1"/>
  <c r="V5" i="16" s="1"/>
  <c r="W5" i="16" s="1"/>
  <c r="X5" i="16" s="1"/>
  <c r="Y5" i="16" s="1"/>
  <c r="Z5" i="16" s="1"/>
  <c r="AA5" i="16" s="1"/>
  <c r="AB5" i="16" s="1"/>
  <c r="AC5" i="16" s="1"/>
  <c r="AD5" i="16" s="1"/>
  <c r="AE5" i="16" s="1"/>
  <c r="AF5" i="16" s="1"/>
  <c r="AG5" i="16" s="1"/>
  <c r="F6" i="16"/>
  <c r="G6" i="16" s="1"/>
  <c r="H6" i="16" s="1"/>
  <c r="I6" i="16" s="1"/>
  <c r="J6" i="16" s="1"/>
  <c r="K6" i="16" s="1"/>
  <c r="L6" i="16" s="1"/>
  <c r="M6" i="16" s="1"/>
  <c r="N6" i="16" s="1"/>
  <c r="O6" i="16" s="1"/>
  <c r="P6" i="16" s="1"/>
  <c r="Q6" i="16" s="1"/>
  <c r="R6" i="16" s="1"/>
  <c r="S6" i="16" s="1"/>
  <c r="T6" i="16" s="1"/>
  <c r="U6" i="16" s="1"/>
  <c r="V6" i="16" s="1"/>
  <c r="W6" i="16" s="1"/>
  <c r="X6" i="16" s="1"/>
  <c r="Y6" i="16" s="1"/>
  <c r="Z6" i="16" s="1"/>
  <c r="AA6" i="16" s="1"/>
  <c r="AB6" i="16" s="1"/>
  <c r="AC6" i="16" s="1"/>
  <c r="AD6" i="16" s="1"/>
  <c r="AE6" i="16" s="1"/>
  <c r="AF6" i="16" s="1"/>
  <c r="AG6" i="16" s="1"/>
  <c r="F7" i="16"/>
  <c r="G7" i="16"/>
  <c r="H7" i="16"/>
  <c r="I7" i="16"/>
  <c r="J7" i="16"/>
  <c r="K7" i="16"/>
  <c r="L7" i="16"/>
  <c r="M7" i="16" s="1"/>
  <c r="N7" i="16" s="1"/>
  <c r="O7" i="16" s="1"/>
  <c r="P7" i="16" s="1"/>
  <c r="Q7" i="16" s="1"/>
  <c r="R7" i="16" s="1"/>
  <c r="S7" i="16" s="1"/>
  <c r="T7" i="16" s="1"/>
  <c r="U7" i="16" s="1"/>
  <c r="V7" i="16" s="1"/>
  <c r="W7" i="16" s="1"/>
  <c r="X7" i="16" s="1"/>
  <c r="Y7" i="16" s="1"/>
  <c r="Z7" i="16" s="1"/>
  <c r="AA7" i="16" s="1"/>
  <c r="AB7" i="16" s="1"/>
  <c r="AC7" i="16" s="1"/>
  <c r="AD7" i="16" s="1"/>
  <c r="AE7" i="16" s="1"/>
  <c r="AF7" i="16" s="1"/>
  <c r="AG7" i="16" s="1"/>
  <c r="F8" i="16"/>
  <c r="G8" i="16"/>
  <c r="H8" i="16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W8" i="16" s="1"/>
  <c r="X8" i="16" s="1"/>
  <c r="Y8" i="16" s="1"/>
  <c r="Z8" i="16" s="1"/>
  <c r="AA8" i="16" s="1"/>
  <c r="AB8" i="16" s="1"/>
  <c r="AC8" i="16" s="1"/>
  <c r="AD8" i="16" s="1"/>
  <c r="AE8" i="16" s="1"/>
  <c r="AF8" i="16" s="1"/>
  <c r="AG8" i="16" s="1"/>
  <c r="F9" i="16"/>
  <c r="G9" i="16"/>
  <c r="H9" i="16" s="1"/>
  <c r="I9" i="16" s="1"/>
  <c r="J9" i="16" s="1"/>
  <c r="K9" i="16" s="1"/>
  <c r="L9" i="16" s="1"/>
  <c r="M9" i="16" s="1"/>
  <c r="N9" i="16" s="1"/>
  <c r="O9" i="16" s="1"/>
  <c r="P9" i="16" s="1"/>
  <c r="Q9" i="16" s="1"/>
  <c r="R9" i="16" s="1"/>
  <c r="S9" i="16" s="1"/>
  <c r="T9" i="16" s="1"/>
  <c r="U9" i="16" s="1"/>
  <c r="V9" i="16" s="1"/>
  <c r="W9" i="16" s="1"/>
  <c r="X9" i="16" s="1"/>
  <c r="Y9" i="16" s="1"/>
  <c r="Z9" i="16" s="1"/>
  <c r="AA9" i="16" s="1"/>
  <c r="AB9" i="16" s="1"/>
  <c r="AC9" i="16" s="1"/>
  <c r="AD9" i="16" s="1"/>
  <c r="AE9" i="16" s="1"/>
  <c r="AF9" i="16" s="1"/>
  <c r="AG9" i="16" s="1"/>
  <c r="F10" i="16"/>
  <c r="G10" i="16"/>
  <c r="H10" i="16"/>
  <c r="I10" i="16"/>
  <c r="J10" i="16"/>
  <c r="K10" i="16"/>
  <c r="L10" i="16"/>
  <c r="M10" i="16" s="1"/>
  <c r="N10" i="16" s="1"/>
  <c r="O10" i="16" s="1"/>
  <c r="P10" i="16" s="1"/>
  <c r="Q10" i="16" s="1"/>
  <c r="R10" i="16" s="1"/>
  <c r="S10" i="16" s="1"/>
  <c r="T10" i="16" s="1"/>
  <c r="U10" i="16" s="1"/>
  <c r="V10" i="16" s="1"/>
  <c r="W10" i="16" s="1"/>
  <c r="X10" i="16" s="1"/>
  <c r="Y10" i="16" s="1"/>
  <c r="Z10" i="16" s="1"/>
  <c r="AA10" i="16" s="1"/>
  <c r="AB10" i="16" s="1"/>
  <c r="AC10" i="16" s="1"/>
  <c r="AD10" i="16" s="1"/>
  <c r="AE10" i="16" s="1"/>
  <c r="AF10" i="16" s="1"/>
  <c r="AG10" i="16" s="1"/>
  <c r="F11" i="16"/>
  <c r="G11" i="16"/>
  <c r="H11" i="16"/>
  <c r="I11" i="16" s="1"/>
  <c r="J11" i="16" s="1"/>
  <c r="K11" i="16" s="1"/>
  <c r="L11" i="16" s="1"/>
  <c r="M11" i="16" s="1"/>
  <c r="N11" i="16" s="1"/>
  <c r="O11" i="16" s="1"/>
  <c r="P11" i="16" s="1"/>
  <c r="Q11" i="16" s="1"/>
  <c r="R11" i="16" s="1"/>
  <c r="S11" i="16" s="1"/>
  <c r="T11" i="16" s="1"/>
  <c r="U11" i="16" s="1"/>
  <c r="V11" i="16" s="1"/>
  <c r="W11" i="16" s="1"/>
  <c r="X11" i="16" s="1"/>
  <c r="Y11" i="16" s="1"/>
  <c r="Z11" i="16" s="1"/>
  <c r="AA11" i="16" s="1"/>
  <c r="AB11" i="16" s="1"/>
  <c r="AC11" i="16" s="1"/>
  <c r="AD11" i="16" s="1"/>
  <c r="AE11" i="16" s="1"/>
  <c r="AF11" i="16" s="1"/>
  <c r="AG11" i="16" s="1"/>
  <c r="F12" i="16"/>
  <c r="G12" i="16"/>
  <c r="H12" i="16" s="1"/>
  <c r="I12" i="16" s="1"/>
  <c r="J12" i="16" s="1"/>
  <c r="K12" i="16" s="1"/>
  <c r="L12" i="16" s="1"/>
  <c r="M12" i="16" s="1"/>
  <c r="N12" i="16" s="1"/>
  <c r="O12" i="16" s="1"/>
  <c r="P12" i="16" s="1"/>
  <c r="Q12" i="16" s="1"/>
  <c r="R12" i="16" s="1"/>
  <c r="S12" i="16" s="1"/>
  <c r="T12" i="16" s="1"/>
  <c r="U12" i="16" s="1"/>
  <c r="V12" i="16" s="1"/>
  <c r="W12" i="16" s="1"/>
  <c r="X12" i="16" s="1"/>
  <c r="Y12" i="16" s="1"/>
  <c r="Z12" i="16" s="1"/>
  <c r="AA12" i="16" s="1"/>
  <c r="AB12" i="16" s="1"/>
  <c r="AC12" i="16" s="1"/>
  <c r="AD12" i="16" s="1"/>
  <c r="AE12" i="16" s="1"/>
  <c r="AF12" i="16" s="1"/>
  <c r="AG12" i="16" s="1"/>
  <c r="F13" i="16"/>
  <c r="G13" i="16"/>
  <c r="H13" i="16"/>
  <c r="I13" i="16"/>
  <c r="J13" i="16"/>
  <c r="K13" i="16"/>
  <c r="L13" i="16"/>
  <c r="M13" i="16" s="1"/>
  <c r="N13" i="16" s="1"/>
  <c r="O13" i="16" s="1"/>
  <c r="P13" i="16" s="1"/>
  <c r="Q13" i="16" s="1"/>
  <c r="R13" i="16" s="1"/>
  <c r="S13" i="16" s="1"/>
  <c r="T13" i="16" s="1"/>
  <c r="U13" i="16" s="1"/>
  <c r="V13" i="16" s="1"/>
  <c r="W13" i="16" s="1"/>
  <c r="X13" i="16" s="1"/>
  <c r="Y13" i="16" s="1"/>
  <c r="Z13" i="16" s="1"/>
  <c r="AA13" i="16" s="1"/>
  <c r="AB13" i="16" s="1"/>
  <c r="AC13" i="16" s="1"/>
  <c r="AD13" i="16" s="1"/>
  <c r="AE13" i="16" s="1"/>
  <c r="AF13" i="16" s="1"/>
  <c r="AG13" i="16" s="1"/>
  <c r="F14" i="16"/>
  <c r="G14" i="16"/>
  <c r="H14" i="16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G14" i="16" s="1"/>
  <c r="F15" i="16"/>
  <c r="G15" i="16"/>
  <c r="H15" i="16"/>
  <c r="I15" i="16" s="1"/>
  <c r="J15" i="16" s="1"/>
  <c r="K15" i="16" s="1"/>
  <c r="L15" i="16" s="1"/>
  <c r="M15" i="16" s="1"/>
  <c r="N15" i="16" s="1"/>
  <c r="O15" i="16" s="1"/>
  <c r="P15" i="16" s="1"/>
  <c r="Q15" i="16" s="1"/>
  <c r="R15" i="16" s="1"/>
  <c r="S15" i="16" s="1"/>
  <c r="T15" i="16" s="1"/>
  <c r="U15" i="16" s="1"/>
  <c r="V15" i="16" s="1"/>
  <c r="W15" i="16" s="1"/>
  <c r="X15" i="16" s="1"/>
  <c r="Y15" i="16" s="1"/>
  <c r="Z15" i="16" s="1"/>
  <c r="AA15" i="16" s="1"/>
  <c r="AB15" i="16" s="1"/>
  <c r="AC15" i="16" s="1"/>
  <c r="AD15" i="16" s="1"/>
  <c r="AE15" i="16" s="1"/>
  <c r="AF15" i="16" s="1"/>
  <c r="AG15" i="16" s="1"/>
  <c r="F16" i="16"/>
  <c r="G16" i="16"/>
  <c r="H16" i="16"/>
  <c r="I16" i="16"/>
  <c r="J16" i="16"/>
  <c r="K16" i="16"/>
  <c r="L16" i="16"/>
  <c r="M16" i="16" s="1"/>
  <c r="N16" i="16" s="1"/>
  <c r="O16" i="16" s="1"/>
  <c r="P16" i="16" s="1"/>
  <c r="Q16" i="16" s="1"/>
  <c r="R16" i="16" s="1"/>
  <c r="S16" i="16" s="1"/>
  <c r="T16" i="16" s="1"/>
  <c r="U16" i="16" s="1"/>
  <c r="V16" i="16" s="1"/>
  <c r="W16" i="16" s="1"/>
  <c r="X16" i="16" s="1"/>
  <c r="Y16" i="16" s="1"/>
  <c r="Z16" i="16" s="1"/>
  <c r="AA16" i="16" s="1"/>
  <c r="AB16" i="16" s="1"/>
  <c r="AC16" i="16" s="1"/>
  <c r="AD16" i="16" s="1"/>
  <c r="AE16" i="16" s="1"/>
  <c r="AF16" i="16" s="1"/>
  <c r="AG16" i="16" s="1"/>
  <c r="F17" i="16"/>
  <c r="G17" i="16"/>
  <c r="H17" i="16"/>
  <c r="I17" i="16" s="1"/>
  <c r="J17" i="16" s="1"/>
  <c r="K17" i="16" s="1"/>
  <c r="L17" i="16" s="1"/>
  <c r="M17" i="16" s="1"/>
  <c r="N17" i="16" s="1"/>
  <c r="O17" i="16" s="1"/>
  <c r="P17" i="16" s="1"/>
  <c r="Q17" i="16" s="1"/>
  <c r="R17" i="16" s="1"/>
  <c r="S17" i="16" s="1"/>
  <c r="T17" i="16" s="1"/>
  <c r="U17" i="16" s="1"/>
  <c r="V17" i="16" s="1"/>
  <c r="W17" i="16" s="1"/>
  <c r="X17" i="16" s="1"/>
  <c r="Y17" i="16" s="1"/>
  <c r="Z17" i="16" s="1"/>
  <c r="AA17" i="16" s="1"/>
  <c r="AB17" i="16" s="1"/>
  <c r="AC17" i="16" s="1"/>
  <c r="AD17" i="16" s="1"/>
  <c r="AE17" i="16" s="1"/>
  <c r="AF17" i="16" s="1"/>
  <c r="AG17" i="16" s="1"/>
  <c r="F18" i="16"/>
  <c r="G18" i="16"/>
  <c r="H18" i="16"/>
  <c r="I18" i="16" s="1"/>
  <c r="J18" i="16" s="1"/>
  <c r="K18" i="16" s="1"/>
  <c r="L18" i="16" s="1"/>
  <c r="M18" i="16" s="1"/>
  <c r="N18" i="16" s="1"/>
  <c r="O18" i="16" s="1"/>
  <c r="P18" i="16" s="1"/>
  <c r="Q18" i="16" s="1"/>
  <c r="R18" i="16" s="1"/>
  <c r="S18" i="16" s="1"/>
  <c r="T18" i="16" s="1"/>
  <c r="U18" i="16" s="1"/>
  <c r="V18" i="16" s="1"/>
  <c r="W18" i="16" s="1"/>
  <c r="X18" i="16" s="1"/>
  <c r="Y18" i="16" s="1"/>
  <c r="Z18" i="16" s="1"/>
  <c r="AA18" i="16" s="1"/>
  <c r="AB18" i="16" s="1"/>
  <c r="AC18" i="16" s="1"/>
  <c r="AD18" i="16" s="1"/>
  <c r="AE18" i="16" s="1"/>
  <c r="AF18" i="16" s="1"/>
  <c r="AG18" i="16" s="1"/>
  <c r="G2" i="16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F2" i="16"/>
  <c r="G2" i="15" l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AG2" i="15" s="1"/>
  <c r="G3" i="15"/>
  <c r="H3" i="15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X3" i="15" s="1"/>
  <c r="Y3" i="15" s="1"/>
  <c r="Z3" i="15" s="1"/>
  <c r="AA3" i="15" s="1"/>
  <c r="AB3" i="15" s="1"/>
  <c r="AC3" i="15" s="1"/>
  <c r="AD3" i="15" s="1"/>
  <c r="AE3" i="15" s="1"/>
  <c r="AF3" i="15" s="1"/>
  <c r="AG3" i="15" s="1"/>
  <c r="G4" i="15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G5" i="15"/>
  <c r="H5" i="15"/>
  <c r="I5" i="15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G6" i="15"/>
  <c r="H6" i="15" s="1"/>
  <c r="I6" i="15" s="1"/>
  <c r="J6" i="15" s="1"/>
  <c r="K6" i="15" s="1"/>
  <c r="L6" i="15" s="1"/>
  <c r="M6" i="15" s="1"/>
  <c r="N6" i="15" s="1"/>
  <c r="O6" i="15" s="1"/>
  <c r="P6" i="15" s="1"/>
  <c r="Q6" i="15" s="1"/>
  <c r="R6" i="15" s="1"/>
  <c r="S6" i="15" s="1"/>
  <c r="T6" i="15" s="1"/>
  <c r="U6" i="15" s="1"/>
  <c r="V6" i="15" s="1"/>
  <c r="W6" i="15" s="1"/>
  <c r="X6" i="15" s="1"/>
  <c r="Y6" i="15" s="1"/>
  <c r="Z6" i="15" s="1"/>
  <c r="AA6" i="15" s="1"/>
  <c r="AB6" i="15" s="1"/>
  <c r="AC6" i="15" s="1"/>
  <c r="AD6" i="15" s="1"/>
  <c r="AE6" i="15" s="1"/>
  <c r="AF6" i="15" s="1"/>
  <c r="AG6" i="15" s="1"/>
  <c r="G7" i="15"/>
  <c r="H7" i="15"/>
  <c r="I7" i="15" s="1"/>
  <c r="J7" i="15" s="1"/>
  <c r="K7" i="15" s="1"/>
  <c r="L7" i="15" s="1"/>
  <c r="M7" i="15" s="1"/>
  <c r="N7" i="15" s="1"/>
  <c r="O7" i="15" s="1"/>
  <c r="P7" i="15" s="1"/>
  <c r="Q7" i="15" s="1"/>
  <c r="R7" i="15" s="1"/>
  <c r="S7" i="15" s="1"/>
  <c r="T7" i="15" s="1"/>
  <c r="U7" i="15" s="1"/>
  <c r="V7" i="15" s="1"/>
  <c r="W7" i="15" s="1"/>
  <c r="X7" i="15" s="1"/>
  <c r="Y7" i="15" s="1"/>
  <c r="Z7" i="15" s="1"/>
  <c r="AA7" i="15" s="1"/>
  <c r="AB7" i="15" s="1"/>
  <c r="AC7" i="15" s="1"/>
  <c r="AD7" i="15" s="1"/>
  <c r="AE7" i="15" s="1"/>
  <c r="AF7" i="15" s="1"/>
  <c r="AG7" i="15" s="1"/>
  <c r="G8" i="15"/>
  <c r="H8" i="15" s="1"/>
  <c r="I8" i="15" s="1"/>
  <c r="J8" i="15" s="1"/>
  <c r="K8" i="15" s="1"/>
  <c r="L8" i="15" s="1"/>
  <c r="M8" i="15" s="1"/>
  <c r="N8" i="15" s="1"/>
  <c r="O8" i="15" s="1"/>
  <c r="P8" i="15" s="1"/>
  <c r="Q8" i="15" s="1"/>
  <c r="R8" i="15" s="1"/>
  <c r="S8" i="15" s="1"/>
  <c r="T8" i="15" s="1"/>
  <c r="U8" i="15" s="1"/>
  <c r="V8" i="15" s="1"/>
  <c r="W8" i="15" s="1"/>
  <c r="X8" i="15" s="1"/>
  <c r="Y8" i="15" s="1"/>
  <c r="Z8" i="15" s="1"/>
  <c r="AA8" i="15" s="1"/>
  <c r="AB8" i="15" s="1"/>
  <c r="AC8" i="15" s="1"/>
  <c r="AD8" i="15" s="1"/>
  <c r="AE8" i="15" s="1"/>
  <c r="AF8" i="15" s="1"/>
  <c r="AG8" i="15" s="1"/>
  <c r="G9" i="15"/>
  <c r="H9" i="15"/>
  <c r="I9" i="15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G10" i="15"/>
  <c r="H10" i="15" s="1"/>
  <c r="I10" i="15" s="1"/>
  <c r="J10" i="15" s="1"/>
  <c r="K10" i="15" s="1"/>
  <c r="L10" i="15" s="1"/>
  <c r="M10" i="15" s="1"/>
  <c r="N10" i="15" s="1"/>
  <c r="O10" i="15" s="1"/>
  <c r="P10" i="15" s="1"/>
  <c r="Q10" i="15" s="1"/>
  <c r="R10" i="15" s="1"/>
  <c r="S10" i="15" s="1"/>
  <c r="T10" i="15" s="1"/>
  <c r="U10" i="15" s="1"/>
  <c r="V10" i="15" s="1"/>
  <c r="W10" i="15" s="1"/>
  <c r="X10" i="15" s="1"/>
  <c r="Y10" i="15" s="1"/>
  <c r="Z10" i="15" s="1"/>
  <c r="AA10" i="15" s="1"/>
  <c r="AB10" i="15" s="1"/>
  <c r="AC10" i="15" s="1"/>
  <c r="AD10" i="15" s="1"/>
  <c r="AE10" i="15" s="1"/>
  <c r="AF10" i="15" s="1"/>
  <c r="AG10" i="15" s="1"/>
  <c r="G11" i="15"/>
  <c r="H11" i="15"/>
  <c r="I11" i="15" s="1"/>
  <c r="J11" i="15" s="1"/>
  <c r="K11" i="15" s="1"/>
  <c r="L11" i="15" s="1"/>
  <c r="M11" i="15" s="1"/>
  <c r="N11" i="15" s="1"/>
  <c r="O11" i="15" s="1"/>
  <c r="P11" i="15" s="1"/>
  <c r="Q11" i="15" s="1"/>
  <c r="R11" i="15" s="1"/>
  <c r="S11" i="15" s="1"/>
  <c r="T11" i="15" s="1"/>
  <c r="U11" i="15" s="1"/>
  <c r="V11" i="15" s="1"/>
  <c r="W11" i="15" s="1"/>
  <c r="X11" i="15" s="1"/>
  <c r="Y11" i="15" s="1"/>
  <c r="Z11" i="15" s="1"/>
  <c r="AA11" i="15" s="1"/>
  <c r="AB11" i="15" s="1"/>
  <c r="AC11" i="15" s="1"/>
  <c r="AD11" i="15" s="1"/>
  <c r="AE11" i="15" s="1"/>
  <c r="AF11" i="15" s="1"/>
  <c r="AG11" i="15" s="1"/>
  <c r="G12" i="15"/>
  <c r="H12" i="15" s="1"/>
  <c r="I12" i="15" s="1"/>
  <c r="J12" i="15" s="1"/>
  <c r="K12" i="15" s="1"/>
  <c r="L12" i="15" s="1"/>
  <c r="M12" i="15" s="1"/>
  <c r="N12" i="15" s="1"/>
  <c r="O12" i="15" s="1"/>
  <c r="P12" i="15" s="1"/>
  <c r="Q12" i="15" s="1"/>
  <c r="R12" i="15" s="1"/>
  <c r="S12" i="15" s="1"/>
  <c r="T12" i="15" s="1"/>
  <c r="U12" i="15" s="1"/>
  <c r="V12" i="15" s="1"/>
  <c r="W12" i="15" s="1"/>
  <c r="X12" i="15" s="1"/>
  <c r="Y12" i="15" s="1"/>
  <c r="Z12" i="15" s="1"/>
  <c r="AA12" i="15" s="1"/>
  <c r="AB12" i="15" s="1"/>
  <c r="AC12" i="15" s="1"/>
  <c r="AD12" i="15" s="1"/>
  <c r="AE12" i="15" s="1"/>
  <c r="AF12" i="15" s="1"/>
  <c r="AG12" i="15" s="1"/>
  <c r="G13" i="15"/>
  <c r="H13" i="15"/>
  <c r="I13" i="15"/>
  <c r="J13" i="15" s="1"/>
  <c r="K13" i="15" s="1"/>
  <c r="L13" i="15" s="1"/>
  <c r="M13" i="15" s="1"/>
  <c r="N13" i="15" s="1"/>
  <c r="O13" i="15" s="1"/>
  <c r="P13" i="15" s="1"/>
  <c r="Q13" i="15" s="1"/>
  <c r="R13" i="15" s="1"/>
  <c r="S13" i="15" s="1"/>
  <c r="T13" i="15" s="1"/>
  <c r="U13" i="15" s="1"/>
  <c r="V13" i="15" s="1"/>
  <c r="W13" i="15" s="1"/>
  <c r="X13" i="15" s="1"/>
  <c r="Y13" i="15" s="1"/>
  <c r="Z13" i="15" s="1"/>
  <c r="AA13" i="15" s="1"/>
  <c r="AB13" i="15" s="1"/>
  <c r="AC13" i="15" s="1"/>
  <c r="AD13" i="15" s="1"/>
  <c r="AE13" i="15" s="1"/>
  <c r="AF13" i="15" s="1"/>
  <c r="AG13" i="15" s="1"/>
  <c r="G14" i="15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AG14" i="15" s="1"/>
  <c r="G15" i="15"/>
  <c r="H15" i="15"/>
  <c r="I15" i="15" s="1"/>
  <c r="J15" i="15" s="1"/>
  <c r="K15" i="15" s="1"/>
  <c r="L15" i="15" s="1"/>
  <c r="M15" i="15" s="1"/>
  <c r="N15" i="15" s="1"/>
  <c r="O15" i="15" s="1"/>
  <c r="P15" i="15" s="1"/>
  <c r="Q15" i="15" s="1"/>
  <c r="R15" i="15" s="1"/>
  <c r="S15" i="15" s="1"/>
  <c r="T15" i="15" s="1"/>
  <c r="U15" i="15" s="1"/>
  <c r="V15" i="15" s="1"/>
  <c r="W15" i="15" s="1"/>
  <c r="X15" i="15" s="1"/>
  <c r="Y15" i="15" s="1"/>
  <c r="Z15" i="15" s="1"/>
  <c r="AA15" i="15" s="1"/>
  <c r="AB15" i="15" s="1"/>
  <c r="AC15" i="15" s="1"/>
  <c r="AD15" i="15" s="1"/>
  <c r="AE15" i="15" s="1"/>
  <c r="AF15" i="15" s="1"/>
  <c r="AG15" i="15" s="1"/>
  <c r="G16" i="15"/>
  <c r="H16" i="15" s="1"/>
  <c r="I16" i="15" s="1"/>
  <c r="J16" i="15" s="1"/>
  <c r="K16" i="15" s="1"/>
  <c r="L16" i="15" s="1"/>
  <c r="M16" i="15" s="1"/>
  <c r="N16" i="15" s="1"/>
  <c r="O16" i="15" s="1"/>
  <c r="P16" i="15" s="1"/>
  <c r="Q16" i="15" s="1"/>
  <c r="R16" i="15" s="1"/>
  <c r="S16" i="15" s="1"/>
  <c r="T16" i="15" s="1"/>
  <c r="U16" i="15" s="1"/>
  <c r="V16" i="15" s="1"/>
  <c r="W16" i="15" s="1"/>
  <c r="X16" i="15" s="1"/>
  <c r="Y16" i="15" s="1"/>
  <c r="Z16" i="15" s="1"/>
  <c r="AA16" i="15" s="1"/>
  <c r="AB16" i="15" s="1"/>
  <c r="AC16" i="15" s="1"/>
  <c r="AD16" i="15" s="1"/>
  <c r="AE16" i="15" s="1"/>
  <c r="AF16" i="15" s="1"/>
  <c r="AG16" i="15" s="1"/>
  <c r="G17" i="15"/>
  <c r="H17" i="15"/>
  <c r="I17" i="15"/>
  <c r="J17" i="15" s="1"/>
  <c r="K17" i="15" s="1"/>
  <c r="L17" i="15" s="1"/>
  <c r="M17" i="15" s="1"/>
  <c r="N17" i="15" s="1"/>
  <c r="O17" i="15" s="1"/>
  <c r="P17" i="15" s="1"/>
  <c r="Q17" i="15" s="1"/>
  <c r="R17" i="15" s="1"/>
  <c r="S17" i="15" s="1"/>
  <c r="T17" i="15" s="1"/>
  <c r="U17" i="15" s="1"/>
  <c r="V17" i="15" s="1"/>
  <c r="W17" i="15" s="1"/>
  <c r="X17" i="15" s="1"/>
  <c r="Y17" i="15" s="1"/>
  <c r="Z17" i="15" s="1"/>
  <c r="AA17" i="15" s="1"/>
  <c r="AB17" i="15" s="1"/>
  <c r="AC17" i="15" s="1"/>
  <c r="AD17" i="15" s="1"/>
  <c r="AE17" i="15" s="1"/>
  <c r="AF17" i="15" s="1"/>
  <c r="AG17" i="15" s="1"/>
  <c r="G18" i="15"/>
  <c r="H18" i="15" s="1"/>
  <c r="I18" i="15" s="1"/>
  <c r="J18" i="15" s="1"/>
  <c r="K18" i="15" s="1"/>
  <c r="L18" i="15" s="1"/>
  <c r="M18" i="15" s="1"/>
  <c r="N18" i="15" s="1"/>
  <c r="O18" i="15" s="1"/>
  <c r="P18" i="15" s="1"/>
  <c r="Q18" i="15" s="1"/>
  <c r="R18" i="15" s="1"/>
  <c r="S18" i="15" s="1"/>
  <c r="T18" i="15" s="1"/>
  <c r="U18" i="15" s="1"/>
  <c r="V18" i="15" s="1"/>
  <c r="W18" i="15" s="1"/>
  <c r="X18" i="15" s="1"/>
  <c r="Y18" i="15" s="1"/>
  <c r="Z18" i="15" s="1"/>
  <c r="AA18" i="15" s="1"/>
  <c r="AB18" i="15" s="1"/>
  <c r="AC18" i="15" s="1"/>
  <c r="AD18" i="15" s="1"/>
  <c r="AE18" i="15" s="1"/>
  <c r="AF18" i="15" s="1"/>
  <c r="AG18" i="15" s="1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2" i="15"/>
  <c r="F3" i="14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AG3" i="14" s="1"/>
  <c r="F4" i="14"/>
  <c r="G4" i="14"/>
  <c r="H4" i="14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AG4" i="14" s="1"/>
  <c r="F5" i="14"/>
  <c r="G5" i="14"/>
  <c r="H5" i="14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F6" i="14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F7" i="14"/>
  <c r="G7" i="14"/>
  <c r="H7" i="14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AG7" i="14" s="1"/>
  <c r="F8" i="14"/>
  <c r="G8" i="14"/>
  <c r="H8" i="14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AF8" i="14" s="1"/>
  <c r="AG8" i="14" s="1"/>
  <c r="F9" i="14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F10" i="14"/>
  <c r="G10" i="14"/>
  <c r="H10" i="14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F11" i="14"/>
  <c r="G11" i="14"/>
  <c r="H11" i="14"/>
  <c r="I11" i="14" s="1"/>
  <c r="J11" i="14" s="1"/>
  <c r="K11" i="14" s="1"/>
  <c r="L11" i="14" s="1"/>
  <c r="M11" i="14" s="1"/>
  <c r="N11" i="14" s="1"/>
  <c r="O11" i="14" s="1"/>
  <c r="P11" i="14" s="1"/>
  <c r="Q11" i="14" s="1"/>
  <c r="R11" i="14" s="1"/>
  <c r="S11" i="14" s="1"/>
  <c r="T11" i="14" s="1"/>
  <c r="U11" i="14" s="1"/>
  <c r="V11" i="14" s="1"/>
  <c r="W11" i="14" s="1"/>
  <c r="X11" i="14" s="1"/>
  <c r="Y11" i="14" s="1"/>
  <c r="Z11" i="14" s="1"/>
  <c r="AA11" i="14" s="1"/>
  <c r="AB11" i="14" s="1"/>
  <c r="AC11" i="14" s="1"/>
  <c r="AD11" i="14" s="1"/>
  <c r="AE11" i="14" s="1"/>
  <c r="AF11" i="14" s="1"/>
  <c r="AG11" i="14" s="1"/>
  <c r="F12" i="14"/>
  <c r="G12" i="14" s="1"/>
  <c r="H12" i="14" s="1"/>
  <c r="I12" i="14" s="1"/>
  <c r="J12" i="14" s="1"/>
  <c r="K12" i="14" s="1"/>
  <c r="L12" i="14" s="1"/>
  <c r="M12" i="14" s="1"/>
  <c r="N12" i="14" s="1"/>
  <c r="O12" i="14" s="1"/>
  <c r="P12" i="14" s="1"/>
  <c r="Q12" i="14" s="1"/>
  <c r="R12" i="14" s="1"/>
  <c r="S12" i="14" s="1"/>
  <c r="T12" i="14" s="1"/>
  <c r="U12" i="14" s="1"/>
  <c r="V12" i="14" s="1"/>
  <c r="W12" i="14" s="1"/>
  <c r="X12" i="14" s="1"/>
  <c r="Y12" i="14" s="1"/>
  <c r="Z12" i="14" s="1"/>
  <c r="AA12" i="14" s="1"/>
  <c r="AB12" i="14" s="1"/>
  <c r="AC12" i="14" s="1"/>
  <c r="AD12" i="14" s="1"/>
  <c r="AE12" i="14" s="1"/>
  <c r="AF12" i="14" s="1"/>
  <c r="AG12" i="14" s="1"/>
  <c r="F13" i="14"/>
  <c r="G13" i="14"/>
  <c r="H13" i="14"/>
  <c r="I13" i="14"/>
  <c r="J13" i="14"/>
  <c r="K13" i="14"/>
  <c r="L13" i="14"/>
  <c r="M13" i="14" s="1"/>
  <c r="N13" i="14" s="1"/>
  <c r="O13" i="14" s="1"/>
  <c r="P13" i="14" s="1"/>
  <c r="Q13" i="14" s="1"/>
  <c r="R13" i="14" s="1"/>
  <c r="S13" i="14" s="1"/>
  <c r="T13" i="14" s="1"/>
  <c r="U13" i="14" s="1"/>
  <c r="V13" i="14" s="1"/>
  <c r="W13" i="14" s="1"/>
  <c r="X13" i="14" s="1"/>
  <c r="Y13" i="14" s="1"/>
  <c r="Z13" i="14" s="1"/>
  <c r="AA13" i="14" s="1"/>
  <c r="AB13" i="14" s="1"/>
  <c r="AC13" i="14" s="1"/>
  <c r="AD13" i="14" s="1"/>
  <c r="AE13" i="14" s="1"/>
  <c r="AF13" i="14" s="1"/>
  <c r="AG13" i="14" s="1"/>
  <c r="F14" i="14"/>
  <c r="G14" i="14"/>
  <c r="H14" i="14"/>
  <c r="I14" i="14" s="1"/>
  <c r="J14" i="14" s="1"/>
  <c r="K14" i="14" s="1"/>
  <c r="L14" i="14" s="1"/>
  <c r="M14" i="14" s="1"/>
  <c r="N14" i="14" s="1"/>
  <c r="O14" i="14" s="1"/>
  <c r="P14" i="14" s="1"/>
  <c r="Q14" i="14" s="1"/>
  <c r="R14" i="14" s="1"/>
  <c r="S14" i="14" s="1"/>
  <c r="T14" i="14" s="1"/>
  <c r="U14" i="14" s="1"/>
  <c r="V14" i="14" s="1"/>
  <c r="W14" i="14" s="1"/>
  <c r="X14" i="14" s="1"/>
  <c r="Y14" i="14" s="1"/>
  <c r="Z14" i="14" s="1"/>
  <c r="AA14" i="14" s="1"/>
  <c r="AB14" i="14" s="1"/>
  <c r="AC14" i="14" s="1"/>
  <c r="AD14" i="14" s="1"/>
  <c r="AE14" i="14" s="1"/>
  <c r="AF14" i="14" s="1"/>
  <c r="AG14" i="14" s="1"/>
  <c r="F15" i="14"/>
  <c r="G15" i="14" s="1"/>
  <c r="H15" i="14" s="1"/>
  <c r="I15" i="14" s="1"/>
  <c r="J15" i="14" s="1"/>
  <c r="K15" i="14" s="1"/>
  <c r="L15" i="14" s="1"/>
  <c r="M15" i="14" s="1"/>
  <c r="N15" i="14" s="1"/>
  <c r="O15" i="14" s="1"/>
  <c r="P15" i="14" s="1"/>
  <c r="Q15" i="14" s="1"/>
  <c r="R15" i="14" s="1"/>
  <c r="S15" i="14" s="1"/>
  <c r="T15" i="14" s="1"/>
  <c r="U15" i="14" s="1"/>
  <c r="V15" i="14" s="1"/>
  <c r="W15" i="14" s="1"/>
  <c r="X15" i="14" s="1"/>
  <c r="Y15" i="14" s="1"/>
  <c r="Z15" i="14" s="1"/>
  <c r="AA15" i="14" s="1"/>
  <c r="AB15" i="14" s="1"/>
  <c r="AC15" i="14" s="1"/>
  <c r="AD15" i="14" s="1"/>
  <c r="AE15" i="14" s="1"/>
  <c r="AF15" i="14" s="1"/>
  <c r="AG15" i="14" s="1"/>
  <c r="F16" i="14"/>
  <c r="G16" i="14"/>
  <c r="H16" i="14"/>
  <c r="I16" i="14"/>
  <c r="J16" i="14"/>
  <c r="K16" i="14"/>
  <c r="L16" i="14"/>
  <c r="M16" i="14" s="1"/>
  <c r="N16" i="14" s="1"/>
  <c r="O16" i="14" s="1"/>
  <c r="P16" i="14" s="1"/>
  <c r="Q16" i="14" s="1"/>
  <c r="R16" i="14" s="1"/>
  <c r="S16" i="14" s="1"/>
  <c r="T16" i="14" s="1"/>
  <c r="U16" i="14" s="1"/>
  <c r="V16" i="14" s="1"/>
  <c r="W16" i="14" s="1"/>
  <c r="X16" i="14" s="1"/>
  <c r="Y16" i="14" s="1"/>
  <c r="Z16" i="14" s="1"/>
  <c r="AA16" i="14" s="1"/>
  <c r="AB16" i="14" s="1"/>
  <c r="AC16" i="14" s="1"/>
  <c r="AD16" i="14" s="1"/>
  <c r="AE16" i="14" s="1"/>
  <c r="AF16" i="14" s="1"/>
  <c r="AG16" i="14" s="1"/>
  <c r="F17" i="14"/>
  <c r="G17" i="14"/>
  <c r="H17" i="14"/>
  <c r="I17" i="14" s="1"/>
  <c r="J17" i="14" s="1"/>
  <c r="K17" i="14" s="1"/>
  <c r="L17" i="14" s="1"/>
  <c r="M17" i="14" s="1"/>
  <c r="N17" i="14" s="1"/>
  <c r="O17" i="14" s="1"/>
  <c r="P17" i="14" s="1"/>
  <c r="Q17" i="14" s="1"/>
  <c r="R17" i="14" s="1"/>
  <c r="S17" i="14" s="1"/>
  <c r="T17" i="14" s="1"/>
  <c r="U17" i="14" s="1"/>
  <c r="V17" i="14" s="1"/>
  <c r="W17" i="14" s="1"/>
  <c r="X17" i="14" s="1"/>
  <c r="Y17" i="14" s="1"/>
  <c r="Z17" i="14" s="1"/>
  <c r="AA17" i="14" s="1"/>
  <c r="AB17" i="14" s="1"/>
  <c r="AC17" i="14" s="1"/>
  <c r="AD17" i="14" s="1"/>
  <c r="AE17" i="14" s="1"/>
  <c r="AF17" i="14" s="1"/>
  <c r="AG17" i="14" s="1"/>
  <c r="F18" i="14"/>
  <c r="G18" i="14" s="1"/>
  <c r="H18" i="14" s="1"/>
  <c r="I18" i="14" s="1"/>
  <c r="J18" i="14" s="1"/>
  <c r="K18" i="14" s="1"/>
  <c r="L18" i="14" s="1"/>
  <c r="M18" i="14" s="1"/>
  <c r="N18" i="14" s="1"/>
  <c r="O18" i="14" s="1"/>
  <c r="P18" i="14" s="1"/>
  <c r="Q18" i="14" s="1"/>
  <c r="R18" i="14" s="1"/>
  <c r="S18" i="14" s="1"/>
  <c r="T18" i="14" s="1"/>
  <c r="U18" i="14" s="1"/>
  <c r="V18" i="14" s="1"/>
  <c r="W18" i="14" s="1"/>
  <c r="X18" i="14" s="1"/>
  <c r="Y18" i="14" s="1"/>
  <c r="Z18" i="14" s="1"/>
  <c r="AA18" i="14" s="1"/>
  <c r="AB18" i="14" s="1"/>
  <c r="AC18" i="14" s="1"/>
  <c r="AD18" i="14" s="1"/>
  <c r="AE18" i="14" s="1"/>
  <c r="AF18" i="14" s="1"/>
  <c r="AG18" i="14" s="1"/>
  <c r="G2" i="14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F2" i="14"/>
  <c r="F3" i="13" l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AG3" i="13" s="1"/>
  <c r="F4" i="13"/>
  <c r="G4" i="13"/>
  <c r="H4" i="13"/>
  <c r="I4" i="13"/>
  <c r="J4" i="13"/>
  <c r="K4" i="13"/>
  <c r="L4" i="13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AG4" i="13" s="1"/>
  <c r="F5" i="13"/>
  <c r="G5" i="13"/>
  <c r="H5" i="13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F6" i="13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F7" i="13"/>
  <c r="G7" i="13"/>
  <c r="H7" i="13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AC7" i="13" s="1"/>
  <c r="AD7" i="13" s="1"/>
  <c r="AE7" i="13" s="1"/>
  <c r="AF7" i="13" s="1"/>
  <c r="AG7" i="13" s="1"/>
  <c r="F8" i="13"/>
  <c r="G8" i="13"/>
  <c r="H8" i="13"/>
  <c r="I8" i="13" s="1"/>
  <c r="J8" i="13" s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AG8" i="13" s="1"/>
  <c r="F9" i="13"/>
  <c r="G9" i="13" s="1"/>
  <c r="H9" i="13" s="1"/>
  <c r="I9" i="13" s="1"/>
  <c r="J9" i="13" s="1"/>
  <c r="K9" i="13" s="1"/>
  <c r="L9" i="13" s="1"/>
  <c r="M9" i="13" s="1"/>
  <c r="N9" i="13" s="1"/>
  <c r="O9" i="13" s="1"/>
  <c r="P9" i="13" s="1"/>
  <c r="Q9" i="13" s="1"/>
  <c r="R9" i="13" s="1"/>
  <c r="S9" i="13" s="1"/>
  <c r="T9" i="13" s="1"/>
  <c r="U9" i="13" s="1"/>
  <c r="V9" i="13" s="1"/>
  <c r="W9" i="13" s="1"/>
  <c r="X9" i="13" s="1"/>
  <c r="Y9" i="13" s="1"/>
  <c r="Z9" i="13" s="1"/>
  <c r="AA9" i="13" s="1"/>
  <c r="AB9" i="13" s="1"/>
  <c r="AC9" i="13" s="1"/>
  <c r="AD9" i="13" s="1"/>
  <c r="AE9" i="13" s="1"/>
  <c r="AF9" i="13" s="1"/>
  <c r="AG9" i="13" s="1"/>
  <c r="F10" i="13"/>
  <c r="G10" i="13"/>
  <c r="H10" i="13"/>
  <c r="I10" i="13"/>
  <c r="J10" i="13"/>
  <c r="K10" i="13"/>
  <c r="L10" i="13"/>
  <c r="M10" i="13" s="1"/>
  <c r="N10" i="13" s="1"/>
  <c r="O10" i="13" s="1"/>
  <c r="P10" i="13" s="1"/>
  <c r="Q10" i="13" s="1"/>
  <c r="R10" i="13" s="1"/>
  <c r="S10" i="13" s="1"/>
  <c r="T10" i="13" s="1"/>
  <c r="U10" i="13" s="1"/>
  <c r="V10" i="13" s="1"/>
  <c r="W10" i="13" s="1"/>
  <c r="X10" i="13" s="1"/>
  <c r="Y10" i="13" s="1"/>
  <c r="Z10" i="13" s="1"/>
  <c r="AA10" i="13" s="1"/>
  <c r="AB10" i="13" s="1"/>
  <c r="AC10" i="13" s="1"/>
  <c r="AD10" i="13" s="1"/>
  <c r="AE10" i="13" s="1"/>
  <c r="AF10" i="13" s="1"/>
  <c r="AG10" i="13" s="1"/>
  <c r="F11" i="13"/>
  <c r="G11" i="13"/>
  <c r="H11" i="13"/>
  <c r="I11" i="13" s="1"/>
  <c r="J11" i="13" s="1"/>
  <c r="K11" i="13" s="1"/>
  <c r="L11" i="13" s="1"/>
  <c r="M11" i="13" s="1"/>
  <c r="N11" i="13" s="1"/>
  <c r="O11" i="13" s="1"/>
  <c r="P11" i="13" s="1"/>
  <c r="Q11" i="13" s="1"/>
  <c r="R11" i="13" s="1"/>
  <c r="S11" i="13" s="1"/>
  <c r="T11" i="13" s="1"/>
  <c r="U11" i="13" s="1"/>
  <c r="V11" i="13" s="1"/>
  <c r="W11" i="13" s="1"/>
  <c r="X11" i="13" s="1"/>
  <c r="Y11" i="13" s="1"/>
  <c r="Z11" i="13" s="1"/>
  <c r="AA11" i="13" s="1"/>
  <c r="AB11" i="13" s="1"/>
  <c r="AC11" i="13" s="1"/>
  <c r="AD11" i="13" s="1"/>
  <c r="AE11" i="13" s="1"/>
  <c r="AF11" i="13" s="1"/>
  <c r="AG11" i="13" s="1"/>
  <c r="F12" i="13"/>
  <c r="G12" i="13" s="1"/>
  <c r="H12" i="13" s="1"/>
  <c r="I12" i="13" s="1"/>
  <c r="J12" i="13" s="1"/>
  <c r="K12" i="13" s="1"/>
  <c r="L12" i="13" s="1"/>
  <c r="M12" i="13" s="1"/>
  <c r="N12" i="13" s="1"/>
  <c r="O12" i="13" s="1"/>
  <c r="P12" i="13" s="1"/>
  <c r="Q12" i="13" s="1"/>
  <c r="R12" i="13" s="1"/>
  <c r="S12" i="13" s="1"/>
  <c r="T12" i="13" s="1"/>
  <c r="U12" i="13" s="1"/>
  <c r="V12" i="13" s="1"/>
  <c r="W12" i="13" s="1"/>
  <c r="X12" i="13" s="1"/>
  <c r="Y12" i="13" s="1"/>
  <c r="Z12" i="13" s="1"/>
  <c r="AA12" i="13" s="1"/>
  <c r="AB12" i="13" s="1"/>
  <c r="AC12" i="13" s="1"/>
  <c r="AD12" i="13" s="1"/>
  <c r="AE12" i="13" s="1"/>
  <c r="AF12" i="13" s="1"/>
  <c r="AG12" i="13" s="1"/>
  <c r="F13" i="13"/>
  <c r="G13" i="13"/>
  <c r="H13" i="13"/>
  <c r="I13" i="13"/>
  <c r="J13" i="13"/>
  <c r="K13" i="13"/>
  <c r="L13" i="13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F14" i="13"/>
  <c r="G14" i="13"/>
  <c r="H14" i="13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AG14" i="13" s="1"/>
  <c r="F15" i="13"/>
  <c r="G15" i="13" s="1"/>
  <c r="H15" i="13" s="1"/>
  <c r="I15" i="13" s="1"/>
  <c r="J15" i="13" s="1"/>
  <c r="K15" i="13" s="1"/>
  <c r="L15" i="13" s="1"/>
  <c r="M15" i="13" s="1"/>
  <c r="N15" i="13" s="1"/>
  <c r="O15" i="13" s="1"/>
  <c r="P15" i="13" s="1"/>
  <c r="Q15" i="13" s="1"/>
  <c r="R15" i="13" s="1"/>
  <c r="S15" i="13" s="1"/>
  <c r="T15" i="13" s="1"/>
  <c r="U15" i="13" s="1"/>
  <c r="V15" i="13" s="1"/>
  <c r="W15" i="13" s="1"/>
  <c r="X15" i="13" s="1"/>
  <c r="Y15" i="13" s="1"/>
  <c r="Z15" i="13" s="1"/>
  <c r="AA15" i="13" s="1"/>
  <c r="AB15" i="13" s="1"/>
  <c r="AC15" i="13" s="1"/>
  <c r="AD15" i="13" s="1"/>
  <c r="AE15" i="13" s="1"/>
  <c r="AF15" i="13" s="1"/>
  <c r="AG15" i="13" s="1"/>
  <c r="F16" i="13"/>
  <c r="G16" i="13"/>
  <c r="H16" i="13"/>
  <c r="I16" i="13"/>
  <c r="J16" i="13"/>
  <c r="K16" i="13"/>
  <c r="L16" i="13"/>
  <c r="M16" i="13" s="1"/>
  <c r="N16" i="13" s="1"/>
  <c r="O16" i="13" s="1"/>
  <c r="P16" i="13" s="1"/>
  <c r="Q16" i="13" s="1"/>
  <c r="R16" i="13" s="1"/>
  <c r="S16" i="13" s="1"/>
  <c r="T16" i="13" s="1"/>
  <c r="U16" i="13" s="1"/>
  <c r="V16" i="13" s="1"/>
  <c r="W16" i="13" s="1"/>
  <c r="X16" i="13" s="1"/>
  <c r="Y16" i="13" s="1"/>
  <c r="Z16" i="13" s="1"/>
  <c r="AA16" i="13" s="1"/>
  <c r="AB16" i="13" s="1"/>
  <c r="AC16" i="13" s="1"/>
  <c r="AD16" i="13" s="1"/>
  <c r="AE16" i="13" s="1"/>
  <c r="AF16" i="13" s="1"/>
  <c r="AG16" i="13" s="1"/>
  <c r="F17" i="13"/>
  <c r="G17" i="13"/>
  <c r="H17" i="13"/>
  <c r="I17" i="13" s="1"/>
  <c r="J17" i="13" s="1"/>
  <c r="K17" i="13" s="1"/>
  <c r="L17" i="13" s="1"/>
  <c r="M17" i="13" s="1"/>
  <c r="N17" i="13" s="1"/>
  <c r="O17" i="13" s="1"/>
  <c r="P17" i="13" s="1"/>
  <c r="Q17" i="13" s="1"/>
  <c r="R17" i="13" s="1"/>
  <c r="S17" i="13" s="1"/>
  <c r="T17" i="13" s="1"/>
  <c r="U17" i="13" s="1"/>
  <c r="V17" i="13" s="1"/>
  <c r="W17" i="13" s="1"/>
  <c r="X17" i="13" s="1"/>
  <c r="Y17" i="13" s="1"/>
  <c r="Z17" i="13" s="1"/>
  <c r="AA17" i="13" s="1"/>
  <c r="AB17" i="13" s="1"/>
  <c r="AC17" i="13" s="1"/>
  <c r="AD17" i="13" s="1"/>
  <c r="AE17" i="13" s="1"/>
  <c r="AF17" i="13" s="1"/>
  <c r="AG17" i="13" s="1"/>
  <c r="F18" i="13"/>
  <c r="G18" i="13" s="1"/>
  <c r="H18" i="13" s="1"/>
  <c r="I18" i="13" s="1"/>
  <c r="J18" i="13" s="1"/>
  <c r="K18" i="13" s="1"/>
  <c r="L18" i="13" s="1"/>
  <c r="M18" i="13" s="1"/>
  <c r="N18" i="13" s="1"/>
  <c r="O18" i="13" s="1"/>
  <c r="P18" i="13" s="1"/>
  <c r="Q18" i="13" s="1"/>
  <c r="R18" i="13" s="1"/>
  <c r="S18" i="13" s="1"/>
  <c r="T18" i="13" s="1"/>
  <c r="U18" i="13" s="1"/>
  <c r="V18" i="13" s="1"/>
  <c r="W18" i="13" s="1"/>
  <c r="X18" i="13" s="1"/>
  <c r="Y18" i="13" s="1"/>
  <c r="Z18" i="13" s="1"/>
  <c r="AA18" i="13" s="1"/>
  <c r="AB18" i="13" s="1"/>
  <c r="AC18" i="13" s="1"/>
  <c r="AD18" i="13" s="1"/>
  <c r="AE18" i="13" s="1"/>
  <c r="AF18" i="13" s="1"/>
  <c r="AG18" i="13" s="1"/>
  <c r="G2" i="13"/>
  <c r="H2" i="13"/>
  <c r="I2" i="13"/>
  <c r="J2" i="13"/>
  <c r="K2" i="13"/>
  <c r="L2" i="13"/>
  <c r="M2" i="13"/>
  <c r="N2" i="13"/>
  <c r="O2" i="13"/>
  <c r="P2" i="13"/>
  <c r="Q2" i="13"/>
  <c r="R2" i="13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F2" i="13"/>
  <c r="C8" i="5" l="1" a="1"/>
  <c r="C8" i="5" s="1"/>
  <c r="M8" i="5"/>
  <c r="N8" i="5"/>
  <c r="Y8" i="5"/>
  <c r="Z8" i="5"/>
  <c r="AK8" i="5"/>
  <c r="AL8" i="5"/>
  <c r="AW8" i="5"/>
  <c r="AX8" i="5"/>
  <c r="BI8" i="5"/>
  <c r="BJ8" i="5"/>
  <c r="BU8" i="5"/>
  <c r="BV8" i="5"/>
  <c r="CF8" i="5"/>
  <c r="C9" i="5"/>
  <c r="D9" i="5"/>
  <c r="N9" i="5"/>
  <c r="O9" i="5"/>
  <c r="P9" i="5"/>
  <c r="Z9" i="5"/>
  <c r="AA9" i="5"/>
  <c r="AB9" i="5"/>
  <c r="AM9" i="5"/>
  <c r="AN9" i="5"/>
  <c r="AY9" i="5"/>
  <c r="AZ9" i="5"/>
  <c r="BK9" i="5"/>
  <c r="BL9" i="5"/>
  <c r="BW9" i="5"/>
  <c r="BX9" i="5"/>
  <c r="D10" i="5"/>
  <c r="E10" i="5"/>
  <c r="F10" i="5"/>
  <c r="P10" i="5"/>
  <c r="Q10" i="5"/>
  <c r="R10" i="5"/>
  <c r="AC10" i="5"/>
  <c r="AD10" i="5"/>
  <c r="AO10" i="5"/>
  <c r="AP10" i="5"/>
  <c r="AZ10" i="5"/>
  <c r="BA10" i="5"/>
  <c r="BB10" i="5"/>
  <c r="BL10" i="5"/>
  <c r="BM10" i="5"/>
  <c r="BN10" i="5"/>
  <c r="BX10" i="5"/>
  <c r="BY10" i="5"/>
  <c r="BZ10" i="5"/>
  <c r="F11" i="5"/>
  <c r="G11" i="5"/>
  <c r="H11" i="5"/>
  <c r="R11" i="5"/>
  <c r="S11" i="5"/>
  <c r="T11" i="5"/>
  <c r="AD11" i="5"/>
  <c r="AE11" i="5"/>
  <c r="AF11" i="5"/>
  <c r="AP11" i="5"/>
  <c r="AQ11" i="5"/>
  <c r="AR11" i="5"/>
  <c r="BB11" i="5"/>
  <c r="BC11" i="5"/>
  <c r="BD11" i="5"/>
  <c r="BN11" i="5"/>
  <c r="BO11" i="5"/>
  <c r="BP11" i="5"/>
  <c r="BZ11" i="5"/>
  <c r="CA11" i="5"/>
  <c r="CB11" i="5"/>
  <c r="H12" i="5"/>
  <c r="I12" i="5"/>
  <c r="J12" i="5"/>
  <c r="T12" i="5"/>
  <c r="U12" i="5"/>
  <c r="V12" i="5"/>
  <c r="AF12" i="5"/>
  <c r="AG12" i="5"/>
  <c r="AH12" i="5"/>
  <c r="AR12" i="5"/>
  <c r="AS12" i="5"/>
  <c r="AT12" i="5"/>
  <c r="BD12" i="5"/>
  <c r="BE12" i="5"/>
  <c r="BF12" i="5"/>
  <c r="BP12" i="5"/>
  <c r="BQ12" i="5"/>
  <c r="BR12" i="5"/>
  <c r="CB12" i="5"/>
  <c r="CC12" i="5"/>
  <c r="CD12" i="5"/>
  <c r="J13" i="5"/>
  <c r="K13" i="5"/>
  <c r="L13" i="5"/>
  <c r="V13" i="5"/>
  <c r="W13" i="5"/>
  <c r="X13" i="5"/>
  <c r="AH13" i="5"/>
  <c r="AI13" i="5"/>
  <c r="AJ13" i="5"/>
  <c r="AT13" i="5"/>
  <c r="AU13" i="5"/>
  <c r="AV13" i="5"/>
  <c r="BF13" i="5"/>
  <c r="BG13" i="5"/>
  <c r="BH13" i="5"/>
  <c r="BR13" i="5"/>
  <c r="BS13" i="5"/>
  <c r="BT13" i="5"/>
  <c r="CD13" i="5"/>
  <c r="CE13" i="5"/>
  <c r="CF13" i="5"/>
  <c r="L14" i="5"/>
  <c r="M14" i="5"/>
  <c r="N14" i="5"/>
  <c r="X14" i="5"/>
  <c r="Y14" i="5"/>
  <c r="Z14" i="5"/>
  <c r="AJ14" i="5"/>
  <c r="AK14" i="5"/>
  <c r="AL14" i="5"/>
  <c r="AV14" i="5"/>
  <c r="AW14" i="5"/>
  <c r="AX14" i="5"/>
  <c r="BH14" i="5"/>
  <c r="BI14" i="5"/>
  <c r="BJ14" i="5"/>
  <c r="BT14" i="5"/>
  <c r="BU14" i="5"/>
  <c r="BV14" i="5"/>
  <c r="CF14" i="5"/>
  <c r="C15" i="5"/>
  <c r="D15" i="5"/>
  <c r="N15" i="5"/>
  <c r="O15" i="5"/>
  <c r="P15" i="5"/>
  <c r="Z15" i="5"/>
  <c r="AA15" i="5"/>
  <c r="AB15" i="5"/>
  <c r="AL15" i="5"/>
  <c r="AM15" i="5"/>
  <c r="AN15" i="5"/>
  <c r="AX15" i="5"/>
  <c r="AY15" i="5"/>
  <c r="AZ15" i="5"/>
  <c r="BJ15" i="5"/>
  <c r="BK15" i="5"/>
  <c r="BL15" i="5"/>
  <c r="BV15" i="5"/>
  <c r="BW15" i="5"/>
  <c r="BX15" i="5"/>
  <c r="D16" i="5"/>
  <c r="E16" i="5"/>
  <c r="F16" i="5"/>
  <c r="P16" i="5"/>
  <c r="Q16" i="5"/>
  <c r="R16" i="5"/>
  <c r="AB16" i="5"/>
  <c r="AC16" i="5"/>
  <c r="AD16" i="5"/>
  <c r="AN16" i="5"/>
  <c r="AO16" i="5"/>
  <c r="AP16" i="5"/>
  <c r="AZ16" i="5"/>
  <c r="BA16" i="5"/>
  <c r="BB16" i="5"/>
  <c r="BL16" i="5"/>
  <c r="BM16" i="5"/>
  <c r="BN16" i="5"/>
  <c r="BX16" i="5"/>
  <c r="BY16" i="5"/>
  <c r="BZ16" i="5"/>
  <c r="F17" i="5"/>
  <c r="G17" i="5"/>
  <c r="H17" i="5"/>
  <c r="R17" i="5"/>
  <c r="S17" i="5"/>
  <c r="T17" i="5"/>
  <c r="AD17" i="5"/>
  <c r="AE17" i="5"/>
  <c r="AF17" i="5"/>
  <c r="AP17" i="5"/>
  <c r="AQ17" i="5"/>
  <c r="AR17" i="5"/>
  <c r="BB17" i="5"/>
  <c r="BC17" i="5"/>
  <c r="BD17" i="5"/>
  <c r="BN17" i="5"/>
  <c r="BO17" i="5"/>
  <c r="BP17" i="5"/>
  <c r="BZ17" i="5"/>
  <c r="CA17" i="5"/>
  <c r="CB17" i="5"/>
  <c r="H18" i="5"/>
  <c r="I18" i="5"/>
  <c r="J18" i="5"/>
  <c r="T18" i="5"/>
  <c r="U18" i="5"/>
  <c r="V18" i="5"/>
  <c r="AF18" i="5"/>
  <c r="AG18" i="5"/>
  <c r="AH18" i="5"/>
  <c r="AR18" i="5"/>
  <c r="AS18" i="5"/>
  <c r="AT18" i="5"/>
  <c r="BD18" i="5"/>
  <c r="BE18" i="5"/>
  <c r="BF18" i="5"/>
  <c r="BP18" i="5"/>
  <c r="BQ18" i="5"/>
  <c r="BR18" i="5"/>
  <c r="CB18" i="5"/>
  <c r="CC18" i="5"/>
  <c r="CD18" i="5"/>
  <c r="C8" i="3" a="1"/>
  <c r="C8" i="3" s="1"/>
  <c r="H8" i="3"/>
  <c r="I8" i="3"/>
  <c r="J8" i="3"/>
  <c r="K8" i="3"/>
  <c r="L8" i="3"/>
  <c r="M8" i="3"/>
  <c r="N8" i="3"/>
  <c r="T8" i="3"/>
  <c r="U8" i="3"/>
  <c r="V8" i="3"/>
  <c r="W8" i="3"/>
  <c r="X8" i="3"/>
  <c r="Y8" i="3"/>
  <c r="Z8" i="3"/>
  <c r="AF8" i="3"/>
  <c r="AG8" i="3"/>
  <c r="AH8" i="3"/>
  <c r="AI8" i="3"/>
  <c r="AJ8" i="3"/>
  <c r="AK8" i="3"/>
  <c r="AL8" i="3"/>
  <c r="AR8" i="3"/>
  <c r="AS8" i="3"/>
  <c r="AT8" i="3"/>
  <c r="AU8" i="3"/>
  <c r="AV8" i="3"/>
  <c r="AW8" i="3"/>
  <c r="AX8" i="3"/>
  <c r="BD8" i="3"/>
  <c r="BE8" i="3"/>
  <c r="BF8" i="3"/>
  <c r="BG8" i="3"/>
  <c r="BH8" i="3"/>
  <c r="BI8" i="3"/>
  <c r="BJ8" i="3"/>
  <c r="BP8" i="3"/>
  <c r="BQ8" i="3"/>
  <c r="BR8" i="3"/>
  <c r="BS8" i="3"/>
  <c r="BT8" i="3"/>
  <c r="BU8" i="3"/>
  <c r="BV8" i="3"/>
  <c r="CB8" i="3"/>
  <c r="CC8" i="3"/>
  <c r="CD8" i="3"/>
  <c r="CE8" i="3"/>
  <c r="CF8" i="3"/>
  <c r="C9" i="3"/>
  <c r="D9" i="3"/>
  <c r="J9" i="3"/>
  <c r="K9" i="3"/>
  <c r="L9" i="3"/>
  <c r="M9" i="3"/>
  <c r="N9" i="3"/>
  <c r="O9" i="3"/>
  <c r="P9" i="3"/>
  <c r="V9" i="3"/>
  <c r="W9" i="3"/>
  <c r="X9" i="3"/>
  <c r="Y9" i="3"/>
  <c r="Z9" i="3"/>
  <c r="AA9" i="3"/>
  <c r="AB9" i="3"/>
  <c r="AH9" i="3"/>
  <c r="AI9" i="3"/>
  <c r="AJ9" i="3"/>
  <c r="AK9" i="3"/>
  <c r="AL9" i="3"/>
  <c r="AM9" i="3"/>
  <c r="AN9" i="3"/>
  <c r="AT9" i="3"/>
  <c r="AU9" i="3"/>
  <c r="AV9" i="3"/>
  <c r="AW9" i="3"/>
  <c r="AX9" i="3"/>
  <c r="AY9" i="3"/>
  <c r="AZ9" i="3"/>
  <c r="BF9" i="3"/>
  <c r="BG9" i="3"/>
  <c r="BH9" i="3"/>
  <c r="BI9" i="3"/>
  <c r="BJ9" i="3"/>
  <c r="BK9" i="3"/>
  <c r="BL9" i="3"/>
  <c r="BR9" i="3"/>
  <c r="BS9" i="3"/>
  <c r="BT9" i="3"/>
  <c r="BU9" i="3"/>
  <c r="BV9" i="3"/>
  <c r="BW9" i="3"/>
  <c r="BX9" i="3"/>
  <c r="CD9" i="3"/>
  <c r="CE9" i="3"/>
  <c r="CF9" i="3"/>
  <c r="C10" i="3"/>
  <c r="D10" i="3"/>
  <c r="E10" i="3"/>
  <c r="F10" i="3"/>
  <c r="L10" i="3"/>
  <c r="M10" i="3"/>
  <c r="N10" i="3"/>
  <c r="O10" i="3"/>
  <c r="P10" i="3"/>
  <c r="Q10" i="3"/>
  <c r="R10" i="3"/>
  <c r="X10" i="3"/>
  <c r="Y10" i="3"/>
  <c r="Z10" i="3"/>
  <c r="AA10" i="3"/>
  <c r="AB10" i="3"/>
  <c r="AC10" i="3"/>
  <c r="AD10" i="3"/>
  <c r="AJ10" i="3"/>
  <c r="AK10" i="3"/>
  <c r="AL10" i="3"/>
  <c r="AM10" i="3"/>
  <c r="AN10" i="3"/>
  <c r="AO10" i="3"/>
  <c r="AP10" i="3"/>
  <c r="AV10" i="3"/>
  <c r="AW10" i="3"/>
  <c r="AX10" i="3"/>
  <c r="AY10" i="3"/>
  <c r="AZ10" i="3"/>
  <c r="BA10" i="3"/>
  <c r="BB10" i="3"/>
  <c r="BH10" i="3"/>
  <c r="BI10" i="3"/>
  <c r="BJ10" i="3"/>
  <c r="BK10" i="3"/>
  <c r="BL10" i="3"/>
  <c r="BM10" i="3"/>
  <c r="BN10" i="3"/>
  <c r="BT10" i="3"/>
  <c r="BU10" i="3"/>
  <c r="BV10" i="3"/>
  <c r="BW10" i="3"/>
  <c r="BX10" i="3"/>
  <c r="BY10" i="3"/>
  <c r="BZ10" i="3"/>
  <c r="CF10" i="3"/>
  <c r="C11" i="3"/>
  <c r="D11" i="3"/>
  <c r="E11" i="3"/>
  <c r="F11" i="3"/>
  <c r="G11" i="3"/>
  <c r="H11" i="3"/>
  <c r="N11" i="3"/>
  <c r="O11" i="3"/>
  <c r="P11" i="3"/>
  <c r="Q11" i="3"/>
  <c r="R11" i="3"/>
  <c r="S11" i="3"/>
  <c r="T11" i="3"/>
  <c r="Y11" i="3"/>
  <c r="Z11" i="3"/>
  <c r="AA11" i="3"/>
  <c r="AB11" i="3"/>
  <c r="AC11" i="3"/>
  <c r="AD11" i="3"/>
  <c r="AE11" i="3"/>
  <c r="AF11" i="3"/>
  <c r="AK11" i="3"/>
  <c r="AL11" i="3"/>
  <c r="AM11" i="3"/>
  <c r="AN11" i="3"/>
  <c r="AO11" i="3"/>
  <c r="AP11" i="3"/>
  <c r="AQ11" i="3"/>
  <c r="AR11" i="3"/>
  <c r="AW11" i="3"/>
  <c r="AX11" i="3"/>
  <c r="AY11" i="3"/>
  <c r="AZ11" i="3"/>
  <c r="BA11" i="3"/>
  <c r="BB11" i="3"/>
  <c r="BC11" i="3"/>
  <c r="BD11" i="3"/>
  <c r="BI11" i="3"/>
  <c r="BJ11" i="3"/>
  <c r="BK11" i="3"/>
  <c r="BL11" i="3"/>
  <c r="BM11" i="3"/>
  <c r="BN11" i="3"/>
  <c r="BO11" i="3"/>
  <c r="BP11" i="3"/>
  <c r="BU11" i="3"/>
  <c r="BV11" i="3"/>
  <c r="BW11" i="3"/>
  <c r="BX11" i="3"/>
  <c r="BY11" i="3"/>
  <c r="BZ11" i="3"/>
  <c r="CA11" i="3"/>
  <c r="CB11" i="3"/>
  <c r="C12" i="3"/>
  <c r="D12" i="3"/>
  <c r="E12" i="3"/>
  <c r="F12" i="3"/>
  <c r="G12" i="3"/>
  <c r="H12" i="3"/>
  <c r="I12" i="3"/>
  <c r="J12" i="3"/>
  <c r="O12" i="3"/>
  <c r="P12" i="3"/>
  <c r="Q12" i="3"/>
  <c r="R12" i="3"/>
  <c r="S12" i="3"/>
  <c r="T12" i="3"/>
  <c r="U12" i="3"/>
  <c r="V12" i="3"/>
  <c r="AA12" i="3"/>
  <c r="AB12" i="3"/>
  <c r="AC12" i="3"/>
  <c r="AD12" i="3"/>
  <c r="AE12" i="3"/>
  <c r="AF12" i="3"/>
  <c r="AG12" i="3"/>
  <c r="AH12" i="3"/>
  <c r="AM12" i="3"/>
  <c r="AN12" i="3"/>
  <c r="AO12" i="3"/>
  <c r="AP12" i="3"/>
  <c r="AQ12" i="3"/>
  <c r="AR12" i="3"/>
  <c r="AS12" i="3"/>
  <c r="AT12" i="3"/>
  <c r="AY12" i="3"/>
  <c r="AZ12" i="3"/>
  <c r="BA12" i="3"/>
  <c r="BB12" i="3"/>
  <c r="BC12" i="3"/>
  <c r="BD12" i="3"/>
  <c r="BE12" i="3"/>
  <c r="BF12" i="3"/>
  <c r="BK12" i="3"/>
  <c r="BL12" i="3"/>
  <c r="BM12" i="3"/>
  <c r="BN12" i="3"/>
  <c r="BO12" i="3"/>
  <c r="BP12" i="3"/>
  <c r="BQ12" i="3"/>
  <c r="BR12" i="3"/>
  <c r="BW12" i="3"/>
  <c r="BX12" i="3"/>
  <c r="BY12" i="3"/>
  <c r="BZ12" i="3"/>
  <c r="CA12" i="3"/>
  <c r="CB12" i="3"/>
  <c r="CC12" i="3"/>
  <c r="CD12" i="3"/>
  <c r="C13" i="3"/>
  <c r="E13" i="3"/>
  <c r="F13" i="3"/>
  <c r="G13" i="3"/>
  <c r="H13" i="3"/>
  <c r="I13" i="3"/>
  <c r="J13" i="3"/>
  <c r="K13" i="3"/>
  <c r="L13" i="3"/>
  <c r="O13" i="3"/>
  <c r="Q13" i="3"/>
  <c r="R13" i="3"/>
  <c r="S13" i="3"/>
  <c r="T13" i="3"/>
  <c r="U13" i="3"/>
  <c r="V13" i="3"/>
  <c r="W13" i="3"/>
  <c r="X13" i="3"/>
  <c r="AA13" i="3"/>
  <c r="AC13" i="3"/>
  <c r="AD13" i="3"/>
  <c r="AE13" i="3"/>
  <c r="AF13" i="3"/>
  <c r="AG13" i="3"/>
  <c r="AH13" i="3"/>
  <c r="AI13" i="3"/>
  <c r="AJ13" i="3"/>
  <c r="AM13" i="3"/>
  <c r="AO13" i="3"/>
  <c r="AP13" i="3"/>
  <c r="AQ13" i="3"/>
  <c r="AR13" i="3"/>
  <c r="AS13" i="3"/>
  <c r="AT13" i="3"/>
  <c r="AU13" i="3"/>
  <c r="AV13" i="3"/>
  <c r="AY13" i="3"/>
  <c r="BA13" i="3"/>
  <c r="BB13" i="3"/>
  <c r="BC13" i="3"/>
  <c r="BD13" i="3"/>
  <c r="BE13" i="3"/>
  <c r="BF13" i="3"/>
  <c r="BG13" i="3"/>
  <c r="BH13" i="3"/>
  <c r="BK13" i="3"/>
  <c r="BM13" i="3"/>
  <c r="BN13" i="3"/>
  <c r="BO13" i="3"/>
  <c r="BP13" i="3"/>
  <c r="BQ13" i="3"/>
  <c r="BR13" i="3"/>
  <c r="BS13" i="3"/>
  <c r="BT13" i="3"/>
  <c r="BW13" i="3"/>
  <c r="BX13" i="3"/>
  <c r="BY13" i="3"/>
  <c r="BZ13" i="3"/>
  <c r="CA13" i="3"/>
  <c r="CB13" i="3"/>
  <c r="CC13" i="3"/>
  <c r="CD13" i="3"/>
  <c r="CE13" i="3"/>
  <c r="CF13" i="3"/>
  <c r="E14" i="3"/>
  <c r="F14" i="3"/>
  <c r="G14" i="3"/>
  <c r="H14" i="3"/>
  <c r="I14" i="3"/>
  <c r="J14" i="3"/>
  <c r="K14" i="3"/>
  <c r="L14" i="3"/>
  <c r="M14" i="3"/>
  <c r="N14" i="3"/>
  <c r="Q14" i="3"/>
  <c r="R14" i="3"/>
  <c r="S14" i="3"/>
  <c r="T14" i="3"/>
  <c r="U14" i="3"/>
  <c r="V14" i="3"/>
  <c r="W14" i="3"/>
  <c r="X14" i="3"/>
  <c r="Y14" i="3"/>
  <c r="Z14" i="3"/>
  <c r="AC14" i="3"/>
  <c r="AD14" i="3"/>
  <c r="AE14" i="3"/>
  <c r="AF14" i="3"/>
  <c r="AG14" i="3"/>
  <c r="AH14" i="3"/>
  <c r="AI14" i="3"/>
  <c r="AJ14" i="3"/>
  <c r="AK14" i="3"/>
  <c r="AL14" i="3"/>
  <c r="AO14" i="3"/>
  <c r="AP14" i="3"/>
  <c r="AQ14" i="3"/>
  <c r="AR14" i="3"/>
  <c r="AS14" i="3"/>
  <c r="AT14" i="3"/>
  <c r="AU14" i="3"/>
  <c r="AV14" i="3"/>
  <c r="AW14" i="3"/>
  <c r="AX14" i="3"/>
  <c r="BA14" i="3"/>
  <c r="BB14" i="3"/>
  <c r="BC14" i="3"/>
  <c r="BD14" i="3"/>
  <c r="BE14" i="3"/>
  <c r="BF14" i="3"/>
  <c r="BG14" i="3"/>
  <c r="BH14" i="3"/>
  <c r="BI14" i="3"/>
  <c r="BJ14" i="3"/>
  <c r="BM14" i="3"/>
  <c r="BN14" i="3"/>
  <c r="BO14" i="3"/>
  <c r="BP14" i="3"/>
  <c r="BQ14" i="3"/>
  <c r="BR14" i="3"/>
  <c r="BS14" i="3"/>
  <c r="BT14" i="3"/>
  <c r="BU14" i="3"/>
  <c r="BV14" i="3"/>
  <c r="BY14" i="3"/>
  <c r="BZ14" i="3"/>
  <c r="CA14" i="3"/>
  <c r="CB14" i="3"/>
  <c r="CC14" i="3"/>
  <c r="CD14" i="3"/>
  <c r="CE14" i="3"/>
  <c r="CF14" i="3"/>
  <c r="C15" i="3"/>
  <c r="D15" i="3"/>
  <c r="G15" i="3"/>
  <c r="H15" i="3"/>
  <c r="I15" i="3"/>
  <c r="J15" i="3"/>
  <c r="K15" i="3"/>
  <c r="L15" i="3"/>
  <c r="M15" i="3"/>
  <c r="N15" i="3"/>
  <c r="O15" i="3"/>
  <c r="P15" i="3"/>
  <c r="S15" i="3"/>
  <c r="T15" i="3"/>
  <c r="U15" i="3"/>
  <c r="V15" i="3"/>
  <c r="W15" i="3"/>
  <c r="X15" i="3"/>
  <c r="Y15" i="3"/>
  <c r="Z15" i="3"/>
  <c r="AA15" i="3"/>
  <c r="AB15" i="3"/>
  <c r="AE15" i="3"/>
  <c r="AF15" i="3"/>
  <c r="AG15" i="3"/>
  <c r="AH15" i="3"/>
  <c r="AI15" i="3"/>
  <c r="AJ15" i="3"/>
  <c r="AK15" i="3"/>
  <c r="AL15" i="3"/>
  <c r="AM15" i="3"/>
  <c r="AN15" i="3"/>
  <c r="AQ15" i="3"/>
  <c r="AR15" i="3"/>
  <c r="AS15" i="3"/>
  <c r="AT15" i="3"/>
  <c r="AU15" i="3"/>
  <c r="AV15" i="3"/>
  <c r="AW15" i="3"/>
  <c r="AX15" i="3"/>
  <c r="AY15" i="3"/>
  <c r="AZ15" i="3"/>
  <c r="BC15" i="3"/>
  <c r="BD15" i="3"/>
  <c r="BE15" i="3"/>
  <c r="BF15" i="3"/>
  <c r="BG15" i="3"/>
  <c r="BH15" i="3"/>
  <c r="BI15" i="3"/>
  <c r="BJ15" i="3"/>
  <c r="BK15" i="3"/>
  <c r="BL15" i="3"/>
  <c r="BO15" i="3"/>
  <c r="BP15" i="3"/>
  <c r="BQ15" i="3"/>
  <c r="BR15" i="3"/>
  <c r="BS15" i="3"/>
  <c r="BT15" i="3"/>
  <c r="BU15" i="3"/>
  <c r="BV15" i="3"/>
  <c r="BW15" i="3"/>
  <c r="BX15" i="3"/>
  <c r="CA15" i="3"/>
  <c r="CB15" i="3"/>
  <c r="CC15" i="3"/>
  <c r="CD15" i="3"/>
  <c r="CE15" i="3"/>
  <c r="CF15" i="3"/>
  <c r="C16" i="3"/>
  <c r="D16" i="3"/>
  <c r="E16" i="3"/>
  <c r="F16" i="3"/>
  <c r="I16" i="3"/>
  <c r="J16" i="3"/>
  <c r="K16" i="3"/>
  <c r="L16" i="3"/>
  <c r="M16" i="3"/>
  <c r="N16" i="3"/>
  <c r="O16" i="3"/>
  <c r="P16" i="3"/>
  <c r="Q16" i="3"/>
  <c r="R16" i="3"/>
  <c r="U16" i="3"/>
  <c r="V16" i="3"/>
  <c r="W16" i="3"/>
  <c r="X16" i="3"/>
  <c r="Y16" i="3"/>
  <c r="Z16" i="3"/>
  <c r="AA16" i="3"/>
  <c r="AB16" i="3"/>
  <c r="AC16" i="3"/>
  <c r="AD16" i="3"/>
  <c r="AG16" i="3"/>
  <c r="AH16" i="3"/>
  <c r="AI16" i="3"/>
  <c r="AJ16" i="3"/>
  <c r="AK16" i="3"/>
  <c r="AL16" i="3"/>
  <c r="AM16" i="3"/>
  <c r="AN16" i="3"/>
  <c r="AO16" i="3"/>
  <c r="AP16" i="3"/>
  <c r="AS16" i="3"/>
  <c r="AT16" i="3"/>
  <c r="AU16" i="3"/>
  <c r="AV16" i="3"/>
  <c r="AW16" i="3"/>
  <c r="AX16" i="3"/>
  <c r="AY16" i="3"/>
  <c r="AZ16" i="3"/>
  <c r="BA16" i="3"/>
  <c r="BB16" i="3"/>
  <c r="BE16" i="3"/>
  <c r="BF16" i="3"/>
  <c r="BG16" i="3"/>
  <c r="BH16" i="3"/>
  <c r="BI16" i="3"/>
  <c r="BJ16" i="3"/>
  <c r="BK16" i="3"/>
  <c r="BL16" i="3"/>
  <c r="BM16" i="3"/>
  <c r="BN16" i="3"/>
  <c r="BQ16" i="3"/>
  <c r="BR16" i="3"/>
  <c r="BS16" i="3"/>
  <c r="BT16" i="3"/>
  <c r="BU16" i="3"/>
  <c r="BV16" i="3"/>
  <c r="BW16" i="3"/>
  <c r="BX16" i="3"/>
  <c r="BY16" i="3"/>
  <c r="BZ16" i="3"/>
  <c r="CC16" i="3"/>
  <c r="CD16" i="3"/>
  <c r="CE16" i="3"/>
  <c r="CF16" i="3"/>
  <c r="C17" i="3"/>
  <c r="D17" i="3"/>
  <c r="E17" i="3"/>
  <c r="F17" i="3"/>
  <c r="G17" i="3"/>
  <c r="H17" i="3"/>
  <c r="K17" i="3"/>
  <c r="L17" i="3"/>
  <c r="M17" i="3"/>
  <c r="N17" i="3"/>
  <c r="O17" i="3"/>
  <c r="P17" i="3"/>
  <c r="Q17" i="3"/>
  <c r="R17" i="3"/>
  <c r="S17" i="3"/>
  <c r="T17" i="3"/>
  <c r="W17" i="3"/>
  <c r="X17" i="3"/>
  <c r="Y17" i="3"/>
  <c r="Z17" i="3"/>
  <c r="AA17" i="3"/>
  <c r="AB17" i="3"/>
  <c r="AC17" i="3"/>
  <c r="AD17" i="3"/>
  <c r="AE17" i="3"/>
  <c r="AF17" i="3"/>
  <c r="AI17" i="3"/>
  <c r="AJ17" i="3"/>
  <c r="AK17" i="3"/>
  <c r="AL17" i="3"/>
  <c r="AM17" i="3"/>
  <c r="AN17" i="3"/>
  <c r="AO17" i="3"/>
  <c r="AP17" i="3"/>
  <c r="AQ17" i="3"/>
  <c r="AR17" i="3"/>
  <c r="AU17" i="3"/>
  <c r="AV17" i="3"/>
  <c r="AW17" i="3"/>
  <c r="AX17" i="3"/>
  <c r="AY17" i="3"/>
  <c r="AZ17" i="3"/>
  <c r="BA17" i="3"/>
  <c r="BB17" i="3"/>
  <c r="BC17" i="3"/>
  <c r="BD17" i="3"/>
  <c r="BG17" i="3"/>
  <c r="BH17" i="3"/>
  <c r="BI17" i="3"/>
  <c r="BJ17" i="3"/>
  <c r="BK17" i="3"/>
  <c r="BL17" i="3"/>
  <c r="BM17" i="3"/>
  <c r="BN17" i="3"/>
  <c r="BO17" i="3"/>
  <c r="BP17" i="3"/>
  <c r="BS17" i="3"/>
  <c r="BT17" i="3"/>
  <c r="BU17" i="3"/>
  <c r="BV17" i="3"/>
  <c r="BW17" i="3"/>
  <c r="BX17" i="3"/>
  <c r="BY17" i="3"/>
  <c r="BZ17" i="3"/>
  <c r="CA17" i="3"/>
  <c r="CB17" i="3"/>
  <c r="CE17" i="3"/>
  <c r="CF17" i="3"/>
  <c r="C18" i="3"/>
  <c r="D18" i="3"/>
  <c r="E18" i="3"/>
  <c r="F18" i="3"/>
  <c r="G18" i="3"/>
  <c r="H18" i="3"/>
  <c r="I18" i="3"/>
  <c r="J18" i="3"/>
  <c r="M18" i="3"/>
  <c r="N18" i="3"/>
  <c r="O18" i="3"/>
  <c r="P18" i="3"/>
  <c r="Q18" i="3"/>
  <c r="R18" i="3"/>
  <c r="S18" i="3"/>
  <c r="T18" i="3"/>
  <c r="U18" i="3"/>
  <c r="V18" i="3"/>
  <c r="Y18" i="3"/>
  <c r="Z18" i="3"/>
  <c r="AA18" i="3"/>
  <c r="AB18" i="3"/>
  <c r="AC18" i="3"/>
  <c r="AD18" i="3"/>
  <c r="AE18" i="3"/>
  <c r="AF18" i="3"/>
  <c r="AG18" i="3"/>
  <c r="AH18" i="3"/>
  <c r="AK18" i="3"/>
  <c r="AL18" i="3"/>
  <c r="AM18" i="3"/>
  <c r="AN18" i="3"/>
  <c r="AO18" i="3"/>
  <c r="AP18" i="3"/>
  <c r="AQ18" i="3"/>
  <c r="AR18" i="3"/>
  <c r="AS18" i="3"/>
  <c r="AT18" i="3"/>
  <c r="AW18" i="3"/>
  <c r="AX18" i="3"/>
  <c r="AY18" i="3"/>
  <c r="AZ18" i="3"/>
  <c r="BA18" i="3"/>
  <c r="BB18" i="3"/>
  <c r="BC18" i="3"/>
  <c r="BD18" i="3"/>
  <c r="BE18" i="3"/>
  <c r="BF18" i="3"/>
  <c r="BI18" i="3"/>
  <c r="BJ18" i="3"/>
  <c r="BK18" i="3"/>
  <c r="BL18" i="3"/>
  <c r="BM18" i="3"/>
  <c r="BN18" i="3"/>
  <c r="BO18" i="3"/>
  <c r="BP18" i="3"/>
  <c r="BQ18" i="3"/>
  <c r="BR18" i="3"/>
  <c r="BU18" i="3"/>
  <c r="BV18" i="3"/>
  <c r="BW18" i="3"/>
  <c r="BX18" i="3"/>
  <c r="BY18" i="3"/>
  <c r="BZ18" i="3"/>
  <c r="CA18" i="3"/>
  <c r="CB18" i="3"/>
  <c r="CC18" i="3"/>
  <c r="CD18" i="3"/>
  <c r="AB10" i="5" l="1"/>
  <c r="AL9" i="5"/>
  <c r="AV8" i="5"/>
  <c r="CA18" i="5"/>
  <c r="BO18" i="5"/>
  <c r="AQ18" i="5"/>
  <c r="AE18" i="5"/>
  <c r="S18" i="5"/>
  <c r="G18" i="5"/>
  <c r="BY17" i="5"/>
  <c r="BM17" i="5"/>
  <c r="BA17" i="5"/>
  <c r="AO17" i="5"/>
  <c r="AC17" i="5"/>
  <c r="Q17" i="5"/>
  <c r="E17" i="5"/>
  <c r="BW16" i="5"/>
  <c r="BK16" i="5"/>
  <c r="AY16" i="5"/>
  <c r="AM16" i="5"/>
  <c r="AA16" i="5"/>
  <c r="O16" i="5"/>
  <c r="C16" i="5"/>
  <c r="BU15" i="5"/>
  <c r="BI15" i="5"/>
  <c r="AW15" i="5"/>
  <c r="AK15" i="5"/>
  <c r="Y15" i="5"/>
  <c r="M15" i="5"/>
  <c r="CE14" i="5"/>
  <c r="BS14" i="5"/>
  <c r="BG14" i="5"/>
  <c r="AU14" i="5"/>
  <c r="AI14" i="5"/>
  <c r="W14" i="5"/>
  <c r="K14" i="5"/>
  <c r="CC13" i="5"/>
  <c r="BQ13" i="5"/>
  <c r="BE13" i="5"/>
  <c r="AS13" i="5"/>
  <c r="AG13" i="5"/>
  <c r="U13" i="5"/>
  <c r="I13" i="5"/>
  <c r="CA12" i="5"/>
  <c r="BO12" i="5"/>
  <c r="BC12" i="5"/>
  <c r="AQ12" i="5"/>
  <c r="AE12" i="5"/>
  <c r="S12" i="5"/>
  <c r="G12" i="5"/>
  <c r="BY11" i="5"/>
  <c r="BM11" i="5"/>
  <c r="BA11" i="5"/>
  <c r="AO11" i="5"/>
  <c r="AC11" i="5"/>
  <c r="Q11" i="5"/>
  <c r="E11" i="5"/>
  <c r="BW10" i="5"/>
  <c r="BK10" i="5"/>
  <c r="AY10" i="5"/>
  <c r="AM10" i="5"/>
  <c r="AA10" i="5"/>
  <c r="O10" i="5"/>
  <c r="C10" i="5"/>
  <c r="BU9" i="5"/>
  <c r="BI9" i="5"/>
  <c r="AW9" i="5"/>
  <c r="AK9" i="5"/>
  <c r="Y9" i="5"/>
  <c r="M9" i="5"/>
  <c r="CE8" i="5"/>
  <c r="BS8" i="5"/>
  <c r="BG8" i="5"/>
  <c r="AU8" i="5"/>
  <c r="AI8" i="5"/>
  <c r="W8" i="5"/>
  <c r="K8" i="5"/>
  <c r="BV9" i="5"/>
  <c r="BH8" i="5"/>
  <c r="BC18" i="5"/>
  <c r="BZ18" i="5"/>
  <c r="BN18" i="5"/>
  <c r="BB18" i="5"/>
  <c r="AP18" i="5"/>
  <c r="AD18" i="5"/>
  <c r="R18" i="5"/>
  <c r="F18" i="5"/>
  <c r="BX17" i="5"/>
  <c r="BL17" i="5"/>
  <c r="AZ17" i="5"/>
  <c r="AN17" i="5"/>
  <c r="AB17" i="5"/>
  <c r="P17" i="5"/>
  <c r="D17" i="5"/>
  <c r="BV16" i="5"/>
  <c r="BJ16" i="5"/>
  <c r="AX16" i="5"/>
  <c r="AL16" i="5"/>
  <c r="Z16" i="5"/>
  <c r="N16" i="5"/>
  <c r="CF15" i="5"/>
  <c r="BT15" i="5"/>
  <c r="BH15" i="5"/>
  <c r="AV15" i="5"/>
  <c r="AJ15" i="5"/>
  <c r="X15" i="5"/>
  <c r="L15" i="5"/>
  <c r="CD14" i="5"/>
  <c r="BR14" i="5"/>
  <c r="BF14" i="5"/>
  <c r="AT14" i="5"/>
  <c r="AH14" i="5"/>
  <c r="V14" i="5"/>
  <c r="J14" i="5"/>
  <c r="CB13" i="5"/>
  <c r="BP13" i="5"/>
  <c r="BD13" i="5"/>
  <c r="AR13" i="5"/>
  <c r="AF13" i="5"/>
  <c r="T13" i="5"/>
  <c r="H13" i="5"/>
  <c r="BZ12" i="5"/>
  <c r="BN12" i="5"/>
  <c r="BB12" i="5"/>
  <c r="AP12" i="5"/>
  <c r="AD12" i="5"/>
  <c r="R12" i="5"/>
  <c r="F12" i="5"/>
  <c r="BX11" i="5"/>
  <c r="BL11" i="5"/>
  <c r="AZ11" i="5"/>
  <c r="AN11" i="5"/>
  <c r="AB11" i="5"/>
  <c r="P11" i="5"/>
  <c r="D11" i="5"/>
  <c r="BV10" i="5"/>
  <c r="BJ10" i="5"/>
  <c r="AX10" i="5"/>
  <c r="AL10" i="5"/>
  <c r="Z10" i="5"/>
  <c r="N10" i="5"/>
  <c r="CF9" i="5"/>
  <c r="BT9" i="5"/>
  <c r="BH9" i="5"/>
  <c r="AV9" i="5"/>
  <c r="AJ9" i="5"/>
  <c r="X9" i="5"/>
  <c r="L9" i="5"/>
  <c r="CD8" i="5"/>
  <c r="BR8" i="5"/>
  <c r="BF8" i="5"/>
  <c r="AT8" i="5"/>
  <c r="AH8" i="5"/>
  <c r="V8" i="5"/>
  <c r="J8" i="5"/>
  <c r="Q18" i="5"/>
  <c r="AY17" i="5"/>
  <c r="O17" i="5"/>
  <c r="BI16" i="5"/>
  <c r="AK16" i="5"/>
  <c r="Y16" i="5"/>
  <c r="CE15" i="5"/>
  <c r="AU15" i="5"/>
  <c r="AI15" i="5"/>
  <c r="W15" i="5"/>
  <c r="K15" i="5"/>
  <c r="BQ14" i="5"/>
  <c r="AS14" i="5"/>
  <c r="AG14" i="5"/>
  <c r="U14" i="5"/>
  <c r="I14" i="5"/>
  <c r="CA13" i="5"/>
  <c r="BO13" i="5"/>
  <c r="BC13" i="5"/>
  <c r="AQ13" i="5"/>
  <c r="AE13" i="5"/>
  <c r="S13" i="5"/>
  <c r="G13" i="5"/>
  <c r="BY12" i="5"/>
  <c r="BM12" i="5"/>
  <c r="BA12" i="5"/>
  <c r="AO12" i="5"/>
  <c r="AC12" i="5"/>
  <c r="Q12" i="5"/>
  <c r="E12" i="5"/>
  <c r="BW11" i="5"/>
  <c r="BK11" i="5"/>
  <c r="AY11" i="5"/>
  <c r="AM11" i="5"/>
  <c r="AA11" i="5"/>
  <c r="O11" i="5"/>
  <c r="C11" i="5"/>
  <c r="BU10" i="5"/>
  <c r="BI10" i="5"/>
  <c r="AW10" i="5"/>
  <c r="AK10" i="5"/>
  <c r="Y10" i="5"/>
  <c r="M10" i="5"/>
  <c r="CE9" i="5"/>
  <c r="AI9" i="5"/>
  <c r="CC8" i="5"/>
  <c r="BE8" i="5"/>
  <c r="AS8" i="5"/>
  <c r="AG8" i="5"/>
  <c r="U8" i="5"/>
  <c r="I8" i="5"/>
  <c r="X8" i="5"/>
  <c r="BM18" i="5"/>
  <c r="AO18" i="5"/>
  <c r="E18" i="5"/>
  <c r="AM17" i="5"/>
  <c r="AW16" i="5"/>
  <c r="CC14" i="5"/>
  <c r="BQ8" i="5"/>
  <c r="BX18" i="5"/>
  <c r="BL18" i="5"/>
  <c r="AZ18" i="5"/>
  <c r="AN18" i="5"/>
  <c r="AB18" i="5"/>
  <c r="P18" i="5"/>
  <c r="D18" i="5"/>
  <c r="BV17" i="5"/>
  <c r="BJ17" i="5"/>
  <c r="AX17" i="5"/>
  <c r="AL17" i="5"/>
  <c r="Z17" i="5"/>
  <c r="N17" i="5"/>
  <c r="CF16" i="5"/>
  <c r="BT16" i="5"/>
  <c r="BH16" i="5"/>
  <c r="AV16" i="5"/>
  <c r="AJ16" i="5"/>
  <c r="X16" i="5"/>
  <c r="L16" i="5"/>
  <c r="CD15" i="5"/>
  <c r="BR15" i="5"/>
  <c r="BF15" i="5"/>
  <c r="AT15" i="5"/>
  <c r="AH15" i="5"/>
  <c r="V15" i="5"/>
  <c r="J15" i="5"/>
  <c r="CB14" i="5"/>
  <c r="BP14" i="5"/>
  <c r="BD14" i="5"/>
  <c r="AR14" i="5"/>
  <c r="AF14" i="5"/>
  <c r="T14" i="5"/>
  <c r="H14" i="5"/>
  <c r="BZ13" i="5"/>
  <c r="BN13" i="5"/>
  <c r="BB13" i="5"/>
  <c r="AP13" i="5"/>
  <c r="AD13" i="5"/>
  <c r="R13" i="5"/>
  <c r="F13" i="5"/>
  <c r="BX12" i="5"/>
  <c r="BL12" i="5"/>
  <c r="AZ12" i="5"/>
  <c r="AN12" i="5"/>
  <c r="AB12" i="5"/>
  <c r="P12" i="5"/>
  <c r="D12" i="5"/>
  <c r="BV11" i="5"/>
  <c r="BJ11" i="5"/>
  <c r="AX11" i="5"/>
  <c r="AL11" i="5"/>
  <c r="Z11" i="5"/>
  <c r="N11" i="5"/>
  <c r="CF10" i="5"/>
  <c r="BT10" i="5"/>
  <c r="BH10" i="5"/>
  <c r="AV10" i="5"/>
  <c r="AJ10" i="5"/>
  <c r="X10" i="5"/>
  <c r="L10" i="5"/>
  <c r="CD9" i="5"/>
  <c r="BR9" i="5"/>
  <c r="BF9" i="5"/>
  <c r="AT9" i="5"/>
  <c r="AH9" i="5"/>
  <c r="V9" i="5"/>
  <c r="J9" i="5"/>
  <c r="CB8" i="5"/>
  <c r="BP8" i="5"/>
  <c r="BD8" i="5"/>
  <c r="AR8" i="5"/>
  <c r="AF8" i="5"/>
  <c r="T8" i="5"/>
  <c r="H8" i="5"/>
  <c r="C17" i="5"/>
  <c r="BS9" i="5"/>
  <c r="BW18" i="5"/>
  <c r="BK18" i="5"/>
  <c r="AY18" i="5"/>
  <c r="AM18" i="5"/>
  <c r="AA18" i="5"/>
  <c r="O18" i="5"/>
  <c r="C18" i="5"/>
  <c r="BU17" i="5"/>
  <c r="BI17" i="5"/>
  <c r="AW17" i="5"/>
  <c r="AK17" i="5"/>
  <c r="Y17" i="5"/>
  <c r="M17" i="5"/>
  <c r="CE16" i="5"/>
  <c r="BS16" i="5"/>
  <c r="BG16" i="5"/>
  <c r="AU16" i="5"/>
  <c r="AI16" i="5"/>
  <c r="W16" i="5"/>
  <c r="K16" i="5"/>
  <c r="CC15" i="5"/>
  <c r="BQ15" i="5"/>
  <c r="BE15" i="5"/>
  <c r="AS15" i="5"/>
  <c r="AG15" i="5"/>
  <c r="U15" i="5"/>
  <c r="I15" i="5"/>
  <c r="CA14" i="5"/>
  <c r="BO14" i="5"/>
  <c r="BC14" i="5"/>
  <c r="AQ14" i="5"/>
  <c r="AE14" i="5"/>
  <c r="S14" i="5"/>
  <c r="G14" i="5"/>
  <c r="BY13" i="5"/>
  <c r="BM13" i="5"/>
  <c r="BA13" i="5"/>
  <c r="AO13" i="5"/>
  <c r="AC13" i="5"/>
  <c r="Q13" i="5"/>
  <c r="E13" i="5"/>
  <c r="BW12" i="5"/>
  <c r="BK12" i="5"/>
  <c r="AY12" i="5"/>
  <c r="AM12" i="5"/>
  <c r="AA12" i="5"/>
  <c r="O12" i="5"/>
  <c r="C12" i="5"/>
  <c r="BU11" i="5"/>
  <c r="BI11" i="5"/>
  <c r="AW11" i="5"/>
  <c r="AK11" i="5"/>
  <c r="Y11" i="5"/>
  <c r="M11" i="5"/>
  <c r="CE10" i="5"/>
  <c r="BS10" i="5"/>
  <c r="BG10" i="5"/>
  <c r="AU10" i="5"/>
  <c r="AI10" i="5"/>
  <c r="W10" i="5"/>
  <c r="K10" i="5"/>
  <c r="CC9" i="5"/>
  <c r="BQ9" i="5"/>
  <c r="BE9" i="5"/>
  <c r="AS9" i="5"/>
  <c r="AG9" i="5"/>
  <c r="U9" i="5"/>
  <c r="I9" i="5"/>
  <c r="CA8" i="5"/>
  <c r="BO8" i="5"/>
  <c r="BC8" i="5"/>
  <c r="AQ8" i="5"/>
  <c r="AE8" i="5"/>
  <c r="S8" i="5"/>
  <c r="G8" i="5"/>
  <c r="BK17" i="5"/>
  <c r="K9" i="5"/>
  <c r="BV18" i="5"/>
  <c r="BJ18" i="5"/>
  <c r="AX18" i="5"/>
  <c r="AL18" i="5"/>
  <c r="Z18" i="5"/>
  <c r="N18" i="5"/>
  <c r="CF17" i="5"/>
  <c r="BT17" i="5"/>
  <c r="BH17" i="5"/>
  <c r="AV17" i="5"/>
  <c r="AJ17" i="5"/>
  <c r="X17" i="5"/>
  <c r="L17" i="5"/>
  <c r="CD16" i="5"/>
  <c r="BR16" i="5"/>
  <c r="BF16" i="5"/>
  <c r="AT16" i="5"/>
  <c r="AH16" i="5"/>
  <c r="V16" i="5"/>
  <c r="J16" i="5"/>
  <c r="CB15" i="5"/>
  <c r="BP15" i="5"/>
  <c r="BD15" i="5"/>
  <c r="AR15" i="5"/>
  <c r="AF15" i="5"/>
  <c r="T15" i="5"/>
  <c r="H15" i="5"/>
  <c r="BZ14" i="5"/>
  <c r="BN14" i="5"/>
  <c r="BB14" i="5"/>
  <c r="AP14" i="5"/>
  <c r="AD14" i="5"/>
  <c r="R14" i="5"/>
  <c r="F14" i="5"/>
  <c r="BX13" i="5"/>
  <c r="BL13" i="5"/>
  <c r="AZ13" i="5"/>
  <c r="AN13" i="5"/>
  <c r="AB13" i="5"/>
  <c r="P13" i="5"/>
  <c r="D13" i="5"/>
  <c r="BV12" i="5"/>
  <c r="BJ12" i="5"/>
  <c r="AX12" i="5"/>
  <c r="AL12" i="5"/>
  <c r="Z12" i="5"/>
  <c r="N12" i="5"/>
  <c r="CF11" i="5"/>
  <c r="BT11" i="5"/>
  <c r="BH11" i="5"/>
  <c r="AV11" i="5"/>
  <c r="AJ11" i="5"/>
  <c r="X11" i="5"/>
  <c r="L11" i="5"/>
  <c r="CD10" i="5"/>
  <c r="BR10" i="5"/>
  <c r="BF10" i="5"/>
  <c r="AT10" i="5"/>
  <c r="AH10" i="5"/>
  <c r="V10" i="5"/>
  <c r="J10" i="5"/>
  <c r="CB9" i="5"/>
  <c r="BP9" i="5"/>
  <c r="BD9" i="5"/>
  <c r="AR9" i="5"/>
  <c r="AF9" i="5"/>
  <c r="T9" i="5"/>
  <c r="H9" i="5"/>
  <c r="BZ8" i="5"/>
  <c r="BN8" i="5"/>
  <c r="BB8" i="5"/>
  <c r="AP8" i="5"/>
  <c r="AD8" i="5"/>
  <c r="R8" i="5"/>
  <c r="F8" i="5"/>
  <c r="BJ9" i="5"/>
  <c r="L8" i="5"/>
  <c r="BY18" i="5"/>
  <c r="BG15" i="5"/>
  <c r="W9" i="5"/>
  <c r="BU18" i="5"/>
  <c r="BI18" i="5"/>
  <c r="AW18" i="5"/>
  <c r="AK18" i="5"/>
  <c r="Y18" i="5"/>
  <c r="M18" i="5"/>
  <c r="CE17" i="5"/>
  <c r="BS17" i="5"/>
  <c r="BG17" i="5"/>
  <c r="AU17" i="5"/>
  <c r="AI17" i="5"/>
  <c r="W17" i="5"/>
  <c r="K17" i="5"/>
  <c r="CC16" i="5"/>
  <c r="BQ16" i="5"/>
  <c r="BE16" i="5"/>
  <c r="AS16" i="5"/>
  <c r="AG16" i="5"/>
  <c r="U16" i="5"/>
  <c r="I16" i="5"/>
  <c r="CA15" i="5"/>
  <c r="BO15" i="5"/>
  <c r="BC15" i="5"/>
  <c r="AQ15" i="5"/>
  <c r="AE15" i="5"/>
  <c r="S15" i="5"/>
  <c r="G15" i="5"/>
  <c r="BY14" i="5"/>
  <c r="BM14" i="5"/>
  <c r="BA14" i="5"/>
  <c r="AO14" i="5"/>
  <c r="AC14" i="5"/>
  <c r="Q14" i="5"/>
  <c r="E14" i="5"/>
  <c r="BW13" i="5"/>
  <c r="BK13" i="5"/>
  <c r="AY13" i="5"/>
  <c r="AM13" i="5"/>
  <c r="AA13" i="5"/>
  <c r="O13" i="5"/>
  <c r="C13" i="5"/>
  <c r="BU12" i="5"/>
  <c r="BI12" i="5"/>
  <c r="AW12" i="5"/>
  <c r="AK12" i="5"/>
  <c r="Y12" i="5"/>
  <c r="M12" i="5"/>
  <c r="CE11" i="5"/>
  <c r="BS11" i="5"/>
  <c r="BG11" i="5"/>
  <c r="AU11" i="5"/>
  <c r="AI11" i="5"/>
  <c r="W11" i="5"/>
  <c r="K11" i="5"/>
  <c r="CC10" i="5"/>
  <c r="BQ10" i="5"/>
  <c r="BE10" i="5"/>
  <c r="AS10" i="5"/>
  <c r="AG10" i="5"/>
  <c r="U10" i="5"/>
  <c r="I10" i="5"/>
  <c r="CA9" i="5"/>
  <c r="BO9" i="5"/>
  <c r="BC9" i="5"/>
  <c r="AQ9" i="5"/>
  <c r="AE9" i="5"/>
  <c r="S9" i="5"/>
  <c r="G9" i="5"/>
  <c r="BY8" i="5"/>
  <c r="BM8" i="5"/>
  <c r="BA8" i="5"/>
  <c r="AO8" i="5"/>
  <c r="AC8" i="5"/>
  <c r="Q8" i="5"/>
  <c r="E8" i="5"/>
  <c r="AN10" i="5"/>
  <c r="AX9" i="5"/>
  <c r="BT8" i="5"/>
  <c r="BS15" i="5"/>
  <c r="AU9" i="5"/>
  <c r="CF18" i="5"/>
  <c r="BT18" i="5"/>
  <c r="BH18" i="5"/>
  <c r="AV18" i="5"/>
  <c r="AJ18" i="5"/>
  <c r="X18" i="5"/>
  <c r="L18" i="5"/>
  <c r="CD17" i="5"/>
  <c r="BR17" i="5"/>
  <c r="BF17" i="5"/>
  <c r="AT17" i="5"/>
  <c r="AH17" i="5"/>
  <c r="V17" i="5"/>
  <c r="J17" i="5"/>
  <c r="CB16" i="5"/>
  <c r="BP16" i="5"/>
  <c r="BD16" i="5"/>
  <c r="AR16" i="5"/>
  <c r="AF16" i="5"/>
  <c r="T16" i="5"/>
  <c r="H16" i="5"/>
  <c r="BZ15" i="5"/>
  <c r="BN15" i="5"/>
  <c r="BB15" i="5"/>
  <c r="AP15" i="5"/>
  <c r="AD15" i="5"/>
  <c r="R15" i="5"/>
  <c r="F15" i="5"/>
  <c r="BX14" i="5"/>
  <c r="BL14" i="5"/>
  <c r="AZ14" i="5"/>
  <c r="AN14" i="5"/>
  <c r="AB14" i="5"/>
  <c r="P14" i="5"/>
  <c r="D14" i="5"/>
  <c r="BV13" i="5"/>
  <c r="BJ13" i="5"/>
  <c r="AX13" i="5"/>
  <c r="AL13" i="5"/>
  <c r="Z13" i="5"/>
  <c r="N13" i="5"/>
  <c r="CF12" i="5"/>
  <c r="BT12" i="5"/>
  <c r="BH12" i="5"/>
  <c r="AV12" i="5"/>
  <c r="AJ12" i="5"/>
  <c r="X12" i="5"/>
  <c r="L12" i="5"/>
  <c r="CD11" i="5"/>
  <c r="BR11" i="5"/>
  <c r="BF11" i="5"/>
  <c r="AT11" i="5"/>
  <c r="AH11" i="5"/>
  <c r="V11" i="5"/>
  <c r="J11" i="5"/>
  <c r="CB10" i="5"/>
  <c r="BP10" i="5"/>
  <c r="BD10" i="5"/>
  <c r="AR10" i="5"/>
  <c r="AF10" i="5"/>
  <c r="T10" i="5"/>
  <c r="H10" i="5"/>
  <c r="BZ9" i="5"/>
  <c r="BN9" i="5"/>
  <c r="BB9" i="5"/>
  <c r="AP9" i="5"/>
  <c r="AD9" i="5"/>
  <c r="R9" i="5"/>
  <c r="F9" i="5"/>
  <c r="BX8" i="5"/>
  <c r="BL8" i="5"/>
  <c r="AZ8" i="5"/>
  <c r="AN8" i="5"/>
  <c r="AB8" i="5"/>
  <c r="P8" i="5"/>
  <c r="D8" i="5"/>
  <c r="AJ8" i="5"/>
  <c r="BA18" i="5"/>
  <c r="AC18" i="5"/>
  <c r="BW17" i="5"/>
  <c r="AA17" i="5"/>
  <c r="BU16" i="5"/>
  <c r="M16" i="5"/>
  <c r="BE14" i="5"/>
  <c r="BG9" i="5"/>
  <c r="CE18" i="5"/>
  <c r="BS18" i="5"/>
  <c r="BG18" i="5"/>
  <c r="AU18" i="5"/>
  <c r="AI18" i="5"/>
  <c r="W18" i="5"/>
  <c r="K18" i="5"/>
  <c r="CC17" i="5"/>
  <c r="BQ17" i="5"/>
  <c r="BE17" i="5"/>
  <c r="AS17" i="5"/>
  <c r="AG17" i="5"/>
  <c r="U17" i="5"/>
  <c r="I17" i="5"/>
  <c r="CA16" i="5"/>
  <c r="BO16" i="5"/>
  <c r="BC16" i="5"/>
  <c r="AQ16" i="5"/>
  <c r="AE16" i="5"/>
  <c r="S16" i="5"/>
  <c r="G16" i="5"/>
  <c r="BY15" i="5"/>
  <c r="BM15" i="5"/>
  <c r="BA15" i="5"/>
  <c r="AO15" i="5"/>
  <c r="AC15" i="5"/>
  <c r="Q15" i="5"/>
  <c r="E15" i="5"/>
  <c r="BW14" i="5"/>
  <c r="BK14" i="5"/>
  <c r="AY14" i="5"/>
  <c r="AM14" i="5"/>
  <c r="AA14" i="5"/>
  <c r="O14" i="5"/>
  <c r="C14" i="5"/>
  <c r="BU13" i="5"/>
  <c r="BI13" i="5"/>
  <c r="AW13" i="5"/>
  <c r="AK13" i="5"/>
  <c r="Y13" i="5"/>
  <c r="M13" i="5"/>
  <c r="CE12" i="5"/>
  <c r="BS12" i="5"/>
  <c r="BG12" i="5"/>
  <c r="AU12" i="5"/>
  <c r="AI12" i="5"/>
  <c r="W12" i="5"/>
  <c r="K12" i="5"/>
  <c r="CC11" i="5"/>
  <c r="BQ11" i="5"/>
  <c r="BE11" i="5"/>
  <c r="AS11" i="5"/>
  <c r="AG11" i="5"/>
  <c r="U11" i="5"/>
  <c r="I11" i="5"/>
  <c r="CA10" i="5"/>
  <c r="BO10" i="5"/>
  <c r="BC10" i="5"/>
  <c r="AQ10" i="5"/>
  <c r="AE10" i="5"/>
  <c r="S10" i="5"/>
  <c r="G10" i="5"/>
  <c r="BY9" i="5"/>
  <c r="BM9" i="5"/>
  <c r="BA9" i="5"/>
  <c r="AO9" i="5"/>
  <c r="AC9" i="5"/>
  <c r="Q9" i="5"/>
  <c r="E9" i="5"/>
  <c r="BW8" i="5"/>
  <c r="BK8" i="5"/>
  <c r="AY8" i="5"/>
  <c r="AM8" i="5"/>
  <c r="AA8" i="5"/>
  <c r="O8" i="5"/>
  <c r="M11" i="3"/>
  <c r="CE10" i="3"/>
  <c r="BS10" i="3"/>
  <c r="BG10" i="3"/>
  <c r="AU10" i="3"/>
  <c r="AI10" i="3"/>
  <c r="W10" i="3"/>
  <c r="K10" i="3"/>
  <c r="CC9" i="3"/>
  <c r="BQ9" i="3"/>
  <c r="BE9" i="3"/>
  <c r="AS9" i="3"/>
  <c r="AG9" i="3"/>
  <c r="U9" i="3"/>
  <c r="I9" i="3"/>
  <c r="CA8" i="3"/>
  <c r="BO8" i="3"/>
  <c r="BC8" i="3"/>
  <c r="AQ8" i="3"/>
  <c r="AE8" i="3"/>
  <c r="S8" i="3"/>
  <c r="G8" i="3"/>
  <c r="BL13" i="3"/>
  <c r="AZ13" i="3"/>
  <c r="AN13" i="3"/>
  <c r="AB13" i="3"/>
  <c r="P13" i="3"/>
  <c r="D13" i="3"/>
  <c r="BV12" i="3"/>
  <c r="BJ12" i="3"/>
  <c r="AX12" i="3"/>
  <c r="AL12" i="3"/>
  <c r="Z12" i="3"/>
  <c r="N12" i="3"/>
  <c r="CF11" i="3"/>
  <c r="BT11" i="3"/>
  <c r="BH11" i="3"/>
  <c r="AV11" i="3"/>
  <c r="AJ11" i="3"/>
  <c r="X11" i="3"/>
  <c r="L11" i="3"/>
  <c r="CD10" i="3"/>
  <c r="BR10" i="3"/>
  <c r="BF10" i="3"/>
  <c r="AT10" i="3"/>
  <c r="AH10" i="3"/>
  <c r="V10" i="3"/>
  <c r="J10" i="3"/>
  <c r="CB9" i="3"/>
  <c r="BP9" i="3"/>
  <c r="BD9" i="3"/>
  <c r="AR9" i="3"/>
  <c r="AF9" i="3"/>
  <c r="T9" i="3"/>
  <c r="H9" i="3"/>
  <c r="BZ8" i="3"/>
  <c r="BN8" i="3"/>
  <c r="BB8" i="3"/>
  <c r="AP8" i="3"/>
  <c r="AD8" i="3"/>
  <c r="R8" i="3"/>
  <c r="F8" i="3"/>
  <c r="BI12" i="3"/>
  <c r="AK12" i="3"/>
  <c r="Y12" i="3"/>
  <c r="CE11" i="3"/>
  <c r="BS11" i="3"/>
  <c r="BG11" i="3"/>
  <c r="AU11" i="3"/>
  <c r="AI11" i="3"/>
  <c r="W11" i="3"/>
  <c r="K11" i="3"/>
  <c r="CC10" i="3"/>
  <c r="BQ10" i="3"/>
  <c r="BE10" i="3"/>
  <c r="AS10" i="3"/>
  <c r="AG10" i="3"/>
  <c r="U10" i="3"/>
  <c r="CA9" i="3"/>
  <c r="BO9" i="3"/>
  <c r="BC9" i="3"/>
  <c r="AE9" i="3"/>
  <c r="S9" i="3"/>
  <c r="G9" i="3"/>
  <c r="BY8" i="3"/>
  <c r="BM8" i="3"/>
  <c r="BA8" i="3"/>
  <c r="AO8" i="3"/>
  <c r="AC8" i="3"/>
  <c r="Q8" i="3"/>
  <c r="E8" i="3"/>
  <c r="I10" i="3"/>
  <c r="BT18" i="3"/>
  <c r="X18" i="3"/>
  <c r="CD17" i="3"/>
  <c r="BR17" i="3"/>
  <c r="BF17" i="3"/>
  <c r="AT17" i="3"/>
  <c r="AH17" i="3"/>
  <c r="V17" i="3"/>
  <c r="J17" i="3"/>
  <c r="CB16" i="3"/>
  <c r="BP16" i="3"/>
  <c r="BD16" i="3"/>
  <c r="AR16" i="3"/>
  <c r="AF16" i="3"/>
  <c r="T16" i="3"/>
  <c r="H16" i="3"/>
  <c r="BZ15" i="3"/>
  <c r="BN15" i="3"/>
  <c r="BB15" i="3"/>
  <c r="AP15" i="3"/>
  <c r="AD15" i="3"/>
  <c r="R15" i="3"/>
  <c r="F15" i="3"/>
  <c r="BX14" i="3"/>
  <c r="BL14" i="3"/>
  <c r="AZ14" i="3"/>
  <c r="AN14" i="3"/>
  <c r="AB14" i="3"/>
  <c r="P14" i="3"/>
  <c r="D14" i="3"/>
  <c r="BV13" i="3"/>
  <c r="BJ13" i="3"/>
  <c r="AX13" i="3"/>
  <c r="AL13" i="3"/>
  <c r="Z13" i="3"/>
  <c r="N13" i="3"/>
  <c r="CF12" i="3"/>
  <c r="BT12" i="3"/>
  <c r="BH12" i="3"/>
  <c r="AV12" i="3"/>
  <c r="AJ12" i="3"/>
  <c r="X12" i="3"/>
  <c r="L12" i="3"/>
  <c r="CD11" i="3"/>
  <c r="BR11" i="3"/>
  <c r="BF11" i="3"/>
  <c r="AT11" i="3"/>
  <c r="AH11" i="3"/>
  <c r="V11" i="3"/>
  <c r="J11" i="3"/>
  <c r="CB10" i="3"/>
  <c r="BP10" i="3"/>
  <c r="BD10" i="3"/>
  <c r="AR10" i="3"/>
  <c r="AF10" i="3"/>
  <c r="T10" i="3"/>
  <c r="H10" i="3"/>
  <c r="BZ9" i="3"/>
  <c r="BN9" i="3"/>
  <c r="BB9" i="3"/>
  <c r="AP9" i="3"/>
  <c r="AD9" i="3"/>
  <c r="R9" i="3"/>
  <c r="F9" i="3"/>
  <c r="BX8" i="3"/>
  <c r="BL8" i="3"/>
  <c r="AZ8" i="3"/>
  <c r="AN8" i="3"/>
  <c r="AB8" i="3"/>
  <c r="P8" i="3"/>
  <c r="D8" i="3"/>
  <c r="BU12" i="3"/>
  <c r="AW12" i="3"/>
  <c r="M12" i="3"/>
  <c r="AQ9" i="3"/>
  <c r="CF18" i="3"/>
  <c r="BH18" i="3"/>
  <c r="AV18" i="3"/>
  <c r="AJ18" i="3"/>
  <c r="L18" i="3"/>
  <c r="CE18" i="3"/>
  <c r="BS18" i="3"/>
  <c r="BG18" i="3"/>
  <c r="AU18" i="3"/>
  <c r="AI18" i="3"/>
  <c r="W18" i="3"/>
  <c r="K18" i="3"/>
  <c r="CC17" i="3"/>
  <c r="BQ17" i="3"/>
  <c r="BE17" i="3"/>
  <c r="AS17" i="3"/>
  <c r="AG17" i="3"/>
  <c r="U17" i="3"/>
  <c r="I17" i="3"/>
  <c r="CA16" i="3"/>
  <c r="BO16" i="3"/>
  <c r="BC16" i="3"/>
  <c r="AQ16" i="3"/>
  <c r="AE16" i="3"/>
  <c r="S16" i="3"/>
  <c r="G16" i="3"/>
  <c r="BY15" i="3"/>
  <c r="BM15" i="3"/>
  <c r="BA15" i="3"/>
  <c r="AO15" i="3"/>
  <c r="AC15" i="3"/>
  <c r="Q15" i="3"/>
  <c r="E15" i="3"/>
  <c r="BW14" i="3"/>
  <c r="BK14" i="3"/>
  <c r="AY14" i="3"/>
  <c r="AM14" i="3"/>
  <c r="AA14" i="3"/>
  <c r="O14" i="3"/>
  <c r="C14" i="3"/>
  <c r="BU13" i="3"/>
  <c r="BI13" i="3"/>
  <c r="AW13" i="3"/>
  <c r="AK13" i="3"/>
  <c r="Y13" i="3"/>
  <c r="M13" i="3"/>
  <c r="CE12" i="3"/>
  <c r="BS12" i="3"/>
  <c r="BG12" i="3"/>
  <c r="AU12" i="3"/>
  <c r="AI12" i="3"/>
  <c r="W12" i="3"/>
  <c r="K12" i="3"/>
  <c r="CC11" i="3"/>
  <c r="BQ11" i="3"/>
  <c r="BE11" i="3"/>
  <c r="AS11" i="3"/>
  <c r="AG11" i="3"/>
  <c r="U11" i="3"/>
  <c r="I11" i="3"/>
  <c r="CA10" i="3"/>
  <c r="BO10" i="3"/>
  <c r="BC10" i="3"/>
  <c r="AQ10" i="3"/>
  <c r="AE10" i="3"/>
  <c r="S10" i="3"/>
  <c r="G10" i="3"/>
  <c r="BY9" i="3"/>
  <c r="BM9" i="3"/>
  <c r="BA9" i="3"/>
  <c r="AO9" i="3"/>
  <c r="AC9" i="3"/>
  <c r="Q9" i="3"/>
  <c r="E9" i="3"/>
  <c r="BW8" i="3"/>
  <c r="BK8" i="3"/>
  <c r="AY8" i="3"/>
  <c r="AM8" i="3"/>
  <c r="AA8" i="3"/>
  <c r="O8" i="3"/>
  <c r="C4" i="5" a="1"/>
  <c r="C4" i="5" s="1"/>
  <c r="H4" i="5"/>
  <c r="I4" i="5"/>
  <c r="J4" i="5"/>
  <c r="K4" i="5"/>
  <c r="L4" i="5"/>
  <c r="M4" i="5"/>
  <c r="N4" i="5"/>
  <c r="T4" i="5"/>
  <c r="U4" i="5"/>
  <c r="V4" i="5"/>
  <c r="W4" i="5"/>
  <c r="X4" i="5"/>
  <c r="Y4" i="5"/>
  <c r="Z4" i="5"/>
  <c r="AF4" i="5"/>
  <c r="AG4" i="5"/>
  <c r="AH4" i="5"/>
  <c r="AI4" i="5"/>
  <c r="AJ4" i="5"/>
  <c r="AK4" i="5"/>
  <c r="AL4" i="5"/>
  <c r="AR4" i="5"/>
  <c r="AS4" i="5"/>
  <c r="AT4" i="5"/>
  <c r="AU4" i="5"/>
  <c r="AV4" i="5"/>
  <c r="AW4" i="5"/>
  <c r="AX4" i="5"/>
  <c r="BD4" i="5"/>
  <c r="BE4" i="5"/>
  <c r="BF4" i="5"/>
  <c r="BG4" i="5"/>
  <c r="BH4" i="5"/>
  <c r="BI4" i="5"/>
  <c r="BJ4" i="5"/>
  <c r="BP4" i="5"/>
  <c r="BQ4" i="5"/>
  <c r="BR4" i="5"/>
  <c r="BS4" i="5"/>
  <c r="BT4" i="5"/>
  <c r="BU4" i="5"/>
  <c r="BV4" i="5"/>
  <c r="CB4" i="5"/>
  <c r="CC4" i="5"/>
  <c r="CD4" i="5"/>
  <c r="CE4" i="5"/>
  <c r="CF4" i="5"/>
  <c r="C5" i="5"/>
  <c r="D5" i="5"/>
  <c r="J5" i="5"/>
  <c r="K5" i="5"/>
  <c r="L5" i="5"/>
  <c r="M5" i="5"/>
  <c r="N5" i="5"/>
  <c r="O5" i="5"/>
  <c r="P5" i="5"/>
  <c r="V5" i="5"/>
  <c r="W5" i="5"/>
  <c r="X5" i="5"/>
  <c r="Y5" i="5"/>
  <c r="Z5" i="5"/>
  <c r="AA5" i="5"/>
  <c r="AB5" i="5"/>
  <c r="AG5" i="5"/>
  <c r="AH5" i="5"/>
  <c r="AI5" i="5"/>
  <c r="AJ5" i="5"/>
  <c r="AK5" i="5"/>
  <c r="AL5" i="5"/>
  <c r="AM5" i="5"/>
  <c r="AN5" i="5"/>
  <c r="AS5" i="5"/>
  <c r="AT5" i="5"/>
  <c r="AU5" i="5"/>
  <c r="AV5" i="5"/>
  <c r="AW5" i="5"/>
  <c r="AX5" i="5"/>
  <c r="AY5" i="5"/>
  <c r="AZ5" i="5"/>
  <c r="BE5" i="5"/>
  <c r="BF5" i="5"/>
  <c r="BG5" i="5"/>
  <c r="BH5" i="5"/>
  <c r="BI5" i="5"/>
  <c r="BJ5" i="5"/>
  <c r="BK5" i="5"/>
  <c r="BL5" i="5"/>
  <c r="BQ5" i="5"/>
  <c r="BR5" i="5"/>
  <c r="BS5" i="5"/>
  <c r="BT5" i="5"/>
  <c r="BU5" i="5"/>
  <c r="BV5" i="5"/>
  <c r="BW5" i="5"/>
  <c r="BX5" i="5"/>
  <c r="CC5" i="5"/>
  <c r="CD5" i="5"/>
  <c r="CE5" i="5"/>
  <c r="CF5" i="5"/>
  <c r="C6" i="5"/>
  <c r="D6" i="5"/>
  <c r="E6" i="5"/>
  <c r="F6" i="5"/>
  <c r="K6" i="5"/>
  <c r="L6" i="5"/>
  <c r="M6" i="5"/>
  <c r="N6" i="5"/>
  <c r="O6" i="5"/>
  <c r="P6" i="5"/>
  <c r="Q6" i="5"/>
  <c r="R6" i="5"/>
  <c r="W6" i="5"/>
  <c r="X6" i="5"/>
  <c r="Y6" i="5"/>
  <c r="Z6" i="5"/>
  <c r="AA6" i="5"/>
  <c r="AB6" i="5"/>
  <c r="AC6" i="5"/>
  <c r="AD6" i="5"/>
  <c r="AI6" i="5"/>
  <c r="AJ6" i="5"/>
  <c r="AK6" i="5"/>
  <c r="AL6" i="5"/>
  <c r="AM6" i="5"/>
  <c r="AN6" i="5"/>
  <c r="AO6" i="5"/>
  <c r="AP6" i="5"/>
  <c r="AU6" i="5"/>
  <c r="AV6" i="5"/>
  <c r="AW6" i="5"/>
  <c r="AX6" i="5"/>
  <c r="AY6" i="5"/>
  <c r="AZ6" i="5"/>
  <c r="BA6" i="5"/>
  <c r="BB6" i="5"/>
  <c r="BG6" i="5"/>
  <c r="BH6" i="5"/>
  <c r="BI6" i="5"/>
  <c r="BJ6" i="5"/>
  <c r="BK6" i="5"/>
  <c r="BL6" i="5"/>
  <c r="BM6" i="5"/>
  <c r="BN6" i="5"/>
  <c r="BR6" i="5"/>
  <c r="BS6" i="5"/>
  <c r="BT6" i="5"/>
  <c r="BU6" i="5"/>
  <c r="BV6" i="5"/>
  <c r="BW6" i="5"/>
  <c r="BX6" i="5"/>
  <c r="BY6" i="5"/>
  <c r="BZ6" i="5"/>
  <c r="CD6" i="5"/>
  <c r="CE6" i="5"/>
  <c r="CF6" i="5"/>
  <c r="C7" i="5"/>
  <c r="D7" i="5"/>
  <c r="E7" i="5"/>
  <c r="F7" i="5"/>
  <c r="G7" i="5"/>
  <c r="H7" i="5"/>
  <c r="L7" i="5"/>
  <c r="M7" i="5"/>
  <c r="N7" i="5"/>
  <c r="O7" i="5"/>
  <c r="P7" i="5"/>
  <c r="Q7" i="5"/>
  <c r="R7" i="5"/>
  <c r="S7" i="5"/>
  <c r="T7" i="5"/>
  <c r="X7" i="5"/>
  <c r="Y7" i="5"/>
  <c r="Z7" i="5"/>
  <c r="AA7" i="5"/>
  <c r="AB7" i="5"/>
  <c r="AC7" i="5"/>
  <c r="AD7" i="5"/>
  <c r="AE7" i="5"/>
  <c r="AF7" i="5"/>
  <c r="AJ7" i="5"/>
  <c r="AK7" i="5"/>
  <c r="AL7" i="5"/>
  <c r="AM7" i="5"/>
  <c r="AN7" i="5"/>
  <c r="AO7" i="5"/>
  <c r="AP7" i="5"/>
  <c r="AQ7" i="5"/>
  <c r="AR7" i="5"/>
  <c r="AV7" i="5"/>
  <c r="AW7" i="5"/>
  <c r="AX7" i="5"/>
  <c r="AY7" i="5"/>
  <c r="AZ7" i="5"/>
  <c r="BA7" i="5"/>
  <c r="BB7" i="5"/>
  <c r="BC7" i="5"/>
  <c r="BD7" i="5"/>
  <c r="BH7" i="5"/>
  <c r="BI7" i="5"/>
  <c r="BJ7" i="5"/>
  <c r="BK7" i="5"/>
  <c r="BL7" i="5"/>
  <c r="BM7" i="5"/>
  <c r="BN7" i="5"/>
  <c r="BO7" i="5"/>
  <c r="BP7" i="5"/>
  <c r="BT7" i="5"/>
  <c r="BU7" i="5"/>
  <c r="BV7" i="5"/>
  <c r="BW7" i="5"/>
  <c r="BX7" i="5"/>
  <c r="BY7" i="5"/>
  <c r="BZ7" i="5"/>
  <c r="CA7" i="5"/>
  <c r="CB7" i="5"/>
  <c r="CF7" i="5"/>
  <c r="U5" i="5" l="1"/>
  <c r="I5" i="5"/>
  <c r="CA4" i="5"/>
  <c r="BO4" i="5"/>
  <c r="BC4" i="5"/>
  <c r="AQ4" i="5"/>
  <c r="AE4" i="5"/>
  <c r="S4" i="5"/>
  <c r="G4" i="5"/>
  <c r="H5" i="5"/>
  <c r="BF6" i="5"/>
  <c r="AH6" i="5"/>
  <c r="J6" i="5"/>
  <c r="BP5" i="5"/>
  <c r="AF5" i="5"/>
  <c r="BZ4" i="5"/>
  <c r="BB4" i="5"/>
  <c r="AD4" i="5"/>
  <c r="R4" i="5"/>
  <c r="CE7" i="5"/>
  <c r="BG7" i="5"/>
  <c r="AI7" i="5"/>
  <c r="CC6" i="5"/>
  <c r="AR6" i="5"/>
  <c r="AD5" i="5"/>
  <c r="AN4" i="5"/>
  <c r="D4" i="5"/>
  <c r="AT6" i="5"/>
  <c r="V6" i="5"/>
  <c r="CB5" i="5"/>
  <c r="BD5" i="5"/>
  <c r="AR5" i="5"/>
  <c r="T5" i="5"/>
  <c r="BN4" i="5"/>
  <c r="AP4" i="5"/>
  <c r="F4" i="5"/>
  <c r="BS7" i="5"/>
  <c r="AU7" i="5"/>
  <c r="W7" i="5"/>
  <c r="K7" i="5"/>
  <c r="BQ6" i="5"/>
  <c r="BE6" i="5"/>
  <c r="AS6" i="5"/>
  <c r="AG6" i="5"/>
  <c r="U6" i="5"/>
  <c r="I6" i="5"/>
  <c r="CA5" i="5"/>
  <c r="BO5" i="5"/>
  <c r="BC5" i="5"/>
  <c r="AQ5" i="5"/>
  <c r="AE5" i="5"/>
  <c r="S5" i="5"/>
  <c r="G5" i="5"/>
  <c r="BY4" i="5"/>
  <c r="BM4" i="5"/>
  <c r="BA4" i="5"/>
  <c r="AO4" i="5"/>
  <c r="AC4" i="5"/>
  <c r="Q4" i="5"/>
  <c r="E4" i="5"/>
  <c r="CD7" i="5"/>
  <c r="BR7" i="5"/>
  <c r="BF7" i="5"/>
  <c r="AT7" i="5"/>
  <c r="AH7" i="5"/>
  <c r="V7" i="5"/>
  <c r="J7" i="5"/>
  <c r="CB6" i="5"/>
  <c r="BP6" i="5"/>
  <c r="BD6" i="5"/>
  <c r="AF6" i="5"/>
  <c r="T6" i="5"/>
  <c r="H6" i="5"/>
  <c r="BZ5" i="5"/>
  <c r="BN5" i="5"/>
  <c r="BB5" i="5"/>
  <c r="AP5" i="5"/>
  <c r="R5" i="5"/>
  <c r="F5" i="5"/>
  <c r="BX4" i="5"/>
  <c r="BL4" i="5"/>
  <c r="AZ4" i="5"/>
  <c r="AB4" i="5"/>
  <c r="P4" i="5"/>
  <c r="CC7" i="5"/>
  <c r="BQ7" i="5"/>
  <c r="BE7" i="5"/>
  <c r="AS7" i="5"/>
  <c r="AG7" i="5"/>
  <c r="U7" i="5"/>
  <c r="I7" i="5"/>
  <c r="CA6" i="5"/>
  <c r="BO6" i="5"/>
  <c r="BC6" i="5"/>
  <c r="AQ6" i="5"/>
  <c r="AE6" i="5"/>
  <c r="S6" i="5"/>
  <c r="G6" i="5"/>
  <c r="BY5" i="5"/>
  <c r="BM5" i="5"/>
  <c r="BA5" i="5"/>
  <c r="AO5" i="5"/>
  <c r="AC5" i="5"/>
  <c r="Q5" i="5"/>
  <c r="E5" i="5"/>
  <c r="BW4" i="5"/>
  <c r="BK4" i="5"/>
  <c r="AY4" i="5"/>
  <c r="AM4" i="5"/>
  <c r="AA4" i="5"/>
  <c r="O4" i="5"/>
  <c r="C3" i="5" a="1"/>
  <c r="C3" i="5" s="1"/>
  <c r="B4" i="3" a="1"/>
  <c r="B4" i="3" s="1"/>
  <c r="B3" i="3" a="1"/>
  <c r="B3" i="3" s="1"/>
  <c r="BV3" i="5" l="1"/>
  <c r="AX3" i="5"/>
  <c r="Z3" i="5"/>
  <c r="BI3" i="5"/>
  <c r="AK3" i="5"/>
  <c r="M3" i="5"/>
  <c r="BT3" i="5"/>
  <c r="AV3" i="5"/>
  <c r="L3" i="5"/>
  <c r="BS3" i="5"/>
  <c r="AU3" i="5"/>
  <c r="K3" i="5"/>
  <c r="BR3" i="5"/>
  <c r="AT3" i="5"/>
  <c r="J3" i="5"/>
  <c r="CC3" i="5"/>
  <c r="BE3" i="5"/>
  <c r="AG3" i="5"/>
  <c r="U3" i="5"/>
  <c r="CB3" i="5"/>
  <c r="BD3" i="5"/>
  <c r="T3" i="5"/>
  <c r="BO3" i="5"/>
  <c r="AE3" i="5"/>
  <c r="P3" i="5"/>
  <c r="BJ3" i="5"/>
  <c r="AL3" i="5"/>
  <c r="N3" i="5"/>
  <c r="BU3" i="5"/>
  <c r="AW3" i="5"/>
  <c r="Y3" i="5"/>
  <c r="CF3" i="5"/>
  <c r="BH3" i="5"/>
  <c r="AJ3" i="5"/>
  <c r="X3" i="5"/>
  <c r="CE3" i="5"/>
  <c r="BG3" i="5"/>
  <c r="AI3" i="5"/>
  <c r="W3" i="5"/>
  <c r="CD3" i="5"/>
  <c r="BF3" i="5"/>
  <c r="AH3" i="5"/>
  <c r="V3" i="5"/>
  <c r="BQ3" i="5"/>
  <c r="AS3" i="5"/>
  <c r="I3" i="5"/>
  <c r="BP3" i="5"/>
  <c r="AR3" i="5"/>
  <c r="AF3" i="5"/>
  <c r="H3" i="5"/>
  <c r="CA3" i="5"/>
  <c r="BC3" i="5"/>
  <c r="AQ3" i="5"/>
  <c r="S3" i="5"/>
  <c r="G3" i="5"/>
  <c r="BZ3" i="5"/>
  <c r="BN3" i="5"/>
  <c r="BB3" i="5"/>
  <c r="AP3" i="5"/>
  <c r="AD3" i="5"/>
  <c r="R3" i="5"/>
  <c r="F3" i="5"/>
  <c r="BY3" i="5"/>
  <c r="BM3" i="5"/>
  <c r="BA3" i="5"/>
  <c r="AO3" i="5"/>
  <c r="AC3" i="5"/>
  <c r="Q3" i="5"/>
  <c r="E3" i="5"/>
  <c r="BX3" i="5"/>
  <c r="BL3" i="5"/>
  <c r="AZ3" i="5"/>
  <c r="AN3" i="5"/>
  <c r="AB3" i="5"/>
  <c r="D3" i="5"/>
  <c r="BW3" i="5"/>
  <c r="BK3" i="5"/>
  <c r="AY3" i="5"/>
  <c r="AM3" i="5"/>
  <c r="AA3" i="5"/>
  <c r="O3" i="5"/>
  <c r="B13" i="3"/>
  <c r="B15" i="3"/>
  <c r="B12" i="3"/>
  <c r="B6" i="3"/>
  <c r="B9" i="3"/>
  <c r="B14" i="3"/>
  <c r="B11" i="3"/>
  <c r="B10" i="3"/>
  <c r="B8" i="3"/>
  <c r="B7" i="3"/>
  <c r="B18" i="3"/>
  <c r="B17" i="3"/>
  <c r="B5" i="3"/>
  <c r="B16" i="3"/>
  <c r="BU3" i="3"/>
  <c r="BI3" i="3"/>
  <c r="AW3" i="3"/>
  <c r="AK3" i="3"/>
  <c r="Y3" i="3"/>
  <c r="M3" i="3"/>
  <c r="CF3" i="3"/>
  <c r="BT3" i="3"/>
  <c r="BH3" i="3"/>
  <c r="AV3" i="3"/>
  <c r="AJ3" i="3"/>
  <c r="X3" i="3"/>
  <c r="L3" i="3"/>
  <c r="CE3" i="3"/>
  <c r="BS3" i="3"/>
  <c r="BG3" i="3"/>
  <c r="AU3" i="3"/>
  <c r="AI3" i="3"/>
  <c r="W3" i="3"/>
  <c r="K3" i="3"/>
  <c r="CD3" i="3"/>
  <c r="BR3" i="3"/>
  <c r="BF3" i="3"/>
  <c r="AT3" i="3"/>
  <c r="AH3" i="3"/>
  <c r="V3" i="3"/>
  <c r="J3" i="3"/>
  <c r="CC3" i="3"/>
  <c r="BQ3" i="3"/>
  <c r="BE3" i="3"/>
  <c r="AS3" i="3"/>
  <c r="AG3" i="3"/>
  <c r="U3" i="3"/>
  <c r="I3" i="3"/>
  <c r="CB3" i="3"/>
  <c r="BP3" i="3"/>
  <c r="BD3" i="3"/>
  <c r="AR3" i="3"/>
  <c r="AF3" i="3"/>
  <c r="T3" i="3"/>
  <c r="H3" i="3"/>
  <c r="CA3" i="3"/>
  <c r="BO3" i="3"/>
  <c r="BC3" i="3"/>
  <c r="AQ3" i="3"/>
  <c r="AE3" i="3"/>
  <c r="S3" i="3"/>
  <c r="G3" i="3"/>
  <c r="BZ3" i="3"/>
  <c r="BN3" i="3"/>
  <c r="BB3" i="3"/>
  <c r="AP3" i="3"/>
  <c r="AD3" i="3"/>
  <c r="R3" i="3"/>
  <c r="F3" i="3"/>
  <c r="BY3" i="3"/>
  <c r="BM3" i="3"/>
  <c r="BA3" i="3"/>
  <c r="AO3" i="3"/>
  <c r="AC3" i="3"/>
  <c r="Q3" i="3"/>
  <c r="E3" i="3"/>
  <c r="BX3" i="3"/>
  <c r="BL3" i="3"/>
  <c r="AZ3" i="3"/>
  <c r="AN3" i="3"/>
  <c r="AB3" i="3"/>
  <c r="P3" i="3"/>
  <c r="D3" i="3"/>
  <c r="BW3" i="3"/>
  <c r="BK3" i="3"/>
  <c r="AY3" i="3"/>
  <c r="AM3" i="3"/>
  <c r="AA3" i="3"/>
  <c r="O3" i="3"/>
  <c r="C3" i="3"/>
  <c r="BV3" i="3"/>
  <c r="BJ3" i="3"/>
  <c r="AX3" i="3"/>
  <c r="AL3" i="3"/>
  <c r="Z3" i="3"/>
  <c r="N3" i="3"/>
  <c r="B3" i="5" a="1"/>
  <c r="B3" i="5" s="1"/>
  <c r="B2" i="5" a="1"/>
  <c r="B2" i="5" s="1"/>
  <c r="B2" i="3" a="1"/>
  <c r="B2" i="3" s="1"/>
  <c r="H2" i="2"/>
  <c r="H3" i="2"/>
  <c r="C2" i="2"/>
  <c r="D2" i="2"/>
  <c r="E2" i="2"/>
  <c r="F2" i="2"/>
  <c r="I2" i="2"/>
  <c r="J2" i="2"/>
  <c r="K2" i="2"/>
  <c r="L2" i="2"/>
  <c r="M2" i="2"/>
  <c r="N2" i="2"/>
  <c r="O2" i="2"/>
  <c r="P2" i="2"/>
  <c r="Q2" i="2"/>
  <c r="R2" i="2"/>
  <c r="B2" i="2"/>
  <c r="B3" i="2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B25" i="12"/>
  <c r="B2" i="4" s="1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B11" i="5" l="1"/>
  <c r="B14" i="5"/>
  <c r="B8" i="5"/>
  <c r="B12" i="5"/>
  <c r="B7" i="5"/>
  <c r="B9" i="5"/>
  <c r="B6" i="5"/>
  <c r="B17" i="5"/>
  <c r="B5" i="5"/>
  <c r="B10" i="5"/>
  <c r="B16" i="5"/>
  <c r="B4" i="5"/>
  <c r="B13" i="5"/>
  <c r="B18" i="5"/>
  <c r="B15" i="5"/>
  <c r="M2" i="5"/>
  <c r="AK2" i="5"/>
  <c r="Y2" i="5"/>
  <c r="BH2" i="5"/>
  <c r="W2" i="5"/>
  <c r="I2" i="5"/>
  <c r="BG2" i="5"/>
  <c r="AT2" i="5"/>
  <c r="J2" i="5"/>
  <c r="CC2" i="5"/>
  <c r="AS2" i="5"/>
  <c r="AF2" i="5"/>
  <c r="AW2" i="5"/>
  <c r="CF2" i="5"/>
  <c r="X2" i="5"/>
  <c r="BS2" i="5"/>
  <c r="CD2" i="5"/>
  <c r="BF2" i="5"/>
  <c r="AH2" i="5"/>
  <c r="V2" i="5"/>
  <c r="BE2" i="5"/>
  <c r="T2" i="5"/>
  <c r="BI2" i="5"/>
  <c r="AJ2" i="5"/>
  <c r="K2" i="5"/>
  <c r="BP2" i="5"/>
  <c r="H2" i="5"/>
  <c r="BN2" i="5"/>
  <c r="AP2" i="5"/>
  <c r="R2" i="5"/>
  <c r="BX2" i="5"/>
  <c r="BL2" i="5"/>
  <c r="AZ2" i="5"/>
  <c r="AN2" i="5"/>
  <c r="AB2" i="5"/>
  <c r="P2" i="5"/>
  <c r="D2" i="5"/>
  <c r="BU2" i="5"/>
  <c r="BT2" i="5"/>
  <c r="L2" i="5"/>
  <c r="CE2" i="5"/>
  <c r="AU2" i="5"/>
  <c r="AG2" i="5"/>
  <c r="BD2" i="5"/>
  <c r="BO2" i="5"/>
  <c r="AE2" i="5"/>
  <c r="BZ2" i="5"/>
  <c r="BB2" i="5"/>
  <c r="AD2" i="5"/>
  <c r="F2" i="5"/>
  <c r="BW2" i="5"/>
  <c r="BK2" i="5"/>
  <c r="AY2" i="5"/>
  <c r="AM2" i="5"/>
  <c r="O2" i="5"/>
  <c r="C2" i="5"/>
  <c r="AV2" i="5"/>
  <c r="AI2" i="5"/>
  <c r="BR2" i="5"/>
  <c r="BQ2" i="5"/>
  <c r="U2" i="5"/>
  <c r="CB2" i="5"/>
  <c r="AR2" i="5"/>
  <c r="CA2" i="5"/>
  <c r="BC2" i="5"/>
  <c r="AQ2" i="5"/>
  <c r="S2" i="5"/>
  <c r="G2" i="5"/>
  <c r="BY2" i="5"/>
  <c r="BM2" i="5"/>
  <c r="BA2" i="5"/>
  <c r="AO2" i="5"/>
  <c r="AC2" i="5"/>
  <c r="Q2" i="5"/>
  <c r="E2" i="5"/>
  <c r="AA2" i="5"/>
  <c r="BV2" i="5"/>
  <c r="BJ2" i="5"/>
  <c r="AX2" i="5"/>
  <c r="AL2" i="5"/>
  <c r="Z2" i="5"/>
  <c r="N2" i="5"/>
  <c r="BU2" i="3"/>
  <c r="AW2" i="3"/>
  <c r="AK2" i="3"/>
  <c r="Y2" i="3"/>
  <c r="BI2" i="3"/>
  <c r="M2" i="3"/>
  <c r="CF2" i="3"/>
  <c r="BT2" i="3"/>
  <c r="BH2" i="3"/>
  <c r="AV2" i="3"/>
  <c r="AJ2" i="3"/>
  <c r="X2" i="3"/>
  <c r="L2" i="3"/>
  <c r="CE2" i="3"/>
  <c r="BS2" i="3"/>
  <c r="BG2" i="3"/>
  <c r="AU2" i="3"/>
  <c r="AI2" i="3"/>
  <c r="W2" i="3"/>
  <c r="K2" i="3"/>
  <c r="CD2" i="3"/>
  <c r="BR2" i="3"/>
  <c r="BF2" i="3"/>
  <c r="AT2" i="3"/>
  <c r="AH2" i="3"/>
  <c r="V2" i="3"/>
  <c r="J2" i="3"/>
  <c r="CC2" i="3"/>
  <c r="BQ2" i="3"/>
  <c r="BE2" i="3"/>
  <c r="AS2" i="3"/>
  <c r="AG2" i="3"/>
  <c r="U2" i="3"/>
  <c r="I2" i="3"/>
  <c r="CB2" i="3"/>
  <c r="BP2" i="3"/>
  <c r="BD2" i="3"/>
  <c r="AR2" i="3"/>
  <c r="AF2" i="3"/>
  <c r="T2" i="3"/>
  <c r="H2" i="3"/>
  <c r="CA2" i="3"/>
  <c r="BO2" i="3"/>
  <c r="BC2" i="3"/>
  <c r="AQ2" i="3"/>
  <c r="AE2" i="3"/>
  <c r="S2" i="3"/>
  <c r="G2" i="3"/>
  <c r="BZ2" i="3"/>
  <c r="BN2" i="3"/>
  <c r="BB2" i="3"/>
  <c r="AP2" i="3"/>
  <c r="AD2" i="3"/>
  <c r="R2" i="3"/>
  <c r="F2" i="3"/>
  <c r="BY2" i="3"/>
  <c r="BM2" i="3"/>
  <c r="BA2" i="3"/>
  <c r="AO2" i="3"/>
  <c r="AC2" i="3"/>
  <c r="Q2" i="3"/>
  <c r="E2" i="3"/>
  <c r="BX2" i="3"/>
  <c r="BL2" i="3"/>
  <c r="AZ2" i="3"/>
  <c r="AN2" i="3"/>
  <c r="AB2" i="3"/>
  <c r="P2" i="3"/>
  <c r="D2" i="3"/>
  <c r="BW2" i="3"/>
  <c r="BK2" i="3"/>
  <c r="AY2" i="3"/>
  <c r="AM2" i="3"/>
  <c r="AA2" i="3"/>
  <c r="O2" i="3"/>
  <c r="C2" i="3"/>
  <c r="BV2" i="3"/>
  <c r="BJ2" i="3"/>
  <c r="AX2" i="3"/>
  <c r="AL2" i="3"/>
  <c r="Z2" i="3"/>
  <c r="N2" i="3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E3" i="4"/>
  <c r="F3" i="4"/>
  <c r="N3" i="4"/>
  <c r="C26" i="12"/>
  <c r="C3" i="4" s="1"/>
  <c r="D26" i="12"/>
  <c r="D3" i="4" s="1"/>
  <c r="E26" i="12"/>
  <c r="F26" i="12"/>
  <c r="G26" i="12"/>
  <c r="G3" i="4" s="1"/>
  <c r="H26" i="12"/>
  <c r="H3" i="4" s="1"/>
  <c r="I26" i="12"/>
  <c r="I3" i="4" s="1"/>
  <c r="J26" i="12"/>
  <c r="J3" i="4" s="1"/>
  <c r="K26" i="12"/>
  <c r="K3" i="4" s="1"/>
  <c r="L26" i="12"/>
  <c r="L3" i="4" s="1"/>
  <c r="M26" i="12"/>
  <c r="M3" i="4" s="1"/>
  <c r="N26" i="12"/>
  <c r="O26" i="12"/>
  <c r="O3" i="4" s="1"/>
  <c r="P26" i="12"/>
  <c r="P3" i="4" s="1"/>
  <c r="Q26" i="12"/>
  <c r="Q3" i="4" s="1"/>
  <c r="R26" i="12"/>
  <c r="R3" i="4" s="1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B27" i="12"/>
  <c r="B28" i="12"/>
  <c r="B26" i="12"/>
  <c r="B3" i="4" s="1"/>
  <c r="M82" i="2"/>
  <c r="M83" i="2" s="1"/>
  <c r="R81" i="2"/>
  <c r="R82" i="2" s="1"/>
  <c r="R83" i="2" s="1"/>
  <c r="P81" i="2"/>
  <c r="P82" i="2" s="1"/>
  <c r="P83" i="2" s="1"/>
  <c r="O81" i="2"/>
  <c r="O82" i="2" s="1"/>
  <c r="O83" i="2" s="1"/>
  <c r="M81" i="2"/>
  <c r="F81" i="2"/>
  <c r="F82" i="2" s="1"/>
  <c r="F83" i="2" s="1"/>
  <c r="D81" i="2"/>
  <c r="D82" i="2" s="1"/>
  <c r="D83" i="2" s="1"/>
  <c r="C81" i="2"/>
  <c r="C82" i="2" s="1"/>
  <c r="C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B80" i="2"/>
  <c r="B81" i="2" s="1"/>
  <c r="B82" i="2" s="1"/>
  <c r="B83" i="2" s="1"/>
  <c r="Q78" i="2"/>
  <c r="E78" i="2"/>
  <c r="Q77" i="2"/>
  <c r="J77" i="2"/>
  <c r="J78" i="2" s="1"/>
  <c r="E77" i="2"/>
  <c r="Q76" i="2"/>
  <c r="P76" i="2"/>
  <c r="P77" i="2" s="1"/>
  <c r="P78" i="2" s="1"/>
  <c r="O76" i="2"/>
  <c r="O77" i="2" s="1"/>
  <c r="O78" i="2" s="1"/>
  <c r="N76" i="2"/>
  <c r="N77" i="2" s="1"/>
  <c r="N78" i="2" s="1"/>
  <c r="M76" i="2"/>
  <c r="M77" i="2" s="1"/>
  <c r="M78" i="2" s="1"/>
  <c r="J76" i="2"/>
  <c r="E76" i="2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P75" i="2"/>
  <c r="O75" i="2"/>
  <c r="N75" i="2"/>
  <c r="M75" i="2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D75" i="2"/>
  <c r="C75" i="2"/>
  <c r="B75" i="2"/>
  <c r="R71" i="2"/>
  <c r="R72" i="2" s="1"/>
  <c r="R73" i="2" s="1"/>
  <c r="Q71" i="2"/>
  <c r="Q72" i="2" s="1"/>
  <c r="Q73" i="2" s="1"/>
  <c r="I71" i="2"/>
  <c r="I72" i="2" s="1"/>
  <c r="I73" i="2" s="1"/>
  <c r="H71" i="2"/>
  <c r="H72" i="2" s="1"/>
  <c r="H73" i="2" s="1"/>
  <c r="F71" i="2"/>
  <c r="F72" i="2" s="1"/>
  <c r="F73" i="2" s="1"/>
  <c r="E71" i="2"/>
  <c r="E72" i="2" s="1"/>
  <c r="E73" i="2" s="1"/>
  <c r="R70" i="2"/>
  <c r="Q70" i="2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H70" i="2"/>
  <c r="F70" i="2"/>
  <c r="E70" i="2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C67" i="2"/>
  <c r="C68" i="2" s="1"/>
  <c r="R66" i="2"/>
  <c r="R67" i="2" s="1"/>
  <c r="R68" i="2" s="1"/>
  <c r="Q66" i="2"/>
  <c r="Q67" i="2" s="1"/>
  <c r="Q68" i="2" s="1"/>
  <c r="O66" i="2"/>
  <c r="N66" i="2"/>
  <c r="N67" i="2" s="1"/>
  <c r="N68" i="2" s="1"/>
  <c r="I66" i="2"/>
  <c r="H66" i="2"/>
  <c r="H67" i="2" s="1"/>
  <c r="H68" i="2" s="1"/>
  <c r="F66" i="2"/>
  <c r="F67" i="2" s="1"/>
  <c r="F68" i="2" s="1"/>
  <c r="E66" i="2"/>
  <c r="E67" i="2" s="1"/>
  <c r="E68" i="2" s="1"/>
  <c r="C66" i="2"/>
  <c r="B66" i="2"/>
  <c r="B67" i="2" s="1"/>
  <c r="B68" i="2" s="1"/>
  <c r="R65" i="2"/>
  <c r="Q65" i="2"/>
  <c r="P65" i="2"/>
  <c r="P66" i="2" s="1"/>
  <c r="P67" i="2" s="1"/>
  <c r="P68" i="2" s="1"/>
  <c r="O65" i="2"/>
  <c r="N65" i="2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D65" i="2"/>
  <c r="D66" i="2" s="1"/>
  <c r="D67" i="2" s="1"/>
  <c r="D68" i="2" s="1"/>
  <c r="C65" i="2"/>
  <c r="B65" i="2"/>
  <c r="R61" i="2"/>
  <c r="R62" i="2" s="1"/>
  <c r="R63" i="2" s="1"/>
  <c r="Q61" i="2"/>
  <c r="Q62" i="2" s="1"/>
  <c r="Q63" i="2" s="1"/>
  <c r="I61" i="2"/>
  <c r="I62" i="2" s="1"/>
  <c r="I63" i="2" s="1"/>
  <c r="H61" i="2"/>
  <c r="H62" i="2" s="1"/>
  <c r="H63" i="2" s="1"/>
  <c r="F61" i="2"/>
  <c r="F62" i="2" s="1"/>
  <c r="F63" i="2" s="1"/>
  <c r="E61" i="2"/>
  <c r="E62" i="2" s="1"/>
  <c r="E63" i="2" s="1"/>
  <c r="R60" i="2"/>
  <c r="Q60" i="2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H60" i="2"/>
  <c r="F60" i="2"/>
  <c r="E60" i="2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Q56" i="2"/>
  <c r="Q57" i="2" s="1"/>
  <c r="Q58" i="2" s="1"/>
  <c r="P56" i="2"/>
  <c r="P57" i="2" s="1"/>
  <c r="P58" i="2" s="1"/>
  <c r="O56" i="2"/>
  <c r="O57" i="2" s="1"/>
  <c r="O58" i="2" s="1"/>
  <c r="N56" i="2"/>
  <c r="N57" i="2" s="1"/>
  <c r="N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P55" i="2"/>
  <c r="O55" i="2"/>
  <c r="N55" i="2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R51" i="2"/>
  <c r="R52" i="2" s="1"/>
  <c r="R53" i="2" s="1"/>
  <c r="Q51" i="2"/>
  <c r="Q52" i="2" s="1"/>
  <c r="Q53" i="2" s="1"/>
  <c r="I51" i="2"/>
  <c r="I52" i="2" s="1"/>
  <c r="I53" i="2" s="1"/>
  <c r="F51" i="2"/>
  <c r="F52" i="2" s="1"/>
  <c r="F53" i="2" s="1"/>
  <c r="E51" i="2"/>
  <c r="E52" i="2" s="1"/>
  <c r="E53" i="2" s="1"/>
  <c r="R50" i="2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H50" i="2"/>
  <c r="H51" i="2" s="1"/>
  <c r="H52" i="2" s="1"/>
  <c r="H53" i="2" s="1"/>
  <c r="F50" i="2"/>
  <c r="E50" i="2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P48" i="2"/>
  <c r="D48" i="2"/>
  <c r="P47" i="2"/>
  <c r="I47" i="2"/>
  <c r="I48" i="2" s="1"/>
  <c r="D47" i="2"/>
  <c r="P46" i="2"/>
  <c r="O46" i="2"/>
  <c r="O47" i="2" s="1"/>
  <c r="O48" i="2" s="1"/>
  <c r="M46" i="2"/>
  <c r="M47" i="2" s="1"/>
  <c r="M48" i="2" s="1"/>
  <c r="L46" i="2"/>
  <c r="L47" i="2" s="1"/>
  <c r="L48" i="2" s="1"/>
  <c r="I46" i="2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O45" i="2"/>
  <c r="N45" i="2"/>
  <c r="N46" i="2" s="1"/>
  <c r="N47" i="2" s="1"/>
  <c r="N48" i="2" s="1"/>
  <c r="M45" i="2"/>
  <c r="L45" i="2"/>
  <c r="K45" i="2"/>
  <c r="K46" i="2" s="1"/>
  <c r="K47" i="2" s="1"/>
  <c r="K48" i="2" s="1"/>
  <c r="J45" i="2"/>
  <c r="J46" i="2" s="1"/>
  <c r="J47" i="2" s="1"/>
  <c r="J48" i="2" s="1"/>
  <c r="I45" i="2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3" i="2"/>
  <c r="D43" i="2"/>
  <c r="P42" i="2"/>
  <c r="I42" i="2"/>
  <c r="I43" i="2" s="1"/>
  <c r="D42" i="2"/>
  <c r="Q41" i="2"/>
  <c r="Q42" i="2" s="1"/>
  <c r="Q43" i="2" s="1"/>
  <c r="P41" i="2"/>
  <c r="O41" i="2"/>
  <c r="O42" i="2" s="1"/>
  <c r="O43" i="2" s="1"/>
  <c r="N41" i="2"/>
  <c r="N42" i="2" s="1"/>
  <c r="N43" i="2" s="1"/>
  <c r="M41" i="2"/>
  <c r="M42" i="2" s="1"/>
  <c r="M43" i="2" s="1"/>
  <c r="I41" i="2"/>
  <c r="E41" i="2"/>
  <c r="E42" i="2" s="1"/>
  <c r="E43" i="2" s="1"/>
  <c r="D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D40" i="2"/>
  <c r="C40" i="2"/>
  <c r="B40" i="2"/>
  <c r="R36" i="2"/>
  <c r="R37" i="2" s="1"/>
  <c r="R38" i="2" s="1"/>
  <c r="Q36" i="2"/>
  <c r="Q37" i="2" s="1"/>
  <c r="Q38" i="2" s="1"/>
  <c r="P36" i="2"/>
  <c r="P37" i="2" s="1"/>
  <c r="P38" i="2" s="1"/>
  <c r="O36" i="2"/>
  <c r="O37" i="2" s="1"/>
  <c r="O38" i="2" s="1"/>
  <c r="F36" i="2"/>
  <c r="F37" i="2" s="1"/>
  <c r="F38" i="2" s="1"/>
  <c r="E36" i="2"/>
  <c r="E37" i="2" s="1"/>
  <c r="E38" i="2" s="1"/>
  <c r="D36" i="2"/>
  <c r="D37" i="2" s="1"/>
  <c r="D38" i="2" s="1"/>
  <c r="C36" i="2"/>
  <c r="C37" i="2" s="1"/>
  <c r="C38" i="2" s="1"/>
  <c r="R35" i="2"/>
  <c r="Q35" i="2"/>
  <c r="P35" i="2"/>
  <c r="O35" i="2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E35" i="2"/>
  <c r="D35" i="2"/>
  <c r="C35" i="2"/>
  <c r="B35" i="2"/>
  <c r="B36" i="2" s="1"/>
  <c r="B37" i="2" s="1"/>
  <c r="B38" i="2" s="1"/>
  <c r="R31" i="2"/>
  <c r="R32" i="2" s="1"/>
  <c r="R33" i="2" s="1"/>
  <c r="Q31" i="2"/>
  <c r="Q32" i="2" s="1"/>
  <c r="Q33" i="2" s="1"/>
  <c r="I31" i="2"/>
  <c r="I32" i="2" s="1"/>
  <c r="I33" i="2" s="1"/>
  <c r="H31" i="2"/>
  <c r="H32" i="2" s="1"/>
  <c r="H33" i="2" s="1"/>
  <c r="F31" i="2"/>
  <c r="F32" i="2" s="1"/>
  <c r="F33" i="2" s="1"/>
  <c r="E31" i="2"/>
  <c r="E32" i="2" s="1"/>
  <c r="E33" i="2" s="1"/>
  <c r="R30" i="2"/>
  <c r="Q30" i="2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F30" i="2"/>
  <c r="E30" i="2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P26" i="2"/>
  <c r="P27" i="2" s="1"/>
  <c r="P28" i="2" s="1"/>
  <c r="O26" i="2"/>
  <c r="O27" i="2" s="1"/>
  <c r="O28" i="2" s="1"/>
  <c r="N26" i="2"/>
  <c r="N27" i="2" s="1"/>
  <c r="N28" i="2" s="1"/>
  <c r="M26" i="2"/>
  <c r="M27" i="2" s="1"/>
  <c r="M28" i="2" s="1"/>
  <c r="L26" i="2"/>
  <c r="L27" i="2" s="1"/>
  <c r="L28" i="2" s="1"/>
  <c r="D26" i="2"/>
  <c r="D27" i="2" s="1"/>
  <c r="D28" i="2" s="1"/>
  <c r="C26" i="2"/>
  <c r="C27" i="2" s="1"/>
  <c r="C28" i="2" s="1"/>
  <c r="B26" i="2"/>
  <c r="B27" i="2" s="1"/>
  <c r="B28" i="2" s="1"/>
  <c r="R25" i="2"/>
  <c r="R26" i="2" s="1"/>
  <c r="R27" i="2" s="1"/>
  <c r="R28" i="2" s="1"/>
  <c r="Q25" i="2"/>
  <c r="Q26" i="2" s="1"/>
  <c r="Q27" i="2" s="1"/>
  <c r="Q28" i="2" s="1"/>
  <c r="P25" i="2"/>
  <c r="O25" i="2"/>
  <c r="N25" i="2"/>
  <c r="M25" i="2"/>
  <c r="L25" i="2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C25" i="2"/>
  <c r="B25" i="2"/>
  <c r="R21" i="2"/>
  <c r="R22" i="2" s="1"/>
  <c r="R23" i="2" s="1"/>
  <c r="Q21" i="2"/>
  <c r="Q22" i="2" s="1"/>
  <c r="Q23" i="2" s="1"/>
  <c r="O21" i="2"/>
  <c r="O22" i="2" s="1"/>
  <c r="O23" i="2" s="1"/>
  <c r="I21" i="2"/>
  <c r="I22" i="2" s="1"/>
  <c r="I23" i="2" s="1"/>
  <c r="F21" i="2"/>
  <c r="F22" i="2" s="1"/>
  <c r="F23" i="2" s="1"/>
  <c r="E21" i="2"/>
  <c r="E22" i="2" s="1"/>
  <c r="E23" i="2" s="1"/>
  <c r="C21" i="2"/>
  <c r="C22" i="2" s="1"/>
  <c r="C23" i="2" s="1"/>
  <c r="R20" i="2"/>
  <c r="Q20" i="2"/>
  <c r="P20" i="2"/>
  <c r="P21" i="2" s="1"/>
  <c r="P22" i="2" s="1"/>
  <c r="P23" i="2" s="1"/>
  <c r="O20" i="2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H20" i="2"/>
  <c r="H21" i="2" s="1"/>
  <c r="H22" i="2" s="1"/>
  <c r="H23" i="2" s="1"/>
  <c r="F20" i="2"/>
  <c r="E20" i="2"/>
  <c r="D20" i="2"/>
  <c r="D21" i="2" s="1"/>
  <c r="D22" i="2" s="1"/>
  <c r="D23" i="2" s="1"/>
  <c r="C20" i="2"/>
  <c r="B20" i="2"/>
  <c r="B21" i="2" s="1"/>
  <c r="B22" i="2" s="1"/>
  <c r="B23" i="2" s="1"/>
  <c r="R16" i="2"/>
  <c r="R17" i="2" s="1"/>
  <c r="R18" i="2" s="1"/>
  <c r="Q16" i="2"/>
  <c r="Q17" i="2" s="1"/>
  <c r="Q18" i="2" s="1"/>
  <c r="O16" i="2"/>
  <c r="O17" i="2" s="1"/>
  <c r="O18" i="2" s="1"/>
  <c r="N16" i="2"/>
  <c r="N17" i="2" s="1"/>
  <c r="N18" i="2" s="1"/>
  <c r="F16" i="2"/>
  <c r="F17" i="2" s="1"/>
  <c r="F18" i="2" s="1"/>
  <c r="E16" i="2"/>
  <c r="E17" i="2" s="1"/>
  <c r="E18" i="2" s="1"/>
  <c r="C16" i="2"/>
  <c r="C17" i="2" s="1"/>
  <c r="C18" i="2" s="1"/>
  <c r="B16" i="2"/>
  <c r="B17" i="2" s="1"/>
  <c r="B18" i="2" s="1"/>
  <c r="R15" i="2"/>
  <c r="Q15" i="2"/>
  <c r="P15" i="2"/>
  <c r="P16" i="2" s="1"/>
  <c r="P17" i="2" s="1"/>
  <c r="P18" i="2" s="1"/>
  <c r="O15" i="2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E15" i="2"/>
  <c r="D15" i="2"/>
  <c r="D16" i="2" s="1"/>
  <c r="D17" i="2" s="1"/>
  <c r="D18" i="2" s="1"/>
  <c r="C15" i="2"/>
  <c r="B15" i="2"/>
  <c r="C10" i="2"/>
  <c r="D10" i="2"/>
  <c r="D11" i="2" s="1"/>
  <c r="D12" i="2" s="1"/>
  <c r="D13" i="2" s="1"/>
  <c r="E10" i="2"/>
  <c r="E11" i="2" s="1"/>
  <c r="E12" i="2" s="1"/>
  <c r="E13" i="2" s="1"/>
  <c r="F10" i="2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N10" i="2"/>
  <c r="N11" i="2" s="1"/>
  <c r="N12" i="2" s="1"/>
  <c r="N13" i="2" s="1"/>
  <c r="O10" i="2"/>
  <c r="P10" i="2"/>
  <c r="P11" i="2" s="1"/>
  <c r="P12" i="2" s="1"/>
  <c r="P13" i="2" s="1"/>
  <c r="Q10" i="2"/>
  <c r="Q11" i="2" s="1"/>
  <c r="Q12" i="2" s="1"/>
  <c r="Q13" i="2" s="1"/>
  <c r="R10" i="2"/>
  <c r="C11" i="2"/>
  <c r="F11" i="2"/>
  <c r="H11" i="2"/>
  <c r="H12" i="2" s="1"/>
  <c r="H13" i="2" s="1"/>
  <c r="I11" i="2"/>
  <c r="J11" i="2"/>
  <c r="J12" i="2" s="1"/>
  <c r="J13" i="2" s="1"/>
  <c r="M11" i="2"/>
  <c r="M12" i="2" s="1"/>
  <c r="M13" i="2" s="1"/>
  <c r="O11" i="2"/>
  <c r="R11" i="2"/>
  <c r="C12" i="2"/>
  <c r="C13" i="2" s="1"/>
  <c r="F12" i="2"/>
  <c r="F13" i="2" s="1"/>
  <c r="I12" i="2"/>
  <c r="I13" i="2" s="1"/>
  <c r="O12" i="2"/>
  <c r="O13" i="2" s="1"/>
  <c r="R12" i="2"/>
  <c r="R13" i="2" s="1"/>
  <c r="B13" i="2"/>
  <c r="B12" i="2"/>
  <c r="B11" i="2"/>
  <c r="B10" i="2"/>
  <c r="C12" i="12"/>
  <c r="C3" i="2" s="1"/>
  <c r="D12" i="12"/>
  <c r="D3" i="2" s="1"/>
  <c r="E12" i="12"/>
  <c r="E3" i="2" s="1"/>
  <c r="F12" i="12"/>
  <c r="F3" i="2" s="1"/>
  <c r="G12" i="12"/>
  <c r="H12" i="12"/>
  <c r="I12" i="12"/>
  <c r="I3" i="2" s="1"/>
  <c r="J12" i="12"/>
  <c r="J3" i="2" s="1"/>
  <c r="K12" i="12"/>
  <c r="K3" i="2" s="1"/>
  <c r="L12" i="12"/>
  <c r="L3" i="2" s="1"/>
  <c r="M12" i="12"/>
  <c r="M3" i="2" s="1"/>
  <c r="N12" i="12"/>
  <c r="N3" i="2" s="1"/>
  <c r="O12" i="12"/>
  <c r="O3" i="2" s="1"/>
  <c r="P12" i="12"/>
  <c r="P3" i="2" s="1"/>
  <c r="Q12" i="12"/>
  <c r="Q3" i="2" s="1"/>
  <c r="R12" i="12"/>
  <c r="R3" i="2" s="1"/>
  <c r="C13" i="12"/>
  <c r="C4" i="2" s="1"/>
  <c r="D13" i="12"/>
  <c r="D4" i="2" s="1"/>
  <c r="E13" i="12"/>
  <c r="E4" i="2" s="1"/>
  <c r="F13" i="12"/>
  <c r="F4" i="2" s="1"/>
  <c r="G13" i="12"/>
  <c r="H13" i="12"/>
  <c r="H4" i="2" s="1"/>
  <c r="I13" i="12"/>
  <c r="I4" i="2" s="1"/>
  <c r="J13" i="12"/>
  <c r="J4" i="2" s="1"/>
  <c r="K13" i="12"/>
  <c r="K4" i="2" s="1"/>
  <c r="L13" i="12"/>
  <c r="L4" i="2" s="1"/>
  <c r="M13" i="12"/>
  <c r="M4" i="2" s="1"/>
  <c r="N13" i="12"/>
  <c r="N4" i="2" s="1"/>
  <c r="O13" i="12"/>
  <c r="O4" i="2" s="1"/>
  <c r="P13" i="12"/>
  <c r="P4" i="2" s="1"/>
  <c r="Q13" i="12"/>
  <c r="Q4" i="2" s="1"/>
  <c r="R13" i="12"/>
  <c r="R4" i="2" s="1"/>
  <c r="C14" i="12"/>
  <c r="C5" i="2" s="1"/>
  <c r="D14" i="12"/>
  <c r="D5" i="2" s="1"/>
  <c r="E14" i="12"/>
  <c r="E5" i="2" s="1"/>
  <c r="F14" i="12"/>
  <c r="F5" i="2" s="1"/>
  <c r="G14" i="12"/>
  <c r="H14" i="12"/>
  <c r="H5" i="2" s="1"/>
  <c r="H6" i="2" s="1"/>
  <c r="H7" i="2" s="1"/>
  <c r="I14" i="12"/>
  <c r="I5" i="2" s="1"/>
  <c r="I6" i="2" s="1"/>
  <c r="J14" i="12"/>
  <c r="J5" i="2" s="1"/>
  <c r="J6" i="2" s="1"/>
  <c r="K14" i="12"/>
  <c r="K5" i="2" s="1"/>
  <c r="K6" i="2" s="1"/>
  <c r="L14" i="12"/>
  <c r="L5" i="2" s="1"/>
  <c r="L6" i="2" s="1"/>
  <c r="M14" i="12"/>
  <c r="M5" i="2" s="1"/>
  <c r="M6" i="2" s="1"/>
  <c r="M7" i="2" s="1"/>
  <c r="M8" i="2" s="1"/>
  <c r="N14" i="12"/>
  <c r="N5" i="2" s="1"/>
  <c r="N6" i="2" s="1"/>
  <c r="N7" i="2" s="1"/>
  <c r="N8" i="2" s="1"/>
  <c r="O14" i="12"/>
  <c r="O5" i="2" s="1"/>
  <c r="O6" i="2" s="1"/>
  <c r="P14" i="12"/>
  <c r="P5" i="2" s="1"/>
  <c r="Q14" i="12"/>
  <c r="Q5" i="2" s="1"/>
  <c r="R14" i="12"/>
  <c r="R5" i="2" s="1"/>
  <c r="R6" i="2" s="1"/>
  <c r="R7" i="2" s="1"/>
  <c r="R8" i="2" s="1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B13" i="12"/>
  <c r="B4" i="2" s="1"/>
  <c r="B14" i="12"/>
  <c r="B5" i="2" s="1"/>
  <c r="B15" i="12"/>
  <c r="B12" i="12"/>
  <c r="C4" i="3" l="1" a="1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C4" i="3" l="1"/>
  <c r="CB7" i="3"/>
  <c r="AO6" i="3"/>
  <c r="BN6" i="3"/>
  <c r="BR4" i="3"/>
  <c r="T7" i="3"/>
  <c r="M5" i="3"/>
  <c r="AI5" i="3"/>
  <c r="AI6" i="3"/>
  <c r="S4" i="3"/>
  <c r="AX5" i="3"/>
  <c r="AM7" i="3"/>
  <c r="BS6" i="3"/>
  <c r="CD6" i="3"/>
  <c r="T5" i="3"/>
  <c r="D5" i="3"/>
  <c r="AZ7" i="3"/>
  <c r="CE7" i="3"/>
  <c r="U6" i="3"/>
  <c r="AO4" i="3"/>
  <c r="F7" i="3"/>
  <c r="C7" i="3"/>
  <c r="BR7" i="3"/>
  <c r="H6" i="3"/>
  <c r="AB4" i="3"/>
  <c r="AD7" i="3"/>
  <c r="CC7" i="3"/>
  <c r="S6" i="3"/>
  <c r="AM4" i="3"/>
  <c r="AU5" i="3"/>
  <c r="Q4" i="3"/>
  <c r="BN5" i="3"/>
  <c r="BT4" i="3"/>
  <c r="O4" i="3"/>
  <c r="AY7" i="3"/>
  <c r="BL6" i="3"/>
  <c r="BU5" i="3"/>
  <c r="V4" i="3"/>
  <c r="M6" i="3"/>
  <c r="BG4" i="3"/>
  <c r="Q5" i="3"/>
  <c r="BI5" i="3"/>
  <c r="J5" i="3"/>
  <c r="BQ6" i="3"/>
  <c r="N6" i="3"/>
  <c r="AB7" i="3"/>
  <c r="BH5" i="3"/>
  <c r="BE6" i="3"/>
  <c r="AC6" i="3"/>
  <c r="C6" i="3"/>
  <c r="BD4" i="3"/>
  <c r="AY4" i="3"/>
  <c r="BZ6" i="3"/>
  <c r="AY5" i="3"/>
  <c r="M4" i="3"/>
  <c r="AW6" i="3"/>
  <c r="F6" i="3"/>
  <c r="AI4" i="3"/>
  <c r="CC4" i="3"/>
  <c r="K6" i="3"/>
  <c r="G4" i="3"/>
  <c r="AV4" i="3"/>
  <c r="AK6" i="3"/>
  <c r="AU6" i="3"/>
  <c r="BR6" i="3"/>
  <c r="H5" i="3"/>
  <c r="AE7" i="3"/>
  <c r="AX6" i="3"/>
  <c r="BS7" i="3"/>
  <c r="I6" i="3"/>
  <c r="AC4" i="3"/>
  <c r="D6" i="3"/>
  <c r="CE5" i="3"/>
  <c r="BF7" i="3"/>
  <c r="BZ5" i="3"/>
  <c r="P4" i="3"/>
  <c r="P6" i="3"/>
  <c r="BQ7" i="3"/>
  <c r="G6" i="3"/>
  <c r="AA4" i="3"/>
  <c r="W6" i="3"/>
  <c r="BG7" i="3"/>
  <c r="BH4" i="3"/>
  <c r="AT7" i="3"/>
  <c r="D4" i="3"/>
  <c r="BY5" i="3"/>
  <c r="AI7" i="3"/>
  <c r="V7" i="3"/>
  <c r="BK6" i="3"/>
  <c r="CF4" i="3"/>
  <c r="BU6" i="3"/>
  <c r="J7" i="3"/>
  <c r="BA6" i="3"/>
  <c r="BU7" i="3"/>
  <c r="BX4" i="3"/>
  <c r="BM7" i="3"/>
  <c r="AR7" i="3"/>
  <c r="AR6" i="3"/>
  <c r="AE4" i="3"/>
  <c r="AF5" i="3"/>
  <c r="BA4" i="3"/>
  <c r="AE6" i="3"/>
  <c r="BL5" i="3"/>
  <c r="BU4" i="3"/>
  <c r="AP7" i="3"/>
  <c r="X6" i="3"/>
  <c r="AX4" i="3"/>
  <c r="BL7" i="3"/>
  <c r="BQ4" i="3"/>
  <c r="BQ5" i="3"/>
  <c r="H7" i="3"/>
  <c r="AO7" i="3"/>
  <c r="BF6" i="3"/>
  <c r="BZ4" i="3"/>
  <c r="BW5" i="3"/>
  <c r="AV5" i="3"/>
  <c r="CA5" i="3"/>
  <c r="W5" i="3"/>
  <c r="BE7" i="3"/>
  <c r="BJ7" i="3"/>
  <c r="AG7" i="3"/>
  <c r="BJ5" i="3"/>
  <c r="U5" i="3"/>
  <c r="CF7" i="3"/>
  <c r="R6" i="3"/>
  <c r="AD5" i="3"/>
  <c r="AT5" i="3"/>
  <c r="BT7" i="3"/>
  <c r="K7" i="3"/>
  <c r="CB6" i="3"/>
  <c r="AC5" i="3"/>
  <c r="F5" i="3"/>
  <c r="X4" i="3"/>
  <c r="BO4" i="3"/>
  <c r="BP5" i="3"/>
  <c r="AL6" i="3"/>
  <c r="BO6" i="3"/>
  <c r="CE4" i="3"/>
  <c r="AJ7" i="3"/>
  <c r="AJ5" i="3"/>
  <c r="BT5" i="3"/>
  <c r="L7" i="3"/>
  <c r="V5" i="3"/>
  <c r="N4" i="3"/>
  <c r="BB7" i="3"/>
  <c r="BX6" i="3"/>
  <c r="CD5" i="3"/>
  <c r="BY6" i="3"/>
  <c r="BV6" i="3"/>
  <c r="BE4" i="3"/>
  <c r="AS5" i="3"/>
  <c r="BX5" i="3"/>
  <c r="AM6" i="3"/>
  <c r="I4" i="3"/>
  <c r="CC5" i="3"/>
  <c r="AT6" i="3"/>
  <c r="BN4" i="3"/>
  <c r="AK4" i="3"/>
  <c r="J4" i="3"/>
  <c r="AU7" i="3"/>
  <c r="BO5" i="3"/>
  <c r="E4" i="3"/>
  <c r="Q7" i="3"/>
  <c r="U4" i="3"/>
  <c r="AH7" i="3"/>
  <c r="BB5" i="3"/>
  <c r="BD7" i="3"/>
  <c r="BY7" i="3"/>
  <c r="AS7" i="3"/>
  <c r="BM5" i="3"/>
  <c r="BA5" i="3"/>
  <c r="BF5" i="3"/>
  <c r="AQ5" i="3"/>
  <c r="U7" i="3"/>
  <c r="I5" i="3"/>
  <c r="AL5" i="3"/>
  <c r="W4" i="3"/>
  <c r="I7" i="3"/>
  <c r="P7" i="3"/>
  <c r="BS4" i="3"/>
  <c r="AV7" i="3"/>
  <c r="K5" i="3"/>
  <c r="BD6" i="3"/>
  <c r="BI6" i="3"/>
  <c r="AA6" i="3"/>
  <c r="AH5" i="3"/>
  <c r="P5" i="3"/>
  <c r="AG6" i="3"/>
  <c r="Z5" i="3"/>
  <c r="AB6" i="3"/>
  <c r="AN6" i="3"/>
  <c r="BR5" i="3"/>
  <c r="BK5" i="3"/>
  <c r="CF5" i="3"/>
  <c r="AS4" i="3"/>
  <c r="AG5" i="3"/>
  <c r="AL4" i="3"/>
  <c r="AK5" i="3"/>
  <c r="AX7" i="3"/>
  <c r="BE5" i="3"/>
  <c r="AH6" i="3"/>
  <c r="BB4" i="3"/>
  <c r="BZ7" i="3"/>
  <c r="BC5" i="3"/>
  <c r="AF7" i="3"/>
  <c r="O6" i="3"/>
  <c r="AP5" i="3"/>
  <c r="BB6" i="3"/>
  <c r="Y4" i="3"/>
  <c r="AQ7" i="3"/>
  <c r="Z7" i="3"/>
  <c r="V6" i="3"/>
  <c r="W7" i="3"/>
  <c r="Y5" i="3"/>
  <c r="AZ5" i="3"/>
  <c r="R7" i="3"/>
  <c r="J6" i="3"/>
  <c r="AE5" i="3"/>
  <c r="R5" i="3"/>
  <c r="BP6" i="3"/>
  <c r="AR4" i="3"/>
  <c r="AA5" i="3"/>
  <c r="F4" i="3"/>
  <c r="G5" i="3"/>
  <c r="S7" i="3"/>
  <c r="BC4" i="3"/>
  <c r="BD5" i="3"/>
  <c r="BY4" i="3"/>
  <c r="AH4" i="3"/>
  <c r="H4" i="3"/>
  <c r="M7" i="3"/>
  <c r="C5" i="3"/>
  <c r="L4" i="3"/>
  <c r="X5" i="3"/>
  <c r="BV7" i="3"/>
  <c r="K4" i="3"/>
  <c r="AP4" i="3"/>
  <c r="AL7" i="3"/>
  <c r="AO5" i="3"/>
  <c r="BX7" i="3"/>
  <c r="AD4" i="3"/>
  <c r="BJ4" i="3"/>
  <c r="BV4" i="3"/>
  <c r="CA7" i="3"/>
  <c r="AB5" i="3"/>
  <c r="BA7" i="3"/>
  <c r="N5" i="3"/>
  <c r="L6" i="3"/>
  <c r="CF6" i="3"/>
  <c r="N7" i="3"/>
  <c r="BM6" i="3"/>
  <c r="AK7" i="3"/>
  <c r="BL4" i="3"/>
  <c r="G7" i="3"/>
  <c r="BK7" i="3"/>
  <c r="BP7" i="3"/>
  <c r="AY6" i="3"/>
  <c r="AC7" i="3"/>
  <c r="CB4" i="3"/>
  <c r="BV5" i="3"/>
  <c r="BW7" i="3"/>
  <c r="BP4" i="3"/>
  <c r="CA4" i="3"/>
  <c r="Q6" i="3"/>
  <c r="D7" i="3"/>
  <c r="BH6" i="3"/>
  <c r="BH7" i="3"/>
  <c r="CB5" i="3"/>
  <c r="R4" i="3"/>
  <c r="AJ4" i="3"/>
  <c r="BG5" i="3"/>
  <c r="CC6" i="3"/>
  <c r="S5" i="3"/>
  <c r="BC7" i="3"/>
  <c r="AN7" i="3"/>
  <c r="BT6" i="3"/>
  <c r="CA6" i="3"/>
  <c r="AA7" i="3"/>
  <c r="Z6" i="3"/>
  <c r="E7" i="3"/>
  <c r="AV6" i="3"/>
  <c r="E5" i="3"/>
  <c r="AF4" i="3"/>
  <c r="AW7" i="3"/>
  <c r="E6" i="3"/>
  <c r="BW4" i="3"/>
  <c r="BK4" i="3"/>
  <c r="BS5" i="3"/>
  <c r="AN5" i="3"/>
  <c r="T6" i="3"/>
  <c r="AD6" i="3"/>
  <c r="AZ6" i="3"/>
  <c r="CD7" i="3"/>
  <c r="Z4" i="3"/>
  <c r="AW4" i="3"/>
  <c r="AG4" i="3"/>
  <c r="BC6" i="3"/>
  <c r="BG6" i="3"/>
  <c r="AU4" i="3"/>
  <c r="AN4" i="3"/>
  <c r="BO7" i="3"/>
  <c r="CD4" i="3"/>
  <c r="BJ6" i="3"/>
  <c r="T4" i="3"/>
  <c r="BW6" i="3"/>
  <c r="Y6" i="3"/>
  <c r="CE6" i="3"/>
  <c r="AQ4" i="3"/>
  <c r="BN7" i="3"/>
  <c r="L5" i="3"/>
  <c r="Y7" i="3"/>
  <c r="X7" i="3"/>
  <c r="AR5" i="3"/>
  <c r="AP6" i="3"/>
  <c r="AW5" i="3"/>
  <c r="AJ6" i="3"/>
  <c r="AS6" i="3"/>
  <c r="BM4" i="3"/>
  <c r="O5" i="3"/>
  <c r="AT4" i="3"/>
  <c r="BI7" i="3"/>
  <c r="AF6" i="3"/>
  <c r="AZ4" i="3"/>
  <c r="AM5" i="3"/>
  <c r="O7" i="3"/>
  <c r="AQ6" i="3"/>
  <c r="BF4" i="3"/>
  <c r="BI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Jintae Kim</author>
  </authors>
  <commentList>
    <comment ref="G1" authorId="0" shapeId="0" xr:uid="{3C79EA71-F740-423D-861B-DDF3B3A95987}">
      <text>
        <r>
          <rPr>
            <b/>
            <sz val="9"/>
            <color indexed="81"/>
            <rFont val="Tahoma"/>
            <family val="2"/>
          </rPr>
          <t>Jintae Kim:</t>
        </r>
        <r>
          <rPr>
            <sz val="9"/>
            <color indexed="81"/>
            <rFont val="Tahoma"/>
            <family val="2"/>
          </rPr>
          <t xml:space="preserve">
UN 실질 GDP 통계 1990~2020년 CAGR 사용
Constant 2015 USD, Billion</t>
        </r>
      </text>
    </comment>
  </commentList>
</comments>
</file>

<file path=xl/sharedStrings.xml><?xml version="1.0" encoding="utf-8"?>
<sst xmlns="http://schemas.openxmlformats.org/spreadsheetml/2006/main" count="503" uniqueCount="88">
  <si>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</si>
  <si>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</si>
  <si>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</si>
  <si>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</si>
  <si>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</si>
  <si>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</si>
  <si>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</si>
  <si>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</si>
  <si>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</si>
  <si>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</si>
  <si>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</si>
  <si>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</si>
  <si>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</si>
  <si>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</si>
  <si>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</si>
  <si>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</si>
  <si>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</si>
  <si>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</si>
  <si>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</si>
  <si>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</si>
  <si>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</si>
  <si>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</si>
  <si>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</si>
  <si>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</si>
  <si>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</si>
  <si>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</si>
  <si>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</si>
  <si>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</si>
  <si>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</si>
  <si>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</si>
  <si>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</si>
  <si>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</si>
  <si>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</si>
  <si>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</si>
  <si>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</si>
  <si>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</si>
  <si>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2019</t>
  </si>
  <si>
    <t>2020</t>
  </si>
  <si>
    <t>2021</t>
  </si>
  <si>
    <t>2022</t>
  </si>
  <si>
    <t>인구</t>
  </si>
  <si>
    <t>2018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</si>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</sst>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00"/>
    <numFmt numFmtId="166" formatCode="0.000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2" fillId="2" borderId="0" xfId="0" applyFont="1" applyFill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2" fillId="0" borderId="1" xfId="0" applyFont="1" applyBorder="1"/>
    <xf numFmtId="2" fontId="0" fillId="0" borderId="1" xfId="0" applyNumberFormat="1" applyBorder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2" borderId="0" xfId="0" applyNumberFormat="1" applyFill="1"/>
    <xf numFmtId="2" fontId="0" fillId="0" borderId="1" xfId="0" applyNumberFormat="1" applyBorder="1" applyAlignment="1">
      <alignment horizontal="center"/>
    </xf>
    <xf numFmtId="166" fontId="0" fillId="0" borderId="0" xfId="0" applyNumberFormat="1"/>
    <xf numFmtId="2" fontId="0" fillId="4" borderId="0" xfId="0" applyNumberFormat="1" applyFill="1"/>
    <xf numFmtId="0" fontId="2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/>
    </xf>
    <xf numFmtId="167" fontId="0" fillId="0" borderId="1" xfId="0" applyNumberFormat="1" applyFill="1" applyBorder="1" applyAlignment="1">
      <alignment horizontal="center"/>
    </xf>
    <xf numFmtId="166" fontId="0" fillId="0" borderId="0" xfId="0" applyNumberFormat="1" applyFill="1"/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8"/>
  <sheetViews>
    <sheetView workbookViewId="0">
      <selection activeCell="B26" sqref="B25:R26"/>
    </sheetView>
  </sheetViews>
  <sheetFormatPr defaultRowHeight="14.4" x14ac:dyDescent="0.3"/>
  <cols>
    <col min="2" max="2" width="10" bestFit="1" customWidth="1"/>
  </cols>
  <sheetData>
    <row r="1" spans="1:18" x14ac:dyDescent="0.3">
      <c r="A1" s="8" t="s">
        <v>42</v>
      </c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1" t="s">
        <v>41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1" t="s">
        <v>36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1" t="s">
        <v>37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1" t="s">
        <v>38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1" t="s">
        <v>39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10" spans="1:18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32</v>
      </c>
      <c r="M10" s="1" t="s">
        <v>11</v>
      </c>
      <c r="N10" s="1" t="s">
        <v>12</v>
      </c>
      <c r="O10" s="1" t="s">
        <v>33</v>
      </c>
      <c r="P10" s="1" t="s">
        <v>14</v>
      </c>
      <c r="Q10" s="1" t="s">
        <v>34</v>
      </c>
      <c r="R10" s="1" t="s">
        <v>35</v>
      </c>
    </row>
    <row r="11" spans="1:18" x14ac:dyDescent="0.3">
      <c r="A11" s="1" t="s">
        <v>36</v>
      </c>
      <c r="B11">
        <f t="shared" ref="B11:R11" si="0">B3/10^9</f>
        <v>2164.8128972743229</v>
      </c>
      <c r="C11">
        <f t="shared" si="0"/>
        <v>21684.384643520461</v>
      </c>
      <c r="D11">
        <f t="shared" si="0"/>
        <v>5296.1118375507285</v>
      </c>
      <c r="E11">
        <f t="shared" si="0"/>
        <v>3913.975940445162</v>
      </c>
      <c r="F11">
        <f t="shared" si="0"/>
        <v>38.133349152167149</v>
      </c>
      <c r="G11">
        <f t="shared" si="0"/>
        <v>0</v>
      </c>
      <c r="H11">
        <f t="shared" si="0"/>
        <v>21975.104005454268</v>
      </c>
      <c r="I11">
        <f t="shared" si="0"/>
        <v>9585.6290912519707</v>
      </c>
      <c r="J11">
        <f t="shared" si="0"/>
        <v>22625.326956452482</v>
      </c>
      <c r="K11">
        <f t="shared" si="0"/>
        <v>3472.990086320794</v>
      </c>
      <c r="L11">
        <f t="shared" si="0"/>
        <v>1784.7278732711279</v>
      </c>
      <c r="M11">
        <f t="shared" si="0"/>
        <v>7693.5895831997013</v>
      </c>
      <c r="N11">
        <f t="shared" si="0"/>
        <v>3973.8030880207957</v>
      </c>
      <c r="O11">
        <f t="shared" si="0"/>
        <v>1035.8008802977561</v>
      </c>
      <c r="P11">
        <f t="shared" si="0"/>
        <v>11196.511439113528</v>
      </c>
      <c r="Q11">
        <f t="shared" si="0"/>
        <v>7058.7981255028526</v>
      </c>
      <c r="R11">
        <f t="shared" si="0"/>
        <v>1435.6632311504479</v>
      </c>
    </row>
    <row r="12" spans="1:18" x14ac:dyDescent="0.3">
      <c r="A12" s="1" t="s">
        <v>36</v>
      </c>
      <c r="B12">
        <f t="shared" ref="B12:R12" si="1">B4/10^9</f>
        <v>2213.3908194019677</v>
      </c>
      <c r="C12">
        <f t="shared" si="1"/>
        <v>22940.028175853218</v>
      </c>
      <c r="D12">
        <f t="shared" si="1"/>
        <v>5274.8125068943018</v>
      </c>
      <c r="E12">
        <f t="shared" si="1"/>
        <v>4000.008095018452</v>
      </c>
      <c r="F12">
        <f t="shared" si="1"/>
        <v>40.26967250118188</v>
      </c>
      <c r="G12">
        <f t="shared" si="1"/>
        <v>0</v>
      </c>
      <c r="H12">
        <f t="shared" si="1"/>
        <v>22471.260492484409</v>
      </c>
      <c r="I12">
        <f t="shared" si="1"/>
        <v>9657.5729678508524</v>
      </c>
      <c r="J12">
        <f t="shared" si="1"/>
        <v>22959.583984287321</v>
      </c>
      <c r="K12">
        <f t="shared" si="1"/>
        <v>3609.1440612861688</v>
      </c>
      <c r="L12">
        <f t="shared" si="1"/>
        <v>1857.013276648961</v>
      </c>
      <c r="M12">
        <f t="shared" si="1"/>
        <v>7766.4345822986488</v>
      </c>
      <c r="N12">
        <f t="shared" si="1"/>
        <v>4092.0867797098053</v>
      </c>
      <c r="O12">
        <f t="shared" si="1"/>
        <v>1110.8024009509791</v>
      </c>
      <c r="P12">
        <f t="shared" si="1"/>
        <v>11639.449121047501</v>
      </c>
      <c r="Q12">
        <f t="shared" si="1"/>
        <v>7357.9834935818435</v>
      </c>
      <c r="R12">
        <f t="shared" si="1"/>
        <v>1467.5336915124669</v>
      </c>
    </row>
    <row r="13" spans="1:18" x14ac:dyDescent="0.3">
      <c r="A13" s="1" t="s">
        <v>37</v>
      </c>
      <c r="B13">
        <f t="shared" ref="B13:R13" si="2">B5/10^9</f>
        <v>2197.6886849656321</v>
      </c>
      <c r="C13">
        <f t="shared" si="2"/>
        <v>23414.2743771065</v>
      </c>
      <c r="D13">
        <f t="shared" si="2"/>
        <v>5049.1241844582455</v>
      </c>
      <c r="E13">
        <f t="shared" si="2"/>
        <v>3893.8617001635221</v>
      </c>
      <c r="F13">
        <f t="shared" si="2"/>
        <v>38.434280707097258</v>
      </c>
      <c r="G13">
        <f t="shared" si="2"/>
        <v>0</v>
      </c>
      <c r="H13">
        <f t="shared" si="2"/>
        <v>21805.056121635749</v>
      </c>
      <c r="I13">
        <f t="shared" si="2"/>
        <v>9010.8669946892223</v>
      </c>
      <c r="J13">
        <f t="shared" si="2"/>
        <v>21647.744706924768</v>
      </c>
      <c r="K13">
        <f t="shared" si="2"/>
        <v>3487.3467147824281</v>
      </c>
      <c r="L13">
        <f t="shared" si="2"/>
        <v>1810.968937790313</v>
      </c>
      <c r="M13">
        <f t="shared" si="2"/>
        <v>7518.6201954634307</v>
      </c>
      <c r="N13">
        <f t="shared" si="2"/>
        <v>4019.66245441511</v>
      </c>
      <c r="O13">
        <f t="shared" si="2"/>
        <v>1136.9822641424628</v>
      </c>
      <c r="P13">
        <f t="shared" si="2"/>
        <v>11101.40732075228</v>
      </c>
      <c r="Q13">
        <f t="shared" si="2"/>
        <v>6980.1052785842048</v>
      </c>
      <c r="R13">
        <f t="shared" si="2"/>
        <v>1461.9342237117719</v>
      </c>
    </row>
    <row r="14" spans="1:18" x14ac:dyDescent="0.3">
      <c r="A14" s="1" t="s">
        <v>38</v>
      </c>
      <c r="B14">
        <f t="shared" ref="B14:R14" si="3">B6/10^9</f>
        <v>2292.293355002103</v>
      </c>
      <c r="C14">
        <f t="shared" si="3"/>
        <v>25384.031403995308</v>
      </c>
      <c r="D14">
        <f t="shared" si="3"/>
        <v>5157.3010323567678</v>
      </c>
      <c r="E14">
        <f t="shared" si="3"/>
        <v>4112.4744028421201</v>
      </c>
      <c r="F14">
        <f t="shared" si="3"/>
        <v>39.063361320990722</v>
      </c>
      <c r="G14">
        <f t="shared" si="3"/>
        <v>0</v>
      </c>
      <c r="H14">
        <f t="shared" si="3"/>
        <v>23079.215786517871</v>
      </c>
      <c r="I14">
        <f t="shared" si="3"/>
        <v>9674.2144611962631</v>
      </c>
      <c r="J14">
        <f t="shared" si="3"/>
        <v>23137.90804159168</v>
      </c>
      <c r="K14">
        <f t="shared" si="3"/>
        <v>3716.723373660529</v>
      </c>
      <c r="L14">
        <f t="shared" si="3"/>
        <v>1899.4803472506351</v>
      </c>
      <c r="M14">
        <f t="shared" si="3"/>
        <v>7839.3150356476644</v>
      </c>
      <c r="N14">
        <f t="shared" si="3"/>
        <v>4202.5456239864889</v>
      </c>
      <c r="O14">
        <f t="shared" si="3"/>
        <v>1166.413836438674</v>
      </c>
      <c r="P14">
        <f t="shared" si="3"/>
        <v>12038.78788193135</v>
      </c>
      <c r="Q14">
        <f t="shared" si="3"/>
        <v>7217.6319606552443</v>
      </c>
      <c r="R14">
        <f t="shared" si="3"/>
        <v>1499.3493218542228</v>
      </c>
    </row>
    <row r="15" spans="1:18" x14ac:dyDescent="0.3">
      <c r="A15" s="1" t="s">
        <v>39</v>
      </c>
      <c r="B15">
        <f t="shared" ref="B15:R15" si="4">B7/10^9</f>
        <v>2352.1834660443778</v>
      </c>
      <c r="C15">
        <f t="shared" si="4"/>
        <v>26114.006243646072</v>
      </c>
      <c r="D15">
        <f t="shared" si="4"/>
        <v>5210.3503132128299</v>
      </c>
      <c r="E15">
        <f t="shared" si="4"/>
        <v>4027.358046152418</v>
      </c>
      <c r="F15">
        <f t="shared" si="4"/>
        <v>41.029306870592684</v>
      </c>
      <c r="G15">
        <f t="shared" si="4"/>
        <v>0</v>
      </c>
      <c r="H15">
        <f t="shared" si="4"/>
        <v>23555.160228980829</v>
      </c>
      <c r="I15">
        <f t="shared" si="4"/>
        <v>10060.457567173391</v>
      </c>
      <c r="J15">
        <f t="shared" si="4"/>
        <v>24011.131636169601</v>
      </c>
      <c r="K15">
        <f t="shared" si="4"/>
        <v>3871.0787212272712</v>
      </c>
      <c r="L15">
        <f t="shared" si="4"/>
        <v>1786.7604852793961</v>
      </c>
      <c r="M15">
        <f t="shared" si="4"/>
        <v>8215.2248928183781</v>
      </c>
      <c r="N15">
        <f t="shared" si="4"/>
        <v>4364.5600643328862</v>
      </c>
      <c r="O15">
        <f t="shared" si="4"/>
        <v>1254.854391960919</v>
      </c>
      <c r="P15">
        <f t="shared" si="4"/>
        <v>12823.150081971891</v>
      </c>
      <c r="Q15">
        <f t="shared" si="4"/>
        <v>7589.9888665904582</v>
      </c>
      <c r="R15">
        <f t="shared" si="4"/>
        <v>1560.163946538624</v>
      </c>
    </row>
    <row r="17" spans="1:18" x14ac:dyDescent="0.3">
      <c r="A17" s="8" t="s">
        <v>40</v>
      </c>
    </row>
    <row r="18" spans="1:18" x14ac:dyDescent="0.3"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  <c r="J18" s="1" t="s">
        <v>8</v>
      </c>
      <c r="K18" s="1" t="s">
        <v>9</v>
      </c>
      <c r="L18" s="1" t="s">
        <v>32</v>
      </c>
      <c r="M18" s="1" t="s">
        <v>11</v>
      </c>
      <c r="N18" s="1" t="s">
        <v>12</v>
      </c>
      <c r="O18" s="1" t="s">
        <v>33</v>
      </c>
      <c r="P18" s="1" t="s">
        <v>14</v>
      </c>
      <c r="Q18" s="1" t="s">
        <v>34</v>
      </c>
      <c r="R18" s="1" t="s">
        <v>35</v>
      </c>
    </row>
    <row r="19" spans="1:18" x14ac:dyDescent="0.3">
      <c r="A19" s="1" t="s">
        <v>41</v>
      </c>
      <c r="B19">
        <v>51585058</v>
      </c>
      <c r="C19">
        <v>1410212600</v>
      </c>
      <c r="D19">
        <v>126811000</v>
      </c>
      <c r="E19">
        <v>144477859</v>
      </c>
      <c r="F19">
        <v>3163991</v>
      </c>
      <c r="G19">
        <v>25638149</v>
      </c>
      <c r="H19">
        <v>367372316</v>
      </c>
      <c r="I19">
        <v>606012845</v>
      </c>
      <c r="J19">
        <v>506509163</v>
      </c>
      <c r="K19">
        <v>118486004</v>
      </c>
      <c r="L19">
        <v>139697133</v>
      </c>
      <c r="M19">
        <v>492023500</v>
      </c>
      <c r="N19">
        <v>1041066783</v>
      </c>
      <c r="O19">
        <v>118044574</v>
      </c>
      <c r="P19">
        <v>1803847309</v>
      </c>
      <c r="Q19">
        <v>552136139</v>
      </c>
      <c r="R19">
        <v>29863858</v>
      </c>
    </row>
    <row r="20" spans="1:18" x14ac:dyDescent="0.3">
      <c r="A20" s="1" t="s">
        <v>36</v>
      </c>
      <c r="B20">
        <v>51764822</v>
      </c>
      <c r="C20">
        <v>1415252900</v>
      </c>
      <c r="D20">
        <v>126633000</v>
      </c>
      <c r="E20">
        <v>144406261</v>
      </c>
      <c r="F20">
        <v>3232430</v>
      </c>
      <c r="G20">
        <v>25755441</v>
      </c>
      <c r="H20">
        <v>369400170</v>
      </c>
      <c r="I20">
        <v>612532624</v>
      </c>
      <c r="J20">
        <v>508668160</v>
      </c>
      <c r="K20">
        <v>118257396</v>
      </c>
      <c r="L20">
        <v>140624677</v>
      </c>
      <c r="M20">
        <v>500519921</v>
      </c>
      <c r="N20">
        <v>1068943284</v>
      </c>
      <c r="O20">
        <v>119196515</v>
      </c>
      <c r="P20">
        <v>1823829015</v>
      </c>
      <c r="Q20">
        <v>557765166</v>
      </c>
      <c r="R20">
        <v>30314026</v>
      </c>
    </row>
    <row r="21" spans="1:18" x14ac:dyDescent="0.3">
      <c r="A21" s="1" t="s">
        <v>37</v>
      </c>
      <c r="B21">
        <v>51836239</v>
      </c>
      <c r="C21">
        <v>1418581000</v>
      </c>
      <c r="D21">
        <v>126261000</v>
      </c>
      <c r="E21">
        <v>144073139</v>
      </c>
      <c r="F21">
        <v>3294335</v>
      </c>
      <c r="G21">
        <v>25867467</v>
      </c>
      <c r="H21">
        <v>373075756</v>
      </c>
      <c r="I21">
        <v>618164742</v>
      </c>
      <c r="J21">
        <v>510362210</v>
      </c>
      <c r="K21">
        <v>117929343</v>
      </c>
      <c r="L21">
        <v>141549937</v>
      </c>
      <c r="M21">
        <v>507832010</v>
      </c>
      <c r="N21">
        <v>1097345524</v>
      </c>
      <c r="O21">
        <v>120364944</v>
      </c>
      <c r="P21">
        <v>1843559390</v>
      </c>
      <c r="Q21">
        <v>563056302</v>
      </c>
      <c r="R21">
        <v>30739448</v>
      </c>
    </row>
    <row r="22" spans="1:18" x14ac:dyDescent="0.3">
      <c r="A22" s="1" t="s">
        <v>38</v>
      </c>
      <c r="B22">
        <v>51744876</v>
      </c>
      <c r="C22">
        <v>1419773100</v>
      </c>
      <c r="D22">
        <v>125681593</v>
      </c>
      <c r="E22">
        <v>144130482</v>
      </c>
      <c r="F22">
        <v>3347782</v>
      </c>
      <c r="G22">
        <v>25971909</v>
      </c>
      <c r="H22">
        <v>373797149</v>
      </c>
      <c r="I22">
        <v>622920825</v>
      </c>
      <c r="J22">
        <v>511423932</v>
      </c>
      <c r="K22">
        <v>117014414</v>
      </c>
      <c r="L22">
        <v>142366636</v>
      </c>
      <c r="M22">
        <v>514709028</v>
      </c>
      <c r="N22">
        <v>1125863096</v>
      </c>
      <c r="O22">
        <v>121482109</v>
      </c>
      <c r="P22">
        <v>1861812142</v>
      </c>
      <c r="Q22">
        <v>567555311</v>
      </c>
      <c r="R22">
        <v>30796812</v>
      </c>
    </row>
    <row r="24" spans="1:18" x14ac:dyDescent="0.3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  <c r="J24" s="1" t="s">
        <v>8</v>
      </c>
      <c r="K24" s="1" t="s">
        <v>9</v>
      </c>
      <c r="L24" s="1" t="s">
        <v>32</v>
      </c>
      <c r="M24" s="1" t="s">
        <v>11</v>
      </c>
      <c r="N24" s="1" t="s">
        <v>12</v>
      </c>
      <c r="O24" s="1" t="s">
        <v>33</v>
      </c>
      <c r="P24" s="1" t="s">
        <v>14</v>
      </c>
      <c r="Q24" s="1" t="s">
        <v>34</v>
      </c>
      <c r="R24" s="1" t="s">
        <v>35</v>
      </c>
    </row>
    <row r="25" spans="1:18" x14ac:dyDescent="0.3">
      <c r="A25" s="1" t="s">
        <v>41</v>
      </c>
      <c r="B25">
        <f>B19/1000000</f>
        <v>51.585057999999997</v>
      </c>
      <c r="C25">
        <f t="shared" ref="C25:R28" si="5">C19/1000000</f>
        <v>1410.2126000000001</v>
      </c>
      <c r="D25">
        <f t="shared" si="5"/>
        <v>126.81100000000001</v>
      </c>
      <c r="E25">
        <f t="shared" si="5"/>
        <v>144.477859</v>
      </c>
      <c r="F25">
        <f t="shared" si="5"/>
        <v>3.1639910000000002</v>
      </c>
      <c r="G25">
        <f t="shared" si="5"/>
        <v>25.638148999999999</v>
      </c>
      <c r="H25">
        <f t="shared" si="5"/>
        <v>367.37231600000001</v>
      </c>
      <c r="I25">
        <f t="shared" si="5"/>
        <v>606.01284499999997</v>
      </c>
      <c r="J25">
        <f t="shared" si="5"/>
        <v>506.509163</v>
      </c>
      <c r="K25">
        <f t="shared" si="5"/>
        <v>118.48600399999999</v>
      </c>
      <c r="L25">
        <f t="shared" si="5"/>
        <v>139.69713300000001</v>
      </c>
      <c r="M25">
        <f t="shared" si="5"/>
        <v>492.02350000000001</v>
      </c>
      <c r="N25">
        <f t="shared" si="5"/>
        <v>1041.066783</v>
      </c>
      <c r="O25">
        <f t="shared" si="5"/>
        <v>118.044574</v>
      </c>
      <c r="P25">
        <f t="shared" si="5"/>
        <v>1803.847309</v>
      </c>
      <c r="Q25">
        <f t="shared" si="5"/>
        <v>552.13613899999996</v>
      </c>
      <c r="R25">
        <f t="shared" si="5"/>
        <v>29.863858</v>
      </c>
    </row>
    <row r="26" spans="1:18" x14ac:dyDescent="0.3">
      <c r="A26" s="1" t="s">
        <v>36</v>
      </c>
      <c r="B26">
        <f>B20/1000000</f>
        <v>51.764822000000002</v>
      </c>
      <c r="C26">
        <f t="shared" si="5"/>
        <v>1415.2529</v>
      </c>
      <c r="D26">
        <f t="shared" si="5"/>
        <v>126.633</v>
      </c>
      <c r="E26">
        <f t="shared" si="5"/>
        <v>144.406261</v>
      </c>
      <c r="F26">
        <f t="shared" si="5"/>
        <v>3.2324299999999999</v>
      </c>
      <c r="G26">
        <f t="shared" si="5"/>
        <v>25.755441000000001</v>
      </c>
      <c r="H26">
        <f t="shared" si="5"/>
        <v>369.40017</v>
      </c>
      <c r="I26">
        <f t="shared" si="5"/>
        <v>612.53262400000006</v>
      </c>
      <c r="J26">
        <f t="shared" si="5"/>
        <v>508.66816</v>
      </c>
      <c r="K26">
        <f t="shared" si="5"/>
        <v>118.257396</v>
      </c>
      <c r="L26">
        <f t="shared" si="5"/>
        <v>140.62467699999999</v>
      </c>
      <c r="M26">
        <f t="shared" si="5"/>
        <v>500.51992100000001</v>
      </c>
      <c r="N26">
        <f t="shared" si="5"/>
        <v>1068.9432839999999</v>
      </c>
      <c r="O26">
        <f t="shared" si="5"/>
        <v>119.19651500000001</v>
      </c>
      <c r="P26">
        <f t="shared" si="5"/>
        <v>1823.829015</v>
      </c>
      <c r="Q26">
        <f t="shared" si="5"/>
        <v>557.76516600000002</v>
      </c>
      <c r="R26">
        <f t="shared" si="5"/>
        <v>30.314025999999998</v>
      </c>
    </row>
    <row r="27" spans="1:18" x14ac:dyDescent="0.3">
      <c r="A27" s="1" t="s">
        <v>37</v>
      </c>
      <c r="B27">
        <f t="shared" ref="B27:Q28" si="6">B21/1000000</f>
        <v>51.836238999999999</v>
      </c>
      <c r="C27">
        <f t="shared" si="6"/>
        <v>1418.5809999999999</v>
      </c>
      <c r="D27">
        <f t="shared" si="6"/>
        <v>126.261</v>
      </c>
      <c r="E27">
        <f t="shared" si="6"/>
        <v>144.073139</v>
      </c>
      <c r="F27">
        <f t="shared" si="6"/>
        <v>3.2943349999999998</v>
      </c>
      <c r="G27">
        <f t="shared" si="6"/>
        <v>25.867467000000001</v>
      </c>
      <c r="H27">
        <f t="shared" si="6"/>
        <v>373.07575600000001</v>
      </c>
      <c r="I27">
        <f t="shared" si="6"/>
        <v>618.16474200000005</v>
      </c>
      <c r="J27">
        <f t="shared" si="6"/>
        <v>510.36221</v>
      </c>
      <c r="K27">
        <f t="shared" si="6"/>
        <v>117.929343</v>
      </c>
      <c r="L27">
        <f t="shared" si="6"/>
        <v>141.549937</v>
      </c>
      <c r="M27">
        <f t="shared" si="6"/>
        <v>507.83201000000003</v>
      </c>
      <c r="N27">
        <f t="shared" si="6"/>
        <v>1097.3455240000001</v>
      </c>
      <c r="O27">
        <f t="shared" si="6"/>
        <v>120.36494399999999</v>
      </c>
      <c r="P27">
        <f t="shared" si="6"/>
        <v>1843.5593899999999</v>
      </c>
      <c r="Q27">
        <f t="shared" si="6"/>
        <v>563.05630199999996</v>
      </c>
      <c r="R27">
        <f t="shared" si="5"/>
        <v>30.739447999999999</v>
      </c>
    </row>
    <row r="28" spans="1:18" x14ac:dyDescent="0.3">
      <c r="A28" s="1" t="s">
        <v>38</v>
      </c>
      <c r="B28">
        <f t="shared" si="6"/>
        <v>51.744875999999998</v>
      </c>
      <c r="C28">
        <f t="shared" si="5"/>
        <v>1419.7731000000001</v>
      </c>
      <c r="D28">
        <f t="shared" si="5"/>
        <v>125.68159300000001</v>
      </c>
      <c r="E28">
        <f t="shared" si="5"/>
        <v>144.130482</v>
      </c>
      <c r="F28">
        <f t="shared" si="5"/>
        <v>3.347782</v>
      </c>
      <c r="G28">
        <f t="shared" si="5"/>
        <v>25.971909</v>
      </c>
      <c r="H28">
        <f t="shared" si="5"/>
        <v>373.79714899999999</v>
      </c>
      <c r="I28">
        <f t="shared" si="5"/>
        <v>622.92082500000004</v>
      </c>
      <c r="J28">
        <f t="shared" si="5"/>
        <v>511.42393199999998</v>
      </c>
      <c r="K28">
        <f t="shared" si="5"/>
        <v>117.014414</v>
      </c>
      <c r="L28">
        <f t="shared" si="5"/>
        <v>142.366636</v>
      </c>
      <c r="M28">
        <f t="shared" si="5"/>
        <v>514.70902799999999</v>
      </c>
      <c r="N28">
        <f t="shared" si="5"/>
        <v>1125.863096</v>
      </c>
      <c r="O28">
        <f t="shared" si="5"/>
        <v>121.48210899999999</v>
      </c>
      <c r="P28">
        <f t="shared" si="5"/>
        <v>1861.812142</v>
      </c>
      <c r="Q28">
        <f t="shared" si="5"/>
        <v>567.55531099999996</v>
      </c>
      <c r="R28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R84"/>
  <sheetViews>
    <sheetView zoomScale="130" zoomScaleNormal="130" workbookViewId="0">
      <selection activeCell="H6" sqref="H6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1" max="21" width="10.5546875" bestFit="1" customWidth="1"/>
  </cols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4">
        <f>Baseyear!B11</f>
        <v>2164.8128972743229</v>
      </c>
      <c r="C2" s="4">
        <f>Baseyear!C11</f>
        <v>21684.384643520461</v>
      </c>
      <c r="D2" s="4">
        <f>Baseyear!D11</f>
        <v>5296.1118375507285</v>
      </c>
      <c r="E2" s="4">
        <f>Baseyear!E11</f>
        <v>3913.975940445162</v>
      </c>
      <c r="F2" s="4">
        <f>Baseyear!F11</f>
        <v>38.133349152167149</v>
      </c>
      <c r="G2" s="26">
        <v>15.6464500763256</v>
      </c>
      <c r="H2" s="4">
        <f>Baseyear!H11</f>
        <v>21975.104005454268</v>
      </c>
      <c r="I2" s="4">
        <f>Baseyear!I11</f>
        <v>9585.6290912519707</v>
      </c>
      <c r="J2" s="4">
        <f>Baseyear!J11</f>
        <v>22625.326956452482</v>
      </c>
      <c r="K2" s="4">
        <f>Baseyear!K11</f>
        <v>3472.990086320794</v>
      </c>
      <c r="L2" s="4">
        <f>Baseyear!L11</f>
        <v>1784.7278732711279</v>
      </c>
      <c r="M2" s="4">
        <f>Baseyear!M11</f>
        <v>7693.5895831997013</v>
      </c>
      <c r="N2" s="4">
        <f>Baseyear!N11</f>
        <v>3973.8030880207957</v>
      </c>
      <c r="O2" s="4">
        <f>Baseyear!O11</f>
        <v>1035.8008802977561</v>
      </c>
      <c r="P2" s="4">
        <f>Baseyear!P11</f>
        <v>11196.511439113528</v>
      </c>
      <c r="Q2" s="4">
        <f>Baseyear!Q11</f>
        <v>7058.7981255028526</v>
      </c>
      <c r="R2" s="4">
        <f>Baseyear!R11</f>
        <v>1435.6632311504479</v>
      </c>
    </row>
    <row r="3" spans="1:18" x14ac:dyDescent="0.3">
      <c r="A3" s="1">
        <v>2019</v>
      </c>
      <c r="B3" s="4">
        <f>Baseyear!B12</f>
        <v>2213.3908194019677</v>
      </c>
      <c r="C3" s="4">
        <f>Baseyear!C12</f>
        <v>22940.028175853218</v>
      </c>
      <c r="D3" s="4">
        <f>Baseyear!D12</f>
        <v>5274.8125068943018</v>
      </c>
      <c r="E3" s="4">
        <f>Baseyear!E12</f>
        <v>4000.008095018452</v>
      </c>
      <c r="F3" s="4">
        <f>Baseyear!F12</f>
        <v>40.26967250118188</v>
      </c>
      <c r="G3" s="26">
        <v>15.7017323237982</v>
      </c>
      <c r="H3" s="4">
        <f>Baseyear!H12</f>
        <v>22471.260492484409</v>
      </c>
      <c r="I3" s="4">
        <f>Baseyear!I12</f>
        <v>9657.5729678508524</v>
      </c>
      <c r="J3" s="4">
        <f>Baseyear!J12</f>
        <v>22959.583984287321</v>
      </c>
      <c r="K3" s="4">
        <f>Baseyear!K12</f>
        <v>3609.1440612861688</v>
      </c>
      <c r="L3" s="4">
        <f>Baseyear!L12</f>
        <v>1857.013276648961</v>
      </c>
      <c r="M3" s="4">
        <f>Baseyear!M12</f>
        <v>7766.4345822986488</v>
      </c>
      <c r="N3" s="4">
        <f>Baseyear!N12</f>
        <v>4092.0867797098053</v>
      </c>
      <c r="O3" s="4">
        <f>Baseyear!O12</f>
        <v>1110.8024009509791</v>
      </c>
      <c r="P3" s="4">
        <f>Baseyear!P12</f>
        <v>11639.449121047501</v>
      </c>
      <c r="Q3" s="4">
        <f>Baseyear!Q12</f>
        <v>7357.9834935818435</v>
      </c>
      <c r="R3" s="4">
        <f>Baseyear!R12</f>
        <v>1467.5336915124669</v>
      </c>
    </row>
    <row r="4" spans="1:18" x14ac:dyDescent="0.3">
      <c r="A4" s="1">
        <v>2020</v>
      </c>
      <c r="B4" s="4">
        <f>Baseyear!B13</f>
        <v>2197.6886849656321</v>
      </c>
      <c r="C4" s="4">
        <f>Baseyear!C13</f>
        <v>23414.2743771065</v>
      </c>
      <c r="D4" s="4">
        <f>Baseyear!D13</f>
        <v>5049.1241844582455</v>
      </c>
      <c r="E4" s="4">
        <f>Baseyear!E13</f>
        <v>3893.8617001635221</v>
      </c>
      <c r="F4" s="4">
        <f>Baseyear!F13</f>
        <v>38.434280707097258</v>
      </c>
      <c r="G4" s="26">
        <v>14.990074746325899</v>
      </c>
      <c r="H4" s="4">
        <f>Baseyear!H13</f>
        <v>21805.056121635749</v>
      </c>
      <c r="I4" s="4">
        <f>Baseyear!I13</f>
        <v>9010.8669946892223</v>
      </c>
      <c r="J4" s="4">
        <f>Baseyear!J13</f>
        <v>21647.744706924768</v>
      </c>
      <c r="K4" s="4">
        <f>Baseyear!K13</f>
        <v>3487.3467147824281</v>
      </c>
      <c r="L4" s="4">
        <f>Baseyear!L13</f>
        <v>1810.968937790313</v>
      </c>
      <c r="M4" s="4">
        <f>Baseyear!M13</f>
        <v>7518.6201954634307</v>
      </c>
      <c r="N4" s="4">
        <f>Baseyear!N13</f>
        <v>4019.66245441511</v>
      </c>
      <c r="O4" s="4">
        <f>Baseyear!O13</f>
        <v>1136.9822641424628</v>
      </c>
      <c r="P4" s="4">
        <f>Baseyear!P13</f>
        <v>11101.40732075228</v>
      </c>
      <c r="Q4" s="4">
        <f>Baseyear!Q13</f>
        <v>6980.1052785842048</v>
      </c>
      <c r="R4" s="4">
        <f>Baseyear!R13</f>
        <v>1461.9342237117719</v>
      </c>
    </row>
    <row r="5" spans="1:18" x14ac:dyDescent="0.3">
      <c r="A5" s="1">
        <v>2021</v>
      </c>
      <c r="B5" s="4">
        <f>Baseyear!B14</f>
        <v>2292.293355002103</v>
      </c>
      <c r="C5" s="4">
        <f>Baseyear!C14</f>
        <v>25384.031403995308</v>
      </c>
      <c r="D5" s="4">
        <f>Baseyear!D14</f>
        <v>5157.3010323567678</v>
      </c>
      <c r="E5" s="4">
        <f>Baseyear!E14</f>
        <v>4112.4744028421201</v>
      </c>
      <c r="F5" s="4">
        <f>Baseyear!F14</f>
        <v>39.063361320990722</v>
      </c>
      <c r="G5" s="26">
        <v>14.981775254470501</v>
      </c>
      <c r="H5" s="4">
        <f>Baseyear!H14</f>
        <v>23079.215786517871</v>
      </c>
      <c r="I5" s="4">
        <f>Baseyear!I14</f>
        <v>9674.2144611962631</v>
      </c>
      <c r="J5" s="4">
        <f>Baseyear!J14</f>
        <v>23137.90804159168</v>
      </c>
      <c r="K5" s="4">
        <f>Baseyear!K14</f>
        <v>3716.723373660529</v>
      </c>
      <c r="L5" s="4">
        <f>Baseyear!L14</f>
        <v>1899.4803472506351</v>
      </c>
      <c r="M5" s="4">
        <f>Baseyear!M14</f>
        <v>7839.3150356476644</v>
      </c>
      <c r="N5" s="4">
        <f>Baseyear!N14</f>
        <v>4202.5456239864889</v>
      </c>
      <c r="O5" s="4">
        <f>Baseyear!O14</f>
        <v>1166.413836438674</v>
      </c>
      <c r="P5" s="4">
        <f>Baseyear!P14</f>
        <v>12038.78788193135</v>
      </c>
      <c r="Q5" s="4">
        <f>Baseyear!Q14</f>
        <v>7217.6319606552443</v>
      </c>
      <c r="R5" s="4">
        <f>Baseyear!R14</f>
        <v>1499.3493218542228</v>
      </c>
    </row>
    <row r="6" spans="1:18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9">
        <f>G5-G5*0.007</f>
        <v>14.876902827689207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</row>
    <row r="7" spans="1:18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9">
        <f t="shared" ref="G7:G70" si="2">G6-G6*0.007</f>
        <v>14.772764507895383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18" x14ac:dyDescent="0.3">
      <c r="A8" s="1">
        <v>2024</v>
      </c>
      <c r="B8" s="3">
        <f>(B9-B5)/4+B7</f>
        <v>2396.0383387505253</v>
      </c>
      <c r="C8" s="3">
        <f t="shared" ref="C8:R8" si="3">(C9-C5)/4+C7</f>
        <v>29311.805850998826</v>
      </c>
      <c r="D8" s="3">
        <f t="shared" si="3"/>
        <v>5403.5777580891927</v>
      </c>
      <c r="E8" s="3">
        <f t="shared" si="3"/>
        <v>3975.7986007105292</v>
      </c>
      <c r="F8" s="3">
        <f t="shared" si="3"/>
        <v>44.878290330247687</v>
      </c>
      <c r="G8" s="29">
        <f t="shared" si="2"/>
        <v>14.669355156340115</v>
      </c>
      <c r="H8" s="3">
        <f t="shared" si="3"/>
        <v>24097.527636629464</v>
      </c>
      <c r="I8" s="3">
        <f t="shared" si="3"/>
        <v>10199.266382799067</v>
      </c>
      <c r="J8" s="3">
        <f t="shared" si="3"/>
        <v>23493.869335397922</v>
      </c>
      <c r="K8" s="3">
        <f t="shared" si="3"/>
        <v>3893.0177934151325</v>
      </c>
      <c r="L8" s="3">
        <f t="shared" si="3"/>
        <v>2015.6667118126588</v>
      </c>
      <c r="M8" s="3">
        <f t="shared" si="3"/>
        <v>8744.8590314119156</v>
      </c>
      <c r="N8" s="3">
        <f t="shared" si="3"/>
        <v>4726.003140246622</v>
      </c>
      <c r="O8" s="3">
        <f t="shared" si="3"/>
        <v>1403.0374591096684</v>
      </c>
      <c r="P8" s="3">
        <f t="shared" si="3"/>
        <v>14272.882697982837</v>
      </c>
      <c r="Q8" s="3">
        <f t="shared" si="3"/>
        <v>9429.9757674138127</v>
      </c>
      <c r="R8" s="3">
        <f t="shared" si="3"/>
        <v>1579.8338304635558</v>
      </c>
    </row>
    <row r="9" spans="1:18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9">
        <f t="shared" si="2"/>
        <v>14.566669670245735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18" x14ac:dyDescent="0.3">
      <c r="A10" s="1">
        <v>2026</v>
      </c>
      <c r="B10" s="4">
        <f>(B14-B9)/5+B9</f>
        <v>2478.518</v>
      </c>
      <c r="C10" s="4">
        <f t="shared" ref="C10:R10" si="4">(C14-C9)/5+C9</f>
        <v>31849.823799999998</v>
      </c>
      <c r="D10" s="4">
        <f t="shared" si="4"/>
        <v>5529.576</v>
      </c>
      <c r="E10" s="4">
        <f t="shared" si="4"/>
        <v>3989.154</v>
      </c>
      <c r="F10" s="4">
        <f t="shared" si="4"/>
        <v>48.720120000000001</v>
      </c>
      <c r="G10" s="29">
        <f t="shared" si="2"/>
        <v>14.464702982554016</v>
      </c>
      <c r="H10" s="4">
        <f t="shared" si="4"/>
        <v>24914.996756</v>
      </c>
      <c r="I10" s="4">
        <f t="shared" si="4"/>
        <v>10651.89345</v>
      </c>
      <c r="J10" s="4">
        <f t="shared" si="4"/>
        <v>24056.213479999999</v>
      </c>
      <c r="K10" s="4">
        <f t="shared" si="4"/>
        <v>4068.44022</v>
      </c>
      <c r="L10" s="4">
        <f t="shared" si="4"/>
        <v>2134.8368</v>
      </c>
      <c r="M10" s="4">
        <f t="shared" si="4"/>
        <v>9421.6885259999999</v>
      </c>
      <c r="N10" s="4">
        <f t="shared" si="4"/>
        <v>5142.2429943999996</v>
      </c>
      <c r="O10" s="4">
        <f t="shared" si="4"/>
        <v>1595.2162600000001</v>
      </c>
      <c r="P10" s="4">
        <f t="shared" si="4"/>
        <v>15991.775996</v>
      </c>
      <c r="Q10" s="4">
        <f t="shared" si="4"/>
        <v>10607.013887200001</v>
      </c>
      <c r="R10" s="4">
        <f t="shared" si="4"/>
        <v>1650.9870000000001</v>
      </c>
    </row>
    <row r="11" spans="1:18" x14ac:dyDescent="0.3">
      <c r="A11" s="1">
        <v>2027</v>
      </c>
      <c r="B11" s="3">
        <f>(B14-B9)/5+B10</f>
        <v>2526.4160000000002</v>
      </c>
      <c r="C11" s="3">
        <f t="shared" ref="C11:R11" si="5">(C14-C9)/5+C10</f>
        <v>33078.583599999998</v>
      </c>
      <c r="D11" s="3">
        <f t="shared" si="5"/>
        <v>5573.482</v>
      </c>
      <c r="E11" s="3">
        <f t="shared" si="5"/>
        <v>4048.0680000000002</v>
      </c>
      <c r="F11" s="3">
        <f t="shared" si="5"/>
        <v>50.623640000000002</v>
      </c>
      <c r="G11" s="29">
        <f t="shared" si="2"/>
        <v>14.363450061676138</v>
      </c>
      <c r="H11" s="3">
        <f t="shared" si="5"/>
        <v>25393.028592000002</v>
      </c>
      <c r="I11" s="3">
        <f t="shared" si="5"/>
        <v>10929.503209999999</v>
      </c>
      <c r="J11" s="3">
        <f t="shared" si="5"/>
        <v>24499.903859999999</v>
      </c>
      <c r="K11" s="3">
        <f t="shared" si="5"/>
        <v>4185.0978400000004</v>
      </c>
      <c r="L11" s="3">
        <f t="shared" si="5"/>
        <v>2215.2781</v>
      </c>
      <c r="M11" s="3">
        <f t="shared" si="5"/>
        <v>9796.6700220000002</v>
      </c>
      <c r="N11" s="3">
        <f t="shared" si="5"/>
        <v>5383.9970097999994</v>
      </c>
      <c r="O11" s="3">
        <f t="shared" si="5"/>
        <v>1708.5205200000003</v>
      </c>
      <c r="P11" s="3">
        <f t="shared" si="5"/>
        <v>16965.971022000002</v>
      </c>
      <c r="Q11" s="3">
        <f t="shared" si="5"/>
        <v>11046.604071400001</v>
      </c>
      <c r="R11" s="3">
        <f t="shared" si="5"/>
        <v>1695.3120000000001</v>
      </c>
    </row>
    <row r="12" spans="1:18" x14ac:dyDescent="0.3">
      <c r="A12" s="1">
        <v>2028</v>
      </c>
      <c r="B12" s="3">
        <f>(B14-B9)/5+B11</f>
        <v>2574.3140000000003</v>
      </c>
      <c r="C12" s="3">
        <f t="shared" ref="C12:R12" si="6">(C14-C9)/5+C11</f>
        <v>34307.343399999998</v>
      </c>
      <c r="D12" s="3">
        <f t="shared" si="6"/>
        <v>5617.3879999999999</v>
      </c>
      <c r="E12" s="3">
        <f t="shared" si="6"/>
        <v>4106.982</v>
      </c>
      <c r="F12" s="3">
        <f t="shared" si="6"/>
        <v>52.527160000000002</v>
      </c>
      <c r="G12" s="29">
        <f t="shared" si="2"/>
        <v>14.262905911244406</v>
      </c>
      <c r="H12" s="3">
        <f t="shared" si="6"/>
        <v>25871.060428000004</v>
      </c>
      <c r="I12" s="3">
        <f t="shared" si="6"/>
        <v>11207.112969999998</v>
      </c>
      <c r="J12" s="3">
        <f t="shared" si="6"/>
        <v>24943.594239999999</v>
      </c>
      <c r="K12" s="3">
        <f t="shared" si="6"/>
        <v>4301.7554600000003</v>
      </c>
      <c r="L12" s="3">
        <f t="shared" si="6"/>
        <v>2295.7194</v>
      </c>
      <c r="M12" s="3">
        <f t="shared" si="6"/>
        <v>10171.651518000001</v>
      </c>
      <c r="N12" s="3">
        <f t="shared" si="6"/>
        <v>5625.7510251999993</v>
      </c>
      <c r="O12" s="3">
        <f t="shared" si="6"/>
        <v>1821.8247800000004</v>
      </c>
      <c r="P12" s="3">
        <f t="shared" si="6"/>
        <v>17940.166048000003</v>
      </c>
      <c r="Q12" s="3">
        <f t="shared" si="6"/>
        <v>11486.194255600001</v>
      </c>
      <c r="R12" s="3">
        <f t="shared" si="6"/>
        <v>1739.6370000000002</v>
      </c>
    </row>
    <row r="13" spans="1:18" x14ac:dyDescent="0.3">
      <c r="A13" s="1">
        <v>2029</v>
      </c>
      <c r="B13" s="3">
        <f>(B14-B9)/5+B12</f>
        <v>2622.2120000000004</v>
      </c>
      <c r="C13" s="3">
        <f t="shared" ref="C13:R13" si="7">(C14-C9)/5+C12</f>
        <v>35536.103199999998</v>
      </c>
      <c r="D13" s="3">
        <f t="shared" si="7"/>
        <v>5661.2939999999999</v>
      </c>
      <c r="E13" s="3">
        <f t="shared" si="7"/>
        <v>4165.8959999999997</v>
      </c>
      <c r="F13" s="3">
        <f t="shared" si="7"/>
        <v>54.430680000000002</v>
      </c>
      <c r="G13" s="29">
        <f t="shared" si="2"/>
        <v>14.163065569865696</v>
      </c>
      <c r="H13" s="3">
        <f t="shared" si="7"/>
        <v>26349.092264000006</v>
      </c>
      <c r="I13" s="3">
        <f t="shared" si="7"/>
        <v>11484.722729999998</v>
      </c>
      <c r="J13" s="3">
        <f t="shared" si="7"/>
        <v>25387.284619999999</v>
      </c>
      <c r="K13" s="3">
        <f t="shared" si="7"/>
        <v>4418.4130800000003</v>
      </c>
      <c r="L13" s="3">
        <f t="shared" si="7"/>
        <v>2376.1606999999999</v>
      </c>
      <c r="M13" s="3">
        <f t="shared" si="7"/>
        <v>10546.633014000001</v>
      </c>
      <c r="N13" s="3">
        <f t="shared" si="7"/>
        <v>5867.5050405999991</v>
      </c>
      <c r="O13" s="3">
        <f t="shared" si="7"/>
        <v>1935.1290400000005</v>
      </c>
      <c r="P13" s="3">
        <f t="shared" si="7"/>
        <v>18914.361074000004</v>
      </c>
      <c r="Q13" s="3">
        <f t="shared" si="7"/>
        <v>11925.784439800002</v>
      </c>
      <c r="R13" s="3">
        <f t="shared" si="7"/>
        <v>1783.9620000000002</v>
      </c>
    </row>
    <row r="14" spans="1:18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9">
        <f t="shared" si="2"/>
        <v>14.063924110876636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18" x14ac:dyDescent="0.3">
      <c r="A15" s="1">
        <v>2031</v>
      </c>
      <c r="B15" s="4">
        <f>(B19-B14)/5+B14</f>
        <v>2705.06</v>
      </c>
      <c r="C15" s="4">
        <f t="shared" ref="C15" si="8">(C19-C14)/5+C14</f>
        <v>37877.7984</v>
      </c>
      <c r="D15" s="4">
        <f t="shared" ref="D15" si="9">(D19-D14)/5+D14</f>
        <v>5753.91</v>
      </c>
      <c r="E15" s="4">
        <f t="shared" ref="E15" si="10">(E19-E14)/5+E14</f>
        <v>4306.92</v>
      </c>
      <c r="F15" s="4">
        <f t="shared" ref="F15" si="11">(F19-F14)/5+F14</f>
        <v>58.669139999999999</v>
      </c>
      <c r="G15" s="29">
        <f t="shared" si="2"/>
        <v>13.9654766421005</v>
      </c>
      <c r="H15" s="4">
        <f t="shared" ref="H15" si="12">(H19-H14)/5+H14</f>
        <v>27266.257734000003</v>
      </c>
      <c r="I15" s="4">
        <f t="shared" ref="I15" si="13">(I19-I14)/5+I14</f>
        <v>12120.366682</v>
      </c>
      <c r="J15" s="4">
        <f t="shared" ref="J15" si="14">(J19-J14)/5+J14</f>
        <v>26283.4421</v>
      </c>
      <c r="K15" s="4">
        <f t="shared" ref="K15" si="15">(K19-K14)/5+K14</f>
        <v>4630.3486600000006</v>
      </c>
      <c r="L15" s="4">
        <f t="shared" ref="L15" si="16">(L19-L14)/5+L14</f>
        <v>2546.2138</v>
      </c>
      <c r="M15" s="4">
        <f t="shared" ref="M15" si="17">(M19-M14)/5+M14</f>
        <v>11346.631454</v>
      </c>
      <c r="N15" s="4">
        <f t="shared" ref="N15" si="18">(N19-N14)/5+N14</f>
        <v>6457.7654788</v>
      </c>
      <c r="O15" s="4">
        <f t="shared" ref="O15" si="19">(O19-O14)/5+O14</f>
        <v>2175.7444399999999</v>
      </c>
      <c r="P15" s="4">
        <f t="shared" ref="P15" si="20">(P19-P14)/5+P14</f>
        <v>20952.16948</v>
      </c>
      <c r="Q15" s="4">
        <f t="shared" ref="Q15" si="21">(Q19-Q14)/5+Q14</f>
        <v>12803.841502200001</v>
      </c>
      <c r="R15" s="4">
        <f t="shared" ref="R15" si="22">(R19-R14)/5+R14</f>
        <v>1875.4674</v>
      </c>
    </row>
    <row r="16" spans="1:18" x14ac:dyDescent="0.3">
      <c r="A16" s="1">
        <v>2032</v>
      </c>
      <c r="B16" s="3">
        <f>(B19-B14)/5+B15</f>
        <v>2740.0099999999998</v>
      </c>
      <c r="C16" s="3">
        <f t="shared" ref="C16" si="23">(C19-C14)/5+C15</f>
        <v>38990.733800000002</v>
      </c>
      <c r="D16" s="3">
        <f t="shared" ref="D16" si="24">(D19-D14)/5+D15</f>
        <v>5802.62</v>
      </c>
      <c r="E16" s="3">
        <f t="shared" ref="E16" si="25">(E19-E14)/5+E15</f>
        <v>4389.03</v>
      </c>
      <c r="F16" s="3">
        <f t="shared" ref="F16" si="26">(F19-F14)/5+F15</f>
        <v>61.004079999999995</v>
      </c>
      <c r="G16" s="29">
        <f t="shared" si="2"/>
        <v>13.867718305605797</v>
      </c>
      <c r="H16" s="3">
        <f t="shared" ref="H16" si="27">(H19-H14)/5+H15</f>
        <v>27705.391368000004</v>
      </c>
      <c r="I16" s="3">
        <f t="shared" ref="I16" si="28">(I19-I14)/5+I15</f>
        <v>12478.400873999999</v>
      </c>
      <c r="J16" s="3">
        <f t="shared" ref="J16" si="29">(J19-J14)/5+J15</f>
        <v>26735.909200000002</v>
      </c>
      <c r="K16" s="3">
        <f t="shared" ref="K16" si="30">(K19-K14)/5+K15</f>
        <v>4725.6266200000009</v>
      </c>
      <c r="L16" s="3">
        <f t="shared" ref="L16" si="31">(L19-L14)/5+L15</f>
        <v>2635.8256000000001</v>
      </c>
      <c r="M16" s="3">
        <f t="shared" ref="M16" si="32">(M19-M14)/5+M15</f>
        <v>11771.648398000001</v>
      </c>
      <c r="N16" s="3">
        <f t="shared" ref="N16" si="33">(N19-N14)/5+N15</f>
        <v>6806.2719016000001</v>
      </c>
      <c r="O16" s="3">
        <f t="shared" ref="O16" si="34">(O19-O14)/5+O15</f>
        <v>2303.0555799999997</v>
      </c>
      <c r="P16" s="3">
        <f t="shared" ref="P16" si="35">(P19-P14)/5+P15</f>
        <v>22015.782859999999</v>
      </c>
      <c r="Q16" s="3">
        <f t="shared" ref="Q16" si="36">(Q19-Q14)/5+Q15</f>
        <v>13242.308380400002</v>
      </c>
      <c r="R16" s="3">
        <f t="shared" ref="R16" si="37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8">(C19-C14)/5+C16</f>
        <v>40103.669200000004</v>
      </c>
      <c r="D17" s="3">
        <f t="shared" ref="D17" si="39">(D19-D14)/5+D16</f>
        <v>5851.33</v>
      </c>
      <c r="E17" s="3">
        <f t="shared" ref="E17" si="40">(E19-E14)/5+E16</f>
        <v>4471.1399999999994</v>
      </c>
      <c r="F17" s="3">
        <f t="shared" ref="F17" si="41">(F19-F14)/5+F16</f>
        <v>63.339019999999991</v>
      </c>
      <c r="G17" s="29">
        <f t="shared" si="2"/>
        <v>13.770644277466555</v>
      </c>
      <c r="H17" s="3">
        <f t="shared" ref="H17" si="42">(H19-H14)/5+H16</f>
        <v>28144.525002000006</v>
      </c>
      <c r="I17" s="3">
        <f t="shared" ref="I17" si="43">(I19-I14)/5+I16</f>
        <v>12836.435065999998</v>
      </c>
      <c r="J17" s="3">
        <f t="shared" ref="J17" si="44">(J19-J14)/5+J16</f>
        <v>27188.376300000004</v>
      </c>
      <c r="K17" s="3">
        <f t="shared" ref="K17" si="45">(K19-K14)/5+K16</f>
        <v>4820.9045800000013</v>
      </c>
      <c r="L17" s="3">
        <f t="shared" ref="L17" si="46">(L19-L14)/5+L16</f>
        <v>2725.4374000000003</v>
      </c>
      <c r="M17" s="3">
        <f t="shared" ref="M17" si="47">(M19-M14)/5+M16</f>
        <v>12196.665342000002</v>
      </c>
      <c r="N17" s="3">
        <f t="shared" ref="N17" si="48">(N19-N14)/5+N16</f>
        <v>7154.7783244000002</v>
      </c>
      <c r="O17" s="3">
        <f t="shared" ref="O17" si="49">(O19-O14)/5+O16</f>
        <v>2430.3667199999995</v>
      </c>
      <c r="P17" s="3">
        <f t="shared" ref="P17" si="50">(P19-P14)/5+P16</f>
        <v>23079.396239999998</v>
      </c>
      <c r="Q17" s="3">
        <f t="shared" ref="Q17" si="51">(Q19-Q14)/5+Q16</f>
        <v>13680.775258600002</v>
      </c>
      <c r="R17" s="3">
        <f t="shared" ref="R17" si="52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3">(C19-C14)/5+C17</f>
        <v>41216.604600000006</v>
      </c>
      <c r="D18" s="3">
        <f t="shared" ref="D18" si="54">(D19-D14)/5+D17</f>
        <v>5900.04</v>
      </c>
      <c r="E18" s="3">
        <f t="shared" ref="E18" si="55">(E19-E14)/5+E17</f>
        <v>4553.2499999999991</v>
      </c>
      <c r="F18" s="3">
        <f t="shared" ref="F18" si="56">(F19-F14)/5+F17</f>
        <v>65.673959999999994</v>
      </c>
      <c r="G18" s="29">
        <f t="shared" si="2"/>
        <v>13.674249767524289</v>
      </c>
      <c r="H18" s="3">
        <f t="shared" ref="H18" si="57">(H19-H14)/5+H17</f>
        <v>28583.658636000007</v>
      </c>
      <c r="I18" s="3">
        <f t="shared" ref="I18" si="58">(I19-I14)/5+I17</f>
        <v>13194.469257999997</v>
      </c>
      <c r="J18" s="3">
        <f t="shared" ref="J18" si="59">(J19-J14)/5+J17</f>
        <v>27640.843400000005</v>
      </c>
      <c r="K18" s="3">
        <f t="shared" ref="K18" si="60">(K19-K14)/5+K17</f>
        <v>4916.1825400000016</v>
      </c>
      <c r="L18" s="3">
        <f t="shared" ref="L18" si="61">(L19-L14)/5+L17</f>
        <v>2815.0492000000004</v>
      </c>
      <c r="M18" s="3">
        <f t="shared" ref="M18" si="62">(M19-M14)/5+M17</f>
        <v>12621.682286000003</v>
      </c>
      <c r="N18" s="3">
        <f t="shared" ref="N18" si="63">(N19-N14)/5+N17</f>
        <v>7503.2847472000003</v>
      </c>
      <c r="O18" s="3">
        <f t="shared" ref="O18" si="64">(O19-O14)/5+O17</f>
        <v>2557.6778599999993</v>
      </c>
      <c r="P18" s="3">
        <f t="shared" ref="P18" si="65">(P19-P14)/5+P17</f>
        <v>24143.009619999997</v>
      </c>
      <c r="Q18" s="3">
        <f t="shared" ref="Q18" si="66">(Q19-Q14)/5+Q17</f>
        <v>14119.242136800003</v>
      </c>
      <c r="R18" s="3">
        <f t="shared" ref="R18" si="67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9">
        <f t="shared" si="2"/>
        <v>13.57853001915162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8">(C24-C19)/5+C19</f>
        <v>43218.370199999998</v>
      </c>
      <c r="D20" s="4">
        <f t="shared" ref="D20" si="69">(D24-D19)/5+D19</f>
        <v>5990.4120000000003</v>
      </c>
      <c r="E20" s="4">
        <f t="shared" ref="E20" si="70">(E24-E19)/5+E19</f>
        <v>4720.4459999999999</v>
      </c>
      <c r="F20" s="4">
        <f t="shared" ref="F20" si="71">(F24-F19)/5+F19</f>
        <v>70.547600000000003</v>
      </c>
      <c r="G20" s="29">
        <f t="shared" si="2"/>
        <v>13.483480309017558</v>
      </c>
      <c r="H20" s="4">
        <f t="shared" ref="H20" si="72">(H24-H19)/5+H19</f>
        <v>29443.005194000001</v>
      </c>
      <c r="I20" s="4">
        <f t="shared" ref="I20" si="73">(I24-I19)/5+I19</f>
        <v>13976.933376000001</v>
      </c>
      <c r="J20" s="4">
        <f t="shared" ref="J20" si="74">(J24-J19)/5+J19</f>
        <v>28563.244459999998</v>
      </c>
      <c r="K20" s="4">
        <f t="shared" ref="K20" si="75">(K24-K19)/5+K19</f>
        <v>5090.0270200000004</v>
      </c>
      <c r="L20" s="4">
        <f t="shared" ref="L20" si="76">(L24-L19)/5+L19</f>
        <v>2993.9790000000003</v>
      </c>
      <c r="M20" s="4">
        <f t="shared" ref="M20" si="77">(M24-M19)/5+M19</f>
        <v>13522.139356</v>
      </c>
      <c r="N20" s="4">
        <f t="shared" ref="N20" si="78">(N24-N19)/5+N19</f>
        <v>8283.5034379999997</v>
      </c>
      <c r="O20" s="4">
        <f t="shared" ref="O20" si="79">(O24-O19)/5+O19</f>
        <v>2806.9882000000002</v>
      </c>
      <c r="P20" s="4">
        <f t="shared" ref="P20" si="80">(P24-P19)/5+P19</f>
        <v>26373.007440000001</v>
      </c>
      <c r="Q20" s="4">
        <f t="shared" ref="Q20" si="81">(Q24-Q19)/5+Q19</f>
        <v>14975.813914</v>
      </c>
      <c r="R20" s="4">
        <f t="shared" ref="R20" si="82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3">(C24-C19)/5+C20</f>
        <v>44107.200399999994</v>
      </c>
      <c r="D21" s="3">
        <f t="shared" ref="D21" si="84">(D24-D19)/5+D20</f>
        <v>6032.0740000000005</v>
      </c>
      <c r="E21" s="3">
        <f t="shared" ref="E21" si="85">(E24-E19)/5+E20</f>
        <v>4805.5320000000002</v>
      </c>
      <c r="F21" s="3">
        <f t="shared" ref="F21" si="86">(F24-F19)/5+F20</f>
        <v>73.086300000000008</v>
      </c>
      <c r="G21" s="29">
        <f t="shared" si="2"/>
        <v>13.389095946854436</v>
      </c>
      <c r="H21" s="3">
        <f t="shared" ref="H21" si="87">(H24-H19)/5+H20</f>
        <v>29863.218118000001</v>
      </c>
      <c r="I21" s="3">
        <f t="shared" ref="I21" si="88">(I24-I19)/5+I20</f>
        <v>14401.363302000002</v>
      </c>
      <c r="J21" s="3">
        <f t="shared" ref="J21" si="89">(J24-J19)/5+J20</f>
        <v>29033.178419999997</v>
      </c>
      <c r="K21" s="3">
        <f t="shared" ref="K21" si="90">(K24-K19)/5+K20</f>
        <v>5168.5935400000008</v>
      </c>
      <c r="L21" s="3">
        <f t="shared" ref="L21" si="91">(L24-L19)/5+L20</f>
        <v>3083.2970000000005</v>
      </c>
      <c r="M21" s="3">
        <f t="shared" ref="M21" si="92">(M24-M19)/5+M20</f>
        <v>13997.579481999999</v>
      </c>
      <c r="N21" s="3">
        <f t="shared" ref="N21" si="93">(N24-N19)/5+N20</f>
        <v>8715.215705999999</v>
      </c>
      <c r="O21" s="3">
        <f t="shared" ref="O21" si="94">(O24-O19)/5+O20</f>
        <v>2928.9874000000004</v>
      </c>
      <c r="P21" s="3">
        <f t="shared" ref="P21" si="95">(P24-P19)/5+P20</f>
        <v>27539.391880000003</v>
      </c>
      <c r="Q21" s="3">
        <f t="shared" ref="Q21" si="96">(Q24-Q19)/5+Q20</f>
        <v>15393.918813</v>
      </c>
      <c r="R21" s="3">
        <f t="shared" ref="R21" si="97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8">(C24-C19)/5+C21</f>
        <v>44996.030599999991</v>
      </c>
      <c r="D22" s="3">
        <f t="shared" ref="D22" si="99">(D24-D19)/5+D21</f>
        <v>6073.7360000000008</v>
      </c>
      <c r="E22" s="3">
        <f t="shared" ref="E22" si="100">(E24-E19)/5+E21</f>
        <v>4890.6180000000004</v>
      </c>
      <c r="F22" s="3">
        <f t="shared" ref="F22" si="101">(F24-F19)/5+F21</f>
        <v>75.625000000000014</v>
      </c>
      <c r="G22" s="29">
        <f t="shared" si="2"/>
        <v>13.295372275226455</v>
      </c>
      <c r="H22" s="3">
        <f t="shared" ref="H22" si="102">(H24-H19)/5+H21</f>
        <v>30283.431042</v>
      </c>
      <c r="I22" s="3">
        <f t="shared" ref="I22" si="103">(I24-I19)/5+I21</f>
        <v>14825.793228000002</v>
      </c>
      <c r="J22" s="3">
        <f t="shared" ref="J22" si="104">(J24-J19)/5+J21</f>
        <v>29503.112379999995</v>
      </c>
      <c r="K22" s="3">
        <f t="shared" ref="K22" si="105">(K24-K19)/5+K21</f>
        <v>5247.1600600000011</v>
      </c>
      <c r="L22" s="3">
        <f t="shared" ref="L22" si="106">(L24-L19)/5+L21</f>
        <v>3172.6150000000007</v>
      </c>
      <c r="M22" s="3">
        <f t="shared" ref="M22" si="107">(M24-M19)/5+M21</f>
        <v>14473.019607999999</v>
      </c>
      <c r="N22" s="3">
        <f t="shared" ref="N22" si="108">(N24-N19)/5+N21</f>
        <v>9146.9279739999984</v>
      </c>
      <c r="O22" s="3">
        <f t="shared" ref="O22" si="109">(O24-O19)/5+O21</f>
        <v>3050.9866000000006</v>
      </c>
      <c r="P22" s="3">
        <f t="shared" ref="P22" si="110">(P24-P19)/5+P21</f>
        <v>28705.776320000004</v>
      </c>
      <c r="Q22" s="3">
        <f t="shared" ref="Q22" si="111">(Q24-Q19)/5+Q21</f>
        <v>15812.023712</v>
      </c>
      <c r="R22" s="3">
        <f t="shared" ref="R22" si="112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3">(C24-C19)/5+C22</f>
        <v>45884.860799999988</v>
      </c>
      <c r="D23" s="3">
        <f t="shared" ref="D23" si="114">(D24-D19)/5+D22</f>
        <v>6115.398000000001</v>
      </c>
      <c r="E23" s="3">
        <f t="shared" ref="E23" si="115">(E24-E19)/5+E22</f>
        <v>4975.7040000000006</v>
      </c>
      <c r="F23" s="3">
        <f t="shared" ref="F23" si="116">(F24-F19)/5+F22</f>
        <v>78.16370000000002</v>
      </c>
      <c r="G23" s="29">
        <f t="shared" si="2"/>
        <v>13.20230466929987</v>
      </c>
      <c r="H23" s="3">
        <f t="shared" ref="H23" si="117">(H24-H19)/5+H22</f>
        <v>30703.643966</v>
      </c>
      <c r="I23" s="3">
        <f t="shared" ref="I23" si="118">(I24-I19)/5+I22</f>
        <v>15250.223154000003</v>
      </c>
      <c r="J23" s="3">
        <f t="shared" ref="J23" si="119">(J24-J19)/5+J22</f>
        <v>29973.046339999994</v>
      </c>
      <c r="K23" s="3">
        <f t="shared" ref="K23" si="120">(K24-K19)/5+K22</f>
        <v>5325.7265800000014</v>
      </c>
      <c r="L23" s="3">
        <f t="shared" ref="L23" si="121">(L24-L19)/5+L22</f>
        <v>3261.9330000000009</v>
      </c>
      <c r="M23" s="3">
        <f t="shared" ref="M23" si="122">(M24-M19)/5+M22</f>
        <v>14948.459733999998</v>
      </c>
      <c r="N23" s="3">
        <f t="shared" ref="N23" si="123">(N24-N19)/5+N22</f>
        <v>9578.6402419999977</v>
      </c>
      <c r="O23" s="3">
        <f t="shared" ref="O23" si="124">(O24-O19)/5+O22</f>
        <v>3172.9858000000008</v>
      </c>
      <c r="P23" s="3">
        <f t="shared" ref="P23" si="125">(P24-P19)/5+P22</f>
        <v>29872.160760000006</v>
      </c>
      <c r="Q23" s="3">
        <f t="shared" ref="Q23" si="126">(Q24-Q19)/5+Q22</f>
        <v>16230.128611</v>
      </c>
      <c r="R23" s="3">
        <f t="shared" ref="R23" si="127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9">
        <f t="shared" si="2"/>
        <v>13.109888536614772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8">(C29-C24)/5+C24</f>
        <v>47622.001199999999</v>
      </c>
      <c r="D25" s="4">
        <f t="shared" ref="D25" si="129">(D29-D24)/5+D24</f>
        <v>6199.9320000000007</v>
      </c>
      <c r="E25" s="4">
        <f t="shared" ref="E25" si="130">(E29-E24)/5+E24</f>
        <v>5147.0959999999995</v>
      </c>
      <c r="F25" s="4">
        <f t="shared" ref="F25" si="131">(F29-F24)/5+F24</f>
        <v>83.496780000000001</v>
      </c>
      <c r="G25" s="29">
        <f t="shared" si="2"/>
        <v>13.018119316858469</v>
      </c>
      <c r="H25" s="4">
        <f t="shared" ref="H25" si="132">(H29-H24)/5+H24</f>
        <v>31536.281638</v>
      </c>
      <c r="I25" s="4">
        <f t="shared" ref="I25" si="133">(I29-I24)/5+I24</f>
        <v>16158.704806</v>
      </c>
      <c r="J25" s="4">
        <f t="shared" ref="J25" si="134">(J29-J24)/5+J24</f>
        <v>30926.463299999999</v>
      </c>
      <c r="K25" s="4">
        <f t="shared" ref="K25" si="135">(K29-K24)/5+K24</f>
        <v>5463.7973199999997</v>
      </c>
      <c r="L25" s="4">
        <f t="shared" ref="L25" si="136">(L29-L24)/5+L24</f>
        <v>3438.4934800000001</v>
      </c>
      <c r="M25" s="4">
        <f t="shared" ref="M25" si="137">(M29-M24)/5+M24</f>
        <v>15943.351848</v>
      </c>
      <c r="N25" s="4">
        <f t="shared" ref="N25" si="138">(N29-N24)/5+N24</f>
        <v>10549.574280000001</v>
      </c>
      <c r="O25" s="4">
        <f t="shared" ref="O25" si="139">(O29-O24)/5+O24</f>
        <v>3412.5282000000002</v>
      </c>
      <c r="P25" s="4">
        <f t="shared" ref="P25" si="140">(P29-P24)/5+P24</f>
        <v>32320.066940000001</v>
      </c>
      <c r="Q25" s="4">
        <f t="shared" ref="Q25" si="141">(Q29-Q24)/5+Q24</f>
        <v>17051.3340164</v>
      </c>
      <c r="R25" s="4">
        <f t="shared" ref="R25" si="142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3">(C29-C24)/5+C25</f>
        <v>48470.311399999999</v>
      </c>
      <c r="D26" s="3">
        <f t="shared" ref="D26" si="144">(D29-D24)/5+D25</f>
        <v>6242.804000000001</v>
      </c>
      <c r="E26" s="3">
        <f t="shared" ref="E26" si="145">(E29-E24)/5+E25</f>
        <v>5233.4019999999991</v>
      </c>
      <c r="F26" s="3">
        <f t="shared" ref="F26" si="146">(F29-F24)/5+F25</f>
        <v>86.291160000000005</v>
      </c>
      <c r="G26" s="29">
        <f t="shared" si="2"/>
        <v>12.926992481640459</v>
      </c>
      <c r="H26" s="3">
        <f t="shared" ref="H26" si="147">(H29-H24)/5+H25</f>
        <v>31948.706386000002</v>
      </c>
      <c r="I26" s="3">
        <f t="shared" ref="I26" si="148">(I29-I24)/5+I25</f>
        <v>16642.756531999999</v>
      </c>
      <c r="J26" s="3">
        <f t="shared" ref="J26" si="149">(J29-J24)/5+J25</f>
        <v>31409.9463</v>
      </c>
      <c r="K26" s="3">
        <f t="shared" ref="K26" si="150">(K29-K24)/5+K25</f>
        <v>5523.3015399999995</v>
      </c>
      <c r="L26" s="3">
        <f t="shared" ref="L26" si="151">(L29-L24)/5+L25</f>
        <v>3525.73596</v>
      </c>
      <c r="M26" s="3">
        <f t="shared" ref="M26" si="152">(M29-M24)/5+M25</f>
        <v>16462.803835999999</v>
      </c>
      <c r="N26" s="3">
        <f t="shared" ref="N26" si="153">(N29-N24)/5+N25</f>
        <v>11088.796050000001</v>
      </c>
      <c r="O26" s="3">
        <f t="shared" ref="O26" si="154">(O29-O24)/5+O25</f>
        <v>3530.0714000000003</v>
      </c>
      <c r="P26" s="3">
        <f t="shared" ref="P26" si="155">(P29-P24)/5+P25</f>
        <v>33601.588680000001</v>
      </c>
      <c r="Q26" s="3">
        <f t="shared" ref="Q26" si="156">(Q29-Q24)/5+Q25</f>
        <v>17454.434522800002</v>
      </c>
      <c r="R26" s="3">
        <f t="shared" ref="R26" si="157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8">(C29-C24)/5+C26</f>
        <v>49318.621599999999</v>
      </c>
      <c r="D27" s="3">
        <f t="shared" ref="D27" si="159">(D29-D24)/5+D26</f>
        <v>6285.6760000000013</v>
      </c>
      <c r="E27" s="3">
        <f t="shared" ref="E27" si="160">(E29-E24)/5+E26</f>
        <v>5319.7079999999987</v>
      </c>
      <c r="F27" s="3">
        <f t="shared" ref="F27" si="161">(F29-F24)/5+F26</f>
        <v>89.085540000000009</v>
      </c>
      <c r="G27" s="29">
        <f t="shared" si="2"/>
        <v>12.836503534268976</v>
      </c>
      <c r="H27" s="3">
        <f t="shared" ref="H27" si="162">(H29-H24)/5+H26</f>
        <v>32361.131134000003</v>
      </c>
      <c r="I27" s="3">
        <f t="shared" ref="I27" si="163">(I29-I24)/5+I26</f>
        <v>17126.808258000001</v>
      </c>
      <c r="J27" s="3">
        <f t="shared" ref="J27" si="164">(J29-J24)/5+J26</f>
        <v>31893.4293</v>
      </c>
      <c r="K27" s="3">
        <f t="shared" ref="K27" si="165">(K29-K24)/5+K26</f>
        <v>5582.8057599999993</v>
      </c>
      <c r="L27" s="3">
        <f t="shared" ref="L27" si="166">(L29-L24)/5+L26</f>
        <v>3612.9784399999999</v>
      </c>
      <c r="M27" s="3">
        <f t="shared" ref="M27" si="167">(M29-M24)/5+M26</f>
        <v>16982.255824</v>
      </c>
      <c r="N27" s="3">
        <f t="shared" ref="N27" si="168">(N29-N24)/5+N26</f>
        <v>11628.017820000001</v>
      </c>
      <c r="O27" s="3">
        <f t="shared" ref="O27" si="169">(O29-O24)/5+O26</f>
        <v>3647.6146000000003</v>
      </c>
      <c r="P27" s="3">
        <f t="shared" ref="P27" si="170">(P29-P24)/5+P26</f>
        <v>34883.110419999997</v>
      </c>
      <c r="Q27" s="3">
        <f t="shared" ref="Q27" si="171">(Q29-Q24)/5+Q26</f>
        <v>17857.535029200004</v>
      </c>
      <c r="R27" s="3">
        <f t="shared" ref="R27" si="172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3">(C29-C24)/5+C27</f>
        <v>50166.931799999998</v>
      </c>
      <c r="D28" s="3">
        <f t="shared" ref="D28" si="174">(D29-D24)/5+D27</f>
        <v>6328.5480000000016</v>
      </c>
      <c r="E28" s="3">
        <f t="shared" ref="E28" si="175">(E29-E24)/5+E27</f>
        <v>5406.0139999999983</v>
      </c>
      <c r="F28" s="3">
        <f t="shared" ref="F28" si="176">(F29-F24)/5+F27</f>
        <v>91.879920000000013</v>
      </c>
      <c r="G28" s="29">
        <f t="shared" si="2"/>
        <v>12.746648009529093</v>
      </c>
      <c r="H28" s="3">
        <f t="shared" ref="H28" si="177">(H29-H24)/5+H27</f>
        <v>32773.555882000008</v>
      </c>
      <c r="I28" s="3">
        <f t="shared" ref="I28" si="178">(I29-I24)/5+I27</f>
        <v>17610.859984000002</v>
      </c>
      <c r="J28" s="3">
        <f t="shared" ref="J28" si="179">(J29-J24)/5+J27</f>
        <v>32376.9123</v>
      </c>
      <c r="K28" s="3">
        <f t="shared" ref="K28" si="180">(K29-K24)/5+K27</f>
        <v>5642.3099799999991</v>
      </c>
      <c r="L28" s="3">
        <f t="shared" ref="L28" si="181">(L29-L24)/5+L27</f>
        <v>3700.2209199999998</v>
      </c>
      <c r="M28" s="3">
        <f t="shared" ref="M28" si="182">(M29-M24)/5+M27</f>
        <v>17501.707812000001</v>
      </c>
      <c r="N28" s="3">
        <f t="shared" ref="N28" si="183">(N29-N24)/5+N27</f>
        <v>12167.239590000001</v>
      </c>
      <c r="O28" s="3">
        <f t="shared" ref="O28" si="184">(O29-O24)/5+O27</f>
        <v>3765.1578000000004</v>
      </c>
      <c r="P28" s="3">
        <f t="shared" ref="P28" si="185">(P29-P24)/5+P27</f>
        <v>36164.632159999994</v>
      </c>
      <c r="Q28" s="3">
        <f t="shared" ref="Q28" si="186">(Q29-Q24)/5+Q27</f>
        <v>18260.635535600006</v>
      </c>
      <c r="R28" s="3">
        <f t="shared" ref="R28" si="187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9">
        <f t="shared" si="2"/>
        <v>12.657421473462389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8">(C34-C29)/5+C29</f>
        <v>51805.8122</v>
      </c>
      <c r="D30" s="4">
        <f t="shared" ref="D30" si="189">(D34-D29)/5+D29</f>
        <v>6416.8559999999998</v>
      </c>
      <c r="E30" s="4">
        <f t="shared" ref="E30" si="190">(E34-E29)/5+E29</f>
        <v>5579.152</v>
      </c>
      <c r="F30" s="4">
        <f t="shared" ref="F30" si="191">(F34-F29)/5+F29</f>
        <v>97.852040000000002</v>
      </c>
      <c r="G30" s="29">
        <f t="shared" si="2"/>
        <v>12.568819523148152</v>
      </c>
      <c r="H30" s="4">
        <f t="shared" ref="H30" si="192">(H34-H29)/5+H29</f>
        <v>33594.990798000013</v>
      </c>
      <c r="I30" s="4">
        <f t="shared" ref="I30" si="193">(I34-I29)/5+I29</f>
        <v>18627.560175999999</v>
      </c>
      <c r="J30" s="4">
        <f t="shared" ref="J30" si="194">(J34-J29)/5+J29</f>
        <v>33342.218679999998</v>
      </c>
      <c r="K30" s="4">
        <f t="shared" ref="K30" si="195">(K34-K29)/5+K29</f>
        <v>5751.5446600000005</v>
      </c>
      <c r="L30" s="4">
        <f t="shared" ref="L30" si="196">(L34-L29)/5+L29</f>
        <v>3875.72532</v>
      </c>
      <c r="M30" s="4">
        <f t="shared" ref="M30" si="197">(M34-M29)/5+M29</f>
        <v>18588.184982000002</v>
      </c>
      <c r="N30" s="4">
        <f t="shared" ref="N30" si="198">(N34-N29)/5+N29</f>
        <v>13375.645278</v>
      </c>
      <c r="O30" s="4">
        <f t="shared" ref="O30" si="199">(O34-O29)/5+O29</f>
        <v>3997.011</v>
      </c>
      <c r="P30" s="4">
        <f t="shared" ref="P30" si="200">(P34-P29)/5+P29</f>
        <v>38851.405999999995</v>
      </c>
      <c r="Q30" s="4">
        <f t="shared" ref="Q30" si="201">(Q34-Q29)/5+Q29</f>
        <v>19055.6466826</v>
      </c>
      <c r="R30" s="4">
        <f t="shared" ref="R30" si="202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3">(C34-C29)/5+C30</f>
        <v>52596.382400000002</v>
      </c>
      <c r="D31" s="3">
        <f t="shared" ref="D31" si="204">(D34-D29)/5+D30</f>
        <v>6462.2919999999995</v>
      </c>
      <c r="E31" s="3">
        <f t="shared" ref="E31" si="205">(E34-E29)/5+E30</f>
        <v>5665.9840000000004</v>
      </c>
      <c r="F31" s="3">
        <f t="shared" ref="F31" si="206">(F34-F29)/5+F30</f>
        <v>101.02978</v>
      </c>
      <c r="G31" s="29">
        <f t="shared" si="2"/>
        <v>12.480837786486115</v>
      </c>
      <c r="H31" s="3">
        <f t="shared" ref="H31" si="207">(H34-H29)/5+H30</f>
        <v>34004.000966000014</v>
      </c>
      <c r="I31" s="3">
        <f t="shared" ref="I31" si="208">(I34-I29)/5+I30</f>
        <v>19160.208641999998</v>
      </c>
      <c r="J31" s="3">
        <f t="shared" ref="J31" si="209">(J34-J29)/5+J30</f>
        <v>33824.04206</v>
      </c>
      <c r="K31" s="3">
        <f t="shared" ref="K31" si="210">(K34-K29)/5+K30</f>
        <v>5801.2751200000002</v>
      </c>
      <c r="L31" s="3">
        <f t="shared" ref="L31" si="211">(L34-L29)/5+L30</f>
        <v>3963.9872399999999</v>
      </c>
      <c r="M31" s="3">
        <f t="shared" ref="M31" si="212">(M34-M29)/5+M30</f>
        <v>19155.210164000004</v>
      </c>
      <c r="N31" s="3">
        <f t="shared" ref="N31" si="213">(N34-N29)/5+N30</f>
        <v>14044.829196000001</v>
      </c>
      <c r="O31" s="3">
        <f t="shared" ref="O31" si="214">(O34-O29)/5+O30</f>
        <v>4111.3209999999999</v>
      </c>
      <c r="P31" s="3">
        <f t="shared" ref="P31" si="215">(P34-P29)/5+P30</f>
        <v>40256.658099999993</v>
      </c>
      <c r="Q31" s="3">
        <f t="shared" ref="Q31" si="216">(Q34-Q29)/5+Q30</f>
        <v>19447.557323199999</v>
      </c>
      <c r="R31" s="3">
        <f t="shared" ref="R31" si="217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8">(C34-C29)/5+C31</f>
        <v>53386.952600000004</v>
      </c>
      <c r="D32" s="3">
        <f t="shared" ref="D32" si="219">(D34-D29)/5+D31</f>
        <v>6507.7279999999992</v>
      </c>
      <c r="E32" s="3">
        <f t="shared" ref="E32" si="220">(E34-E29)/5+E31</f>
        <v>5752.8160000000007</v>
      </c>
      <c r="F32" s="3">
        <f t="shared" ref="F32" si="221">(F34-F29)/5+F31</f>
        <v>104.20752</v>
      </c>
      <c r="G32" s="29">
        <f t="shared" si="2"/>
        <v>12.393471921980712</v>
      </c>
      <c r="H32" s="3">
        <f t="shared" ref="H32" si="222">(H34-H29)/5+H31</f>
        <v>34413.011134000015</v>
      </c>
      <c r="I32" s="3">
        <f t="shared" ref="I32" si="223">(I34-I29)/5+I31</f>
        <v>19692.857107999997</v>
      </c>
      <c r="J32" s="3">
        <f t="shared" ref="J32" si="224">(J34-J29)/5+J31</f>
        <v>34305.865440000001</v>
      </c>
      <c r="K32" s="3">
        <f t="shared" ref="K32" si="225">(K34-K29)/5+K31</f>
        <v>5851.00558</v>
      </c>
      <c r="L32" s="3">
        <f t="shared" ref="L32" si="226">(L34-L29)/5+L31</f>
        <v>4052.2491599999998</v>
      </c>
      <c r="M32" s="3">
        <f t="shared" ref="M32" si="227">(M34-M29)/5+M31</f>
        <v>19722.235346000005</v>
      </c>
      <c r="N32" s="3">
        <f t="shared" ref="N32" si="228">(N34-N29)/5+N31</f>
        <v>14714.013114000001</v>
      </c>
      <c r="O32" s="3">
        <f t="shared" ref="O32" si="229">(O34-O29)/5+O31</f>
        <v>4225.6310000000003</v>
      </c>
      <c r="P32" s="3">
        <f t="shared" ref="P32" si="230">(P34-P29)/5+P31</f>
        <v>41661.910199999991</v>
      </c>
      <c r="Q32" s="3">
        <f t="shared" ref="Q32" si="231">(Q34-Q29)/5+Q31</f>
        <v>19839.467963799998</v>
      </c>
      <c r="R32" s="3">
        <f t="shared" ref="R32" si="232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3">(C34-C29)/5+C32</f>
        <v>54177.522800000006</v>
      </c>
      <c r="D33" s="3">
        <f t="shared" ref="D33" si="234">(D34-D29)/5+D32</f>
        <v>6553.1639999999989</v>
      </c>
      <c r="E33" s="3">
        <f t="shared" ref="E33" si="235">(E34-E29)/5+E32</f>
        <v>5839.648000000001</v>
      </c>
      <c r="F33" s="3">
        <f t="shared" ref="F33" si="236">(F34-F29)/5+F32</f>
        <v>107.38526</v>
      </c>
      <c r="G33" s="29">
        <f t="shared" si="2"/>
        <v>12.306717618526847</v>
      </c>
      <c r="H33" s="3">
        <f t="shared" ref="H33" si="237">(H34-H29)/5+H32</f>
        <v>34822.021302000016</v>
      </c>
      <c r="I33" s="3">
        <f t="shared" ref="I33" si="238">(I34-I29)/5+I32</f>
        <v>20225.505573999995</v>
      </c>
      <c r="J33" s="3">
        <f t="shared" ref="J33" si="239">(J34-J29)/5+J32</f>
        <v>34787.688820000003</v>
      </c>
      <c r="K33" s="3">
        <f t="shared" ref="K33" si="240">(K34-K29)/5+K32</f>
        <v>5900.7360399999998</v>
      </c>
      <c r="L33" s="3">
        <f t="shared" ref="L33" si="241">(L34-L29)/5+L32</f>
        <v>4140.5110800000002</v>
      </c>
      <c r="M33" s="3">
        <f t="shared" ref="M33" si="242">(M34-M29)/5+M32</f>
        <v>20289.260528000006</v>
      </c>
      <c r="N33" s="3">
        <f t="shared" ref="N33" si="243">(N34-N29)/5+N32</f>
        <v>15383.197032000002</v>
      </c>
      <c r="O33" s="3">
        <f t="shared" ref="O33" si="244">(O34-O29)/5+O32</f>
        <v>4339.9410000000007</v>
      </c>
      <c r="P33" s="3">
        <f t="shared" ref="P33" si="245">(P34-P29)/5+P32</f>
        <v>43067.162299999989</v>
      </c>
      <c r="Q33" s="3">
        <f t="shared" ref="Q33" si="246">(Q34-Q29)/5+Q32</f>
        <v>20231.378604399997</v>
      </c>
      <c r="R33" s="3">
        <f t="shared" ref="R33" si="247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9">
        <f t="shared" si="2"/>
        <v>12.220570595197159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8">(C39-C34)/5+C34</f>
        <v>55653.318399999989</v>
      </c>
      <c r="D35" s="4">
        <f t="shared" ref="D35" si="249">(D39-D34)/5+D34</f>
        <v>6642.0020000000004</v>
      </c>
      <c r="E35" s="4">
        <f t="shared" ref="E35" si="250">(E39-E34)/5+E34</f>
        <v>6021.7559999999994</v>
      </c>
      <c r="F35" s="4">
        <f t="shared" ref="F35" si="251">(F39-F34)/5+F34</f>
        <v>114.2586</v>
      </c>
      <c r="G35" s="29">
        <f t="shared" si="2"/>
        <v>12.135026601030779</v>
      </c>
      <c r="H35" s="4">
        <f t="shared" ref="H35" si="252">(H39-H34)/5+H34</f>
        <v>35646.203895999999</v>
      </c>
      <c r="I35" s="4">
        <f t="shared" ref="I35" si="253">(I39-I34)/5+I34</f>
        <v>21332.940164</v>
      </c>
      <c r="J35" s="4">
        <f t="shared" ref="J35" si="254">(J39-J34)/5+J34</f>
        <v>35747.529119999999</v>
      </c>
      <c r="K35" s="4">
        <f t="shared" ref="K35" si="255">(K39-K34)/5+K34</f>
        <v>5994.5823600000003</v>
      </c>
      <c r="L35" s="4">
        <f t="shared" ref="L35" si="256">(L39-L34)/5+L34</f>
        <v>4322.4436800000003</v>
      </c>
      <c r="M35" s="4">
        <f t="shared" ref="M35" si="257">(M39-M34)/5+M34</f>
        <v>21483.535717999999</v>
      </c>
      <c r="N35" s="4">
        <f t="shared" ref="N35" si="258">(N39-N34)/5+N34</f>
        <v>16877.119350000001</v>
      </c>
      <c r="O35" s="4">
        <f t="shared" ref="O35" si="259">(O39-O34)/5+O34</f>
        <v>4568.3928000000005</v>
      </c>
      <c r="P35" s="4">
        <f t="shared" ref="P35" si="260">(P39-P34)/5+P34</f>
        <v>46014.082260000003</v>
      </c>
      <c r="Q35" s="4">
        <f t="shared" ref="Q35" si="261">(Q39-Q34)/5+Q34</f>
        <v>21019.496383999998</v>
      </c>
      <c r="R35" s="4">
        <f t="shared" ref="R35" si="262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3">(C39-C34)/5+C35</f>
        <v>56338.543799999985</v>
      </c>
      <c r="D36" s="3">
        <f t="shared" ref="D36" si="264">(D39-D34)/5+D35</f>
        <v>6685.4040000000005</v>
      </c>
      <c r="E36" s="3">
        <f t="shared" ref="E36" si="265">(E39-E34)/5+E35</f>
        <v>6117.0319999999992</v>
      </c>
      <c r="F36" s="3">
        <f t="shared" ref="F36" si="266">(F39-F34)/5+F35</f>
        <v>117.9542</v>
      </c>
      <c r="G36" s="29">
        <f t="shared" si="2"/>
        <v>12.050081414823563</v>
      </c>
      <c r="H36" s="3">
        <f t="shared" ref="H36" si="267">(H39-H34)/5+H35</f>
        <v>36061.376321999996</v>
      </c>
      <c r="I36" s="3">
        <f t="shared" ref="I36" si="268">(I39-I34)/5+I35</f>
        <v>21907.726287999998</v>
      </c>
      <c r="J36" s="3">
        <f t="shared" ref="J36" si="269">(J39-J34)/5+J35</f>
        <v>36225.546040000001</v>
      </c>
      <c r="K36" s="3">
        <f t="shared" ref="K36" si="270">(K39-K34)/5+K35</f>
        <v>6038.6982200000002</v>
      </c>
      <c r="L36" s="3">
        <f t="shared" ref="L36" si="271">(L39-L34)/5+L35</f>
        <v>4416.1143600000005</v>
      </c>
      <c r="M36" s="3">
        <f t="shared" ref="M36" si="272">(M39-M34)/5+M35</f>
        <v>22110.785725999998</v>
      </c>
      <c r="N36" s="3">
        <f t="shared" ref="N36" si="273">(N39-N34)/5+N35</f>
        <v>17701.857750000003</v>
      </c>
      <c r="O36" s="3">
        <f t="shared" ref="O36" si="274">(O39-O34)/5+O35</f>
        <v>4682.5346000000009</v>
      </c>
      <c r="P36" s="3">
        <f t="shared" ref="P36" si="275">(P39-P34)/5+P35</f>
        <v>47555.750120000004</v>
      </c>
      <c r="Q36" s="3">
        <f t="shared" ref="Q36" si="276">(Q39-Q34)/5+Q35</f>
        <v>21415.703522999996</v>
      </c>
      <c r="R36" s="3">
        <f t="shared" ref="R36" si="277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8">(C39-C34)/5+C36</f>
        <v>57023.769199999981</v>
      </c>
      <c r="D37" s="3">
        <f t="shared" ref="D37" si="279">(D39-D34)/5+D36</f>
        <v>6728.8060000000005</v>
      </c>
      <c r="E37" s="3">
        <f t="shared" ref="E37" si="280">(E39-E34)/5+E36</f>
        <v>6212.3079999999991</v>
      </c>
      <c r="F37" s="3">
        <f t="shared" ref="F37" si="281">(F39-F34)/5+F36</f>
        <v>121.6498</v>
      </c>
      <c r="G37" s="29">
        <f t="shared" si="2"/>
        <v>11.965730844919797</v>
      </c>
      <c r="H37" s="3">
        <f t="shared" ref="H37" si="282">(H39-H34)/5+H36</f>
        <v>36476.548747999994</v>
      </c>
      <c r="I37" s="3">
        <f t="shared" ref="I37" si="283">(I39-I34)/5+I36</f>
        <v>22482.512411999996</v>
      </c>
      <c r="J37" s="3">
        <f t="shared" ref="J37" si="284">(J39-J34)/5+J36</f>
        <v>36703.562960000003</v>
      </c>
      <c r="K37" s="3">
        <f t="shared" ref="K37" si="285">(K39-K34)/5+K36</f>
        <v>6082.8140800000001</v>
      </c>
      <c r="L37" s="3">
        <f t="shared" ref="L37" si="286">(L39-L34)/5+L36</f>
        <v>4509.7850400000007</v>
      </c>
      <c r="M37" s="3">
        <f t="shared" ref="M37" si="287">(M39-M34)/5+M36</f>
        <v>22738.035733999997</v>
      </c>
      <c r="N37" s="3">
        <f t="shared" ref="N37" si="288">(N39-N34)/5+N36</f>
        <v>18526.596150000005</v>
      </c>
      <c r="O37" s="3">
        <f t="shared" ref="O37" si="289">(O39-O34)/5+O36</f>
        <v>4796.6764000000012</v>
      </c>
      <c r="P37" s="3">
        <f t="shared" ref="P37" si="290">(P39-P34)/5+P36</f>
        <v>49097.417980000006</v>
      </c>
      <c r="Q37" s="3">
        <f t="shared" ref="Q37" si="291">(Q39-Q34)/5+Q36</f>
        <v>21811.910661999995</v>
      </c>
      <c r="R37" s="3">
        <f t="shared" ref="R37" si="292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3">(C39-C34)/5+C37</f>
        <v>57708.994599999976</v>
      </c>
      <c r="D38" s="3">
        <f t="shared" ref="D38" si="294">(D39-D34)/5+D37</f>
        <v>6772.2080000000005</v>
      </c>
      <c r="E38" s="3">
        <f t="shared" ref="E38" si="295">(E39-E34)/5+E37</f>
        <v>6307.5839999999989</v>
      </c>
      <c r="F38" s="3">
        <f t="shared" ref="F38" si="296">(F39-F34)/5+F37</f>
        <v>125.3454</v>
      </c>
      <c r="G38" s="29">
        <f t="shared" si="2"/>
        <v>11.881970729005358</v>
      </c>
      <c r="H38" s="3">
        <f t="shared" ref="H38" si="297">(H39-H34)/5+H37</f>
        <v>36891.721173999991</v>
      </c>
      <c r="I38" s="3">
        <f t="shared" ref="I38" si="298">(I39-I34)/5+I37</f>
        <v>23057.298535999995</v>
      </c>
      <c r="J38" s="3">
        <f t="shared" ref="J38" si="299">(J39-J34)/5+J37</f>
        <v>37181.579880000005</v>
      </c>
      <c r="K38" s="3">
        <f t="shared" ref="K38" si="300">(K39-K34)/5+K37</f>
        <v>6126.92994</v>
      </c>
      <c r="L38" s="3">
        <f t="shared" ref="L38" si="301">(L39-L34)/5+L37</f>
        <v>4603.4557200000008</v>
      </c>
      <c r="M38" s="3">
        <f t="shared" ref="M38" si="302">(M39-M34)/5+M37</f>
        <v>23365.285741999996</v>
      </c>
      <c r="N38" s="3">
        <f t="shared" ref="N38" si="303">(N39-N34)/5+N37</f>
        <v>19351.334550000007</v>
      </c>
      <c r="O38" s="3">
        <f t="shared" ref="O38" si="304">(O39-O34)/5+O37</f>
        <v>4910.8182000000015</v>
      </c>
      <c r="P38" s="3">
        <f t="shared" ref="P38" si="305">(P39-P34)/5+P37</f>
        <v>50639.085840000007</v>
      </c>
      <c r="Q38" s="3">
        <f t="shared" ref="Q38" si="306">(Q39-Q34)/5+Q37</f>
        <v>22208.117800999993</v>
      </c>
      <c r="R38" s="3">
        <f t="shared" ref="R38" si="307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9">
        <f t="shared" si="2"/>
        <v>11.79879693390232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8">(C44-C39)/5+C39</f>
        <v>59054.77659999999</v>
      </c>
      <c r="D40" s="4">
        <f t="shared" ref="D40" si="309">(D44-D39)/5+D39</f>
        <v>6854.0639999999994</v>
      </c>
      <c r="E40" s="4">
        <f t="shared" ref="E40" si="310">(E44-E39)/5+E39</f>
        <v>6512.924</v>
      </c>
      <c r="F40" s="4">
        <f t="shared" ref="F40" si="311">(F44-F39)/5+F39</f>
        <v>133.334</v>
      </c>
      <c r="G40" s="29">
        <f t="shared" si="2"/>
        <v>11.716205355365004</v>
      </c>
      <c r="H40" s="4">
        <f t="shared" ref="H40" si="312">(H44-H39)/5+H39</f>
        <v>37733.159478000001</v>
      </c>
      <c r="I40" s="4">
        <f t="shared" ref="I40" si="313">(I44-I39)/5+I39</f>
        <v>24240.384512000001</v>
      </c>
      <c r="J40" s="4">
        <f t="shared" ref="J40" si="314">(J44-J39)/5+J39</f>
        <v>38136.56162</v>
      </c>
      <c r="K40" s="4">
        <f t="shared" ref="K40" si="315">(K44-K39)/5+K39</f>
        <v>6212.4034000000001</v>
      </c>
      <c r="L40" s="4">
        <f t="shared" ref="L40" si="316">(L44-L39)/5+L39</f>
        <v>4799.75198</v>
      </c>
      <c r="M40" s="4">
        <f t="shared" ref="M40" si="317">(M44-M39)/5+M39</f>
        <v>24685.544355999999</v>
      </c>
      <c r="N40" s="4">
        <f t="shared" ref="N40" si="318">(N44-N39)/5+N39</f>
        <v>21181.827412000002</v>
      </c>
      <c r="O40" s="4">
        <f t="shared" ref="O40" si="319">(O44-O39)/5+O39</f>
        <v>5139.3432000000003</v>
      </c>
      <c r="P40" s="4">
        <f t="shared" ref="P40" si="320">(P44-P39)/5+P39</f>
        <v>53855.116600000001</v>
      </c>
      <c r="Q40" s="4">
        <f t="shared" ref="Q40" si="321">(Q44-Q39)/5+Q39</f>
        <v>23007.638177999997</v>
      </c>
      <c r="R40" s="4">
        <f t="shared" ref="R40" si="32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3">(C44-C39)/5+C40</f>
        <v>59715.333199999994</v>
      </c>
      <c r="D41" s="3">
        <f t="shared" ref="D41" si="324">(D44-D39)/5+D40</f>
        <v>6892.5179999999991</v>
      </c>
      <c r="E41" s="3">
        <f t="shared" ref="E41" si="325">(E44-E39)/5+E40</f>
        <v>6622.9880000000003</v>
      </c>
      <c r="F41" s="3">
        <f t="shared" ref="F41" si="326">(F44-F39)/5+F40</f>
        <v>137.62700000000001</v>
      </c>
      <c r="G41" s="29">
        <f t="shared" si="2"/>
        <v>11.634191917877448</v>
      </c>
      <c r="H41" s="3">
        <f t="shared" ref="H41" si="327">(H44-H39)/5+H40</f>
        <v>38159.425356</v>
      </c>
      <c r="I41" s="3">
        <f t="shared" ref="I41" si="328">(I44-I39)/5+I40</f>
        <v>24848.684364000001</v>
      </c>
      <c r="J41" s="3">
        <f t="shared" ref="J41" si="329">(J44-J39)/5+J40</f>
        <v>38613.526440000001</v>
      </c>
      <c r="K41" s="3">
        <f t="shared" ref="K41" si="330">(K44-K39)/5+K40</f>
        <v>6253.7610000000004</v>
      </c>
      <c r="L41" s="3">
        <f t="shared" ref="L41" si="331">(L44-L39)/5+L40</f>
        <v>4902.3775599999999</v>
      </c>
      <c r="M41" s="3">
        <f t="shared" ref="M41" si="332">(M44-M39)/5+M40</f>
        <v>25378.552961999998</v>
      </c>
      <c r="N41" s="3">
        <f t="shared" ref="N41" si="333">(N44-N39)/5+N40</f>
        <v>22187.581874000003</v>
      </c>
      <c r="O41" s="3">
        <f t="shared" ref="O41" si="334">(O44-O39)/5+O40</f>
        <v>5253.7264000000005</v>
      </c>
      <c r="P41" s="3">
        <f t="shared" ref="P41" si="335">(P44-P39)/5+P40</f>
        <v>55529.479500000001</v>
      </c>
      <c r="Q41" s="3">
        <f t="shared" ref="Q41" si="336">(Q44-Q39)/5+Q40</f>
        <v>23410.951415999996</v>
      </c>
      <c r="R41" s="3">
        <f t="shared" ref="R41" si="337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8">(C44-C39)/5+C41</f>
        <v>60375.889799999997</v>
      </c>
      <c r="D42" s="3">
        <f t="shared" ref="D42" si="339">(D44-D39)/5+D41</f>
        <v>6930.9719999999988</v>
      </c>
      <c r="E42" s="3">
        <f t="shared" ref="E42" si="340">(E44-E39)/5+E41</f>
        <v>6733.0520000000006</v>
      </c>
      <c r="F42" s="3">
        <f t="shared" ref="F42" si="341">(F44-F39)/5+F41</f>
        <v>141.92000000000002</v>
      </c>
      <c r="G42" s="29">
        <f t="shared" si="2"/>
        <v>11.552752574452306</v>
      </c>
      <c r="H42" s="3">
        <f t="shared" ref="H42" si="342">(H44-H39)/5+H41</f>
        <v>38585.691233999998</v>
      </c>
      <c r="I42" s="3">
        <f t="shared" ref="I42" si="343">(I44-I39)/5+I41</f>
        <v>25456.984216000001</v>
      </c>
      <c r="J42" s="3">
        <f t="shared" ref="J42" si="344">(J44-J39)/5+J41</f>
        <v>39090.491260000003</v>
      </c>
      <c r="K42" s="3">
        <f t="shared" ref="K42" si="345">(K44-K39)/5+K41</f>
        <v>6295.1186000000007</v>
      </c>
      <c r="L42" s="3">
        <f t="shared" ref="L42" si="346">(L44-L39)/5+L41</f>
        <v>5005.0031399999998</v>
      </c>
      <c r="M42" s="3">
        <f t="shared" ref="M42" si="347">(M44-M39)/5+M41</f>
        <v>26071.561567999997</v>
      </c>
      <c r="N42" s="3">
        <f t="shared" ref="N42" si="348">(N44-N39)/5+N41</f>
        <v>23193.336336000004</v>
      </c>
      <c r="O42" s="3">
        <f t="shared" ref="O42" si="349">(O44-O39)/5+O41</f>
        <v>5368.1096000000007</v>
      </c>
      <c r="P42" s="3">
        <f t="shared" ref="P42" si="350">(P44-P39)/5+P41</f>
        <v>57203.842400000001</v>
      </c>
      <c r="Q42" s="3">
        <f t="shared" ref="Q42" si="351">(Q44-Q39)/5+Q41</f>
        <v>23814.264653999995</v>
      </c>
      <c r="R42" s="3">
        <f t="shared" ref="R42" si="352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3">(C44-C39)/5+C42</f>
        <v>61036.446400000001</v>
      </c>
      <c r="D43" s="3">
        <f t="shared" ref="D43" si="354">(D44-D39)/5+D42</f>
        <v>6969.4259999999986</v>
      </c>
      <c r="E43" s="3">
        <f t="shared" ref="E43" si="355">(E44-E39)/5+E42</f>
        <v>6843.1160000000009</v>
      </c>
      <c r="F43" s="3">
        <f t="shared" ref="F43" si="356">(F44-F39)/5+F42</f>
        <v>146.21300000000002</v>
      </c>
      <c r="G43" s="29">
        <f t="shared" si="2"/>
        <v>11.47188330643114</v>
      </c>
      <c r="H43" s="3">
        <f t="shared" ref="H43" si="357">(H44-H39)/5+H42</f>
        <v>39011.957111999996</v>
      </c>
      <c r="I43" s="3">
        <f t="shared" ref="I43" si="358">(I44-I39)/5+I42</f>
        <v>26065.284068000001</v>
      </c>
      <c r="J43" s="3">
        <f t="shared" ref="J43" si="359">(J44-J39)/5+J42</f>
        <v>39567.456080000004</v>
      </c>
      <c r="K43" s="3">
        <f t="shared" ref="K43" si="360">(K44-K39)/5+K42</f>
        <v>6336.476200000001</v>
      </c>
      <c r="L43" s="3">
        <f t="shared" ref="L43" si="361">(L44-L39)/5+L42</f>
        <v>5107.6287199999997</v>
      </c>
      <c r="M43" s="3">
        <f t="shared" ref="M43" si="362">(M44-M39)/5+M42</f>
        <v>26764.570173999997</v>
      </c>
      <c r="N43" s="3">
        <f t="shared" ref="N43" si="363">(N44-N39)/5+N42</f>
        <v>24199.090798000005</v>
      </c>
      <c r="O43" s="3">
        <f t="shared" ref="O43" si="364">(O44-O39)/5+O42</f>
        <v>5482.4928000000009</v>
      </c>
      <c r="P43" s="3">
        <f t="shared" ref="P43" si="365">(P44-P39)/5+P42</f>
        <v>58878.205300000001</v>
      </c>
      <c r="Q43" s="3">
        <f t="shared" ref="Q43" si="366">(Q44-Q39)/5+Q42</f>
        <v>24217.577891999994</v>
      </c>
      <c r="R43" s="3">
        <f t="shared" ref="R43" si="367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9">
        <f t="shared" si="2"/>
        <v>11.391580123286122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8">(C49-C44)/5+C44</f>
        <v>62322.84</v>
      </c>
      <c r="D45" s="4">
        <f t="shared" ref="D45" si="369">(D49-D44)/5+D44</f>
        <v>7041.0240000000003</v>
      </c>
      <c r="E45" s="4">
        <f t="shared" ref="E45" si="370">(E49-E44)/5+E44</f>
        <v>7069.9140000000007</v>
      </c>
      <c r="F45" s="4">
        <f t="shared" ref="F45" si="371">(F49-F44)/5+F44</f>
        <v>155.4462</v>
      </c>
      <c r="G45" s="29">
        <f t="shared" si="2"/>
        <v>11.31183906242312</v>
      </c>
      <c r="H45" s="4">
        <f t="shared" ref="H45" si="372">(H49-H44)/5+H44</f>
        <v>39876.915574000006</v>
      </c>
      <c r="I45" s="4">
        <f t="shared" ref="I45" si="373">(I49-I44)/5+I44</f>
        <v>27318.845670000002</v>
      </c>
      <c r="J45" s="4">
        <f t="shared" ref="J45" si="374">(J49-J44)/5+J44</f>
        <v>40512.958679999996</v>
      </c>
      <c r="K45" s="4">
        <f t="shared" ref="K45" si="375">(K49-K44)/5+K44</f>
        <v>6417.26746</v>
      </c>
      <c r="L45" s="4">
        <f t="shared" ref="L45" si="376">(L49-L44)/5+L44</f>
        <v>5322.1086999999998</v>
      </c>
      <c r="M45" s="4">
        <f t="shared" ref="M45" si="377">(M49-M44)/5+M44</f>
        <v>28211.438303999999</v>
      </c>
      <c r="N45" s="4">
        <f t="shared" ref="N45" si="378">(N49-N44)/5+N44</f>
        <v>26417.704497999999</v>
      </c>
      <c r="O45" s="4">
        <f t="shared" ref="O45" si="379">(O49-O44)/5+O44</f>
        <v>5711.4768000000004</v>
      </c>
      <c r="P45" s="4">
        <f t="shared" ref="P45" si="380">(P49-P44)/5+P44</f>
        <v>62347.467779999992</v>
      </c>
      <c r="Q45" s="4">
        <f t="shared" ref="Q45" si="381">(Q49-Q44)/5+Q44</f>
        <v>25029.608307999999</v>
      </c>
      <c r="R45" s="4">
        <f t="shared" ref="R45" si="382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3">(C49-C44)/5+C45</f>
        <v>62948.676999999996</v>
      </c>
      <c r="D46" s="3">
        <f t="shared" ref="D46" si="384">(D49-D44)/5+D45</f>
        <v>7074.1680000000006</v>
      </c>
      <c r="E46" s="3">
        <f t="shared" ref="E46" si="385">(E49-E44)/5+E45</f>
        <v>7186.648000000001</v>
      </c>
      <c r="F46" s="3">
        <f t="shared" ref="F46" si="386">(F49-F44)/5+F45</f>
        <v>160.38640000000001</v>
      </c>
      <c r="G46" s="29">
        <f t="shared" si="2"/>
        <v>11.232656188986159</v>
      </c>
      <c r="H46" s="3">
        <f t="shared" ref="H46" si="387">(H49-H44)/5+H45</f>
        <v>40315.60815800001</v>
      </c>
      <c r="I46" s="3">
        <f t="shared" ref="I46" si="388">(I49-I44)/5+I45</f>
        <v>27964.107420000004</v>
      </c>
      <c r="J46" s="3">
        <f t="shared" ref="J46" si="389">(J49-J44)/5+J45</f>
        <v>40981.496459999995</v>
      </c>
      <c r="K46" s="3">
        <f t="shared" ref="K46" si="390">(K49-K44)/5+K45</f>
        <v>6456.7011199999997</v>
      </c>
      <c r="L46" s="3">
        <f t="shared" ref="L46" si="391">(L49-L44)/5+L45</f>
        <v>5433.9630999999999</v>
      </c>
      <c r="M46" s="3">
        <f t="shared" ref="M46" si="392">(M49-M44)/5+M45</f>
        <v>28965.297827999999</v>
      </c>
      <c r="N46" s="3">
        <f t="shared" ref="N46" si="393">(N49-N44)/5+N45</f>
        <v>27630.563736</v>
      </c>
      <c r="O46" s="3">
        <f t="shared" ref="O46" si="394">(O49-O44)/5+O45</f>
        <v>5826.0776000000005</v>
      </c>
      <c r="P46" s="3">
        <f t="shared" ref="P46" si="395">(P49-P44)/5+P45</f>
        <v>64142.367359999997</v>
      </c>
      <c r="Q46" s="3">
        <f t="shared" ref="Q46" si="396">(Q49-Q44)/5+Q45</f>
        <v>25438.325485999998</v>
      </c>
      <c r="R46" s="3">
        <f t="shared" ref="R46" si="397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8">(C49-C44)/5+C46</f>
        <v>63574.513999999996</v>
      </c>
      <c r="D47" s="3">
        <f t="shared" ref="D47" si="399">(D49-D44)/5+D46</f>
        <v>7107.3120000000008</v>
      </c>
      <c r="E47" s="3">
        <f t="shared" ref="E47" si="400">(E49-E44)/5+E46</f>
        <v>7303.3820000000014</v>
      </c>
      <c r="F47" s="3">
        <f t="shared" ref="F47" si="401">(F49-F44)/5+F46</f>
        <v>165.32660000000001</v>
      </c>
      <c r="G47" s="29">
        <f t="shared" si="2"/>
        <v>11.154027595663255</v>
      </c>
      <c r="H47" s="3">
        <f t="shared" ref="H47" si="402">(H49-H44)/5+H46</f>
        <v>40754.300742000014</v>
      </c>
      <c r="I47" s="3">
        <f t="shared" ref="I47" si="403">(I49-I44)/5+I46</f>
        <v>28609.369170000005</v>
      </c>
      <c r="J47" s="3">
        <f t="shared" ref="J47" si="404">(J49-J44)/5+J46</f>
        <v>41450.034239999994</v>
      </c>
      <c r="K47" s="3">
        <f t="shared" ref="K47" si="405">(K49-K44)/5+K46</f>
        <v>6496.1347799999994</v>
      </c>
      <c r="L47" s="3">
        <f t="shared" ref="L47" si="406">(L49-L44)/5+L46</f>
        <v>5545.8175000000001</v>
      </c>
      <c r="M47" s="3">
        <f t="shared" ref="M47" si="407">(M49-M44)/5+M46</f>
        <v>29719.157351999998</v>
      </c>
      <c r="N47" s="3">
        <f t="shared" ref="N47" si="408">(N49-N44)/5+N46</f>
        <v>28843.422974000001</v>
      </c>
      <c r="O47" s="3">
        <f t="shared" ref="O47" si="409">(O49-O44)/5+O46</f>
        <v>5940.6784000000007</v>
      </c>
      <c r="P47" s="3">
        <f t="shared" ref="P47" si="410">(P49-P44)/5+P46</f>
        <v>65937.266940000001</v>
      </c>
      <c r="Q47" s="3">
        <f t="shared" ref="Q47" si="411">(Q49-Q44)/5+Q46</f>
        <v>25847.042663999997</v>
      </c>
      <c r="R47" s="3">
        <f t="shared" ref="R47" si="412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3">(C49-C44)/5+C47</f>
        <v>64200.350999999995</v>
      </c>
      <c r="D48" s="3">
        <f t="shared" ref="D48" si="414">(D49-D44)/5+D47</f>
        <v>7140.456000000001</v>
      </c>
      <c r="E48" s="3">
        <f t="shared" ref="E48" si="415">(E49-E44)/5+E47</f>
        <v>7420.1160000000018</v>
      </c>
      <c r="F48" s="3">
        <f t="shared" ref="F48" si="416">(F49-F44)/5+F47</f>
        <v>170.26680000000002</v>
      </c>
      <c r="G48" s="29">
        <f t="shared" si="2"/>
        <v>11.075949402493611</v>
      </c>
      <c r="H48" s="3">
        <f t="shared" ref="H48" si="417">(H49-H44)/5+H47</f>
        <v>41192.993326000018</v>
      </c>
      <c r="I48" s="3">
        <f t="shared" ref="I48" si="418">(I49-I44)/5+I47</f>
        <v>29254.630920000007</v>
      </c>
      <c r="J48" s="3">
        <f t="shared" ref="J48" si="419">(J49-J44)/5+J47</f>
        <v>41918.572019999992</v>
      </c>
      <c r="K48" s="3">
        <f t="shared" ref="K48" si="420">(K49-K44)/5+K47</f>
        <v>6535.5684399999991</v>
      </c>
      <c r="L48" s="3">
        <f t="shared" ref="L48" si="421">(L49-L44)/5+L47</f>
        <v>5657.6719000000003</v>
      </c>
      <c r="M48" s="3">
        <f t="shared" ref="M48" si="422">(M49-M44)/5+M47</f>
        <v>30473.016875999998</v>
      </c>
      <c r="N48" s="3">
        <f t="shared" ref="N48" si="423">(N49-N44)/5+N47</f>
        <v>30056.282212000002</v>
      </c>
      <c r="O48" s="3">
        <f t="shared" ref="O48" si="424">(O49-O44)/5+O47</f>
        <v>6055.2792000000009</v>
      </c>
      <c r="P48" s="3">
        <f t="shared" ref="P48" si="425">(P49-P44)/5+P47</f>
        <v>67732.166519999999</v>
      </c>
      <c r="Q48" s="3">
        <f t="shared" ref="Q48" si="426">(Q49-Q44)/5+Q47</f>
        <v>26255.759841999996</v>
      </c>
      <c r="R48" s="3">
        <f t="shared" ref="R48" si="427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9">
        <f t="shared" si="2"/>
        <v>10.998417756676156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8">(C54-C49)/5+C49</f>
        <v>65329.606</v>
      </c>
      <c r="D50" s="4">
        <f t="shared" ref="D50" si="429">(D54-D49)/5+D49</f>
        <v>7200.2400000000007</v>
      </c>
      <c r="E50" s="4">
        <f t="shared" ref="E50" si="430">(E54-E49)/5+E49</f>
        <v>7658.5300000000007</v>
      </c>
      <c r="F50" s="4">
        <f t="shared" ref="F50" si="431">(F54-F49)/5+F49</f>
        <v>180.63339999999999</v>
      </c>
      <c r="G50" s="29">
        <f t="shared" si="2"/>
        <v>10.921428832379423</v>
      </c>
      <c r="H50" s="4">
        <f t="shared" ref="H50" si="432">(H54-H49)/5+H49</f>
        <v>42066.690824000005</v>
      </c>
      <c r="I50" s="4">
        <f t="shared" ref="I50" si="433">(I54-I49)/5+I49</f>
        <v>30567.527312000002</v>
      </c>
      <c r="J50" s="4">
        <f t="shared" ref="J50" si="434">(J54-J49)/5+J49</f>
        <v>42826.903480000001</v>
      </c>
      <c r="K50" s="4">
        <f t="shared" ref="K50" si="435">(K54-K49)/5+K49</f>
        <v>6609.6416199999994</v>
      </c>
      <c r="L50" s="4">
        <f t="shared" ref="L50" si="436">(L54-L49)/5+L49</f>
        <v>5887.5141400000002</v>
      </c>
      <c r="M50" s="4">
        <f t="shared" ref="M50" si="437">(M54-M49)/5+M49</f>
        <v>32014.023983999999</v>
      </c>
      <c r="N50" s="4">
        <f t="shared" ref="N50" si="438">(N54-N49)/5+N49</f>
        <v>32700.140414000001</v>
      </c>
      <c r="O50" s="4">
        <f t="shared" ref="O50" si="439">(O54-O49)/5+O49</f>
        <v>6281.8271999999997</v>
      </c>
      <c r="P50" s="4">
        <f t="shared" ref="P50" si="440">(P54-P49)/5+P49</f>
        <v>71387.577619999996</v>
      </c>
      <c r="Q50" s="4">
        <f t="shared" ref="Q50" si="441">(Q54-Q49)/5+Q49</f>
        <v>27070.129161999997</v>
      </c>
      <c r="R50" s="4">
        <f t="shared" ref="R50" si="442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3">(C54-C49)/5+C50</f>
        <v>65833.024000000005</v>
      </c>
      <c r="D51" s="3">
        <f t="shared" ref="D51" si="444">(D54-D49)/5+D50</f>
        <v>7226.880000000001</v>
      </c>
      <c r="E51" s="3">
        <f t="shared" ref="E51" si="445">(E54-E49)/5+E50</f>
        <v>7780.2100000000009</v>
      </c>
      <c r="F51" s="3">
        <f t="shared" ref="F51" si="446">(F54-F49)/5+F50</f>
        <v>186.0598</v>
      </c>
      <c r="G51" s="29">
        <f t="shared" si="2"/>
        <v>10.844978830552767</v>
      </c>
      <c r="H51" s="3">
        <f t="shared" ref="H51" si="447">(H54-H49)/5+H50</f>
        <v>42501.695738000002</v>
      </c>
      <c r="I51" s="3">
        <f t="shared" ref="I51" si="448">(I54-I49)/5+I50</f>
        <v>31235.161954000003</v>
      </c>
      <c r="J51" s="3">
        <f t="shared" ref="J51" si="449">(J54-J49)/5+J50</f>
        <v>43266.697160000003</v>
      </c>
      <c r="K51" s="3">
        <f t="shared" ref="K51" si="450">(K54-K49)/5+K50</f>
        <v>6644.2811399999991</v>
      </c>
      <c r="L51" s="3">
        <f t="shared" ref="L51" si="451">(L54-L49)/5+L50</f>
        <v>6005.50198</v>
      </c>
      <c r="M51" s="3">
        <f t="shared" ref="M51" si="452">(M54-M49)/5+M50</f>
        <v>32801.171567999998</v>
      </c>
      <c r="N51" s="3">
        <f t="shared" ref="N51" si="453">(N54-N49)/5+N50</f>
        <v>34131.139378</v>
      </c>
      <c r="O51" s="3">
        <f t="shared" ref="O51" si="454">(O54-O49)/5+O50</f>
        <v>6393.7744000000002</v>
      </c>
      <c r="P51" s="3">
        <f t="shared" ref="P51" si="455">(P54-P49)/5+P50</f>
        <v>73248.089139999996</v>
      </c>
      <c r="Q51" s="3">
        <f t="shared" ref="Q51" si="456">(Q54-Q49)/5+Q50</f>
        <v>27475.781303999996</v>
      </c>
      <c r="R51" s="3">
        <f t="shared" ref="R51" si="457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8">(C54-C49)/5+C51</f>
        <v>66336.44200000001</v>
      </c>
      <c r="D52" s="3">
        <f t="shared" ref="D52" si="459">(D54-D49)/5+D51</f>
        <v>7253.5200000000013</v>
      </c>
      <c r="E52" s="3">
        <f t="shared" ref="E52" si="460">(E54-E49)/5+E51</f>
        <v>7901.8900000000012</v>
      </c>
      <c r="F52" s="3">
        <f t="shared" ref="F52" si="461">(F54-F49)/5+F51</f>
        <v>191.4862</v>
      </c>
      <c r="G52" s="29">
        <f t="shared" si="2"/>
        <v>10.769063978738897</v>
      </c>
      <c r="H52" s="3">
        <f t="shared" ref="H52" si="462">(H54-H49)/5+H51</f>
        <v>42936.700652</v>
      </c>
      <c r="I52" s="3">
        <f t="shared" ref="I52" si="463">(I54-I49)/5+I51</f>
        <v>31902.796596000004</v>
      </c>
      <c r="J52" s="3">
        <f t="shared" ref="J52" si="464">(J54-J49)/5+J51</f>
        <v>43706.490840000006</v>
      </c>
      <c r="K52" s="3">
        <f t="shared" ref="K52" si="465">(K54-K49)/5+K51</f>
        <v>6678.9206599999989</v>
      </c>
      <c r="L52" s="3">
        <f t="shared" ref="L52" si="466">(L54-L49)/5+L51</f>
        <v>6123.4898199999998</v>
      </c>
      <c r="M52" s="3">
        <f t="shared" ref="M52" si="467">(M54-M49)/5+M51</f>
        <v>33588.319151999996</v>
      </c>
      <c r="N52" s="3">
        <f t="shared" ref="N52" si="468">(N54-N49)/5+N51</f>
        <v>35562.138341999998</v>
      </c>
      <c r="O52" s="3">
        <f t="shared" ref="O52" si="469">(O54-O49)/5+O51</f>
        <v>6505.7216000000008</v>
      </c>
      <c r="P52" s="3">
        <f t="shared" ref="P52" si="470">(P54-P49)/5+P51</f>
        <v>75108.600659999996</v>
      </c>
      <c r="Q52" s="3">
        <f t="shared" ref="Q52" si="471">(Q54-Q49)/5+Q51</f>
        <v>27881.433445999995</v>
      </c>
      <c r="R52" s="3">
        <f t="shared" ref="R52" si="47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3">(C54-C49)/5+C52</f>
        <v>66839.860000000015</v>
      </c>
      <c r="D53" s="3">
        <f t="shared" ref="D53" si="474">(D54-D49)/5+D52</f>
        <v>7280.1600000000017</v>
      </c>
      <c r="E53" s="3">
        <f t="shared" ref="E53" si="475">(E54-E49)/5+E52</f>
        <v>8023.5700000000015</v>
      </c>
      <c r="F53" s="3">
        <f t="shared" ref="F53" si="476">(F54-F49)/5+F52</f>
        <v>196.9126</v>
      </c>
      <c r="G53" s="29">
        <f t="shared" si="2"/>
        <v>10.693680530887725</v>
      </c>
      <c r="H53" s="3">
        <f t="shared" ref="H53" si="477">(H54-H49)/5+H52</f>
        <v>43371.705565999997</v>
      </c>
      <c r="I53" s="3">
        <f t="shared" ref="I53" si="478">(I54-I49)/5+I52</f>
        <v>32570.431238000005</v>
      </c>
      <c r="J53" s="3">
        <f t="shared" ref="J53" si="479">(J54-J49)/5+J52</f>
        <v>44146.284520000008</v>
      </c>
      <c r="K53" s="3">
        <f t="shared" ref="K53" si="480">(K54-K49)/5+K52</f>
        <v>6713.5601799999986</v>
      </c>
      <c r="L53" s="3">
        <f t="shared" ref="L53" si="481">(L54-L49)/5+L52</f>
        <v>6241.4776599999996</v>
      </c>
      <c r="M53" s="3">
        <f t="shared" ref="M53" si="482">(M54-M49)/5+M52</f>
        <v>34375.466735999995</v>
      </c>
      <c r="N53" s="3">
        <f t="shared" ref="N53" si="483">(N54-N49)/5+N52</f>
        <v>36993.137305999997</v>
      </c>
      <c r="O53" s="3">
        <f t="shared" ref="O53" si="484">(O54-O49)/5+O52</f>
        <v>6617.6688000000013</v>
      </c>
      <c r="P53" s="3">
        <f t="shared" ref="P53" si="485">(P54-P49)/5+P52</f>
        <v>76969.112179999996</v>
      </c>
      <c r="Q53" s="3">
        <f t="shared" ref="Q53" si="486">(Q54-Q49)/5+Q52</f>
        <v>28287.085587999994</v>
      </c>
      <c r="R53" s="3">
        <f t="shared" ref="R53" si="487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9">
        <f t="shared" si="2"/>
        <v>10.618824767171512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8">(C59-C54)/5+C54</f>
        <v>67717.769</v>
      </c>
      <c r="D55" s="4">
        <f t="shared" ref="D55" si="489">(D59-D54)/5+D54</f>
        <v>7328.06</v>
      </c>
      <c r="E55" s="4">
        <f t="shared" ref="E55" si="490">(E59-E54)/5+E54</f>
        <v>8268.4699999999993</v>
      </c>
      <c r="F55" s="4">
        <f t="shared" ref="F55" si="491">(F59-F54)/5+F54</f>
        <v>208.17599999999999</v>
      </c>
      <c r="G55" s="29">
        <f t="shared" si="2"/>
        <v>10.544492993801311</v>
      </c>
      <c r="H55" s="4">
        <f t="shared" ref="H55" si="492">(H59-H54)/5+H54</f>
        <v>44232.836614</v>
      </c>
      <c r="I55" s="4">
        <f t="shared" ref="I55" si="493">(I59-I54)/5+I54</f>
        <v>33919.444007999999</v>
      </c>
      <c r="J55" s="4">
        <f t="shared" ref="J55" si="494">(J59-J54)/5+J54</f>
        <v>44994.813480000004</v>
      </c>
      <c r="K55" s="4">
        <f t="shared" ref="K55" si="495">(K59-K54)/5+K54</f>
        <v>6777.3133399999997</v>
      </c>
      <c r="L55" s="4">
        <f t="shared" ref="L55" si="496">(L59-L54)/5+L54</f>
        <v>6481.2070000000003</v>
      </c>
      <c r="M55" s="4">
        <f t="shared" ref="M55" si="497">(M59-M54)/5+M54</f>
        <v>35982.545923999998</v>
      </c>
      <c r="N55" s="4">
        <f t="shared" ref="N55" si="498">(N59-N54)/5+N54</f>
        <v>40094.010898</v>
      </c>
      <c r="O55" s="4">
        <f t="shared" ref="O55" si="499">(O59-O54)/5+O54</f>
        <v>6834.2695999999996</v>
      </c>
      <c r="P55" s="4">
        <f t="shared" ref="P55" si="500">(P59-P54)/5+P54</f>
        <v>80749.214540000001</v>
      </c>
      <c r="Q55" s="4">
        <f t="shared" ref="Q55" si="501">(Q59-Q54)/5+Q54</f>
        <v>29093.015943999999</v>
      </c>
      <c r="R55" s="4">
        <f t="shared" ref="R55" si="502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3">(C59-C54)/5+C55</f>
        <v>68092.260000000009</v>
      </c>
      <c r="D56" s="3">
        <f t="shared" ref="D56" si="504">(D59-D54)/5+D55</f>
        <v>7349.3200000000006</v>
      </c>
      <c r="E56" s="3">
        <f t="shared" ref="E56" si="505">(E59-E54)/5+E55</f>
        <v>8391.6899999999987</v>
      </c>
      <c r="F56" s="3">
        <f t="shared" ref="F56" si="506">(F59-F54)/5+F55</f>
        <v>214.01299999999998</v>
      </c>
      <c r="G56" s="29">
        <f t="shared" si="2"/>
        <v>10.470681542844702</v>
      </c>
      <c r="H56" s="3">
        <f t="shared" ref="H56" si="507">(H59-H54)/5+H55</f>
        <v>44658.962747999998</v>
      </c>
      <c r="I56" s="3">
        <f t="shared" ref="I56" si="508">(I59-I54)/5+I55</f>
        <v>34600.822135999995</v>
      </c>
      <c r="J56" s="3">
        <f t="shared" ref="J56" si="509">(J59-J54)/5+J55</f>
        <v>45403.548760000005</v>
      </c>
      <c r="K56" s="3">
        <f t="shared" ref="K56" si="510">(K59-K54)/5+K55</f>
        <v>6806.4269799999993</v>
      </c>
      <c r="L56" s="3">
        <f t="shared" ref="L56" si="511">(L59-L54)/5+L55</f>
        <v>6602.9485000000004</v>
      </c>
      <c r="M56" s="3">
        <f t="shared" ref="M56" si="512">(M59-M54)/5+M55</f>
        <v>36802.477527999996</v>
      </c>
      <c r="N56" s="3">
        <f t="shared" ref="N56" si="513">(N59-N54)/5+N55</f>
        <v>41763.885525999998</v>
      </c>
      <c r="O56" s="3">
        <f t="shared" ref="O56" si="514">(O59-O54)/5+O55</f>
        <v>6938.9231999999993</v>
      </c>
      <c r="P56" s="3">
        <f t="shared" ref="P56" si="515">(P59-P54)/5+P55</f>
        <v>82668.805380000005</v>
      </c>
      <c r="Q56" s="3">
        <f t="shared" ref="Q56" si="516">(Q59-Q54)/5+Q55</f>
        <v>29493.294157999997</v>
      </c>
      <c r="R56" s="3">
        <f t="shared" ref="R56" si="517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8">(C59-C54)/5+C56</f>
        <v>68466.751000000018</v>
      </c>
      <c r="D57" s="3">
        <f t="shared" ref="D57" si="519">(D59-D54)/5+D56</f>
        <v>7370.5800000000008</v>
      </c>
      <c r="E57" s="3">
        <f t="shared" ref="E57" si="520">(E59-E54)/5+E56</f>
        <v>8514.909999999998</v>
      </c>
      <c r="F57" s="3">
        <f t="shared" ref="F57" si="521">(F59-F54)/5+F56</f>
        <v>219.84999999999997</v>
      </c>
      <c r="G57" s="29">
        <f t="shared" si="2"/>
        <v>10.397386772044788</v>
      </c>
      <c r="H57" s="3">
        <f t="shared" ref="H57" si="522">(H59-H54)/5+H56</f>
        <v>45085.088881999996</v>
      </c>
      <c r="I57" s="3">
        <f t="shared" ref="I57" si="523">(I59-I54)/5+I56</f>
        <v>35282.200263999992</v>
      </c>
      <c r="J57" s="3">
        <f t="shared" ref="J57" si="524">(J59-J54)/5+J56</f>
        <v>45812.284040000006</v>
      </c>
      <c r="K57" s="3">
        <f t="shared" ref="K57" si="525">(K59-K54)/5+K56</f>
        <v>6835.5406199999989</v>
      </c>
      <c r="L57" s="3">
        <f t="shared" ref="L57" si="526">(L59-L54)/5+L56</f>
        <v>6724.6900000000005</v>
      </c>
      <c r="M57" s="3">
        <f t="shared" ref="M57" si="527">(M59-M54)/5+M56</f>
        <v>37622.409131999993</v>
      </c>
      <c r="N57" s="3">
        <f t="shared" ref="N57" si="528">(N59-N54)/5+N56</f>
        <v>43433.760153999996</v>
      </c>
      <c r="O57" s="3">
        <f t="shared" ref="O57" si="529">(O59-O54)/5+O56</f>
        <v>7043.5767999999989</v>
      </c>
      <c r="P57" s="3">
        <f t="shared" ref="P57" si="530">(P59-P54)/5+P56</f>
        <v>84588.39622000001</v>
      </c>
      <c r="Q57" s="3">
        <f t="shared" ref="Q57" si="531">(Q59-Q54)/5+Q56</f>
        <v>29893.572371999995</v>
      </c>
      <c r="R57" s="3">
        <f t="shared" ref="R57" si="532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3">(C59-C54)/5+C57</f>
        <v>68841.242000000027</v>
      </c>
      <c r="D58" s="3">
        <f t="shared" ref="D58" si="534">(D59-D54)/5+D57</f>
        <v>7391.8400000000011</v>
      </c>
      <c r="E58" s="3">
        <f t="shared" ref="E58" si="535">(E59-E54)/5+E57</f>
        <v>8638.1299999999974</v>
      </c>
      <c r="F58" s="3">
        <f t="shared" ref="F58" si="536">(F59-F54)/5+F57</f>
        <v>225.68699999999995</v>
      </c>
      <c r="G58" s="29">
        <f t="shared" si="2"/>
        <v>10.324605064640474</v>
      </c>
      <c r="H58" s="3">
        <f t="shared" ref="H58" si="537">(H59-H54)/5+H57</f>
        <v>45511.215015999995</v>
      </c>
      <c r="I58" s="3">
        <f t="shared" ref="I58" si="538">(I59-I54)/5+I57</f>
        <v>35963.578391999989</v>
      </c>
      <c r="J58" s="3">
        <f t="shared" ref="J58" si="539">(J59-J54)/5+J57</f>
        <v>46221.019320000007</v>
      </c>
      <c r="K58" s="3">
        <f t="shared" ref="K58" si="540">(K59-K54)/5+K57</f>
        <v>6864.6542599999984</v>
      </c>
      <c r="L58" s="3">
        <f t="shared" ref="L58" si="541">(L59-L54)/5+L57</f>
        <v>6846.4315000000006</v>
      </c>
      <c r="M58" s="3">
        <f t="shared" ref="M58" si="542">(M59-M54)/5+M57</f>
        <v>38442.340735999991</v>
      </c>
      <c r="N58" s="3">
        <f t="shared" ref="N58" si="543">(N59-N54)/5+N57</f>
        <v>45103.634781999994</v>
      </c>
      <c r="O58" s="3">
        <f t="shared" ref="O58" si="544">(O59-O54)/5+O57</f>
        <v>7148.2303999999986</v>
      </c>
      <c r="P58" s="3">
        <f t="shared" ref="P58" si="545">(P59-P54)/5+P57</f>
        <v>86507.987060000014</v>
      </c>
      <c r="Q58" s="3">
        <f t="shared" ref="Q58" si="546">(Q59-Q54)/5+Q57</f>
        <v>30293.850585999993</v>
      </c>
      <c r="R58" s="3">
        <f t="shared" ref="R58" si="547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9">
        <f t="shared" si="2"/>
        <v>10.25233282918799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8">(C64-C59)/5+C59</f>
        <v>69490.551200000002</v>
      </c>
      <c r="D60" s="4">
        <f t="shared" ref="D60" si="549">(D64-D59)/5+D59</f>
        <v>7432.1940000000004</v>
      </c>
      <c r="E60" s="4">
        <f t="shared" ref="E60" si="550">(E64-E59)/5+E59</f>
        <v>8886.5879999999997</v>
      </c>
      <c r="F60" s="4">
        <f t="shared" ref="F60" si="551">(F64-F59)/5+F59</f>
        <v>237.7938</v>
      </c>
      <c r="G60" s="29">
        <f t="shared" si="2"/>
        <v>10.180566499383675</v>
      </c>
      <c r="H60" s="4">
        <f t="shared" ref="H60" si="552">(H64-H59)/5+H59</f>
        <v>46351.629827999997</v>
      </c>
      <c r="I60" s="4">
        <f t="shared" ref="I60" si="553">(I64-I59)/5+I59</f>
        <v>37324.181213999997</v>
      </c>
      <c r="J60" s="4">
        <f t="shared" ref="J60" si="554">(J64-J59)/5+J59</f>
        <v>47005.413099999998</v>
      </c>
      <c r="K60" s="4">
        <f t="shared" ref="K60" si="555">(K64-K59)/5+K59</f>
        <v>6918.4346599999999</v>
      </c>
      <c r="L60" s="4">
        <f t="shared" ref="L60" si="556">(L64-L59)/5+L59</f>
        <v>7094.5455999999995</v>
      </c>
      <c r="M60" s="4">
        <f t="shared" ref="M60" si="557">(M64-M59)/5+M59</f>
        <v>40114.778792000005</v>
      </c>
      <c r="N60" s="4">
        <f t="shared" ref="N60" si="558">(N64-N59)/5+N59</f>
        <v>48690.982087999997</v>
      </c>
      <c r="O60" s="4">
        <f t="shared" ref="O60" si="559">(O64-O59)/5+O59</f>
        <v>7349.9179999999997</v>
      </c>
      <c r="P60" s="4">
        <f t="shared" ref="P60" si="560">(P64-P59)/5+P59</f>
        <v>90357.012119999999</v>
      </c>
      <c r="Q60" s="4">
        <f t="shared" ref="Q60" si="561">(Q64-Q59)/5+Q59</f>
        <v>31084.229987999999</v>
      </c>
      <c r="R60" s="4">
        <f t="shared" ref="R60" si="562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3">(C64-C59)/5+C60</f>
        <v>69765.369399999996</v>
      </c>
      <c r="D61" s="3">
        <f t="shared" ref="D61" si="564">(D64-D59)/5+D60</f>
        <v>7451.2880000000005</v>
      </c>
      <c r="E61" s="3">
        <f t="shared" ref="E61" si="565">(E64-E59)/5+E60</f>
        <v>9011.8259999999991</v>
      </c>
      <c r="F61" s="3">
        <f t="shared" ref="F61" si="566">(F64-F59)/5+F60</f>
        <v>244.06360000000001</v>
      </c>
      <c r="G61" s="29">
        <f t="shared" si="2"/>
        <v>10.109302533887989</v>
      </c>
      <c r="H61" s="3">
        <f t="shared" ref="H61" si="567">(H64-H59)/5+H60</f>
        <v>46765.918505999995</v>
      </c>
      <c r="I61" s="3">
        <f t="shared" ref="I61" si="568">(I64-I59)/5+I60</f>
        <v>38003.405907999993</v>
      </c>
      <c r="J61" s="3">
        <f t="shared" ref="J61" si="569">(J64-J59)/5+J60</f>
        <v>47381.071599999996</v>
      </c>
      <c r="K61" s="3">
        <f t="shared" ref="K61" si="570">(K64-K59)/5+K60</f>
        <v>6943.10142</v>
      </c>
      <c r="L61" s="3">
        <f t="shared" ref="L61" si="571">(L64-L59)/5+L60</f>
        <v>7220.9181999999992</v>
      </c>
      <c r="M61" s="3">
        <f t="shared" ref="M61" si="572">(M64-M59)/5+M60</f>
        <v>40967.285244000006</v>
      </c>
      <c r="N61" s="3">
        <f t="shared" ref="N61" si="573">(N64-N59)/5+N60</f>
        <v>50608.454765999995</v>
      </c>
      <c r="O61" s="3">
        <f t="shared" ref="O61" si="574">(O64-O59)/5+O60</f>
        <v>7446.9519999999993</v>
      </c>
      <c r="P61" s="3">
        <f t="shared" ref="P61" si="575">(P64-P59)/5+P60</f>
        <v>92286.446339999995</v>
      </c>
      <c r="Q61" s="3">
        <f t="shared" ref="Q61" si="576">(Q64-Q59)/5+Q60</f>
        <v>31474.331176</v>
      </c>
      <c r="R61" s="3">
        <f t="shared" ref="R61" si="577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8">(C64-C59)/5+C61</f>
        <v>70040.18759999999</v>
      </c>
      <c r="D62" s="3">
        <f t="shared" ref="D62" si="579">(D64-D59)/5+D61</f>
        <v>7470.3820000000005</v>
      </c>
      <c r="E62" s="3">
        <f t="shared" ref="E62" si="580">(E64-E59)/5+E61</f>
        <v>9137.0639999999985</v>
      </c>
      <c r="F62" s="3">
        <f t="shared" ref="F62" si="581">(F64-F59)/5+F61</f>
        <v>250.33340000000001</v>
      </c>
      <c r="G62" s="29">
        <f t="shared" si="2"/>
        <v>10.038537416150774</v>
      </c>
      <c r="H62" s="3">
        <f t="shared" ref="H62" si="582">(H64-H59)/5+H61</f>
        <v>47180.207183999992</v>
      </c>
      <c r="I62" s="3">
        <f t="shared" ref="I62" si="583">(I64-I59)/5+I61</f>
        <v>38682.63060199999</v>
      </c>
      <c r="J62" s="3">
        <f t="shared" ref="J62" si="584">(J64-J59)/5+J61</f>
        <v>47756.730099999993</v>
      </c>
      <c r="K62" s="3">
        <f t="shared" ref="K62" si="585">(K64-K59)/5+K61</f>
        <v>6967.76818</v>
      </c>
      <c r="L62" s="3">
        <f t="shared" ref="L62" si="586">(L64-L59)/5+L61</f>
        <v>7347.2907999999989</v>
      </c>
      <c r="M62" s="3">
        <f t="shared" ref="M62" si="587">(M64-M59)/5+M61</f>
        <v>41819.791696000008</v>
      </c>
      <c r="N62" s="3">
        <f t="shared" ref="N62" si="588">(N64-N59)/5+N61</f>
        <v>52525.927443999994</v>
      </c>
      <c r="O62" s="3">
        <f t="shared" ref="O62" si="589">(O64-O59)/5+O61</f>
        <v>7543.985999999999</v>
      </c>
      <c r="P62" s="3">
        <f t="shared" ref="P62" si="590">(P64-P59)/5+P61</f>
        <v>94215.880559999991</v>
      </c>
      <c r="Q62" s="3">
        <f t="shared" ref="Q62" si="591">(Q64-Q59)/5+Q61</f>
        <v>31864.432364</v>
      </c>
      <c r="R62" s="3">
        <f t="shared" ref="R62" si="592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3">(C64-C59)/5+C62</f>
        <v>70315.005799999984</v>
      </c>
      <c r="D63" s="3">
        <f t="shared" ref="D63" si="594">(D64-D59)/5+D62</f>
        <v>7489.4760000000006</v>
      </c>
      <c r="E63" s="3">
        <f t="shared" ref="E63" si="595">(E64-E59)/5+E62</f>
        <v>9262.3019999999979</v>
      </c>
      <c r="F63" s="3">
        <f t="shared" ref="F63" si="596">(F64-F59)/5+F62</f>
        <v>256.60320000000002</v>
      </c>
      <c r="G63" s="29">
        <f t="shared" si="2"/>
        <v>9.9682676542377191</v>
      </c>
      <c r="H63" s="3">
        <f t="shared" ref="H63" si="597">(H64-H59)/5+H62</f>
        <v>47594.495861999989</v>
      </c>
      <c r="I63" s="3">
        <f t="shared" ref="I63" si="598">(I64-I59)/5+I62</f>
        <v>39361.855295999987</v>
      </c>
      <c r="J63" s="3">
        <f t="shared" ref="J63" si="599">(J64-J59)/5+J62</f>
        <v>48132.388599999991</v>
      </c>
      <c r="K63" s="3">
        <f t="shared" ref="K63" si="600">(K64-K59)/5+K62</f>
        <v>6992.4349400000001</v>
      </c>
      <c r="L63" s="3">
        <f t="shared" ref="L63" si="601">(L64-L59)/5+L62</f>
        <v>7473.6633999999985</v>
      </c>
      <c r="M63" s="3">
        <f t="shared" ref="M63" si="602">(M64-M59)/5+M62</f>
        <v>42672.298148000009</v>
      </c>
      <c r="N63" s="3">
        <f t="shared" ref="N63" si="603">(N64-N59)/5+N62</f>
        <v>54443.400121999992</v>
      </c>
      <c r="O63" s="3">
        <f t="shared" ref="O63" si="604">(O64-O59)/5+O62</f>
        <v>7641.0199999999986</v>
      </c>
      <c r="P63" s="3">
        <f t="shared" ref="P63" si="605">(P64-P59)/5+P62</f>
        <v>96145.314779999986</v>
      </c>
      <c r="Q63" s="3">
        <f t="shared" ref="Q63" si="606">(Q64-Q59)/5+Q62</f>
        <v>32254.533552000001</v>
      </c>
      <c r="R63" s="3">
        <f t="shared" ref="R63" si="607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9">
        <f t="shared" si="2"/>
        <v>9.8984897806580552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8">(C69-C64)/5+C64</f>
        <v>70791.722800000003</v>
      </c>
      <c r="D65" s="4">
        <f t="shared" ref="D65" si="609">(D69-D64)/5+D64</f>
        <v>7527.2219999999998</v>
      </c>
      <c r="E65" s="4">
        <f t="shared" ref="E65" si="610">(E69-E64)/5+E64</f>
        <v>9518.7520000000004</v>
      </c>
      <c r="F65" s="4">
        <f t="shared" ref="F65" si="611">(F69-F64)/5+F64</f>
        <v>269.60899999999998</v>
      </c>
      <c r="G65" s="29">
        <f t="shared" si="2"/>
        <v>9.8292003521934497</v>
      </c>
      <c r="H65" s="4">
        <f t="shared" ref="H65" si="612">(H69-H64)/5+H64</f>
        <v>48411.809792</v>
      </c>
      <c r="I65" s="4">
        <f t="shared" ref="I65" si="613">(I69-I64)/5+I64</f>
        <v>40715.44427</v>
      </c>
      <c r="J65" s="4">
        <f t="shared" ref="J65" si="614">(J69-J64)/5+J64</f>
        <v>48852.361720000001</v>
      </c>
      <c r="K65" s="4">
        <f t="shared" ref="K65" si="615">(K69-K64)/5+K64</f>
        <v>7039.7509</v>
      </c>
      <c r="L65" s="4">
        <f t="shared" ref="L65" si="616">(L69-L64)/5+L64</f>
        <v>7733.9542000000001</v>
      </c>
      <c r="M65" s="4">
        <f t="shared" ref="M65" si="617">(M69-M64)/5+M64</f>
        <v>44412.80212</v>
      </c>
      <c r="N65" s="4">
        <f t="shared" ref="N65" si="618">(N69-N64)/5+N64</f>
        <v>58537.933239999998</v>
      </c>
      <c r="O65" s="4">
        <f t="shared" ref="O65" si="619">(O69-O64)/5+O64</f>
        <v>7830.0652</v>
      </c>
      <c r="P65" s="4">
        <f t="shared" ref="P65" si="620">(P69-P64)/5+P64</f>
        <v>99997.000140000004</v>
      </c>
      <c r="Q65" s="4">
        <f t="shared" ref="Q65" si="621">(Q69-Q64)/5+Q64</f>
        <v>33025.296225999999</v>
      </c>
      <c r="R65" s="4">
        <f t="shared" ref="R65" si="62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3">(C69-C64)/5+C65</f>
        <v>70993.621599999999</v>
      </c>
      <c r="D66" s="3">
        <f t="shared" ref="D66" si="624">(D69-D64)/5+D65</f>
        <v>7545.8739999999998</v>
      </c>
      <c r="E66" s="3">
        <f t="shared" ref="E66" si="625">(E69-E64)/5+E65</f>
        <v>9649.9639999999999</v>
      </c>
      <c r="F66" s="3">
        <f t="shared" ref="F66" si="626">(F69-F64)/5+F65</f>
        <v>276.34499999999997</v>
      </c>
      <c r="G66" s="29">
        <f t="shared" si="2"/>
        <v>9.7603959497280961</v>
      </c>
      <c r="H66" s="3">
        <f t="shared" ref="H66" si="627">(H69-H64)/5+H65</f>
        <v>48814.835043999999</v>
      </c>
      <c r="I66" s="3">
        <f t="shared" ref="I66" si="628">(I69-I64)/5+I65</f>
        <v>41389.808550000002</v>
      </c>
      <c r="J66" s="3">
        <f t="shared" ref="J66" si="629">(J69-J64)/5+J65</f>
        <v>49196.676339999998</v>
      </c>
      <c r="K66" s="3">
        <f t="shared" ref="K66" si="630">(K69-K64)/5+K65</f>
        <v>7062.4000999999998</v>
      </c>
      <c r="L66" s="3">
        <f t="shared" ref="L66" si="631">(L69-L64)/5+L65</f>
        <v>7867.8724000000002</v>
      </c>
      <c r="M66" s="3">
        <f t="shared" ref="M66" si="632">(M69-M64)/5+M65</f>
        <v>45300.799639999997</v>
      </c>
      <c r="N66" s="3">
        <f t="shared" ref="N66" si="633">(N69-N64)/5+N65</f>
        <v>60714.99368</v>
      </c>
      <c r="O66" s="3">
        <f t="shared" ref="O66" si="634">(O69-O64)/5+O65</f>
        <v>7922.0763999999999</v>
      </c>
      <c r="P66" s="3">
        <f t="shared" ref="P66" si="635">(P69-P64)/5+P65</f>
        <v>101919.25128</v>
      </c>
      <c r="Q66" s="3">
        <f t="shared" ref="Q66" si="636">(Q69-Q64)/5+Q65</f>
        <v>33405.957711999996</v>
      </c>
      <c r="R66" s="3">
        <f t="shared" ref="R66" si="637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8">(C69-C64)/5+C66</f>
        <v>71195.520399999994</v>
      </c>
      <c r="D67" s="3">
        <f t="shared" ref="D67" si="639">(D69-D64)/5+D66</f>
        <v>7564.5259999999998</v>
      </c>
      <c r="E67" s="3">
        <f t="shared" ref="E67" si="640">(E69-E64)/5+E66</f>
        <v>9781.1759999999995</v>
      </c>
      <c r="F67" s="3">
        <f t="shared" ref="F67" si="641">(F69-F64)/5+F66</f>
        <v>283.08099999999996</v>
      </c>
      <c r="G67" s="29">
        <f t="shared" si="2"/>
        <v>9.6920731780799994</v>
      </c>
      <c r="H67" s="3">
        <f t="shared" ref="H67" si="642">(H69-H64)/5+H66</f>
        <v>49217.860295999999</v>
      </c>
      <c r="I67" s="3">
        <f t="shared" ref="I67" si="643">(I69-I64)/5+I66</f>
        <v>42064.172830000003</v>
      </c>
      <c r="J67" s="3">
        <f t="shared" ref="J67" si="644">(J69-J64)/5+J66</f>
        <v>49540.990959999996</v>
      </c>
      <c r="K67" s="3">
        <f t="shared" ref="K67" si="645">(K69-K64)/5+K66</f>
        <v>7085.0492999999997</v>
      </c>
      <c r="L67" s="3">
        <f t="shared" ref="L67" si="646">(L69-L64)/5+L66</f>
        <v>8001.7906000000003</v>
      </c>
      <c r="M67" s="3">
        <f t="shared" ref="M67" si="647">(M69-M64)/5+M66</f>
        <v>46188.797159999995</v>
      </c>
      <c r="N67" s="3">
        <f t="shared" ref="N67" si="648">(N69-N64)/5+N66</f>
        <v>62892.054120000001</v>
      </c>
      <c r="O67" s="3">
        <f t="shared" ref="O67" si="649">(O69-O64)/5+O66</f>
        <v>8014.0875999999998</v>
      </c>
      <c r="P67" s="3">
        <f t="shared" ref="P67" si="650">(P69-P64)/5+P66</f>
        <v>103841.50241999999</v>
      </c>
      <c r="Q67" s="3">
        <f t="shared" ref="Q67" si="651">(Q69-Q64)/5+Q66</f>
        <v>33786.619197999993</v>
      </c>
      <c r="R67" s="3">
        <f t="shared" ref="R67" si="652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3">(C69-C64)/5+C67</f>
        <v>71397.419199999989</v>
      </c>
      <c r="D68" s="3">
        <f t="shared" ref="D68" si="654">(D69-D64)/5+D67</f>
        <v>7583.1779999999999</v>
      </c>
      <c r="E68" s="3">
        <f t="shared" ref="E68" si="655">(E69-E64)/5+E67</f>
        <v>9912.387999999999</v>
      </c>
      <c r="F68" s="3">
        <f t="shared" ref="F68" si="656">(F69-F64)/5+F67</f>
        <v>289.81699999999995</v>
      </c>
      <c r="G68" s="29">
        <f t="shared" si="2"/>
        <v>9.6242286658334386</v>
      </c>
      <c r="H68" s="3">
        <f t="shared" ref="H68" si="657">(H69-H64)/5+H67</f>
        <v>49620.885547999998</v>
      </c>
      <c r="I68" s="3">
        <f t="shared" ref="I68" si="658">(I69-I64)/5+I67</f>
        <v>42738.537110000005</v>
      </c>
      <c r="J68" s="3">
        <f t="shared" ref="J68" si="659">(J69-J64)/5+J67</f>
        <v>49885.305579999993</v>
      </c>
      <c r="K68" s="3">
        <f t="shared" ref="K68" si="660">(K69-K64)/5+K67</f>
        <v>7107.6984999999995</v>
      </c>
      <c r="L68" s="3">
        <f t="shared" ref="L68" si="661">(L69-L64)/5+L67</f>
        <v>8135.7088000000003</v>
      </c>
      <c r="M68" s="3">
        <f t="shared" ref="M68" si="662">(M69-M64)/5+M67</f>
        <v>47076.794679999992</v>
      </c>
      <c r="N68" s="3">
        <f t="shared" ref="N68" si="663">(N69-N64)/5+N67</f>
        <v>65069.114560000002</v>
      </c>
      <c r="O68" s="3">
        <f t="shared" ref="O68" si="664">(O69-O64)/5+O67</f>
        <v>8106.0987999999998</v>
      </c>
      <c r="P68" s="3">
        <f t="shared" ref="P68" si="665">(P69-P64)/5+P67</f>
        <v>105763.75355999998</v>
      </c>
      <c r="Q68" s="3">
        <f t="shared" ref="Q68" si="666">(Q69-Q64)/5+Q67</f>
        <v>34167.28068399999</v>
      </c>
      <c r="R68" s="3">
        <f t="shared" ref="R68" si="667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9">
        <f t="shared" si="2"/>
        <v>9.5568590651726044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8">(C74-C69)/5+C69</f>
        <v>71762.502399999998</v>
      </c>
      <c r="D70" s="4">
        <f t="shared" ref="D70" si="669">(D74-D69)/5+D69</f>
        <v>7618.8819999999996</v>
      </c>
      <c r="E70" s="4">
        <f t="shared" ref="E70" si="670">(E74-E69)/5+E69</f>
        <v>10184.32</v>
      </c>
      <c r="F70" s="4">
        <f t="shared" ref="F70" si="671">(F74-F69)/5+F69</f>
        <v>303.79680000000002</v>
      </c>
      <c r="G70" s="29">
        <f t="shared" si="2"/>
        <v>9.4899610517163957</v>
      </c>
      <c r="H70" s="4">
        <f t="shared" ref="H70" si="672">(H74-H69)/5+H69</f>
        <v>50417.186326000003</v>
      </c>
      <c r="I70" s="4">
        <f t="shared" ref="I70" si="673">(I74-I69)/5+I69</f>
        <v>44081.031234000002</v>
      </c>
      <c r="J70" s="4">
        <f t="shared" ref="J70" si="674">(J74-J69)/5+J69</f>
        <v>50545.098399999995</v>
      </c>
      <c r="K70" s="4">
        <f t="shared" ref="K70" si="675">(K74-K69)/5+K69</f>
        <v>7153.2662599999994</v>
      </c>
      <c r="L70" s="4">
        <f t="shared" ref="L70" si="676">(L74-L69)/5+L69</f>
        <v>8413.2242000000006</v>
      </c>
      <c r="M70" s="4">
        <f t="shared" ref="M70" si="677">(M74-M69)/5+M69</f>
        <v>48895.882980000002</v>
      </c>
      <c r="N70" s="4">
        <f t="shared" ref="N70" si="678">(N74-N69)/5+N69</f>
        <v>69696.558418000001</v>
      </c>
      <c r="O70" s="4">
        <f t="shared" ref="O70" si="679">(O74-O69)/5+O69</f>
        <v>8287.9704000000002</v>
      </c>
      <c r="P70" s="4">
        <f t="shared" ref="P70" si="680">(P74-P69)/5+P69</f>
        <v>109600.54126</v>
      </c>
      <c r="Q70" s="4">
        <f t="shared" ref="Q70" si="681">(Q74-Q69)/5+Q69</f>
        <v>34918.762174000003</v>
      </c>
      <c r="R70" s="4">
        <f t="shared" ref="R70" si="682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3">(C74-C69)/5+C70</f>
        <v>71925.686799999996</v>
      </c>
      <c r="D71" s="3">
        <f t="shared" ref="D71" si="684">(D74-D69)/5+D70</f>
        <v>7635.9339999999993</v>
      </c>
      <c r="E71" s="3">
        <f t="shared" ref="E71" si="685">(E74-E69)/5+E70</f>
        <v>10325.039999999999</v>
      </c>
      <c r="F71" s="3">
        <f t="shared" ref="F71" si="686">(F74-F69)/5+F70</f>
        <v>311.04060000000004</v>
      </c>
      <c r="G71" s="29">
        <f t="shared" ref="G71:G84" si="687">G70-G70*0.007</f>
        <v>9.4235313243543803</v>
      </c>
      <c r="H71" s="3">
        <f t="shared" ref="H71" si="688">(H74-H69)/5+H70</f>
        <v>50810.461852000008</v>
      </c>
      <c r="I71" s="3">
        <f t="shared" ref="I71" si="689">(I74-I69)/5+I70</f>
        <v>44749.161078000005</v>
      </c>
      <c r="J71" s="3">
        <f t="shared" ref="J71" si="690">(J74-J69)/5+J70</f>
        <v>50860.576599999993</v>
      </c>
      <c r="K71" s="3">
        <f t="shared" ref="K71" si="691">(K74-K69)/5+K70</f>
        <v>7176.1848199999995</v>
      </c>
      <c r="L71" s="3">
        <f t="shared" ref="L71" si="692">(L74-L69)/5+L70</f>
        <v>8556.8214000000007</v>
      </c>
      <c r="M71" s="3">
        <f t="shared" ref="M71" si="693">(M74-M69)/5+M70</f>
        <v>49826.973760000001</v>
      </c>
      <c r="N71" s="3">
        <f t="shared" ref="N71" si="694">(N74-N69)/5+N70</f>
        <v>72146.941835999998</v>
      </c>
      <c r="O71" s="3">
        <f t="shared" ref="O71" si="695">(O74-O69)/5+O70</f>
        <v>8377.8307999999997</v>
      </c>
      <c r="P71" s="3">
        <f t="shared" ref="P71" si="696">(P74-P69)/5+P70</f>
        <v>111515.07781999999</v>
      </c>
      <c r="Q71" s="3">
        <f t="shared" ref="Q71" si="697">(Q74-Q69)/5+Q70</f>
        <v>35289.582178000004</v>
      </c>
      <c r="R71" s="3">
        <f t="shared" ref="R71" si="698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9">(C74-C69)/5+C71</f>
        <v>72088.871199999994</v>
      </c>
      <c r="D72" s="3">
        <f t="shared" ref="D72" si="700">(D74-D69)/5+D71</f>
        <v>7652.985999999999</v>
      </c>
      <c r="E72" s="3">
        <f t="shared" ref="E72" si="701">(E74-E69)/5+E71</f>
        <v>10465.759999999998</v>
      </c>
      <c r="F72" s="3">
        <f t="shared" ref="F72" si="702">(F74-F69)/5+F71</f>
        <v>318.28440000000006</v>
      </c>
      <c r="G72" s="29">
        <f t="shared" si="687"/>
        <v>9.3575666050838997</v>
      </c>
      <c r="H72" s="3">
        <f t="shared" ref="H72" si="703">(H74-H69)/5+H71</f>
        <v>51203.737378000013</v>
      </c>
      <c r="I72" s="3">
        <f t="shared" ref="I72" si="704">(I74-I69)/5+I71</f>
        <v>45417.290922000007</v>
      </c>
      <c r="J72" s="3">
        <f t="shared" ref="J72" si="705">(J74-J69)/5+J71</f>
        <v>51176.054799999991</v>
      </c>
      <c r="K72" s="3">
        <f t="shared" ref="K72" si="706">(K74-K69)/5+K71</f>
        <v>7199.1033799999996</v>
      </c>
      <c r="L72" s="3">
        <f t="shared" ref="L72" si="707">(L74-L69)/5+L71</f>
        <v>8700.4186000000009</v>
      </c>
      <c r="M72" s="3">
        <f t="shared" ref="M72" si="708">(M74-M69)/5+M71</f>
        <v>50758.064539999999</v>
      </c>
      <c r="N72" s="3">
        <f t="shared" ref="N72" si="709">(N74-N69)/5+N71</f>
        <v>74597.325253999996</v>
      </c>
      <c r="O72" s="3">
        <f t="shared" ref="O72" si="710">(O74-O69)/5+O71</f>
        <v>8467.6911999999993</v>
      </c>
      <c r="P72" s="3">
        <f t="shared" ref="P72" si="711">(P74-P69)/5+P71</f>
        <v>113429.61437999998</v>
      </c>
      <c r="Q72" s="3">
        <f t="shared" ref="Q72" si="712">(Q74-Q69)/5+Q71</f>
        <v>35660.402182000005</v>
      </c>
      <c r="R72" s="3">
        <f t="shared" ref="R72" si="713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4">(C74-C69)/5+C72</f>
        <v>72252.055599999992</v>
      </c>
      <c r="D73" s="3">
        <f t="shared" ref="D73" si="715">(D74-D69)/5+D72</f>
        <v>7670.0379999999986</v>
      </c>
      <c r="E73" s="3">
        <f t="shared" ref="E73" si="716">(E74-E69)/5+E72</f>
        <v>10606.479999999998</v>
      </c>
      <c r="F73" s="3">
        <f t="shared" ref="F73" si="717">(F74-F69)/5+F72</f>
        <v>325.52820000000008</v>
      </c>
      <c r="G73" s="29">
        <f t="shared" si="687"/>
        <v>9.2920636388483118</v>
      </c>
      <c r="H73" s="3">
        <f t="shared" ref="H73" si="718">(H74-H69)/5+H72</f>
        <v>51597.012904000017</v>
      </c>
      <c r="I73" s="3">
        <f t="shared" ref="I73" si="719">(I74-I69)/5+I72</f>
        <v>46085.42076600001</v>
      </c>
      <c r="J73" s="3">
        <f t="shared" ref="J73" si="720">(J74-J69)/5+J72</f>
        <v>51491.532999999989</v>
      </c>
      <c r="K73" s="3">
        <f t="shared" ref="K73" si="721">(K74-K69)/5+K72</f>
        <v>7222.0219399999996</v>
      </c>
      <c r="L73" s="3">
        <f t="shared" ref="L73" si="722">(L74-L69)/5+L72</f>
        <v>8844.015800000001</v>
      </c>
      <c r="M73" s="3">
        <f t="shared" ref="M73" si="723">(M74-M69)/5+M72</f>
        <v>51689.155319999998</v>
      </c>
      <c r="N73" s="3">
        <f t="shared" ref="N73" si="724">(N74-N69)/5+N72</f>
        <v>77047.708671999993</v>
      </c>
      <c r="O73" s="3">
        <f t="shared" ref="O73" si="725">(O74-O69)/5+O72</f>
        <v>8557.5515999999989</v>
      </c>
      <c r="P73" s="3">
        <f t="shared" ref="P73" si="726">(P74-P69)/5+P72</f>
        <v>115344.15093999998</v>
      </c>
      <c r="Q73" s="3">
        <f t="shared" ref="Q73" si="727">(Q74-Q69)/5+Q72</f>
        <v>36031.222186000006</v>
      </c>
      <c r="R73" s="3">
        <f t="shared" ref="R73" si="728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9">
        <f t="shared" si="687"/>
        <v>9.227019193376373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9">(C79-C74)/5+C74</f>
        <v>72547.917000000001</v>
      </c>
      <c r="D75" s="4">
        <f t="shared" ref="D75" si="730">(D79-D74)/5+D74</f>
        <v>7700.0659999999998</v>
      </c>
      <c r="E75" s="4">
        <f t="shared" ref="E75" si="731">(E79-E74)/5+E74</f>
        <v>10896.44</v>
      </c>
      <c r="F75" s="4">
        <f t="shared" ref="F75" si="732">(F79-F74)/5+F74</f>
        <v>340.5136</v>
      </c>
      <c r="G75" s="29">
        <f t="shared" si="687"/>
        <v>9.1624300590227392</v>
      </c>
      <c r="H75" s="4">
        <f t="shared" ref="H75" si="733">(H79-H74)/5+H74</f>
        <v>52374.408198000005</v>
      </c>
      <c r="I75" s="4">
        <f t="shared" ref="I75" si="734">(I79-I74)/5+I74</f>
        <v>47414.346537999998</v>
      </c>
      <c r="J75" s="4">
        <f t="shared" ref="J75" si="735">(J79-J74)/5+J74</f>
        <v>52092.875599999999</v>
      </c>
      <c r="K75" s="4">
        <f t="shared" ref="K75" si="736">(K79-K74)/5+K74</f>
        <v>7268.9374200000002</v>
      </c>
      <c r="L75" s="4">
        <f t="shared" ref="L75" si="737">(L79-L74)/5+L74</f>
        <v>9140.4244000000017</v>
      </c>
      <c r="M75" s="4">
        <f t="shared" ref="M75" si="738">(M79-M74)/5+M74</f>
        <v>53596.033159999999</v>
      </c>
      <c r="N75" s="4">
        <f t="shared" ref="N75" si="739">(N79-N74)/5+N74</f>
        <v>82230.469852000009</v>
      </c>
      <c r="O75" s="4">
        <f t="shared" ref="O75" si="740">(O79-O74)/5+O74</f>
        <v>8737.2766000000011</v>
      </c>
      <c r="P75" s="4">
        <f t="shared" ref="P75" si="741">(P79-P74)/5+P74</f>
        <v>119167.07670000001</v>
      </c>
      <c r="Q75" s="4">
        <f t="shared" ref="Q75" si="742">(Q79-Q74)/5+Q74</f>
        <v>36763.437932000001</v>
      </c>
      <c r="R75" s="4">
        <f t="shared" ref="R75" si="743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4">(C79-C74)/5+C75</f>
        <v>72680.593999999997</v>
      </c>
      <c r="D76" s="3">
        <f t="shared" ref="D76" si="745">(D79-D74)/5+D75</f>
        <v>7713.0419999999995</v>
      </c>
      <c r="E76" s="3">
        <f t="shared" ref="E76" si="746">(E79-E74)/5+E75</f>
        <v>11045.68</v>
      </c>
      <c r="F76" s="3">
        <f t="shared" ref="F76" si="747">(F79-F74)/5+F75</f>
        <v>348.2552</v>
      </c>
      <c r="G76" s="29">
        <f t="shared" si="687"/>
        <v>9.0982930486095803</v>
      </c>
      <c r="H76" s="3">
        <f t="shared" ref="H76" si="748">(H79-H74)/5+H75</f>
        <v>52758.527966000001</v>
      </c>
      <c r="I76" s="3">
        <f t="shared" ref="I76" si="749">(I79-I74)/5+I75</f>
        <v>48075.142465999998</v>
      </c>
      <c r="J76" s="3">
        <f t="shared" ref="J76" si="750">(J79-J74)/5+J75</f>
        <v>52378.74</v>
      </c>
      <c r="K76" s="3">
        <f t="shared" ref="K76" si="751">(K79-K74)/5+K75</f>
        <v>7292.9343399999998</v>
      </c>
      <c r="L76" s="3">
        <f t="shared" ref="L76" si="752">(L79-L74)/5+L75</f>
        <v>9293.2358000000022</v>
      </c>
      <c r="M76" s="3">
        <f t="shared" ref="M76" si="753">(M79-M74)/5+M75</f>
        <v>54571.820220000001</v>
      </c>
      <c r="N76" s="3">
        <f t="shared" ref="N76" si="754">(N79-N74)/5+N75</f>
        <v>84962.847614000013</v>
      </c>
      <c r="O76" s="3">
        <f t="shared" ref="O76" si="755">(O79-O74)/5+O75</f>
        <v>8827.1412000000018</v>
      </c>
      <c r="P76" s="3">
        <f t="shared" ref="P76" si="756">(P79-P74)/5+P75</f>
        <v>121075.46590000001</v>
      </c>
      <c r="Q76" s="3">
        <f t="shared" ref="Q76" si="757">(Q79-Q74)/5+Q75</f>
        <v>37124.833674000001</v>
      </c>
      <c r="R76" s="3">
        <f t="shared" ref="R76" si="758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9">(C79-C74)/5+C76</f>
        <v>72813.270999999993</v>
      </c>
      <c r="D77" s="3">
        <f t="shared" ref="D77" si="760">(D79-D74)/5+D76</f>
        <v>7726.0179999999991</v>
      </c>
      <c r="E77" s="3">
        <f t="shared" ref="E77" si="761">(E79-E74)/5+E76</f>
        <v>11194.92</v>
      </c>
      <c r="F77" s="3">
        <f t="shared" ref="F77" si="762">(F79-F74)/5+F76</f>
        <v>355.99680000000001</v>
      </c>
      <c r="G77" s="29">
        <f t="shared" si="687"/>
        <v>9.0346049972693141</v>
      </c>
      <c r="H77" s="3">
        <f t="shared" ref="H77" si="763">(H79-H74)/5+H76</f>
        <v>53142.647733999998</v>
      </c>
      <c r="I77" s="3">
        <f t="shared" ref="I77" si="764">(I79-I74)/5+I76</f>
        <v>48735.938393999997</v>
      </c>
      <c r="J77" s="3">
        <f t="shared" ref="J77" si="765">(J79-J74)/5+J76</f>
        <v>52664.604399999997</v>
      </c>
      <c r="K77" s="3">
        <f t="shared" ref="K77" si="766">(K79-K74)/5+K76</f>
        <v>7316.9312599999994</v>
      </c>
      <c r="L77" s="3">
        <f t="shared" ref="L77" si="767">(L79-L74)/5+L76</f>
        <v>9446.0472000000027</v>
      </c>
      <c r="M77" s="3">
        <f t="shared" ref="M77" si="768">(M79-M74)/5+M76</f>
        <v>55547.607280000004</v>
      </c>
      <c r="N77" s="3">
        <f t="shared" ref="N77" si="769">(N79-N74)/5+N76</f>
        <v>87695.225376000017</v>
      </c>
      <c r="O77" s="3">
        <f t="shared" ref="O77" si="770">(O79-O74)/5+O76</f>
        <v>8917.0058000000026</v>
      </c>
      <c r="P77" s="3">
        <f t="shared" ref="P77" si="771">(P79-P74)/5+P76</f>
        <v>122983.85510000002</v>
      </c>
      <c r="Q77" s="3">
        <f t="shared" ref="Q77" si="772">(Q79-Q74)/5+Q76</f>
        <v>37486.229416000002</v>
      </c>
      <c r="R77" s="3">
        <f t="shared" ref="R77" si="773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4">(C79-C74)/5+C77</f>
        <v>72945.947999999989</v>
      </c>
      <c r="D78" s="3">
        <f t="shared" ref="D78" si="775">(D79-D74)/5+D77</f>
        <v>7738.9939999999988</v>
      </c>
      <c r="E78" s="3">
        <f t="shared" ref="E78" si="776">(E79-E74)/5+E77</f>
        <v>11344.16</v>
      </c>
      <c r="F78" s="3">
        <f t="shared" ref="F78" si="777">(F79-F74)/5+F77</f>
        <v>363.73840000000001</v>
      </c>
      <c r="G78" s="29">
        <f t="shared" si="687"/>
        <v>8.9713627622884289</v>
      </c>
      <c r="H78" s="3">
        <f t="shared" ref="H78" si="778">(H79-H74)/5+H77</f>
        <v>53526.767501999995</v>
      </c>
      <c r="I78" s="3">
        <f t="shared" ref="I78" si="779">(I79-I74)/5+I77</f>
        <v>49396.734321999997</v>
      </c>
      <c r="J78" s="3">
        <f t="shared" ref="J78" si="780">(J79-J74)/5+J77</f>
        <v>52950.468799999995</v>
      </c>
      <c r="K78" s="3">
        <f t="shared" ref="K78" si="781">(K79-K74)/5+K77</f>
        <v>7340.928179999999</v>
      </c>
      <c r="L78" s="3">
        <f t="shared" ref="L78" si="782">(L79-L74)/5+L77</f>
        <v>9598.8586000000032</v>
      </c>
      <c r="M78" s="3">
        <f t="shared" ref="M78" si="783">(M79-M74)/5+M77</f>
        <v>56523.394340000006</v>
      </c>
      <c r="N78" s="3">
        <f t="shared" ref="N78" si="784">(N79-N74)/5+N77</f>
        <v>90427.60313800002</v>
      </c>
      <c r="O78" s="3">
        <f t="shared" ref="O78" si="785">(O79-O74)/5+O77</f>
        <v>9006.8704000000034</v>
      </c>
      <c r="P78" s="3">
        <f t="shared" ref="P78" si="786">(P79-P74)/5+P77</f>
        <v>124892.24430000002</v>
      </c>
      <c r="Q78" s="3">
        <f t="shared" ref="Q78" si="787">(Q79-Q74)/5+Q77</f>
        <v>37847.625158000003</v>
      </c>
      <c r="R78" s="3">
        <f t="shared" ref="R78" si="78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9">
        <f t="shared" si="687"/>
        <v>8.9085632229524094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9">(C84-C79)/5+C79</f>
        <v>73153.642200000002</v>
      </c>
      <c r="D80" s="4">
        <f t="shared" ref="D80" si="790">(D84-D79)/5+D79</f>
        <v>7758.134</v>
      </c>
      <c r="E80" s="4">
        <f t="shared" ref="E80" si="791">(E84-E79)/5+E79</f>
        <v>11645.199999999999</v>
      </c>
      <c r="F80" s="4">
        <f t="shared" ref="F80" si="792">(F84-F79)/5+F79</f>
        <v>379.67340000000002</v>
      </c>
      <c r="G80" s="29">
        <f t="shared" si="687"/>
        <v>8.8462032803917428</v>
      </c>
      <c r="H80" s="4">
        <f t="shared" ref="H80" si="793">(H84-H79)/5+H79</f>
        <v>54281.258362000008</v>
      </c>
      <c r="I80" s="4">
        <f t="shared" ref="I80" si="794">(I84-I79)/5+I79</f>
        <v>50710.368376000006</v>
      </c>
      <c r="J80" s="4">
        <f t="shared" ref="J80" si="795">(J84-J79)/5+J79</f>
        <v>53485.151859999998</v>
      </c>
      <c r="K80" s="4">
        <f t="shared" ref="K80" si="796">(K84-K79)/5+K79</f>
        <v>7388.4467799999984</v>
      </c>
      <c r="L80" s="4">
        <f t="shared" ref="L80" si="797">(L84-L79)/5+L79</f>
        <v>9911.3955999999998</v>
      </c>
      <c r="M80" s="4">
        <f t="shared" ref="M80" si="798">(M84-M79)/5+M79</f>
        <v>58511.337220000001</v>
      </c>
      <c r="N80" s="4">
        <f t="shared" ref="N80" si="799">(N84-N79)/5+N79</f>
        <v>96179.556459999993</v>
      </c>
      <c r="O80" s="4">
        <f t="shared" ref="O80" si="800">(O84-O79)/5+O79</f>
        <v>9187.3628000000008</v>
      </c>
      <c r="P80" s="4">
        <f t="shared" ref="P80" si="801">(P84-P79)/5+P79</f>
        <v>128715.61254</v>
      </c>
      <c r="Q80" s="4">
        <f t="shared" ref="Q80" si="802">(Q84-Q79)/5+Q79</f>
        <v>38559.874452000004</v>
      </c>
      <c r="R80" s="4">
        <f t="shared" ref="R80" si="803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4">(C84-C79)/5+C80</f>
        <v>73228.659400000004</v>
      </c>
      <c r="D81" s="3">
        <f t="shared" ref="D81" si="805">(D84-D79)/5+D80</f>
        <v>7764.2979999999998</v>
      </c>
      <c r="E81" s="3">
        <f t="shared" ref="E81" si="806">(E84-E79)/5+E80</f>
        <v>11796.999999999998</v>
      </c>
      <c r="F81" s="3">
        <f t="shared" ref="F81" si="807">(F84-F79)/5+F80</f>
        <v>387.86680000000001</v>
      </c>
      <c r="G81" s="29">
        <f t="shared" si="687"/>
        <v>8.7842798574290004</v>
      </c>
      <c r="H81" s="3">
        <f t="shared" ref="H81" si="808">(H84-H79)/5+H80</f>
        <v>54651.629454000009</v>
      </c>
      <c r="I81" s="3">
        <f t="shared" ref="I81" si="809">(I84-I79)/5+I80</f>
        <v>51363.206502000008</v>
      </c>
      <c r="J81" s="3">
        <f t="shared" ref="J81" si="810">(J84-J79)/5+J80</f>
        <v>53733.970519999995</v>
      </c>
      <c r="K81" s="3">
        <f t="shared" ref="K81" si="811">(K84-K79)/5+K80</f>
        <v>7411.9684599999982</v>
      </c>
      <c r="L81" s="3">
        <f t="shared" ref="L81" si="812">(L84-L79)/5+L80</f>
        <v>10071.1212</v>
      </c>
      <c r="M81" s="3">
        <f t="shared" ref="M81" si="813">(M84-M79)/5+M80</f>
        <v>59523.493040000001</v>
      </c>
      <c r="N81" s="3">
        <f t="shared" ref="N81" si="814">(N84-N79)/5+N80</f>
        <v>99199.13201999999</v>
      </c>
      <c r="O81" s="3">
        <f t="shared" ref="O81" si="815">(O84-O79)/5+O80</f>
        <v>9277.990600000001</v>
      </c>
      <c r="P81" s="3">
        <f t="shared" ref="P81" si="816">(P84-P79)/5+P80</f>
        <v>130630.59158000001</v>
      </c>
      <c r="Q81" s="3">
        <f t="shared" ref="Q81" si="817">(Q84-Q79)/5+Q80</f>
        <v>38910.728004000004</v>
      </c>
      <c r="R81" s="3">
        <f t="shared" ref="R81" si="818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9">(C84-C79)/5+C81</f>
        <v>73303.676600000006</v>
      </c>
      <c r="D82" s="3">
        <f t="shared" ref="D82" si="820">(D84-D79)/5+D81</f>
        <v>7770.4619999999995</v>
      </c>
      <c r="E82" s="3">
        <f t="shared" ref="E82" si="821">(E84-E79)/5+E81</f>
        <v>11948.799999999997</v>
      </c>
      <c r="F82" s="3">
        <f t="shared" ref="F82" si="822">(F84-F79)/5+F81</f>
        <v>396.06020000000001</v>
      </c>
      <c r="G82" s="29">
        <f t="shared" si="687"/>
        <v>8.7227898984269974</v>
      </c>
      <c r="H82" s="3">
        <f t="shared" ref="H82" si="823">(H84-H79)/5+H81</f>
        <v>55022.00054600001</v>
      </c>
      <c r="I82" s="3">
        <f t="shared" ref="I82" si="824">(I84-I79)/5+I81</f>
        <v>52016.044628000011</v>
      </c>
      <c r="J82" s="3">
        <f t="shared" ref="J82" si="825">(J84-J79)/5+J81</f>
        <v>53982.789179999992</v>
      </c>
      <c r="K82" s="3">
        <f t="shared" ref="K82" si="826">(K84-K79)/5+K81</f>
        <v>7435.4901399999981</v>
      </c>
      <c r="L82" s="3">
        <f t="shared" ref="L82" si="827">(L84-L79)/5+L81</f>
        <v>10230.846799999999</v>
      </c>
      <c r="M82" s="3">
        <f t="shared" ref="M82" si="828">(M84-M79)/5+M81</f>
        <v>60535.648860000001</v>
      </c>
      <c r="N82" s="3">
        <f t="shared" ref="N82" si="829">(N84-N79)/5+N81</f>
        <v>102218.70757999999</v>
      </c>
      <c r="O82" s="3">
        <f t="shared" ref="O82" si="830">(O84-O79)/5+O81</f>
        <v>9368.6184000000012</v>
      </c>
      <c r="P82" s="3">
        <f t="shared" ref="P82" si="831">(P84-P79)/5+P81</f>
        <v>132545.57062000001</v>
      </c>
      <c r="Q82" s="3">
        <f t="shared" ref="Q82" si="832">(Q84-Q79)/5+Q81</f>
        <v>39261.581556000005</v>
      </c>
      <c r="R82" s="3">
        <f t="shared" ref="R82" si="833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4">(C84-C79)/5+C82</f>
        <v>73378.693800000008</v>
      </c>
      <c r="D83" s="3">
        <f t="shared" ref="D83" si="835">(D84-D79)/5+D82</f>
        <v>7776.6259999999993</v>
      </c>
      <c r="E83" s="3">
        <f t="shared" ref="E83" si="836">(E84-E79)/5+E82</f>
        <v>12100.599999999997</v>
      </c>
      <c r="F83" s="3">
        <f t="shared" ref="F83" si="837">(F84-F79)/5+F82</f>
        <v>404.25360000000001</v>
      </c>
      <c r="G83" s="29">
        <f t="shared" si="687"/>
        <v>8.6617303691380076</v>
      </c>
      <c r="H83" s="3">
        <f t="shared" ref="H83" si="838">(H84-H79)/5+H82</f>
        <v>55392.371638000011</v>
      </c>
      <c r="I83" s="3">
        <f t="shared" ref="I83" si="839">(I84-I79)/5+I82</f>
        <v>52668.882754000013</v>
      </c>
      <c r="J83" s="3">
        <f t="shared" ref="J83" si="840">(J84-J79)/5+J82</f>
        <v>54231.60783999999</v>
      </c>
      <c r="K83" s="3">
        <f t="shared" ref="K83" si="841">(K84-K79)/5+K82</f>
        <v>7459.0118199999979</v>
      </c>
      <c r="L83" s="3">
        <f t="shared" ref="L83" si="842">(L84-L79)/5+L82</f>
        <v>10390.572399999999</v>
      </c>
      <c r="M83" s="3">
        <f t="shared" ref="M83" si="843">(M84-M79)/5+M82</f>
        <v>61547.804680000001</v>
      </c>
      <c r="N83" s="3">
        <f t="shared" ref="N83" si="844">(N84-N79)/5+N82</f>
        <v>105238.28313999998</v>
      </c>
      <c r="O83" s="3">
        <f t="shared" ref="O83" si="845">(O84-O79)/5+O82</f>
        <v>9459.2462000000014</v>
      </c>
      <c r="P83" s="3">
        <f t="shared" ref="P83" si="846">(P84-P79)/5+P82</f>
        <v>134460.54966000002</v>
      </c>
      <c r="Q83" s="3">
        <f t="shared" ref="Q83" si="847">(Q84-Q79)/5+Q82</f>
        <v>39612.435108000005</v>
      </c>
      <c r="R83" s="3">
        <f t="shared" ref="R83" si="848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9">
        <f t="shared" si="687"/>
        <v>8.6010982565540424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ignoredErrors>
    <ignoredError sqref="G6:G84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topLeftCell="A54"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7">
        <f>Baseyear!B25</f>
        <v>51.585057999999997</v>
      </c>
      <c r="C2" s="7">
        <f>Baseyear!C25</f>
        <v>1410.2126000000001</v>
      </c>
      <c r="D2" s="7">
        <f>Baseyear!D25</f>
        <v>126.81100000000001</v>
      </c>
      <c r="E2" s="7">
        <f>Baseyear!E25</f>
        <v>144.477859</v>
      </c>
      <c r="F2" s="7">
        <f>Baseyear!F25</f>
        <v>3.1639910000000002</v>
      </c>
      <c r="G2" s="7">
        <f>Baseyear!G25</f>
        <v>25.638148999999999</v>
      </c>
      <c r="H2" s="7">
        <f>Baseyear!H25</f>
        <v>367.37231600000001</v>
      </c>
      <c r="I2" s="7">
        <f>Baseyear!I25</f>
        <v>606.01284499999997</v>
      </c>
      <c r="J2" s="7">
        <f>Baseyear!J25</f>
        <v>506.509163</v>
      </c>
      <c r="K2" s="7">
        <f>Baseyear!K25</f>
        <v>118.48600399999999</v>
      </c>
      <c r="L2" s="7">
        <f>Baseyear!L25</f>
        <v>139.69713300000001</v>
      </c>
      <c r="M2" s="7">
        <f>Baseyear!M25</f>
        <v>492.02350000000001</v>
      </c>
      <c r="N2" s="7">
        <f>Baseyear!N25</f>
        <v>1041.066783</v>
      </c>
      <c r="O2" s="7">
        <f>Baseyear!O25</f>
        <v>118.044574</v>
      </c>
      <c r="P2" s="7">
        <f>Baseyear!P25</f>
        <v>1803.847309</v>
      </c>
      <c r="Q2" s="7">
        <f>Baseyear!Q25</f>
        <v>552.13613899999996</v>
      </c>
      <c r="R2" s="7">
        <f>Baseyear!R25</f>
        <v>29.863858</v>
      </c>
    </row>
    <row r="3" spans="1:18" x14ac:dyDescent="0.3">
      <c r="A3" s="1">
        <v>2019</v>
      </c>
      <c r="B3" s="7">
        <f>Baseyear!B26</f>
        <v>51.764822000000002</v>
      </c>
      <c r="C3" s="7">
        <f>Baseyear!C26</f>
        <v>1415.2529</v>
      </c>
      <c r="D3" s="7">
        <f>Baseyear!D26</f>
        <v>126.633</v>
      </c>
      <c r="E3" s="7">
        <f>Baseyear!E26</f>
        <v>144.406261</v>
      </c>
      <c r="F3" s="7">
        <f>Baseyear!F26</f>
        <v>3.2324299999999999</v>
      </c>
      <c r="G3" s="7">
        <f>Baseyear!G26</f>
        <v>25.755441000000001</v>
      </c>
      <c r="H3" s="7">
        <f>Baseyear!H26</f>
        <v>369.40017</v>
      </c>
      <c r="I3" s="7">
        <f>Baseyear!I26</f>
        <v>612.53262400000006</v>
      </c>
      <c r="J3" s="7">
        <f>Baseyear!J26</f>
        <v>508.66816</v>
      </c>
      <c r="K3" s="7">
        <f>Baseyear!K26</f>
        <v>118.257396</v>
      </c>
      <c r="L3" s="7">
        <f>Baseyear!L26</f>
        <v>140.62467699999999</v>
      </c>
      <c r="M3" s="7">
        <f>Baseyear!M26</f>
        <v>500.51992100000001</v>
      </c>
      <c r="N3" s="7">
        <f>Baseyear!N26</f>
        <v>1068.9432839999999</v>
      </c>
      <c r="O3" s="7">
        <f>Baseyear!O26</f>
        <v>119.19651500000001</v>
      </c>
      <c r="P3" s="7">
        <f>Baseyear!P26</f>
        <v>1823.829015</v>
      </c>
      <c r="Q3" s="7">
        <f>Baseyear!Q26</f>
        <v>557.76516600000002</v>
      </c>
      <c r="R3" s="7">
        <f>Baseyear!R26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topLeftCell="A13"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20" bestFit="1" customWidth="1"/>
    <col min="17" max="37" width="12" bestFit="1" customWidth="1"/>
  </cols>
  <sheetData>
    <row r="1" spans="1:37" x14ac:dyDescent="0.3">
      <c r="A1" t="s">
        <v>43</v>
      </c>
      <c r="B1" t="s">
        <v>44</v>
      </c>
      <c r="C1" t="s">
        <v>45</v>
      </c>
      <c r="D1" t="s">
        <v>46</v>
      </c>
      <c r="E1" s="16">
        <v>1990</v>
      </c>
      <c r="F1" s="16">
        <v>1991</v>
      </c>
      <c r="G1" s="16">
        <v>1992</v>
      </c>
      <c r="H1" s="16">
        <v>1993</v>
      </c>
      <c r="I1" s="16">
        <v>1994</v>
      </c>
      <c r="J1" s="16">
        <v>1995</v>
      </c>
      <c r="K1" s="16">
        <v>1996</v>
      </c>
      <c r="L1" s="16">
        <v>1997</v>
      </c>
      <c r="M1" s="16">
        <v>1998</v>
      </c>
      <c r="N1" s="16">
        <v>1999</v>
      </c>
      <c r="O1" s="17">
        <v>2000</v>
      </c>
      <c r="P1" s="18">
        <v>2001</v>
      </c>
      <c r="Q1" s="16">
        <v>2002</v>
      </c>
      <c r="R1" s="16">
        <v>2003</v>
      </c>
      <c r="S1" s="16">
        <v>2004</v>
      </c>
      <c r="T1" s="16">
        <v>2005</v>
      </c>
      <c r="U1" s="16">
        <v>2006</v>
      </c>
      <c r="V1" s="16">
        <v>2007</v>
      </c>
      <c r="W1" s="16">
        <v>2008</v>
      </c>
      <c r="X1" s="16">
        <v>2009</v>
      </c>
      <c r="Y1" s="16">
        <v>2010</v>
      </c>
      <c r="Z1" s="16">
        <v>2011</v>
      </c>
      <c r="AA1" s="16">
        <v>2012</v>
      </c>
      <c r="AB1" s="16">
        <v>2013</v>
      </c>
      <c r="AC1" s="16">
        <v>2014</v>
      </c>
      <c r="AD1" s="16">
        <v>2015</v>
      </c>
      <c r="AE1" s="16">
        <v>2016</v>
      </c>
      <c r="AF1" s="16">
        <v>2017</v>
      </c>
      <c r="AG1" s="16">
        <v>2018</v>
      </c>
      <c r="AH1" s="16">
        <v>2019</v>
      </c>
      <c r="AI1" s="16">
        <v>2020</v>
      </c>
      <c r="AJ1" s="16">
        <v>2021</v>
      </c>
      <c r="AK1" s="16">
        <v>2022</v>
      </c>
    </row>
    <row r="2" spans="1:37" x14ac:dyDescent="0.3">
      <c r="A2" t="s">
        <v>47</v>
      </c>
      <c r="B2" t="s">
        <v>48</v>
      </c>
      <c r="C2" t="s">
        <v>49</v>
      </c>
      <c r="D2" t="s">
        <v>50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9">
        <v>33.893581402048447</v>
      </c>
      <c r="P2" s="20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51</v>
      </c>
      <c r="B3" t="s">
        <v>52</v>
      </c>
      <c r="C3" t="s">
        <v>49</v>
      </c>
      <c r="D3" t="s">
        <v>50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9">
        <v>35.739553532797231</v>
      </c>
      <c r="P3" s="20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53</v>
      </c>
      <c r="B4" t="s">
        <v>54</v>
      </c>
      <c r="C4" t="s">
        <v>49</v>
      </c>
      <c r="D4" t="s">
        <v>50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9">
        <v>31.030854227400319</v>
      </c>
      <c r="P4" s="20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55</v>
      </c>
      <c r="B5" t="s">
        <v>56</v>
      </c>
      <c r="C5" t="s">
        <v>49</v>
      </c>
      <c r="D5" t="s">
        <v>50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9">
        <v>36.154207555873597</v>
      </c>
      <c r="P5" s="20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57</v>
      </c>
      <c r="B6" t="s">
        <v>58</v>
      </c>
      <c r="C6" t="s">
        <v>49</v>
      </c>
      <c r="D6" t="s">
        <v>50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9">
        <v>17.423610400329149</v>
      </c>
      <c r="P6" s="20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59</v>
      </c>
      <c r="B7" t="s">
        <v>60</v>
      </c>
      <c r="C7" t="s">
        <v>49</v>
      </c>
      <c r="D7" t="s">
        <v>50</v>
      </c>
      <c r="O7" s="19"/>
    </row>
    <row r="8" spans="1:37" x14ac:dyDescent="0.3">
      <c r="A8" t="s">
        <v>61</v>
      </c>
      <c r="B8" t="s">
        <v>62</v>
      </c>
      <c r="C8" t="s">
        <v>49</v>
      </c>
      <c r="D8" t="s">
        <v>50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9">
        <v>20.813343318338951</v>
      </c>
      <c r="P8" s="20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63</v>
      </c>
      <c r="B9" t="s">
        <v>64</v>
      </c>
      <c r="C9" t="s">
        <v>49</v>
      </c>
      <c r="D9" t="s">
        <v>50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9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65</v>
      </c>
      <c r="B10" t="s">
        <v>66</v>
      </c>
      <c r="C10" t="s">
        <v>49</v>
      </c>
      <c r="D10" t="s">
        <v>50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9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67</v>
      </c>
      <c r="B11" t="s">
        <v>68</v>
      </c>
      <c r="C11" t="s">
        <v>49</v>
      </c>
      <c r="D11" t="s">
        <v>50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9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69</v>
      </c>
      <c r="B12" t="s">
        <v>70</v>
      </c>
      <c r="C12" t="s">
        <v>49</v>
      </c>
      <c r="D12" t="s">
        <v>50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9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71</v>
      </c>
      <c r="B13" t="s">
        <v>72</v>
      </c>
      <c r="C13" t="s">
        <v>49</v>
      </c>
      <c r="D13" t="s">
        <v>50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9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73</v>
      </c>
      <c r="B14" t="s">
        <v>74</v>
      </c>
      <c r="C14" t="s">
        <v>49</v>
      </c>
      <c r="D14" t="s">
        <v>50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9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75</v>
      </c>
      <c r="B15" t="s">
        <v>76</v>
      </c>
      <c r="C15" t="s">
        <v>49</v>
      </c>
      <c r="D15" t="s">
        <v>50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9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77</v>
      </c>
      <c r="B16" t="s">
        <v>78</v>
      </c>
      <c r="C16" t="s">
        <v>49</v>
      </c>
      <c r="D16" t="s">
        <v>50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9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79</v>
      </c>
      <c r="B17" t="s">
        <v>80</v>
      </c>
      <c r="C17" t="s">
        <v>49</v>
      </c>
      <c r="D17" t="s">
        <v>50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9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81</v>
      </c>
      <c r="B18" t="s">
        <v>82</v>
      </c>
      <c r="C18" t="s">
        <v>49</v>
      </c>
      <c r="D18" t="s">
        <v>50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9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21" t="s">
        <v>83</v>
      </c>
      <c r="G20">
        <v>2019</v>
      </c>
      <c r="J20" t="s">
        <v>87</v>
      </c>
    </row>
    <row r="21" spans="1:37" x14ac:dyDescent="0.3">
      <c r="A21" t="s">
        <v>84</v>
      </c>
      <c r="B21" t="s">
        <v>85</v>
      </c>
      <c r="E21" s="2" t="s">
        <v>0</v>
      </c>
      <c r="F21" s="22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86</v>
      </c>
      <c r="B22" s="24">
        <v>45343</v>
      </c>
      <c r="E22" s="2" t="s">
        <v>1</v>
      </c>
      <c r="F22" s="22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22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22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22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23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22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22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22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22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22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22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22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22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22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22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22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workbookViewId="0">
      <selection activeCell="O39" sqref="O39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9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9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9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9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9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9">
        <v>15.6464500763256</v>
      </c>
      <c r="C7">
        <v>15.7017323237982</v>
      </c>
      <c r="D7">
        <v>14.990074746325899</v>
      </c>
      <c r="E7">
        <v>14.981775254470501</v>
      </c>
      <c r="F7">
        <v>14.876902827689207</v>
      </c>
      <c r="G7">
        <v>14.772764507895383</v>
      </c>
      <c r="H7">
        <v>14.669355156340115</v>
      </c>
      <c r="I7">
        <v>14.566669670245735</v>
      </c>
      <c r="J7">
        <v>14.464702982554016</v>
      </c>
      <c r="K7">
        <v>14.363450061676138</v>
      </c>
      <c r="L7">
        <v>14.262905911244406</v>
      </c>
      <c r="M7">
        <v>14.163065569865696</v>
      </c>
      <c r="N7">
        <v>14.063924110876636</v>
      </c>
      <c r="O7">
        <v>13.9654766421005</v>
      </c>
      <c r="P7">
        <v>13.867718305605797</v>
      </c>
      <c r="Q7">
        <v>13.770644277466555</v>
      </c>
      <c r="R7">
        <v>13.674249767524289</v>
      </c>
      <c r="S7">
        <v>13.57853001915162</v>
      </c>
      <c r="T7">
        <v>13.483480309017558</v>
      </c>
      <c r="U7">
        <v>13.389095946854436</v>
      </c>
      <c r="V7">
        <v>13.295372275226455</v>
      </c>
      <c r="W7">
        <v>13.20230466929987</v>
      </c>
      <c r="X7">
        <v>13.109888536614772</v>
      </c>
      <c r="Y7">
        <v>13.018119316858469</v>
      </c>
      <c r="Z7">
        <v>12.926992481640459</v>
      </c>
      <c r="AA7">
        <v>12.836503534268976</v>
      </c>
      <c r="AB7">
        <v>12.746648009529093</v>
      </c>
      <c r="AC7">
        <v>12.657421473462389</v>
      </c>
      <c r="AD7">
        <v>12.568819523148152</v>
      </c>
      <c r="AE7">
        <v>12.480837786486115</v>
      </c>
      <c r="AF7">
        <v>12.393471921980712</v>
      </c>
      <c r="AG7">
        <v>12.306717618526847</v>
      </c>
      <c r="AH7">
        <v>12.220570595197159</v>
      </c>
      <c r="AI7">
        <v>12.135026601030779</v>
      </c>
      <c r="AJ7">
        <v>12.050081414823563</v>
      </c>
      <c r="AK7">
        <v>11.965730844919797</v>
      </c>
      <c r="AL7">
        <v>11.881970729005358</v>
      </c>
      <c r="AM7">
        <v>11.79879693390232</v>
      </c>
      <c r="AN7">
        <v>11.716205355365004</v>
      </c>
      <c r="AO7">
        <v>11.634191917877448</v>
      </c>
      <c r="AP7">
        <v>11.552752574452306</v>
      </c>
      <c r="AQ7">
        <v>11.47188330643114</v>
      </c>
      <c r="AR7">
        <v>11.391580123286122</v>
      </c>
      <c r="AS7">
        <v>11.31183906242312</v>
      </c>
      <c r="AT7">
        <v>11.232656188986159</v>
      </c>
      <c r="AU7">
        <v>11.154027595663255</v>
      </c>
      <c r="AV7">
        <v>11.075949402493611</v>
      </c>
      <c r="AW7">
        <v>10.998417756676156</v>
      </c>
      <c r="AX7">
        <v>10.921428832379423</v>
      </c>
      <c r="AY7">
        <v>10.844978830552767</v>
      </c>
      <c r="AZ7">
        <v>10.769063978738897</v>
      </c>
      <c r="BA7">
        <v>10.693680530887725</v>
      </c>
      <c r="BB7">
        <v>10.618824767171512</v>
      </c>
      <c r="BC7">
        <v>10.544492993801311</v>
      </c>
      <c r="BD7">
        <v>10.470681542844702</v>
      </c>
      <c r="BE7">
        <v>10.397386772044788</v>
      </c>
      <c r="BF7">
        <v>10.324605064640474</v>
      </c>
      <c r="BG7">
        <v>10.25233282918799</v>
      </c>
      <c r="BH7">
        <v>10.180566499383675</v>
      </c>
      <c r="BI7">
        <v>10.109302533887989</v>
      </c>
      <c r="BJ7">
        <v>10.038537416150774</v>
      </c>
      <c r="BK7">
        <v>9.9682676542377191</v>
      </c>
      <c r="BL7">
        <v>9.8984897806580552</v>
      </c>
      <c r="BM7">
        <v>9.8292003521934497</v>
      </c>
      <c r="BN7">
        <v>9.7603959497280961</v>
      </c>
      <c r="BO7">
        <v>9.6920731780799994</v>
      </c>
      <c r="BP7">
        <v>9.6242286658334386</v>
      </c>
      <c r="BQ7">
        <v>9.5568590651726044</v>
      </c>
      <c r="BR7">
        <v>9.4899610517163957</v>
      </c>
      <c r="BS7">
        <v>9.4235313243543803</v>
      </c>
      <c r="BT7">
        <v>9.3575666050838997</v>
      </c>
      <c r="BU7">
        <v>9.2920636388483118</v>
      </c>
      <c r="BV7">
        <v>9.227019193376373</v>
      </c>
      <c r="BW7">
        <v>9.1624300590227392</v>
      </c>
      <c r="BX7">
        <v>9.0982930486095803</v>
      </c>
      <c r="BY7">
        <v>9.0346049972693141</v>
      </c>
      <c r="BZ7">
        <v>8.9713627622884289</v>
      </c>
      <c r="CA7">
        <v>8.9085632229524094</v>
      </c>
      <c r="CB7">
        <v>8.8462032803917428</v>
      </c>
      <c r="CC7">
        <v>8.7842798574290004</v>
      </c>
      <c r="CD7">
        <v>8.7227898984269974</v>
      </c>
      <c r="CE7">
        <v>8.6617303691380076</v>
      </c>
      <c r="CF7">
        <v>8.6010982565540424</v>
      </c>
    </row>
    <row r="8" spans="1:84" x14ac:dyDescent="0.3">
      <c r="A8" s="1" t="s">
        <v>6</v>
      </c>
      <c r="B8" s="9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9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9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9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9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9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9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9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9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9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9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9">
        <f t="array" ref="B2:CF2">TRANSPOSE(TOT_POP!B2:B84)</f>
        <v>51.585057999999997</v>
      </c>
      <c r="C2" s="10">
        <v>51.764822000000002</v>
      </c>
      <c r="D2" s="10">
        <v>51.858125000000001</v>
      </c>
      <c r="E2" s="10">
        <v>51.786591800000004</v>
      </c>
      <c r="F2" s="10">
        <v>51.715058600000006</v>
      </c>
      <c r="G2" s="10">
        <v>51.643525400000009</v>
      </c>
      <c r="H2" s="10">
        <v>51.571992200000011</v>
      </c>
      <c r="I2" s="10">
        <v>51.500459000000014</v>
      </c>
      <c r="J2" s="10">
        <v>51.396673600000014</v>
      </c>
      <c r="K2" s="10">
        <v>51.292888200000014</v>
      </c>
      <c r="L2" s="10">
        <v>51.189102800000015</v>
      </c>
      <c r="M2" s="10">
        <v>51.085317400000015</v>
      </c>
      <c r="N2" s="10">
        <v>50.981532000000001</v>
      </c>
      <c r="O2" s="10">
        <v>50.8360342</v>
      </c>
      <c r="P2" s="10">
        <v>50.690536399999999</v>
      </c>
      <c r="Q2" s="10">
        <v>50.545038599999998</v>
      </c>
      <c r="R2" s="10">
        <v>50.399540799999997</v>
      </c>
      <c r="S2" s="10">
        <v>50.254043000000003</v>
      </c>
      <c r="T2" s="10">
        <v>50.0485392</v>
      </c>
      <c r="U2" s="10">
        <v>49.843035399999998</v>
      </c>
      <c r="V2" s="10">
        <v>49.637531599999996</v>
      </c>
      <c r="W2" s="10">
        <v>49.432027799999993</v>
      </c>
      <c r="X2" s="10">
        <v>49.226523999999998</v>
      </c>
      <c r="Y2" s="10">
        <v>48.965570399999997</v>
      </c>
      <c r="Z2" s="10">
        <v>48.704616799999997</v>
      </c>
      <c r="AA2" s="10">
        <v>48.443663199999996</v>
      </c>
      <c r="AB2" s="10">
        <v>48.182709599999995</v>
      </c>
      <c r="AC2" s="10">
        <v>47.921756000000002</v>
      </c>
      <c r="AD2" s="10">
        <v>47.630087000000003</v>
      </c>
      <c r="AE2" s="10">
        <v>47.338418000000004</v>
      </c>
      <c r="AF2" s="10">
        <v>47.046749000000005</v>
      </c>
      <c r="AG2" s="10">
        <v>46.755080000000007</v>
      </c>
      <c r="AH2" s="10">
        <v>46.463411000000001</v>
      </c>
      <c r="AI2" s="10">
        <v>46.094152600000001</v>
      </c>
      <c r="AJ2" s="10">
        <v>45.724894200000001</v>
      </c>
      <c r="AK2" s="10">
        <v>45.355635800000002</v>
      </c>
      <c r="AL2" s="10">
        <v>44.986377400000002</v>
      </c>
      <c r="AM2" s="10">
        <v>44.617119000000002</v>
      </c>
      <c r="AN2" s="10">
        <v>44.188614000000001</v>
      </c>
      <c r="AO2" s="10">
        <v>43.760109</v>
      </c>
      <c r="AP2" s="10">
        <v>43.331603999999999</v>
      </c>
      <c r="AQ2" s="10">
        <v>42.903098999999997</v>
      </c>
      <c r="AR2" s="10">
        <v>42.474594000000003</v>
      </c>
      <c r="AS2" s="10">
        <v>42.033860600000004</v>
      </c>
      <c r="AT2" s="10">
        <v>41.593127200000005</v>
      </c>
      <c r="AU2" s="10">
        <v>41.152393800000006</v>
      </c>
      <c r="AV2" s="10">
        <v>40.711660400000007</v>
      </c>
      <c r="AW2" s="10">
        <v>40.270927000000007</v>
      </c>
      <c r="AX2" s="10">
        <v>39.847233800000005</v>
      </c>
      <c r="AY2" s="10">
        <v>39.423540600000003</v>
      </c>
      <c r="AZ2" s="10">
        <v>38.9998474</v>
      </c>
      <c r="BA2" s="10">
        <v>38.576154199999998</v>
      </c>
      <c r="BB2" s="10">
        <v>38.152461000000002</v>
      </c>
      <c r="BC2" s="10">
        <v>37.751594000000004</v>
      </c>
      <c r="BD2" s="10">
        <v>37.350727000000006</v>
      </c>
      <c r="BE2" s="10">
        <v>36.949860000000008</v>
      </c>
      <c r="BF2" s="10">
        <v>36.54899300000001</v>
      </c>
      <c r="BG2" s="10">
        <v>36.148125999999998</v>
      </c>
      <c r="BH2" s="10">
        <v>35.768675600000002</v>
      </c>
      <c r="BI2" s="10">
        <v>35.389225200000006</v>
      </c>
      <c r="BJ2" s="10">
        <v>35.00977480000001</v>
      </c>
      <c r="BK2" s="10">
        <v>34.630324400000013</v>
      </c>
      <c r="BL2" s="10">
        <v>34.250874000000003</v>
      </c>
      <c r="BM2" s="10">
        <v>33.894344199999999</v>
      </c>
      <c r="BN2" s="10">
        <v>33.537814399999995</v>
      </c>
      <c r="BO2" s="10">
        <v>33.181284599999991</v>
      </c>
      <c r="BP2" s="10">
        <v>32.824754799999987</v>
      </c>
      <c r="BQ2" s="10">
        <v>32.468224999999997</v>
      </c>
      <c r="BR2" s="10">
        <v>32.124160599999996</v>
      </c>
      <c r="BS2" s="10">
        <v>31.780096199999996</v>
      </c>
      <c r="BT2" s="10">
        <v>31.436031799999995</v>
      </c>
      <c r="BU2" s="10">
        <v>31.091967399999994</v>
      </c>
      <c r="BV2" s="10">
        <v>30.747903000000001</v>
      </c>
      <c r="BW2" s="10">
        <v>30.412314200000001</v>
      </c>
      <c r="BX2" s="10">
        <v>30.076725400000001</v>
      </c>
      <c r="BY2" s="10">
        <v>29.741136600000001</v>
      </c>
      <c r="BZ2" s="10">
        <v>29.405547800000001</v>
      </c>
      <c r="CA2" s="10">
        <v>29.069959000000001</v>
      </c>
      <c r="CB2" s="10">
        <v>28.7575076</v>
      </c>
      <c r="CC2" s="10">
        <v>28.4450562</v>
      </c>
      <c r="CD2" s="10">
        <v>28.132604799999999</v>
      </c>
      <c r="CE2" s="10">
        <v>27.820153399999999</v>
      </c>
      <c r="CF2" s="10">
        <v>27.507701999999998</v>
      </c>
    </row>
    <row r="3" spans="1:84" x14ac:dyDescent="0.3">
      <c r="A3" s="1" t="s">
        <v>1</v>
      </c>
      <c r="B3" s="9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9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9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9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9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9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9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9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9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9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9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9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9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9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9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9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K36" sqref="K36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5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25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25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25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25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25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25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25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25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25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10</v>
      </c>
      <c r="B12" s="25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25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25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13</v>
      </c>
      <c r="B15" s="25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25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15</v>
      </c>
      <c r="B17" s="25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16</v>
      </c>
      <c r="B18" s="25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1ED7-00FD-4715-8862-C6199AA10775}">
  <dimension ref="A1:AG18"/>
  <sheetViews>
    <sheetView workbookViewId="0">
      <selection activeCell="D9" sqref="D9"/>
    </sheetView>
  </sheetViews>
  <sheetFormatPr defaultRowHeight="14.4" x14ac:dyDescent="0.3"/>
  <sheetData>
    <row r="1" spans="1:33" x14ac:dyDescent="0.3">
      <c r="A1" s="2"/>
      <c r="B1" s="14">
        <v>2019</v>
      </c>
      <c r="C1" s="14">
        <v>2020</v>
      </c>
      <c r="D1" s="14">
        <v>2021</v>
      </c>
      <c r="E1" s="14">
        <v>2022</v>
      </c>
      <c r="F1" s="14">
        <v>2023</v>
      </c>
      <c r="G1" s="14">
        <v>2024</v>
      </c>
      <c r="H1" s="14">
        <v>2025</v>
      </c>
      <c r="I1" s="14">
        <v>2026</v>
      </c>
      <c r="J1" s="14">
        <v>2027</v>
      </c>
      <c r="K1" s="14">
        <v>2028</v>
      </c>
      <c r="L1" s="14">
        <v>2029</v>
      </c>
      <c r="M1" s="14">
        <v>2030</v>
      </c>
      <c r="N1" s="14">
        <v>2031</v>
      </c>
      <c r="O1" s="14">
        <v>2032</v>
      </c>
      <c r="P1" s="14">
        <v>2033</v>
      </c>
      <c r="Q1" s="14">
        <v>2034</v>
      </c>
      <c r="R1" s="14">
        <v>2035</v>
      </c>
      <c r="S1" s="14">
        <v>2036</v>
      </c>
      <c r="T1" s="14">
        <v>2037</v>
      </c>
      <c r="U1" s="14">
        <v>2038</v>
      </c>
      <c r="V1" s="14">
        <v>2039</v>
      </c>
      <c r="W1" s="14">
        <v>2040</v>
      </c>
      <c r="X1" s="14">
        <v>2041</v>
      </c>
      <c r="Y1" s="14">
        <v>2042</v>
      </c>
      <c r="Z1" s="14">
        <v>2043</v>
      </c>
      <c r="AA1" s="14">
        <v>2044</v>
      </c>
      <c r="AB1" s="14">
        <v>2045</v>
      </c>
      <c r="AC1" s="14">
        <v>2046</v>
      </c>
      <c r="AD1" s="14">
        <v>2047</v>
      </c>
      <c r="AE1" s="14">
        <v>2048</v>
      </c>
      <c r="AF1" s="14">
        <v>2049</v>
      </c>
      <c r="AG1" s="14">
        <v>2050</v>
      </c>
    </row>
    <row r="2" spans="1:33" x14ac:dyDescent="0.3">
      <c r="A2" s="2" t="s">
        <v>0</v>
      </c>
      <c r="B2" s="15">
        <v>1</v>
      </c>
      <c r="C2" s="15">
        <f>B2-B2*0.005</f>
        <v>0.995</v>
      </c>
      <c r="D2" s="15">
        <f t="shared" ref="D2:AG10" si="0">C2-C2*0.005</f>
        <v>0.99002500000000004</v>
      </c>
      <c r="E2" s="15">
        <f t="shared" si="0"/>
        <v>0.98507487500000002</v>
      </c>
      <c r="F2" s="15">
        <f t="shared" si="0"/>
        <v>0.98014950062500006</v>
      </c>
      <c r="G2" s="15">
        <f t="shared" si="0"/>
        <v>0.97524875312187509</v>
      </c>
      <c r="H2" s="15">
        <f t="shared" si="0"/>
        <v>0.97037250935626573</v>
      </c>
      <c r="I2" s="15">
        <f t="shared" si="0"/>
        <v>0.96552064680948435</v>
      </c>
      <c r="J2" s="15">
        <f t="shared" si="0"/>
        <v>0.96069304357543694</v>
      </c>
      <c r="K2" s="15">
        <f t="shared" si="0"/>
        <v>0.95588957835755972</v>
      </c>
      <c r="L2" s="15">
        <f t="shared" si="0"/>
        <v>0.95111013046577197</v>
      </c>
      <c r="M2" s="15">
        <f t="shared" si="0"/>
        <v>0.94635457981344306</v>
      </c>
      <c r="N2" s="15">
        <f t="shared" si="0"/>
        <v>0.94162280691437583</v>
      </c>
      <c r="O2" s="15">
        <f t="shared" si="0"/>
        <v>0.936914692879804</v>
      </c>
      <c r="P2" s="15">
        <f t="shared" si="0"/>
        <v>0.93223011941540501</v>
      </c>
      <c r="Q2" s="15">
        <f t="shared" si="0"/>
        <v>0.92756896881832795</v>
      </c>
      <c r="R2" s="15">
        <f t="shared" si="0"/>
        <v>0.92293112397423627</v>
      </c>
      <c r="S2" s="15">
        <f t="shared" si="0"/>
        <v>0.91831646835436509</v>
      </c>
      <c r="T2" s="15">
        <f t="shared" si="0"/>
        <v>0.91372488601259327</v>
      </c>
      <c r="U2" s="15">
        <f t="shared" si="0"/>
        <v>0.90915626158253027</v>
      </c>
      <c r="V2" s="15">
        <f t="shared" si="0"/>
        <v>0.90461048027461766</v>
      </c>
      <c r="W2" s="15">
        <f t="shared" si="0"/>
        <v>0.90008742787324458</v>
      </c>
      <c r="X2" s="15">
        <f t="shared" si="0"/>
        <v>0.89558699073387837</v>
      </c>
      <c r="Y2" s="15">
        <f t="shared" si="0"/>
        <v>0.89110905578020894</v>
      </c>
      <c r="Z2" s="15">
        <f t="shared" si="0"/>
        <v>0.88665351050130792</v>
      </c>
      <c r="AA2" s="15">
        <f t="shared" si="0"/>
        <v>0.88222024294880141</v>
      </c>
      <c r="AB2" s="15">
        <f t="shared" si="0"/>
        <v>0.87780914173405744</v>
      </c>
      <c r="AC2" s="15">
        <f t="shared" si="0"/>
        <v>0.87342009602538717</v>
      </c>
      <c r="AD2" s="15">
        <f t="shared" si="0"/>
        <v>0.86905299554526028</v>
      </c>
      <c r="AE2" s="15">
        <f t="shared" si="0"/>
        <v>0.86470773056753403</v>
      </c>
      <c r="AF2" s="15">
        <f t="shared" si="0"/>
        <v>0.86038419191469639</v>
      </c>
      <c r="AG2" s="15">
        <f t="shared" si="0"/>
        <v>0.8560822709551229</v>
      </c>
    </row>
    <row r="3" spans="1:33" x14ac:dyDescent="0.3">
      <c r="A3" s="2" t="s">
        <v>1</v>
      </c>
      <c r="B3" s="15">
        <v>1</v>
      </c>
      <c r="C3" s="15">
        <f t="shared" ref="C3:R18" si="1">B3-B3*0.005</f>
        <v>0.995</v>
      </c>
      <c r="D3" s="15">
        <f t="shared" si="1"/>
        <v>0.99002500000000004</v>
      </c>
      <c r="E3" s="15">
        <f t="shared" si="1"/>
        <v>0.98507487500000002</v>
      </c>
      <c r="F3" s="15">
        <f t="shared" si="1"/>
        <v>0.98014950062500006</v>
      </c>
      <c r="G3" s="15">
        <f t="shared" si="1"/>
        <v>0.97524875312187509</v>
      </c>
      <c r="H3" s="15">
        <f t="shared" si="1"/>
        <v>0.97037250935626573</v>
      </c>
      <c r="I3" s="15">
        <f t="shared" si="1"/>
        <v>0.96552064680948435</v>
      </c>
      <c r="J3" s="15">
        <f t="shared" si="1"/>
        <v>0.96069304357543694</v>
      </c>
      <c r="K3" s="15">
        <f t="shared" si="1"/>
        <v>0.95588957835755972</v>
      </c>
      <c r="L3" s="15">
        <f t="shared" si="1"/>
        <v>0.95111013046577197</v>
      </c>
      <c r="M3" s="15">
        <f t="shared" si="1"/>
        <v>0.94635457981344306</v>
      </c>
      <c r="N3" s="15">
        <f t="shared" si="1"/>
        <v>0.94162280691437583</v>
      </c>
      <c r="O3" s="15">
        <f t="shared" si="1"/>
        <v>0.936914692879804</v>
      </c>
      <c r="P3" s="15">
        <f t="shared" si="1"/>
        <v>0.93223011941540501</v>
      </c>
      <c r="Q3" s="15">
        <f t="shared" si="1"/>
        <v>0.92756896881832795</v>
      </c>
      <c r="R3" s="15">
        <f t="shared" si="1"/>
        <v>0.92293112397423627</v>
      </c>
      <c r="S3" s="15">
        <f t="shared" si="0"/>
        <v>0.91831646835436509</v>
      </c>
      <c r="T3" s="15">
        <f t="shared" si="0"/>
        <v>0.91372488601259327</v>
      </c>
      <c r="U3" s="15">
        <f t="shared" si="0"/>
        <v>0.90915626158253027</v>
      </c>
      <c r="V3" s="15">
        <f t="shared" si="0"/>
        <v>0.90461048027461766</v>
      </c>
      <c r="W3" s="15">
        <f t="shared" si="0"/>
        <v>0.90008742787324458</v>
      </c>
      <c r="X3" s="15">
        <f t="shared" si="0"/>
        <v>0.89558699073387837</v>
      </c>
      <c r="Y3" s="15">
        <f t="shared" si="0"/>
        <v>0.89110905578020894</v>
      </c>
      <c r="Z3" s="15">
        <f t="shared" si="0"/>
        <v>0.88665351050130792</v>
      </c>
      <c r="AA3" s="15">
        <f t="shared" si="0"/>
        <v>0.88222024294880141</v>
      </c>
      <c r="AB3" s="15">
        <f t="shared" si="0"/>
        <v>0.87780914173405744</v>
      </c>
      <c r="AC3" s="15">
        <f t="shared" si="0"/>
        <v>0.87342009602538717</v>
      </c>
      <c r="AD3" s="15">
        <f t="shared" si="0"/>
        <v>0.86905299554526028</v>
      </c>
      <c r="AE3" s="15">
        <f t="shared" si="0"/>
        <v>0.86470773056753403</v>
      </c>
      <c r="AF3" s="15">
        <f t="shared" si="0"/>
        <v>0.86038419191469639</v>
      </c>
      <c r="AG3" s="15">
        <f t="shared" si="0"/>
        <v>0.8560822709551229</v>
      </c>
    </row>
    <row r="4" spans="1:33" x14ac:dyDescent="0.3">
      <c r="A4" s="2" t="s">
        <v>2</v>
      </c>
      <c r="B4" s="15">
        <v>1</v>
      </c>
      <c r="C4" s="15">
        <f t="shared" si="1"/>
        <v>0.995</v>
      </c>
      <c r="D4" s="15">
        <f t="shared" si="0"/>
        <v>0.99002500000000004</v>
      </c>
      <c r="E4" s="15">
        <f t="shared" si="0"/>
        <v>0.98507487500000002</v>
      </c>
      <c r="F4" s="15">
        <f t="shared" si="0"/>
        <v>0.98014950062500006</v>
      </c>
      <c r="G4" s="15">
        <f t="shared" si="0"/>
        <v>0.97524875312187509</v>
      </c>
      <c r="H4" s="15">
        <f t="shared" si="0"/>
        <v>0.97037250935626573</v>
      </c>
      <c r="I4" s="15">
        <f t="shared" si="0"/>
        <v>0.96552064680948435</v>
      </c>
      <c r="J4" s="15">
        <f t="shared" si="0"/>
        <v>0.96069304357543694</v>
      </c>
      <c r="K4" s="15">
        <f t="shared" si="0"/>
        <v>0.95588957835755972</v>
      </c>
      <c r="L4" s="15">
        <f t="shared" si="0"/>
        <v>0.95111013046577197</v>
      </c>
      <c r="M4" s="15">
        <f t="shared" si="0"/>
        <v>0.94635457981344306</v>
      </c>
      <c r="N4" s="15">
        <f t="shared" si="0"/>
        <v>0.94162280691437583</v>
      </c>
      <c r="O4" s="15">
        <f t="shared" si="0"/>
        <v>0.936914692879804</v>
      </c>
      <c r="P4" s="15">
        <f t="shared" si="0"/>
        <v>0.93223011941540501</v>
      </c>
      <c r="Q4" s="15">
        <f t="shared" si="0"/>
        <v>0.92756896881832795</v>
      </c>
      <c r="R4" s="15">
        <f t="shared" si="0"/>
        <v>0.92293112397423627</v>
      </c>
      <c r="S4" s="15">
        <f t="shared" si="0"/>
        <v>0.91831646835436509</v>
      </c>
      <c r="T4" s="15">
        <f t="shared" si="0"/>
        <v>0.91372488601259327</v>
      </c>
      <c r="U4" s="15">
        <f t="shared" si="0"/>
        <v>0.90915626158253027</v>
      </c>
      <c r="V4" s="15">
        <f t="shared" si="0"/>
        <v>0.90461048027461766</v>
      </c>
      <c r="W4" s="15">
        <f t="shared" si="0"/>
        <v>0.90008742787324458</v>
      </c>
      <c r="X4" s="15">
        <f t="shared" si="0"/>
        <v>0.89558699073387837</v>
      </c>
      <c r="Y4" s="15">
        <f t="shared" si="0"/>
        <v>0.89110905578020894</v>
      </c>
      <c r="Z4" s="15">
        <f t="shared" si="0"/>
        <v>0.88665351050130792</v>
      </c>
      <c r="AA4" s="15">
        <f t="shared" si="0"/>
        <v>0.88222024294880141</v>
      </c>
      <c r="AB4" s="15">
        <f t="shared" si="0"/>
        <v>0.87780914173405744</v>
      </c>
      <c r="AC4" s="15">
        <f t="shared" si="0"/>
        <v>0.87342009602538717</v>
      </c>
      <c r="AD4" s="15">
        <f t="shared" si="0"/>
        <v>0.86905299554526028</v>
      </c>
      <c r="AE4" s="15">
        <f t="shared" si="0"/>
        <v>0.86470773056753403</v>
      </c>
      <c r="AF4" s="15">
        <f t="shared" si="0"/>
        <v>0.86038419191469639</v>
      </c>
      <c r="AG4" s="15">
        <f t="shared" si="0"/>
        <v>0.8560822709551229</v>
      </c>
    </row>
    <row r="5" spans="1:33" x14ac:dyDescent="0.3">
      <c r="A5" s="2" t="s">
        <v>3</v>
      </c>
      <c r="B5" s="15">
        <v>1</v>
      </c>
      <c r="C5" s="15">
        <f t="shared" si="1"/>
        <v>0.995</v>
      </c>
      <c r="D5" s="15">
        <f t="shared" si="0"/>
        <v>0.99002500000000004</v>
      </c>
      <c r="E5" s="15">
        <f t="shared" si="0"/>
        <v>0.98507487500000002</v>
      </c>
      <c r="F5" s="15">
        <f t="shared" si="0"/>
        <v>0.98014950062500006</v>
      </c>
      <c r="G5" s="15">
        <f t="shared" si="0"/>
        <v>0.97524875312187509</v>
      </c>
      <c r="H5" s="15">
        <f t="shared" si="0"/>
        <v>0.97037250935626573</v>
      </c>
      <c r="I5" s="15">
        <f t="shared" si="0"/>
        <v>0.96552064680948435</v>
      </c>
      <c r="J5" s="15">
        <f t="shared" si="0"/>
        <v>0.96069304357543694</v>
      </c>
      <c r="K5" s="15">
        <f t="shared" si="0"/>
        <v>0.95588957835755972</v>
      </c>
      <c r="L5" s="15">
        <f t="shared" si="0"/>
        <v>0.95111013046577197</v>
      </c>
      <c r="M5" s="15">
        <f t="shared" si="0"/>
        <v>0.94635457981344306</v>
      </c>
      <c r="N5" s="15">
        <f t="shared" si="0"/>
        <v>0.94162280691437583</v>
      </c>
      <c r="O5" s="15">
        <f t="shared" si="0"/>
        <v>0.936914692879804</v>
      </c>
      <c r="P5" s="15">
        <f t="shared" si="0"/>
        <v>0.93223011941540501</v>
      </c>
      <c r="Q5" s="15">
        <f t="shared" si="0"/>
        <v>0.92756896881832795</v>
      </c>
      <c r="R5" s="15">
        <f t="shared" si="0"/>
        <v>0.92293112397423627</v>
      </c>
      <c r="S5" s="15">
        <f t="shared" si="0"/>
        <v>0.91831646835436509</v>
      </c>
      <c r="T5" s="15">
        <f t="shared" si="0"/>
        <v>0.91372488601259327</v>
      </c>
      <c r="U5" s="15">
        <f t="shared" si="0"/>
        <v>0.90915626158253027</v>
      </c>
      <c r="V5" s="15">
        <f t="shared" si="0"/>
        <v>0.90461048027461766</v>
      </c>
      <c r="W5" s="15">
        <f t="shared" si="0"/>
        <v>0.90008742787324458</v>
      </c>
      <c r="X5" s="15">
        <f t="shared" si="0"/>
        <v>0.89558699073387837</v>
      </c>
      <c r="Y5" s="15">
        <f t="shared" si="0"/>
        <v>0.89110905578020894</v>
      </c>
      <c r="Z5" s="15">
        <f t="shared" si="0"/>
        <v>0.88665351050130792</v>
      </c>
      <c r="AA5" s="15">
        <f t="shared" si="0"/>
        <v>0.88222024294880141</v>
      </c>
      <c r="AB5" s="15">
        <f t="shared" si="0"/>
        <v>0.87780914173405744</v>
      </c>
      <c r="AC5" s="15">
        <f t="shared" si="0"/>
        <v>0.87342009602538717</v>
      </c>
      <c r="AD5" s="15">
        <f t="shared" si="0"/>
        <v>0.86905299554526028</v>
      </c>
      <c r="AE5" s="15">
        <f t="shared" si="0"/>
        <v>0.86470773056753403</v>
      </c>
      <c r="AF5" s="15">
        <f t="shared" si="0"/>
        <v>0.86038419191469639</v>
      </c>
      <c r="AG5" s="15">
        <f t="shared" si="0"/>
        <v>0.8560822709551229</v>
      </c>
    </row>
    <row r="6" spans="1:33" x14ac:dyDescent="0.3">
      <c r="A6" s="2" t="s">
        <v>4</v>
      </c>
      <c r="B6" s="15">
        <v>1</v>
      </c>
      <c r="C6" s="15">
        <f t="shared" si="1"/>
        <v>0.995</v>
      </c>
      <c r="D6" s="15">
        <f t="shared" si="0"/>
        <v>0.99002500000000004</v>
      </c>
      <c r="E6" s="15">
        <f t="shared" si="0"/>
        <v>0.98507487500000002</v>
      </c>
      <c r="F6" s="15">
        <f t="shared" si="0"/>
        <v>0.98014950062500006</v>
      </c>
      <c r="G6" s="15">
        <f t="shared" si="0"/>
        <v>0.97524875312187509</v>
      </c>
      <c r="H6" s="15">
        <f t="shared" si="0"/>
        <v>0.97037250935626573</v>
      </c>
      <c r="I6" s="15">
        <f t="shared" si="0"/>
        <v>0.96552064680948435</v>
      </c>
      <c r="J6" s="15">
        <f t="shared" si="0"/>
        <v>0.96069304357543694</v>
      </c>
      <c r="K6" s="15">
        <f t="shared" si="0"/>
        <v>0.95588957835755972</v>
      </c>
      <c r="L6" s="15">
        <f t="shared" si="0"/>
        <v>0.95111013046577197</v>
      </c>
      <c r="M6" s="15">
        <f t="shared" si="0"/>
        <v>0.94635457981344306</v>
      </c>
      <c r="N6" s="15">
        <f t="shared" si="0"/>
        <v>0.94162280691437583</v>
      </c>
      <c r="O6" s="15">
        <f t="shared" si="0"/>
        <v>0.936914692879804</v>
      </c>
      <c r="P6" s="15">
        <f t="shared" si="0"/>
        <v>0.93223011941540501</v>
      </c>
      <c r="Q6" s="15">
        <f t="shared" si="0"/>
        <v>0.92756896881832795</v>
      </c>
      <c r="R6" s="15">
        <f t="shared" si="0"/>
        <v>0.92293112397423627</v>
      </c>
      <c r="S6" s="15">
        <f t="shared" si="0"/>
        <v>0.91831646835436509</v>
      </c>
      <c r="T6" s="15">
        <f t="shared" si="0"/>
        <v>0.91372488601259327</v>
      </c>
      <c r="U6" s="15">
        <f t="shared" si="0"/>
        <v>0.90915626158253027</v>
      </c>
      <c r="V6" s="15">
        <f t="shared" si="0"/>
        <v>0.90461048027461766</v>
      </c>
      <c r="W6" s="15">
        <f t="shared" si="0"/>
        <v>0.90008742787324458</v>
      </c>
      <c r="X6" s="15">
        <f t="shared" si="0"/>
        <v>0.89558699073387837</v>
      </c>
      <c r="Y6" s="15">
        <f t="shared" si="0"/>
        <v>0.89110905578020894</v>
      </c>
      <c r="Z6" s="15">
        <f t="shared" si="0"/>
        <v>0.88665351050130792</v>
      </c>
      <c r="AA6" s="15">
        <f t="shared" si="0"/>
        <v>0.88222024294880141</v>
      </c>
      <c r="AB6" s="15">
        <f t="shared" si="0"/>
        <v>0.87780914173405744</v>
      </c>
      <c r="AC6" s="15">
        <f t="shared" si="0"/>
        <v>0.87342009602538717</v>
      </c>
      <c r="AD6" s="15">
        <f t="shared" si="0"/>
        <v>0.86905299554526028</v>
      </c>
      <c r="AE6" s="15">
        <f t="shared" si="0"/>
        <v>0.86470773056753403</v>
      </c>
      <c r="AF6" s="15">
        <f t="shared" si="0"/>
        <v>0.86038419191469639</v>
      </c>
      <c r="AG6" s="15">
        <f t="shared" si="0"/>
        <v>0.8560822709551229</v>
      </c>
    </row>
    <row r="7" spans="1:33" x14ac:dyDescent="0.3">
      <c r="A7" s="2" t="s">
        <v>5</v>
      </c>
      <c r="B7" s="15">
        <v>1</v>
      </c>
      <c r="C7" s="15">
        <f t="shared" si="1"/>
        <v>0.995</v>
      </c>
      <c r="D7" s="15">
        <f t="shared" si="0"/>
        <v>0.99002500000000004</v>
      </c>
      <c r="E7" s="15">
        <f t="shared" si="0"/>
        <v>0.98507487500000002</v>
      </c>
      <c r="F7" s="15">
        <f t="shared" si="0"/>
        <v>0.98014950062500006</v>
      </c>
      <c r="G7" s="15">
        <f t="shared" si="0"/>
        <v>0.97524875312187509</v>
      </c>
      <c r="H7" s="15">
        <f t="shared" si="0"/>
        <v>0.97037250935626573</v>
      </c>
      <c r="I7" s="15">
        <f t="shared" si="0"/>
        <v>0.96552064680948435</v>
      </c>
      <c r="J7" s="15">
        <f t="shared" si="0"/>
        <v>0.96069304357543694</v>
      </c>
      <c r="K7" s="15">
        <f t="shared" si="0"/>
        <v>0.95588957835755972</v>
      </c>
      <c r="L7" s="15">
        <f t="shared" si="0"/>
        <v>0.95111013046577197</v>
      </c>
      <c r="M7" s="15">
        <f t="shared" si="0"/>
        <v>0.94635457981344306</v>
      </c>
      <c r="N7" s="15">
        <f t="shared" si="0"/>
        <v>0.94162280691437583</v>
      </c>
      <c r="O7" s="15">
        <f t="shared" si="0"/>
        <v>0.936914692879804</v>
      </c>
      <c r="P7" s="15">
        <f t="shared" si="0"/>
        <v>0.93223011941540501</v>
      </c>
      <c r="Q7" s="15">
        <f t="shared" si="0"/>
        <v>0.92756896881832795</v>
      </c>
      <c r="R7" s="15">
        <f t="shared" si="0"/>
        <v>0.92293112397423627</v>
      </c>
      <c r="S7" s="15">
        <f t="shared" si="0"/>
        <v>0.91831646835436509</v>
      </c>
      <c r="T7" s="15">
        <f t="shared" si="0"/>
        <v>0.91372488601259327</v>
      </c>
      <c r="U7" s="15">
        <f t="shared" si="0"/>
        <v>0.90915626158253027</v>
      </c>
      <c r="V7" s="15">
        <f t="shared" si="0"/>
        <v>0.90461048027461766</v>
      </c>
      <c r="W7" s="15">
        <f t="shared" si="0"/>
        <v>0.90008742787324458</v>
      </c>
      <c r="X7" s="15">
        <f t="shared" si="0"/>
        <v>0.89558699073387837</v>
      </c>
      <c r="Y7" s="15">
        <f t="shared" si="0"/>
        <v>0.89110905578020894</v>
      </c>
      <c r="Z7" s="15">
        <f t="shared" si="0"/>
        <v>0.88665351050130792</v>
      </c>
      <c r="AA7" s="15">
        <f t="shared" si="0"/>
        <v>0.88222024294880141</v>
      </c>
      <c r="AB7" s="15">
        <f t="shared" si="0"/>
        <v>0.87780914173405744</v>
      </c>
      <c r="AC7" s="15">
        <f t="shared" si="0"/>
        <v>0.87342009602538717</v>
      </c>
      <c r="AD7" s="15">
        <f t="shared" si="0"/>
        <v>0.86905299554526028</v>
      </c>
      <c r="AE7" s="15">
        <f t="shared" si="0"/>
        <v>0.86470773056753403</v>
      </c>
      <c r="AF7" s="15">
        <f t="shared" si="0"/>
        <v>0.86038419191469639</v>
      </c>
      <c r="AG7" s="15">
        <f t="shared" si="0"/>
        <v>0.8560822709551229</v>
      </c>
    </row>
    <row r="8" spans="1:33" x14ac:dyDescent="0.3">
      <c r="A8" s="2" t="s">
        <v>6</v>
      </c>
      <c r="B8" s="15">
        <v>1</v>
      </c>
      <c r="C8" s="15">
        <f t="shared" si="1"/>
        <v>0.995</v>
      </c>
      <c r="D8" s="15">
        <f t="shared" si="0"/>
        <v>0.99002500000000004</v>
      </c>
      <c r="E8" s="15">
        <f t="shared" si="0"/>
        <v>0.98507487500000002</v>
      </c>
      <c r="F8" s="15">
        <f t="shared" si="0"/>
        <v>0.98014950062500006</v>
      </c>
      <c r="G8" s="15">
        <f t="shared" si="0"/>
        <v>0.97524875312187509</v>
      </c>
      <c r="H8" s="15">
        <f t="shared" si="0"/>
        <v>0.97037250935626573</v>
      </c>
      <c r="I8" s="15">
        <f t="shared" si="0"/>
        <v>0.96552064680948435</v>
      </c>
      <c r="J8" s="15">
        <f t="shared" si="0"/>
        <v>0.96069304357543694</v>
      </c>
      <c r="K8" s="15">
        <f t="shared" si="0"/>
        <v>0.95588957835755972</v>
      </c>
      <c r="L8" s="15">
        <f t="shared" si="0"/>
        <v>0.95111013046577197</v>
      </c>
      <c r="M8" s="15">
        <f t="shared" si="0"/>
        <v>0.94635457981344306</v>
      </c>
      <c r="N8" s="15">
        <f t="shared" si="0"/>
        <v>0.94162280691437583</v>
      </c>
      <c r="O8" s="15">
        <f t="shared" si="0"/>
        <v>0.936914692879804</v>
      </c>
      <c r="P8" s="15">
        <f t="shared" si="0"/>
        <v>0.93223011941540501</v>
      </c>
      <c r="Q8" s="15">
        <f t="shared" si="0"/>
        <v>0.92756896881832795</v>
      </c>
      <c r="R8" s="15">
        <f t="shared" si="0"/>
        <v>0.92293112397423627</v>
      </c>
      <c r="S8" s="15">
        <f t="shared" si="0"/>
        <v>0.91831646835436509</v>
      </c>
      <c r="T8" s="15">
        <f t="shared" si="0"/>
        <v>0.91372488601259327</v>
      </c>
      <c r="U8" s="15">
        <f t="shared" si="0"/>
        <v>0.90915626158253027</v>
      </c>
      <c r="V8" s="15">
        <f t="shared" si="0"/>
        <v>0.90461048027461766</v>
      </c>
      <c r="W8" s="15">
        <f t="shared" si="0"/>
        <v>0.90008742787324458</v>
      </c>
      <c r="X8" s="15">
        <f t="shared" si="0"/>
        <v>0.89558699073387837</v>
      </c>
      <c r="Y8" s="15">
        <f t="shared" si="0"/>
        <v>0.89110905578020894</v>
      </c>
      <c r="Z8" s="15">
        <f t="shared" si="0"/>
        <v>0.88665351050130792</v>
      </c>
      <c r="AA8" s="15">
        <f t="shared" si="0"/>
        <v>0.88222024294880141</v>
      </c>
      <c r="AB8" s="15">
        <f t="shared" si="0"/>
        <v>0.87780914173405744</v>
      </c>
      <c r="AC8" s="15">
        <f t="shared" si="0"/>
        <v>0.87342009602538717</v>
      </c>
      <c r="AD8" s="15">
        <f t="shared" si="0"/>
        <v>0.86905299554526028</v>
      </c>
      <c r="AE8" s="15">
        <f t="shared" si="0"/>
        <v>0.86470773056753403</v>
      </c>
      <c r="AF8" s="15">
        <f t="shared" si="0"/>
        <v>0.86038419191469639</v>
      </c>
      <c r="AG8" s="15">
        <f t="shared" si="0"/>
        <v>0.8560822709551229</v>
      </c>
    </row>
    <row r="9" spans="1:33" x14ac:dyDescent="0.3">
      <c r="A9" s="2" t="s">
        <v>7</v>
      </c>
      <c r="B9" s="15">
        <v>1</v>
      </c>
      <c r="C9" s="15">
        <f t="shared" si="1"/>
        <v>0.995</v>
      </c>
      <c r="D9" s="15">
        <f t="shared" si="0"/>
        <v>0.99002500000000004</v>
      </c>
      <c r="E9" s="15">
        <f t="shared" si="0"/>
        <v>0.98507487500000002</v>
      </c>
      <c r="F9" s="15">
        <f t="shared" si="0"/>
        <v>0.98014950062500006</v>
      </c>
      <c r="G9" s="15">
        <f t="shared" si="0"/>
        <v>0.97524875312187509</v>
      </c>
      <c r="H9" s="15">
        <f t="shared" si="0"/>
        <v>0.97037250935626573</v>
      </c>
      <c r="I9" s="15">
        <f t="shared" si="0"/>
        <v>0.96552064680948435</v>
      </c>
      <c r="J9" s="15">
        <f t="shared" si="0"/>
        <v>0.96069304357543694</v>
      </c>
      <c r="K9" s="15">
        <f t="shared" si="0"/>
        <v>0.95588957835755972</v>
      </c>
      <c r="L9" s="15">
        <f t="shared" si="0"/>
        <v>0.95111013046577197</v>
      </c>
      <c r="M9" s="15">
        <f t="shared" si="0"/>
        <v>0.94635457981344306</v>
      </c>
      <c r="N9" s="15">
        <f t="shared" si="0"/>
        <v>0.94162280691437583</v>
      </c>
      <c r="O9" s="15">
        <f t="shared" si="0"/>
        <v>0.936914692879804</v>
      </c>
      <c r="P9" s="15">
        <f t="shared" si="0"/>
        <v>0.93223011941540501</v>
      </c>
      <c r="Q9" s="15">
        <f t="shared" si="0"/>
        <v>0.92756896881832795</v>
      </c>
      <c r="R9" s="15">
        <f t="shared" si="0"/>
        <v>0.92293112397423627</v>
      </c>
      <c r="S9" s="15">
        <f t="shared" si="0"/>
        <v>0.91831646835436509</v>
      </c>
      <c r="T9" s="15">
        <f t="shared" si="0"/>
        <v>0.91372488601259327</v>
      </c>
      <c r="U9" s="15">
        <f t="shared" si="0"/>
        <v>0.90915626158253027</v>
      </c>
      <c r="V9" s="15">
        <f t="shared" si="0"/>
        <v>0.90461048027461766</v>
      </c>
      <c r="W9" s="15">
        <f t="shared" si="0"/>
        <v>0.90008742787324458</v>
      </c>
      <c r="X9" s="15">
        <f t="shared" si="0"/>
        <v>0.89558699073387837</v>
      </c>
      <c r="Y9" s="15">
        <f t="shared" si="0"/>
        <v>0.89110905578020894</v>
      </c>
      <c r="Z9" s="15">
        <f t="shared" si="0"/>
        <v>0.88665351050130792</v>
      </c>
      <c r="AA9" s="15">
        <f t="shared" si="0"/>
        <v>0.88222024294880141</v>
      </c>
      <c r="AB9" s="15">
        <f t="shared" si="0"/>
        <v>0.87780914173405744</v>
      </c>
      <c r="AC9" s="15">
        <f t="shared" si="0"/>
        <v>0.87342009602538717</v>
      </c>
      <c r="AD9" s="15">
        <f t="shared" si="0"/>
        <v>0.86905299554526028</v>
      </c>
      <c r="AE9" s="15">
        <f t="shared" si="0"/>
        <v>0.86470773056753403</v>
      </c>
      <c r="AF9" s="15">
        <f t="shared" si="0"/>
        <v>0.86038419191469639</v>
      </c>
      <c r="AG9" s="15">
        <f t="shared" si="0"/>
        <v>0.8560822709551229</v>
      </c>
    </row>
    <row r="10" spans="1:33" x14ac:dyDescent="0.3">
      <c r="A10" s="2" t="s">
        <v>8</v>
      </c>
      <c r="B10" s="15">
        <v>1</v>
      </c>
      <c r="C10" s="15">
        <f t="shared" si="1"/>
        <v>0.995</v>
      </c>
      <c r="D10" s="15">
        <f t="shared" si="0"/>
        <v>0.99002500000000004</v>
      </c>
      <c r="E10" s="15">
        <f t="shared" si="0"/>
        <v>0.98507487500000002</v>
      </c>
      <c r="F10" s="15">
        <f t="shared" si="0"/>
        <v>0.98014950062500006</v>
      </c>
      <c r="G10" s="15">
        <f t="shared" si="0"/>
        <v>0.97524875312187509</v>
      </c>
      <c r="H10" s="15">
        <f t="shared" si="0"/>
        <v>0.97037250935626573</v>
      </c>
      <c r="I10" s="15">
        <f t="shared" si="0"/>
        <v>0.96552064680948435</v>
      </c>
      <c r="J10" s="15">
        <f t="shared" si="0"/>
        <v>0.96069304357543694</v>
      </c>
      <c r="K10" s="15">
        <f t="shared" si="0"/>
        <v>0.95588957835755972</v>
      </c>
      <c r="L10" s="15">
        <f t="shared" si="0"/>
        <v>0.95111013046577197</v>
      </c>
      <c r="M10" s="15">
        <f t="shared" si="0"/>
        <v>0.94635457981344306</v>
      </c>
      <c r="N10" s="15">
        <f t="shared" si="0"/>
        <v>0.94162280691437583</v>
      </c>
      <c r="O10" s="15">
        <f t="shared" si="0"/>
        <v>0.936914692879804</v>
      </c>
      <c r="P10" s="15">
        <f t="shared" si="0"/>
        <v>0.93223011941540501</v>
      </c>
      <c r="Q10" s="15">
        <f t="shared" si="0"/>
        <v>0.92756896881832795</v>
      </c>
      <c r="R10" s="15">
        <f t="shared" si="0"/>
        <v>0.92293112397423627</v>
      </c>
      <c r="S10" s="15">
        <f t="shared" si="0"/>
        <v>0.91831646835436509</v>
      </c>
      <c r="T10" s="15">
        <f t="shared" si="0"/>
        <v>0.91372488601259327</v>
      </c>
      <c r="U10" s="15">
        <f t="shared" si="0"/>
        <v>0.90915626158253027</v>
      </c>
      <c r="V10" s="15">
        <f t="shared" si="0"/>
        <v>0.90461048027461766</v>
      </c>
      <c r="W10" s="15">
        <f t="shared" si="0"/>
        <v>0.90008742787324458</v>
      </c>
      <c r="X10" s="15">
        <f t="shared" si="0"/>
        <v>0.89558699073387837</v>
      </c>
      <c r="Y10" s="15">
        <f t="shared" si="0"/>
        <v>0.89110905578020894</v>
      </c>
      <c r="Z10" s="15">
        <f t="shared" si="0"/>
        <v>0.88665351050130792</v>
      </c>
      <c r="AA10" s="15">
        <f t="shared" si="0"/>
        <v>0.88222024294880141</v>
      </c>
      <c r="AB10" s="15">
        <f t="shared" si="0"/>
        <v>0.87780914173405744</v>
      </c>
      <c r="AC10" s="15">
        <f t="shared" si="0"/>
        <v>0.87342009602538717</v>
      </c>
      <c r="AD10" s="15">
        <f t="shared" si="0"/>
        <v>0.86905299554526028</v>
      </c>
      <c r="AE10" s="15">
        <f t="shared" si="0"/>
        <v>0.86470773056753403</v>
      </c>
      <c r="AF10" s="15">
        <f t="shared" si="0"/>
        <v>0.86038419191469639</v>
      </c>
      <c r="AG10" s="15">
        <f t="shared" si="0"/>
        <v>0.8560822709551229</v>
      </c>
    </row>
    <row r="11" spans="1:33" x14ac:dyDescent="0.3">
      <c r="A11" s="2" t="s">
        <v>9</v>
      </c>
      <c r="B11" s="15">
        <v>1</v>
      </c>
      <c r="C11" s="15">
        <f t="shared" si="1"/>
        <v>0.995</v>
      </c>
      <c r="D11" s="15">
        <f t="shared" ref="D11:AG18" si="2">C11-C11*0.005</f>
        <v>0.99002500000000004</v>
      </c>
      <c r="E11" s="15">
        <f t="shared" si="2"/>
        <v>0.98507487500000002</v>
      </c>
      <c r="F11" s="15">
        <f t="shared" si="2"/>
        <v>0.98014950062500006</v>
      </c>
      <c r="G11" s="15">
        <f t="shared" si="2"/>
        <v>0.97524875312187509</v>
      </c>
      <c r="H11" s="15">
        <f t="shared" si="2"/>
        <v>0.97037250935626573</v>
      </c>
      <c r="I11" s="15">
        <f t="shared" si="2"/>
        <v>0.96552064680948435</v>
      </c>
      <c r="J11" s="15">
        <f t="shared" si="2"/>
        <v>0.96069304357543694</v>
      </c>
      <c r="K11" s="15">
        <f t="shared" si="2"/>
        <v>0.95588957835755972</v>
      </c>
      <c r="L11" s="15">
        <f t="shared" si="2"/>
        <v>0.95111013046577197</v>
      </c>
      <c r="M11" s="15">
        <f t="shared" si="2"/>
        <v>0.94635457981344306</v>
      </c>
      <c r="N11" s="15">
        <f t="shared" si="2"/>
        <v>0.94162280691437583</v>
      </c>
      <c r="O11" s="15">
        <f t="shared" si="2"/>
        <v>0.936914692879804</v>
      </c>
      <c r="P11" s="15">
        <f t="shared" si="2"/>
        <v>0.93223011941540501</v>
      </c>
      <c r="Q11" s="15">
        <f t="shared" si="2"/>
        <v>0.92756896881832795</v>
      </c>
      <c r="R11" s="15">
        <f t="shared" si="2"/>
        <v>0.92293112397423627</v>
      </c>
      <c r="S11" s="15">
        <f t="shared" si="2"/>
        <v>0.91831646835436509</v>
      </c>
      <c r="T11" s="15">
        <f t="shared" si="2"/>
        <v>0.91372488601259327</v>
      </c>
      <c r="U11" s="15">
        <f t="shared" si="2"/>
        <v>0.90915626158253027</v>
      </c>
      <c r="V11" s="15">
        <f t="shared" si="2"/>
        <v>0.90461048027461766</v>
      </c>
      <c r="W11" s="15">
        <f t="shared" si="2"/>
        <v>0.90008742787324458</v>
      </c>
      <c r="X11" s="15">
        <f t="shared" si="2"/>
        <v>0.89558699073387837</v>
      </c>
      <c r="Y11" s="15">
        <f t="shared" si="2"/>
        <v>0.89110905578020894</v>
      </c>
      <c r="Z11" s="15">
        <f t="shared" si="2"/>
        <v>0.88665351050130792</v>
      </c>
      <c r="AA11" s="15">
        <f t="shared" si="2"/>
        <v>0.88222024294880141</v>
      </c>
      <c r="AB11" s="15">
        <f t="shared" si="2"/>
        <v>0.87780914173405744</v>
      </c>
      <c r="AC11" s="15">
        <f t="shared" si="2"/>
        <v>0.87342009602538717</v>
      </c>
      <c r="AD11" s="15">
        <f t="shared" si="2"/>
        <v>0.86905299554526028</v>
      </c>
      <c r="AE11" s="15">
        <f t="shared" si="2"/>
        <v>0.86470773056753403</v>
      </c>
      <c r="AF11" s="15">
        <f t="shared" si="2"/>
        <v>0.86038419191469639</v>
      </c>
      <c r="AG11" s="15">
        <f t="shared" si="2"/>
        <v>0.8560822709551229</v>
      </c>
    </row>
    <row r="12" spans="1:33" x14ac:dyDescent="0.3">
      <c r="A12" s="2" t="s">
        <v>10</v>
      </c>
      <c r="B12" s="15">
        <v>1</v>
      </c>
      <c r="C12" s="15">
        <f t="shared" si="1"/>
        <v>0.995</v>
      </c>
      <c r="D12" s="15">
        <f t="shared" si="2"/>
        <v>0.99002500000000004</v>
      </c>
      <c r="E12" s="15">
        <f t="shared" si="2"/>
        <v>0.98507487500000002</v>
      </c>
      <c r="F12" s="15">
        <f t="shared" si="2"/>
        <v>0.98014950062500006</v>
      </c>
      <c r="G12" s="15">
        <f t="shared" si="2"/>
        <v>0.97524875312187509</v>
      </c>
      <c r="H12" s="15">
        <f t="shared" si="2"/>
        <v>0.97037250935626573</v>
      </c>
      <c r="I12" s="15">
        <f t="shared" si="2"/>
        <v>0.96552064680948435</v>
      </c>
      <c r="J12" s="15">
        <f t="shared" si="2"/>
        <v>0.96069304357543694</v>
      </c>
      <c r="K12" s="15">
        <f t="shared" si="2"/>
        <v>0.95588957835755972</v>
      </c>
      <c r="L12" s="15">
        <f t="shared" si="2"/>
        <v>0.95111013046577197</v>
      </c>
      <c r="M12" s="15">
        <f t="shared" si="2"/>
        <v>0.94635457981344306</v>
      </c>
      <c r="N12" s="15">
        <f t="shared" si="2"/>
        <v>0.94162280691437583</v>
      </c>
      <c r="O12" s="15">
        <f t="shared" si="2"/>
        <v>0.936914692879804</v>
      </c>
      <c r="P12" s="15">
        <f t="shared" si="2"/>
        <v>0.93223011941540501</v>
      </c>
      <c r="Q12" s="15">
        <f t="shared" si="2"/>
        <v>0.92756896881832795</v>
      </c>
      <c r="R12" s="15">
        <f t="shared" si="2"/>
        <v>0.92293112397423627</v>
      </c>
      <c r="S12" s="15">
        <f t="shared" si="2"/>
        <v>0.91831646835436509</v>
      </c>
      <c r="T12" s="15">
        <f t="shared" si="2"/>
        <v>0.91372488601259327</v>
      </c>
      <c r="U12" s="15">
        <f t="shared" si="2"/>
        <v>0.90915626158253027</v>
      </c>
      <c r="V12" s="15">
        <f t="shared" si="2"/>
        <v>0.90461048027461766</v>
      </c>
      <c r="W12" s="15">
        <f t="shared" si="2"/>
        <v>0.90008742787324458</v>
      </c>
      <c r="X12" s="15">
        <f t="shared" si="2"/>
        <v>0.89558699073387837</v>
      </c>
      <c r="Y12" s="15">
        <f t="shared" si="2"/>
        <v>0.89110905578020894</v>
      </c>
      <c r="Z12" s="15">
        <f t="shared" si="2"/>
        <v>0.88665351050130792</v>
      </c>
      <c r="AA12" s="15">
        <f t="shared" si="2"/>
        <v>0.88222024294880141</v>
      </c>
      <c r="AB12" s="15">
        <f t="shared" si="2"/>
        <v>0.87780914173405744</v>
      </c>
      <c r="AC12" s="15">
        <f t="shared" si="2"/>
        <v>0.87342009602538717</v>
      </c>
      <c r="AD12" s="15">
        <f t="shared" si="2"/>
        <v>0.86905299554526028</v>
      </c>
      <c r="AE12" s="15">
        <f t="shared" si="2"/>
        <v>0.86470773056753403</v>
      </c>
      <c r="AF12" s="15">
        <f t="shared" si="2"/>
        <v>0.86038419191469639</v>
      </c>
      <c r="AG12" s="15">
        <f t="shared" si="2"/>
        <v>0.8560822709551229</v>
      </c>
    </row>
    <row r="13" spans="1:33" x14ac:dyDescent="0.3">
      <c r="A13" s="2" t="s">
        <v>11</v>
      </c>
      <c r="B13" s="15">
        <v>1</v>
      </c>
      <c r="C13" s="15">
        <f t="shared" si="1"/>
        <v>0.995</v>
      </c>
      <c r="D13" s="15">
        <f t="shared" si="2"/>
        <v>0.99002500000000004</v>
      </c>
      <c r="E13" s="15">
        <f t="shared" si="2"/>
        <v>0.98507487500000002</v>
      </c>
      <c r="F13" s="15">
        <f t="shared" si="2"/>
        <v>0.98014950062500006</v>
      </c>
      <c r="G13" s="15">
        <f t="shared" si="2"/>
        <v>0.97524875312187509</v>
      </c>
      <c r="H13" s="15">
        <f t="shared" si="2"/>
        <v>0.97037250935626573</v>
      </c>
      <c r="I13" s="15">
        <f t="shared" si="2"/>
        <v>0.96552064680948435</v>
      </c>
      <c r="J13" s="15">
        <f t="shared" si="2"/>
        <v>0.96069304357543694</v>
      </c>
      <c r="K13" s="15">
        <f t="shared" si="2"/>
        <v>0.95588957835755972</v>
      </c>
      <c r="L13" s="15">
        <f t="shared" si="2"/>
        <v>0.95111013046577197</v>
      </c>
      <c r="M13" s="15">
        <f t="shared" si="2"/>
        <v>0.94635457981344306</v>
      </c>
      <c r="N13" s="15">
        <f t="shared" si="2"/>
        <v>0.94162280691437583</v>
      </c>
      <c r="O13" s="15">
        <f t="shared" si="2"/>
        <v>0.936914692879804</v>
      </c>
      <c r="P13" s="15">
        <f t="shared" si="2"/>
        <v>0.93223011941540501</v>
      </c>
      <c r="Q13" s="15">
        <f t="shared" si="2"/>
        <v>0.92756896881832795</v>
      </c>
      <c r="R13" s="15">
        <f t="shared" si="2"/>
        <v>0.92293112397423627</v>
      </c>
      <c r="S13" s="15">
        <f t="shared" si="2"/>
        <v>0.91831646835436509</v>
      </c>
      <c r="T13" s="15">
        <f t="shared" si="2"/>
        <v>0.91372488601259327</v>
      </c>
      <c r="U13" s="15">
        <f t="shared" si="2"/>
        <v>0.90915626158253027</v>
      </c>
      <c r="V13" s="15">
        <f t="shared" si="2"/>
        <v>0.90461048027461766</v>
      </c>
      <c r="W13" s="15">
        <f t="shared" si="2"/>
        <v>0.90008742787324458</v>
      </c>
      <c r="X13" s="15">
        <f t="shared" si="2"/>
        <v>0.89558699073387837</v>
      </c>
      <c r="Y13" s="15">
        <f t="shared" si="2"/>
        <v>0.89110905578020894</v>
      </c>
      <c r="Z13" s="15">
        <f t="shared" si="2"/>
        <v>0.88665351050130792</v>
      </c>
      <c r="AA13" s="15">
        <f t="shared" si="2"/>
        <v>0.88222024294880141</v>
      </c>
      <c r="AB13" s="15">
        <f t="shared" si="2"/>
        <v>0.87780914173405744</v>
      </c>
      <c r="AC13" s="15">
        <f t="shared" si="2"/>
        <v>0.87342009602538717</v>
      </c>
      <c r="AD13" s="15">
        <f t="shared" si="2"/>
        <v>0.86905299554526028</v>
      </c>
      <c r="AE13" s="15">
        <f t="shared" si="2"/>
        <v>0.86470773056753403</v>
      </c>
      <c r="AF13" s="15">
        <f t="shared" si="2"/>
        <v>0.86038419191469639</v>
      </c>
      <c r="AG13" s="15">
        <f t="shared" si="2"/>
        <v>0.8560822709551229</v>
      </c>
    </row>
    <row r="14" spans="1:33" x14ac:dyDescent="0.3">
      <c r="A14" s="2" t="s">
        <v>12</v>
      </c>
      <c r="B14" s="15">
        <v>1</v>
      </c>
      <c r="C14" s="15">
        <f t="shared" si="1"/>
        <v>0.995</v>
      </c>
      <c r="D14" s="15">
        <f t="shared" si="2"/>
        <v>0.99002500000000004</v>
      </c>
      <c r="E14" s="15">
        <f t="shared" si="2"/>
        <v>0.98507487500000002</v>
      </c>
      <c r="F14" s="15">
        <f t="shared" si="2"/>
        <v>0.98014950062500006</v>
      </c>
      <c r="G14" s="15">
        <f t="shared" si="2"/>
        <v>0.97524875312187509</v>
      </c>
      <c r="H14" s="15">
        <f t="shared" si="2"/>
        <v>0.97037250935626573</v>
      </c>
      <c r="I14" s="15">
        <f t="shared" si="2"/>
        <v>0.96552064680948435</v>
      </c>
      <c r="J14" s="15">
        <f t="shared" si="2"/>
        <v>0.96069304357543694</v>
      </c>
      <c r="K14" s="15">
        <f t="shared" si="2"/>
        <v>0.95588957835755972</v>
      </c>
      <c r="L14" s="15">
        <f t="shared" si="2"/>
        <v>0.95111013046577197</v>
      </c>
      <c r="M14" s="15">
        <f t="shared" si="2"/>
        <v>0.94635457981344306</v>
      </c>
      <c r="N14" s="15">
        <f t="shared" si="2"/>
        <v>0.94162280691437583</v>
      </c>
      <c r="O14" s="15">
        <f t="shared" si="2"/>
        <v>0.936914692879804</v>
      </c>
      <c r="P14" s="15">
        <f t="shared" si="2"/>
        <v>0.93223011941540501</v>
      </c>
      <c r="Q14" s="15">
        <f t="shared" si="2"/>
        <v>0.92756896881832795</v>
      </c>
      <c r="R14" s="15">
        <f t="shared" si="2"/>
        <v>0.92293112397423627</v>
      </c>
      <c r="S14" s="15">
        <f t="shared" si="2"/>
        <v>0.91831646835436509</v>
      </c>
      <c r="T14" s="15">
        <f t="shared" si="2"/>
        <v>0.91372488601259327</v>
      </c>
      <c r="U14" s="15">
        <f t="shared" si="2"/>
        <v>0.90915626158253027</v>
      </c>
      <c r="V14" s="15">
        <f t="shared" si="2"/>
        <v>0.90461048027461766</v>
      </c>
      <c r="W14" s="15">
        <f t="shared" si="2"/>
        <v>0.90008742787324458</v>
      </c>
      <c r="X14" s="15">
        <f t="shared" si="2"/>
        <v>0.89558699073387837</v>
      </c>
      <c r="Y14" s="15">
        <f t="shared" si="2"/>
        <v>0.89110905578020894</v>
      </c>
      <c r="Z14" s="15">
        <f t="shared" si="2"/>
        <v>0.88665351050130792</v>
      </c>
      <c r="AA14" s="15">
        <f t="shared" si="2"/>
        <v>0.88222024294880141</v>
      </c>
      <c r="AB14" s="15">
        <f t="shared" si="2"/>
        <v>0.87780914173405744</v>
      </c>
      <c r="AC14" s="15">
        <f t="shared" si="2"/>
        <v>0.87342009602538717</v>
      </c>
      <c r="AD14" s="15">
        <f t="shared" si="2"/>
        <v>0.86905299554526028</v>
      </c>
      <c r="AE14" s="15">
        <f t="shared" si="2"/>
        <v>0.86470773056753403</v>
      </c>
      <c r="AF14" s="15">
        <f t="shared" si="2"/>
        <v>0.86038419191469639</v>
      </c>
      <c r="AG14" s="15">
        <f t="shared" si="2"/>
        <v>0.8560822709551229</v>
      </c>
    </row>
    <row r="15" spans="1:33" x14ac:dyDescent="0.3">
      <c r="A15" s="2" t="s">
        <v>13</v>
      </c>
      <c r="B15" s="15">
        <v>1</v>
      </c>
      <c r="C15" s="15">
        <f t="shared" si="1"/>
        <v>0.995</v>
      </c>
      <c r="D15" s="15">
        <f t="shared" si="2"/>
        <v>0.99002500000000004</v>
      </c>
      <c r="E15" s="15">
        <f t="shared" si="2"/>
        <v>0.98507487500000002</v>
      </c>
      <c r="F15" s="15">
        <f t="shared" si="2"/>
        <v>0.98014950062500006</v>
      </c>
      <c r="G15" s="15">
        <f t="shared" si="2"/>
        <v>0.97524875312187509</v>
      </c>
      <c r="H15" s="15">
        <f t="shared" si="2"/>
        <v>0.97037250935626573</v>
      </c>
      <c r="I15" s="15">
        <f t="shared" si="2"/>
        <v>0.96552064680948435</v>
      </c>
      <c r="J15" s="15">
        <f t="shared" si="2"/>
        <v>0.96069304357543694</v>
      </c>
      <c r="K15" s="15">
        <f t="shared" si="2"/>
        <v>0.95588957835755972</v>
      </c>
      <c r="L15" s="15">
        <f t="shared" si="2"/>
        <v>0.95111013046577197</v>
      </c>
      <c r="M15" s="15">
        <f t="shared" si="2"/>
        <v>0.94635457981344306</v>
      </c>
      <c r="N15" s="15">
        <f t="shared" si="2"/>
        <v>0.94162280691437583</v>
      </c>
      <c r="O15" s="15">
        <f t="shared" si="2"/>
        <v>0.936914692879804</v>
      </c>
      <c r="P15" s="15">
        <f t="shared" si="2"/>
        <v>0.93223011941540501</v>
      </c>
      <c r="Q15" s="15">
        <f t="shared" si="2"/>
        <v>0.92756896881832795</v>
      </c>
      <c r="R15" s="15">
        <f t="shared" si="2"/>
        <v>0.92293112397423627</v>
      </c>
      <c r="S15" s="15">
        <f t="shared" si="2"/>
        <v>0.91831646835436509</v>
      </c>
      <c r="T15" s="15">
        <f t="shared" si="2"/>
        <v>0.91372488601259327</v>
      </c>
      <c r="U15" s="15">
        <f t="shared" si="2"/>
        <v>0.90915626158253027</v>
      </c>
      <c r="V15" s="15">
        <f t="shared" si="2"/>
        <v>0.90461048027461766</v>
      </c>
      <c r="W15" s="15">
        <f t="shared" si="2"/>
        <v>0.90008742787324458</v>
      </c>
      <c r="X15" s="15">
        <f t="shared" si="2"/>
        <v>0.89558699073387837</v>
      </c>
      <c r="Y15" s="15">
        <f t="shared" si="2"/>
        <v>0.89110905578020894</v>
      </c>
      <c r="Z15" s="15">
        <f t="shared" si="2"/>
        <v>0.88665351050130792</v>
      </c>
      <c r="AA15" s="15">
        <f t="shared" si="2"/>
        <v>0.88222024294880141</v>
      </c>
      <c r="AB15" s="15">
        <f t="shared" si="2"/>
        <v>0.87780914173405744</v>
      </c>
      <c r="AC15" s="15">
        <f t="shared" si="2"/>
        <v>0.87342009602538717</v>
      </c>
      <c r="AD15" s="15">
        <f t="shared" si="2"/>
        <v>0.86905299554526028</v>
      </c>
      <c r="AE15" s="15">
        <f t="shared" si="2"/>
        <v>0.86470773056753403</v>
      </c>
      <c r="AF15" s="15">
        <f t="shared" si="2"/>
        <v>0.86038419191469639</v>
      </c>
      <c r="AG15" s="15">
        <f t="shared" si="2"/>
        <v>0.8560822709551229</v>
      </c>
    </row>
    <row r="16" spans="1:33" x14ac:dyDescent="0.3">
      <c r="A16" s="2" t="s">
        <v>14</v>
      </c>
      <c r="B16" s="15">
        <v>1</v>
      </c>
      <c r="C16" s="15">
        <f t="shared" si="1"/>
        <v>0.995</v>
      </c>
      <c r="D16" s="15">
        <f t="shared" si="2"/>
        <v>0.99002500000000004</v>
      </c>
      <c r="E16" s="15">
        <f t="shared" si="2"/>
        <v>0.98507487500000002</v>
      </c>
      <c r="F16" s="15">
        <f t="shared" si="2"/>
        <v>0.98014950062500006</v>
      </c>
      <c r="G16" s="15">
        <f t="shared" si="2"/>
        <v>0.97524875312187509</v>
      </c>
      <c r="H16" s="15">
        <f t="shared" si="2"/>
        <v>0.97037250935626573</v>
      </c>
      <c r="I16" s="15">
        <f t="shared" si="2"/>
        <v>0.96552064680948435</v>
      </c>
      <c r="J16" s="15">
        <f t="shared" si="2"/>
        <v>0.96069304357543694</v>
      </c>
      <c r="K16" s="15">
        <f t="shared" si="2"/>
        <v>0.95588957835755972</v>
      </c>
      <c r="L16" s="15">
        <f t="shared" si="2"/>
        <v>0.95111013046577197</v>
      </c>
      <c r="M16" s="15">
        <f t="shared" si="2"/>
        <v>0.94635457981344306</v>
      </c>
      <c r="N16" s="15">
        <f t="shared" si="2"/>
        <v>0.94162280691437583</v>
      </c>
      <c r="O16" s="15">
        <f t="shared" si="2"/>
        <v>0.936914692879804</v>
      </c>
      <c r="P16" s="15">
        <f t="shared" si="2"/>
        <v>0.93223011941540501</v>
      </c>
      <c r="Q16" s="15">
        <f t="shared" si="2"/>
        <v>0.92756896881832795</v>
      </c>
      <c r="R16" s="15">
        <f t="shared" si="2"/>
        <v>0.92293112397423627</v>
      </c>
      <c r="S16" s="15">
        <f t="shared" si="2"/>
        <v>0.91831646835436509</v>
      </c>
      <c r="T16" s="15">
        <f t="shared" si="2"/>
        <v>0.91372488601259327</v>
      </c>
      <c r="U16" s="15">
        <f t="shared" si="2"/>
        <v>0.90915626158253027</v>
      </c>
      <c r="V16" s="15">
        <f t="shared" si="2"/>
        <v>0.90461048027461766</v>
      </c>
      <c r="W16" s="15">
        <f t="shared" si="2"/>
        <v>0.90008742787324458</v>
      </c>
      <c r="X16" s="15">
        <f t="shared" si="2"/>
        <v>0.89558699073387837</v>
      </c>
      <c r="Y16" s="15">
        <f t="shared" si="2"/>
        <v>0.89110905578020894</v>
      </c>
      <c r="Z16" s="15">
        <f t="shared" si="2"/>
        <v>0.88665351050130792</v>
      </c>
      <c r="AA16" s="15">
        <f t="shared" si="2"/>
        <v>0.88222024294880141</v>
      </c>
      <c r="AB16" s="15">
        <f t="shared" si="2"/>
        <v>0.87780914173405744</v>
      </c>
      <c r="AC16" s="15">
        <f t="shared" si="2"/>
        <v>0.87342009602538717</v>
      </c>
      <c r="AD16" s="15">
        <f t="shared" si="2"/>
        <v>0.86905299554526028</v>
      </c>
      <c r="AE16" s="15">
        <f t="shared" si="2"/>
        <v>0.86470773056753403</v>
      </c>
      <c r="AF16" s="15">
        <f t="shared" si="2"/>
        <v>0.86038419191469639</v>
      </c>
      <c r="AG16" s="15">
        <f t="shared" si="2"/>
        <v>0.8560822709551229</v>
      </c>
    </row>
    <row r="17" spans="1:33" x14ac:dyDescent="0.3">
      <c r="A17" s="2" t="s">
        <v>15</v>
      </c>
      <c r="B17" s="15">
        <v>1</v>
      </c>
      <c r="C17" s="15">
        <f t="shared" si="1"/>
        <v>0.995</v>
      </c>
      <c r="D17" s="15">
        <f t="shared" si="2"/>
        <v>0.99002500000000004</v>
      </c>
      <c r="E17" s="15">
        <f t="shared" si="2"/>
        <v>0.98507487500000002</v>
      </c>
      <c r="F17" s="15">
        <f t="shared" si="2"/>
        <v>0.98014950062500006</v>
      </c>
      <c r="G17" s="15">
        <f t="shared" si="2"/>
        <v>0.97524875312187509</v>
      </c>
      <c r="H17" s="15">
        <f t="shared" si="2"/>
        <v>0.97037250935626573</v>
      </c>
      <c r="I17" s="15">
        <f t="shared" si="2"/>
        <v>0.96552064680948435</v>
      </c>
      <c r="J17" s="15">
        <f t="shared" si="2"/>
        <v>0.96069304357543694</v>
      </c>
      <c r="K17" s="15">
        <f t="shared" si="2"/>
        <v>0.95588957835755972</v>
      </c>
      <c r="L17" s="15">
        <f t="shared" si="2"/>
        <v>0.95111013046577197</v>
      </c>
      <c r="M17" s="15">
        <f t="shared" si="2"/>
        <v>0.94635457981344306</v>
      </c>
      <c r="N17" s="15">
        <f t="shared" si="2"/>
        <v>0.94162280691437583</v>
      </c>
      <c r="O17" s="15">
        <f t="shared" si="2"/>
        <v>0.936914692879804</v>
      </c>
      <c r="P17" s="15">
        <f t="shared" si="2"/>
        <v>0.93223011941540501</v>
      </c>
      <c r="Q17" s="15">
        <f t="shared" si="2"/>
        <v>0.92756896881832795</v>
      </c>
      <c r="R17" s="15">
        <f t="shared" si="2"/>
        <v>0.92293112397423627</v>
      </c>
      <c r="S17" s="15">
        <f t="shared" si="2"/>
        <v>0.91831646835436509</v>
      </c>
      <c r="T17" s="15">
        <f t="shared" si="2"/>
        <v>0.91372488601259327</v>
      </c>
      <c r="U17" s="15">
        <f t="shared" si="2"/>
        <v>0.90915626158253027</v>
      </c>
      <c r="V17" s="15">
        <f t="shared" si="2"/>
        <v>0.90461048027461766</v>
      </c>
      <c r="W17" s="15">
        <f t="shared" si="2"/>
        <v>0.90008742787324458</v>
      </c>
      <c r="X17" s="15">
        <f t="shared" si="2"/>
        <v>0.89558699073387837</v>
      </c>
      <c r="Y17" s="15">
        <f t="shared" si="2"/>
        <v>0.89110905578020894</v>
      </c>
      <c r="Z17" s="15">
        <f t="shared" si="2"/>
        <v>0.88665351050130792</v>
      </c>
      <c r="AA17" s="15">
        <f t="shared" si="2"/>
        <v>0.88222024294880141</v>
      </c>
      <c r="AB17" s="15">
        <f t="shared" si="2"/>
        <v>0.87780914173405744</v>
      </c>
      <c r="AC17" s="15">
        <f t="shared" si="2"/>
        <v>0.87342009602538717</v>
      </c>
      <c r="AD17" s="15">
        <f t="shared" si="2"/>
        <v>0.86905299554526028</v>
      </c>
      <c r="AE17" s="15">
        <f t="shared" si="2"/>
        <v>0.86470773056753403</v>
      </c>
      <c r="AF17" s="15">
        <f t="shared" si="2"/>
        <v>0.86038419191469639</v>
      </c>
      <c r="AG17" s="15">
        <f t="shared" si="2"/>
        <v>0.8560822709551229</v>
      </c>
    </row>
    <row r="18" spans="1:33" x14ac:dyDescent="0.3">
      <c r="A18" s="2" t="s">
        <v>16</v>
      </c>
      <c r="B18" s="15">
        <v>1</v>
      </c>
      <c r="C18" s="15">
        <f t="shared" si="1"/>
        <v>0.995</v>
      </c>
      <c r="D18" s="15">
        <f t="shared" si="2"/>
        <v>0.99002500000000004</v>
      </c>
      <c r="E18" s="15">
        <f t="shared" si="2"/>
        <v>0.98507487500000002</v>
      </c>
      <c r="F18" s="15">
        <f t="shared" si="2"/>
        <v>0.98014950062500006</v>
      </c>
      <c r="G18" s="15">
        <f t="shared" si="2"/>
        <v>0.97524875312187509</v>
      </c>
      <c r="H18" s="15">
        <f t="shared" si="2"/>
        <v>0.97037250935626573</v>
      </c>
      <c r="I18" s="15">
        <f t="shared" si="2"/>
        <v>0.96552064680948435</v>
      </c>
      <c r="J18" s="15">
        <f t="shared" si="2"/>
        <v>0.96069304357543694</v>
      </c>
      <c r="K18" s="15">
        <f t="shared" si="2"/>
        <v>0.95588957835755972</v>
      </c>
      <c r="L18" s="15">
        <f t="shared" si="2"/>
        <v>0.95111013046577197</v>
      </c>
      <c r="M18" s="15">
        <f t="shared" si="2"/>
        <v>0.94635457981344306</v>
      </c>
      <c r="N18" s="15">
        <f t="shared" si="2"/>
        <v>0.94162280691437583</v>
      </c>
      <c r="O18" s="15">
        <f t="shared" si="2"/>
        <v>0.936914692879804</v>
      </c>
      <c r="P18" s="15">
        <f t="shared" si="2"/>
        <v>0.93223011941540501</v>
      </c>
      <c r="Q18" s="15">
        <f t="shared" si="2"/>
        <v>0.92756896881832795</v>
      </c>
      <c r="R18" s="15">
        <f t="shared" si="2"/>
        <v>0.92293112397423627</v>
      </c>
      <c r="S18" s="15">
        <f t="shared" si="2"/>
        <v>0.91831646835436509</v>
      </c>
      <c r="T18" s="15">
        <f t="shared" si="2"/>
        <v>0.91372488601259327</v>
      </c>
      <c r="U18" s="15">
        <f t="shared" si="2"/>
        <v>0.90915626158253027</v>
      </c>
      <c r="V18" s="15">
        <f t="shared" si="2"/>
        <v>0.90461048027461766</v>
      </c>
      <c r="W18" s="15">
        <f t="shared" si="2"/>
        <v>0.90008742787324458</v>
      </c>
      <c r="X18" s="15">
        <f t="shared" si="2"/>
        <v>0.89558699073387837</v>
      </c>
      <c r="Y18" s="15">
        <f t="shared" si="2"/>
        <v>0.89110905578020894</v>
      </c>
      <c r="Z18" s="15">
        <f t="shared" si="2"/>
        <v>0.88665351050130792</v>
      </c>
      <c r="AA18" s="15">
        <f t="shared" si="2"/>
        <v>0.88222024294880141</v>
      </c>
      <c r="AB18" s="15">
        <f t="shared" si="2"/>
        <v>0.87780914173405744</v>
      </c>
      <c r="AC18" s="15">
        <f t="shared" si="2"/>
        <v>0.87342009602538717</v>
      </c>
      <c r="AD18" s="15">
        <f t="shared" si="2"/>
        <v>0.86905299554526028</v>
      </c>
      <c r="AE18" s="15">
        <f t="shared" si="2"/>
        <v>0.86470773056753403</v>
      </c>
      <c r="AF18" s="15">
        <f t="shared" si="2"/>
        <v>0.86038419191469639</v>
      </c>
      <c r="AG18" s="15">
        <f t="shared" si="2"/>
        <v>0.8560822709551229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workbookViewId="0">
      <selection activeCell="E6" sqref="E6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4">
        <v>2019</v>
      </c>
      <c r="C1" s="14">
        <v>2020</v>
      </c>
      <c r="D1" s="14">
        <v>2021</v>
      </c>
      <c r="E1" s="14">
        <v>2022</v>
      </c>
      <c r="F1" s="14">
        <v>2023</v>
      </c>
      <c r="G1" s="14">
        <v>2024</v>
      </c>
      <c r="H1" s="14">
        <v>2025</v>
      </c>
      <c r="I1" s="14">
        <v>2026</v>
      </c>
      <c r="J1" s="14">
        <v>2027</v>
      </c>
      <c r="K1" s="14">
        <v>2028</v>
      </c>
      <c r="L1" s="14">
        <v>2029</v>
      </c>
      <c r="M1" s="14">
        <v>2030</v>
      </c>
      <c r="N1" s="14">
        <v>2031</v>
      </c>
      <c r="O1" s="14">
        <v>2032</v>
      </c>
      <c r="P1" s="14">
        <v>2033</v>
      </c>
      <c r="Q1" s="14">
        <v>2034</v>
      </c>
      <c r="R1" s="14">
        <v>2035</v>
      </c>
      <c r="S1" s="14">
        <v>2036</v>
      </c>
      <c r="T1" s="14">
        <v>2037</v>
      </c>
      <c r="U1" s="14">
        <v>2038</v>
      </c>
      <c r="V1" s="14">
        <v>2039</v>
      </c>
      <c r="W1" s="14">
        <v>2040</v>
      </c>
      <c r="X1" s="14">
        <v>2041</v>
      </c>
      <c r="Y1" s="14">
        <v>2042</v>
      </c>
      <c r="Z1" s="14">
        <v>2043</v>
      </c>
      <c r="AA1" s="14">
        <v>2044</v>
      </c>
      <c r="AB1" s="14">
        <v>2045</v>
      </c>
      <c r="AC1" s="14">
        <v>2046</v>
      </c>
      <c r="AD1" s="14">
        <v>2047</v>
      </c>
      <c r="AE1" s="14">
        <v>2048</v>
      </c>
      <c r="AF1" s="14">
        <v>2049</v>
      </c>
      <c r="AG1" s="14">
        <v>2050</v>
      </c>
    </row>
    <row r="2" spans="1:33" x14ac:dyDescent="0.3">
      <c r="A2" s="2" t="s">
        <v>0</v>
      </c>
      <c r="B2" s="15">
        <v>1</v>
      </c>
      <c r="C2" s="15">
        <f>B2-B2*0.01</f>
        <v>0.99</v>
      </c>
      <c r="D2" s="15">
        <f t="shared" ref="D2:AG2" si="0">C2-C2*0.01</f>
        <v>0.98009999999999997</v>
      </c>
      <c r="E2" s="15">
        <f t="shared" si="0"/>
        <v>0.97029900000000002</v>
      </c>
      <c r="F2" s="15">
        <f t="shared" si="0"/>
        <v>0.96059601000000006</v>
      </c>
      <c r="G2" s="15">
        <f t="shared" si="0"/>
        <v>0.95099004990000002</v>
      </c>
      <c r="H2" s="15">
        <f t="shared" si="0"/>
        <v>0.941480149401</v>
      </c>
      <c r="I2" s="15">
        <f t="shared" si="0"/>
        <v>0.93206534790699003</v>
      </c>
      <c r="J2" s="15">
        <f t="shared" si="0"/>
        <v>0.92274469442792018</v>
      </c>
      <c r="K2" s="15">
        <f t="shared" si="0"/>
        <v>0.91351724748364094</v>
      </c>
      <c r="L2" s="15">
        <f t="shared" si="0"/>
        <v>0.90438207500880452</v>
      </c>
      <c r="M2" s="15">
        <f t="shared" si="0"/>
        <v>0.89533825425871649</v>
      </c>
      <c r="N2" s="15">
        <f t="shared" si="0"/>
        <v>0.88638487171612934</v>
      </c>
      <c r="O2" s="15">
        <f t="shared" si="0"/>
        <v>0.87752102299896806</v>
      </c>
      <c r="P2" s="15">
        <f t="shared" si="0"/>
        <v>0.86874581276897833</v>
      </c>
      <c r="Q2" s="15">
        <f t="shared" si="0"/>
        <v>0.86005835464128855</v>
      </c>
      <c r="R2" s="15">
        <f t="shared" si="0"/>
        <v>0.85145777109487564</v>
      </c>
      <c r="S2" s="15">
        <f t="shared" si="0"/>
        <v>0.84294319338392687</v>
      </c>
      <c r="T2" s="15">
        <f t="shared" si="0"/>
        <v>0.8345137614500876</v>
      </c>
      <c r="U2" s="15">
        <f t="shared" si="0"/>
        <v>0.82616862383558676</v>
      </c>
      <c r="V2" s="15">
        <f t="shared" si="0"/>
        <v>0.81790693759723088</v>
      </c>
      <c r="W2" s="15">
        <f t="shared" si="0"/>
        <v>0.80972786822125853</v>
      </c>
      <c r="X2" s="15">
        <f t="shared" si="0"/>
        <v>0.80163058953904598</v>
      </c>
      <c r="Y2" s="15">
        <f t="shared" si="0"/>
        <v>0.79361428364365549</v>
      </c>
      <c r="Z2" s="15">
        <f t="shared" si="0"/>
        <v>0.78567814080721898</v>
      </c>
      <c r="AA2" s="15">
        <f t="shared" si="0"/>
        <v>0.77782135939914676</v>
      </c>
      <c r="AB2" s="15">
        <f t="shared" si="0"/>
        <v>0.77004314580515532</v>
      </c>
      <c r="AC2" s="15">
        <f t="shared" si="0"/>
        <v>0.76234271434710377</v>
      </c>
      <c r="AD2" s="15">
        <f t="shared" si="0"/>
        <v>0.75471928720363268</v>
      </c>
      <c r="AE2" s="15">
        <f t="shared" si="0"/>
        <v>0.74717209433159637</v>
      </c>
      <c r="AF2" s="15">
        <f t="shared" si="0"/>
        <v>0.73970037338828043</v>
      </c>
      <c r="AG2" s="15">
        <f t="shared" si="0"/>
        <v>0.73230336965439757</v>
      </c>
    </row>
    <row r="3" spans="1:33" x14ac:dyDescent="0.3">
      <c r="A3" s="2" t="s">
        <v>1</v>
      </c>
      <c r="B3" s="15">
        <v>1</v>
      </c>
      <c r="C3" s="15">
        <f t="shared" ref="C3:AG3" si="1">B3-B3*0.01</f>
        <v>0.99</v>
      </c>
      <c r="D3" s="15">
        <f t="shared" si="1"/>
        <v>0.98009999999999997</v>
      </c>
      <c r="E3" s="15">
        <f t="shared" si="1"/>
        <v>0.97029900000000002</v>
      </c>
      <c r="F3" s="15">
        <f t="shared" si="1"/>
        <v>0.96059601000000006</v>
      </c>
      <c r="G3" s="15">
        <f t="shared" si="1"/>
        <v>0.95099004990000002</v>
      </c>
      <c r="H3" s="15">
        <f t="shared" si="1"/>
        <v>0.941480149401</v>
      </c>
      <c r="I3" s="15">
        <f t="shared" si="1"/>
        <v>0.93206534790699003</v>
      </c>
      <c r="J3" s="15">
        <f t="shared" si="1"/>
        <v>0.92274469442792018</v>
      </c>
      <c r="K3" s="15">
        <f t="shared" si="1"/>
        <v>0.91351724748364094</v>
      </c>
      <c r="L3" s="15">
        <f t="shared" si="1"/>
        <v>0.90438207500880452</v>
      </c>
      <c r="M3" s="15">
        <f t="shared" si="1"/>
        <v>0.89533825425871649</v>
      </c>
      <c r="N3" s="15">
        <f t="shared" si="1"/>
        <v>0.88638487171612934</v>
      </c>
      <c r="O3" s="15">
        <f t="shared" si="1"/>
        <v>0.87752102299896806</v>
      </c>
      <c r="P3" s="15">
        <f t="shared" si="1"/>
        <v>0.86874581276897833</v>
      </c>
      <c r="Q3" s="15">
        <f t="shared" si="1"/>
        <v>0.86005835464128855</v>
      </c>
      <c r="R3" s="15">
        <f t="shared" si="1"/>
        <v>0.85145777109487564</v>
      </c>
      <c r="S3" s="15">
        <f t="shared" si="1"/>
        <v>0.84294319338392687</v>
      </c>
      <c r="T3" s="15">
        <f t="shared" si="1"/>
        <v>0.8345137614500876</v>
      </c>
      <c r="U3" s="15">
        <f t="shared" si="1"/>
        <v>0.82616862383558676</v>
      </c>
      <c r="V3" s="15">
        <f t="shared" si="1"/>
        <v>0.81790693759723088</v>
      </c>
      <c r="W3" s="15">
        <f t="shared" si="1"/>
        <v>0.80972786822125853</v>
      </c>
      <c r="X3" s="15">
        <f t="shared" si="1"/>
        <v>0.80163058953904598</v>
      </c>
      <c r="Y3" s="15">
        <f t="shared" si="1"/>
        <v>0.79361428364365549</v>
      </c>
      <c r="Z3" s="15">
        <f t="shared" si="1"/>
        <v>0.78567814080721898</v>
      </c>
      <c r="AA3" s="15">
        <f t="shared" si="1"/>
        <v>0.77782135939914676</v>
      </c>
      <c r="AB3" s="15">
        <f t="shared" si="1"/>
        <v>0.77004314580515532</v>
      </c>
      <c r="AC3" s="15">
        <f t="shared" si="1"/>
        <v>0.76234271434710377</v>
      </c>
      <c r="AD3" s="15">
        <f t="shared" si="1"/>
        <v>0.75471928720363268</v>
      </c>
      <c r="AE3" s="15">
        <f t="shared" si="1"/>
        <v>0.74717209433159637</v>
      </c>
      <c r="AF3" s="15">
        <f t="shared" si="1"/>
        <v>0.73970037338828043</v>
      </c>
      <c r="AG3" s="15">
        <f t="shared" si="1"/>
        <v>0.73230336965439757</v>
      </c>
    </row>
    <row r="4" spans="1:33" x14ac:dyDescent="0.3">
      <c r="A4" s="2" t="s">
        <v>2</v>
      </c>
      <c r="B4" s="15">
        <v>1</v>
      </c>
      <c r="C4" s="15">
        <f t="shared" ref="C4:AG4" si="2">B4-B4*0.01</f>
        <v>0.99</v>
      </c>
      <c r="D4" s="15">
        <f t="shared" si="2"/>
        <v>0.98009999999999997</v>
      </c>
      <c r="E4" s="15">
        <f t="shared" si="2"/>
        <v>0.97029900000000002</v>
      </c>
      <c r="F4" s="15">
        <f t="shared" si="2"/>
        <v>0.96059601000000006</v>
      </c>
      <c r="G4" s="15">
        <f t="shared" si="2"/>
        <v>0.95099004990000002</v>
      </c>
      <c r="H4" s="15">
        <f t="shared" si="2"/>
        <v>0.941480149401</v>
      </c>
      <c r="I4" s="15">
        <f t="shared" si="2"/>
        <v>0.93206534790699003</v>
      </c>
      <c r="J4" s="15">
        <f t="shared" si="2"/>
        <v>0.92274469442792018</v>
      </c>
      <c r="K4" s="15">
        <f t="shared" si="2"/>
        <v>0.91351724748364094</v>
      </c>
      <c r="L4" s="15">
        <f t="shared" si="2"/>
        <v>0.90438207500880452</v>
      </c>
      <c r="M4" s="15">
        <f t="shared" si="2"/>
        <v>0.89533825425871649</v>
      </c>
      <c r="N4" s="15">
        <f t="shared" si="2"/>
        <v>0.88638487171612934</v>
      </c>
      <c r="O4" s="15">
        <f t="shared" si="2"/>
        <v>0.87752102299896806</v>
      </c>
      <c r="P4" s="15">
        <f t="shared" si="2"/>
        <v>0.86874581276897833</v>
      </c>
      <c r="Q4" s="15">
        <f t="shared" si="2"/>
        <v>0.86005835464128855</v>
      </c>
      <c r="R4" s="15">
        <f t="shared" si="2"/>
        <v>0.85145777109487564</v>
      </c>
      <c r="S4" s="15">
        <f t="shared" si="2"/>
        <v>0.84294319338392687</v>
      </c>
      <c r="T4" s="15">
        <f t="shared" si="2"/>
        <v>0.8345137614500876</v>
      </c>
      <c r="U4" s="15">
        <f t="shared" si="2"/>
        <v>0.82616862383558676</v>
      </c>
      <c r="V4" s="15">
        <f t="shared" si="2"/>
        <v>0.81790693759723088</v>
      </c>
      <c r="W4" s="15">
        <f t="shared" si="2"/>
        <v>0.80972786822125853</v>
      </c>
      <c r="X4" s="15">
        <f t="shared" si="2"/>
        <v>0.80163058953904598</v>
      </c>
      <c r="Y4" s="15">
        <f t="shared" si="2"/>
        <v>0.79361428364365549</v>
      </c>
      <c r="Z4" s="15">
        <f t="shared" si="2"/>
        <v>0.78567814080721898</v>
      </c>
      <c r="AA4" s="15">
        <f t="shared" si="2"/>
        <v>0.77782135939914676</v>
      </c>
      <c r="AB4" s="15">
        <f t="shared" si="2"/>
        <v>0.77004314580515532</v>
      </c>
      <c r="AC4" s="15">
        <f t="shared" si="2"/>
        <v>0.76234271434710377</v>
      </c>
      <c r="AD4" s="15">
        <f t="shared" si="2"/>
        <v>0.75471928720363268</v>
      </c>
      <c r="AE4" s="15">
        <f t="shared" si="2"/>
        <v>0.74717209433159637</v>
      </c>
      <c r="AF4" s="15">
        <f t="shared" si="2"/>
        <v>0.73970037338828043</v>
      </c>
      <c r="AG4" s="15">
        <f t="shared" si="2"/>
        <v>0.73230336965439757</v>
      </c>
    </row>
    <row r="5" spans="1:33" x14ac:dyDescent="0.3">
      <c r="A5" s="2" t="s">
        <v>3</v>
      </c>
      <c r="B5" s="15">
        <v>1</v>
      </c>
      <c r="C5" s="15">
        <f t="shared" ref="C5:AG5" si="3">B5-B5*0.01</f>
        <v>0.99</v>
      </c>
      <c r="D5" s="15">
        <f t="shared" si="3"/>
        <v>0.98009999999999997</v>
      </c>
      <c r="E5" s="15">
        <f t="shared" si="3"/>
        <v>0.97029900000000002</v>
      </c>
      <c r="F5" s="15">
        <f t="shared" si="3"/>
        <v>0.96059601000000006</v>
      </c>
      <c r="G5" s="15">
        <f t="shared" si="3"/>
        <v>0.95099004990000002</v>
      </c>
      <c r="H5" s="15">
        <f t="shared" si="3"/>
        <v>0.941480149401</v>
      </c>
      <c r="I5" s="15">
        <f t="shared" si="3"/>
        <v>0.93206534790699003</v>
      </c>
      <c r="J5" s="15">
        <f t="shared" si="3"/>
        <v>0.92274469442792018</v>
      </c>
      <c r="K5" s="15">
        <f t="shared" si="3"/>
        <v>0.91351724748364094</v>
      </c>
      <c r="L5" s="15">
        <f t="shared" si="3"/>
        <v>0.90438207500880452</v>
      </c>
      <c r="M5" s="15">
        <f t="shared" si="3"/>
        <v>0.89533825425871649</v>
      </c>
      <c r="N5" s="15">
        <f t="shared" si="3"/>
        <v>0.88638487171612934</v>
      </c>
      <c r="O5" s="15">
        <f t="shared" si="3"/>
        <v>0.87752102299896806</v>
      </c>
      <c r="P5" s="15">
        <f t="shared" si="3"/>
        <v>0.86874581276897833</v>
      </c>
      <c r="Q5" s="15">
        <f t="shared" si="3"/>
        <v>0.86005835464128855</v>
      </c>
      <c r="R5" s="15">
        <f t="shared" si="3"/>
        <v>0.85145777109487564</v>
      </c>
      <c r="S5" s="15">
        <f t="shared" si="3"/>
        <v>0.84294319338392687</v>
      </c>
      <c r="T5" s="15">
        <f t="shared" si="3"/>
        <v>0.8345137614500876</v>
      </c>
      <c r="U5" s="15">
        <f t="shared" si="3"/>
        <v>0.82616862383558676</v>
      </c>
      <c r="V5" s="15">
        <f t="shared" si="3"/>
        <v>0.81790693759723088</v>
      </c>
      <c r="W5" s="15">
        <f t="shared" si="3"/>
        <v>0.80972786822125853</v>
      </c>
      <c r="X5" s="15">
        <f t="shared" si="3"/>
        <v>0.80163058953904598</v>
      </c>
      <c r="Y5" s="15">
        <f t="shared" si="3"/>
        <v>0.79361428364365549</v>
      </c>
      <c r="Z5" s="15">
        <f t="shared" si="3"/>
        <v>0.78567814080721898</v>
      </c>
      <c r="AA5" s="15">
        <f t="shared" si="3"/>
        <v>0.77782135939914676</v>
      </c>
      <c r="AB5" s="15">
        <f t="shared" si="3"/>
        <v>0.77004314580515532</v>
      </c>
      <c r="AC5" s="15">
        <f t="shared" si="3"/>
        <v>0.76234271434710377</v>
      </c>
      <c r="AD5" s="15">
        <f t="shared" si="3"/>
        <v>0.75471928720363268</v>
      </c>
      <c r="AE5" s="15">
        <f t="shared" si="3"/>
        <v>0.74717209433159637</v>
      </c>
      <c r="AF5" s="15">
        <f t="shared" si="3"/>
        <v>0.73970037338828043</v>
      </c>
      <c r="AG5" s="15">
        <f t="shared" si="3"/>
        <v>0.73230336965439757</v>
      </c>
    </row>
    <row r="6" spans="1:33" x14ac:dyDescent="0.3">
      <c r="A6" s="2" t="s">
        <v>4</v>
      </c>
      <c r="B6" s="15">
        <v>1</v>
      </c>
      <c r="C6" s="15">
        <f t="shared" ref="C6:AG6" si="4">B6-B6*0.01</f>
        <v>0.99</v>
      </c>
      <c r="D6" s="15">
        <f t="shared" si="4"/>
        <v>0.98009999999999997</v>
      </c>
      <c r="E6" s="15">
        <f t="shared" si="4"/>
        <v>0.97029900000000002</v>
      </c>
      <c r="F6" s="15">
        <f t="shared" si="4"/>
        <v>0.96059601000000006</v>
      </c>
      <c r="G6" s="15">
        <f t="shared" si="4"/>
        <v>0.95099004990000002</v>
      </c>
      <c r="H6" s="15">
        <f t="shared" si="4"/>
        <v>0.941480149401</v>
      </c>
      <c r="I6" s="15">
        <f t="shared" si="4"/>
        <v>0.93206534790699003</v>
      </c>
      <c r="J6" s="15">
        <f t="shared" si="4"/>
        <v>0.92274469442792018</v>
      </c>
      <c r="K6" s="15">
        <f t="shared" si="4"/>
        <v>0.91351724748364094</v>
      </c>
      <c r="L6" s="15">
        <f t="shared" si="4"/>
        <v>0.90438207500880452</v>
      </c>
      <c r="M6" s="15">
        <f t="shared" si="4"/>
        <v>0.89533825425871649</v>
      </c>
      <c r="N6" s="15">
        <f t="shared" si="4"/>
        <v>0.88638487171612934</v>
      </c>
      <c r="O6" s="15">
        <f t="shared" si="4"/>
        <v>0.87752102299896806</v>
      </c>
      <c r="P6" s="15">
        <f t="shared" si="4"/>
        <v>0.86874581276897833</v>
      </c>
      <c r="Q6" s="15">
        <f t="shared" si="4"/>
        <v>0.86005835464128855</v>
      </c>
      <c r="R6" s="15">
        <f t="shared" si="4"/>
        <v>0.85145777109487564</v>
      </c>
      <c r="S6" s="15">
        <f t="shared" si="4"/>
        <v>0.84294319338392687</v>
      </c>
      <c r="T6" s="15">
        <f t="shared" si="4"/>
        <v>0.8345137614500876</v>
      </c>
      <c r="U6" s="15">
        <f t="shared" si="4"/>
        <v>0.82616862383558676</v>
      </c>
      <c r="V6" s="15">
        <f t="shared" si="4"/>
        <v>0.81790693759723088</v>
      </c>
      <c r="W6" s="15">
        <f t="shared" si="4"/>
        <v>0.80972786822125853</v>
      </c>
      <c r="X6" s="15">
        <f t="shared" si="4"/>
        <v>0.80163058953904598</v>
      </c>
      <c r="Y6" s="15">
        <f t="shared" si="4"/>
        <v>0.79361428364365549</v>
      </c>
      <c r="Z6" s="15">
        <f t="shared" si="4"/>
        <v>0.78567814080721898</v>
      </c>
      <c r="AA6" s="15">
        <f t="shared" si="4"/>
        <v>0.77782135939914676</v>
      </c>
      <c r="AB6" s="15">
        <f t="shared" si="4"/>
        <v>0.77004314580515532</v>
      </c>
      <c r="AC6" s="15">
        <f t="shared" si="4"/>
        <v>0.76234271434710377</v>
      </c>
      <c r="AD6" s="15">
        <f t="shared" si="4"/>
        <v>0.75471928720363268</v>
      </c>
      <c r="AE6" s="15">
        <f t="shared" si="4"/>
        <v>0.74717209433159637</v>
      </c>
      <c r="AF6" s="15">
        <f t="shared" si="4"/>
        <v>0.73970037338828043</v>
      </c>
      <c r="AG6" s="15">
        <f t="shared" si="4"/>
        <v>0.73230336965439757</v>
      </c>
    </row>
    <row r="7" spans="1:33" x14ac:dyDescent="0.3">
      <c r="A7" s="2" t="s">
        <v>5</v>
      </c>
      <c r="B7" s="15">
        <v>1</v>
      </c>
      <c r="C7" s="15">
        <f t="shared" ref="C7:AG7" si="5">B7-B7*0.01</f>
        <v>0.99</v>
      </c>
      <c r="D7" s="15">
        <f t="shared" si="5"/>
        <v>0.98009999999999997</v>
      </c>
      <c r="E7" s="15">
        <f t="shared" si="5"/>
        <v>0.97029900000000002</v>
      </c>
      <c r="F7" s="15">
        <f t="shared" si="5"/>
        <v>0.96059601000000006</v>
      </c>
      <c r="G7" s="15">
        <f t="shared" si="5"/>
        <v>0.95099004990000002</v>
      </c>
      <c r="H7" s="15">
        <f t="shared" si="5"/>
        <v>0.941480149401</v>
      </c>
      <c r="I7" s="15">
        <f t="shared" si="5"/>
        <v>0.93206534790699003</v>
      </c>
      <c r="J7" s="15">
        <f t="shared" si="5"/>
        <v>0.92274469442792018</v>
      </c>
      <c r="K7" s="15">
        <f t="shared" si="5"/>
        <v>0.91351724748364094</v>
      </c>
      <c r="L7" s="15">
        <f t="shared" si="5"/>
        <v>0.90438207500880452</v>
      </c>
      <c r="M7" s="15">
        <f t="shared" si="5"/>
        <v>0.89533825425871649</v>
      </c>
      <c r="N7" s="15">
        <f t="shared" si="5"/>
        <v>0.88638487171612934</v>
      </c>
      <c r="O7" s="15">
        <f t="shared" si="5"/>
        <v>0.87752102299896806</v>
      </c>
      <c r="P7" s="15">
        <f t="shared" si="5"/>
        <v>0.86874581276897833</v>
      </c>
      <c r="Q7" s="15">
        <f t="shared" si="5"/>
        <v>0.86005835464128855</v>
      </c>
      <c r="R7" s="15">
        <f t="shared" si="5"/>
        <v>0.85145777109487564</v>
      </c>
      <c r="S7" s="15">
        <f t="shared" si="5"/>
        <v>0.84294319338392687</v>
      </c>
      <c r="T7" s="15">
        <f t="shared" si="5"/>
        <v>0.8345137614500876</v>
      </c>
      <c r="U7" s="15">
        <f t="shared" si="5"/>
        <v>0.82616862383558676</v>
      </c>
      <c r="V7" s="15">
        <f t="shared" si="5"/>
        <v>0.81790693759723088</v>
      </c>
      <c r="W7" s="15">
        <f t="shared" si="5"/>
        <v>0.80972786822125853</v>
      </c>
      <c r="X7" s="15">
        <f t="shared" si="5"/>
        <v>0.80163058953904598</v>
      </c>
      <c r="Y7" s="15">
        <f t="shared" si="5"/>
        <v>0.79361428364365549</v>
      </c>
      <c r="Z7" s="15">
        <f t="shared" si="5"/>
        <v>0.78567814080721898</v>
      </c>
      <c r="AA7" s="15">
        <f t="shared" si="5"/>
        <v>0.77782135939914676</v>
      </c>
      <c r="AB7" s="15">
        <f t="shared" si="5"/>
        <v>0.77004314580515532</v>
      </c>
      <c r="AC7" s="15">
        <f t="shared" si="5"/>
        <v>0.76234271434710377</v>
      </c>
      <c r="AD7" s="15">
        <f t="shared" si="5"/>
        <v>0.75471928720363268</v>
      </c>
      <c r="AE7" s="15">
        <f t="shared" si="5"/>
        <v>0.74717209433159637</v>
      </c>
      <c r="AF7" s="15">
        <f t="shared" si="5"/>
        <v>0.73970037338828043</v>
      </c>
      <c r="AG7" s="15">
        <f t="shared" si="5"/>
        <v>0.73230336965439757</v>
      </c>
    </row>
    <row r="8" spans="1:33" x14ac:dyDescent="0.3">
      <c r="A8" s="2" t="s">
        <v>6</v>
      </c>
      <c r="B8" s="15">
        <v>1</v>
      </c>
      <c r="C8" s="15">
        <f t="shared" ref="C8:AG8" si="6">B8-B8*0.01</f>
        <v>0.99</v>
      </c>
      <c r="D8" s="15">
        <f t="shared" si="6"/>
        <v>0.98009999999999997</v>
      </c>
      <c r="E8" s="15">
        <f t="shared" si="6"/>
        <v>0.97029900000000002</v>
      </c>
      <c r="F8" s="15">
        <f t="shared" si="6"/>
        <v>0.96059601000000006</v>
      </c>
      <c r="G8" s="15">
        <f t="shared" si="6"/>
        <v>0.95099004990000002</v>
      </c>
      <c r="H8" s="15">
        <f t="shared" si="6"/>
        <v>0.941480149401</v>
      </c>
      <c r="I8" s="15">
        <f t="shared" si="6"/>
        <v>0.93206534790699003</v>
      </c>
      <c r="J8" s="15">
        <f t="shared" si="6"/>
        <v>0.92274469442792018</v>
      </c>
      <c r="K8" s="15">
        <f t="shared" si="6"/>
        <v>0.91351724748364094</v>
      </c>
      <c r="L8" s="15">
        <f t="shared" si="6"/>
        <v>0.90438207500880452</v>
      </c>
      <c r="M8" s="15">
        <f t="shared" si="6"/>
        <v>0.89533825425871649</v>
      </c>
      <c r="N8" s="15">
        <f t="shared" si="6"/>
        <v>0.88638487171612934</v>
      </c>
      <c r="O8" s="15">
        <f t="shared" si="6"/>
        <v>0.87752102299896806</v>
      </c>
      <c r="P8" s="15">
        <f t="shared" si="6"/>
        <v>0.86874581276897833</v>
      </c>
      <c r="Q8" s="15">
        <f t="shared" si="6"/>
        <v>0.86005835464128855</v>
      </c>
      <c r="R8" s="15">
        <f t="shared" si="6"/>
        <v>0.85145777109487564</v>
      </c>
      <c r="S8" s="15">
        <f t="shared" si="6"/>
        <v>0.84294319338392687</v>
      </c>
      <c r="T8" s="15">
        <f t="shared" si="6"/>
        <v>0.8345137614500876</v>
      </c>
      <c r="U8" s="15">
        <f t="shared" si="6"/>
        <v>0.82616862383558676</v>
      </c>
      <c r="V8" s="15">
        <f t="shared" si="6"/>
        <v>0.81790693759723088</v>
      </c>
      <c r="W8" s="15">
        <f t="shared" si="6"/>
        <v>0.80972786822125853</v>
      </c>
      <c r="X8" s="15">
        <f t="shared" si="6"/>
        <v>0.80163058953904598</v>
      </c>
      <c r="Y8" s="15">
        <f t="shared" si="6"/>
        <v>0.79361428364365549</v>
      </c>
      <c r="Z8" s="15">
        <f t="shared" si="6"/>
        <v>0.78567814080721898</v>
      </c>
      <c r="AA8" s="15">
        <f t="shared" si="6"/>
        <v>0.77782135939914676</v>
      </c>
      <c r="AB8" s="15">
        <f t="shared" si="6"/>
        <v>0.77004314580515532</v>
      </c>
      <c r="AC8" s="15">
        <f t="shared" si="6"/>
        <v>0.76234271434710377</v>
      </c>
      <c r="AD8" s="15">
        <f t="shared" si="6"/>
        <v>0.75471928720363268</v>
      </c>
      <c r="AE8" s="15">
        <f t="shared" si="6"/>
        <v>0.74717209433159637</v>
      </c>
      <c r="AF8" s="15">
        <f t="shared" si="6"/>
        <v>0.73970037338828043</v>
      </c>
      <c r="AG8" s="15">
        <f t="shared" si="6"/>
        <v>0.73230336965439757</v>
      </c>
    </row>
    <row r="9" spans="1:33" x14ac:dyDescent="0.3">
      <c r="A9" s="2" t="s">
        <v>7</v>
      </c>
      <c r="B9" s="15">
        <v>1</v>
      </c>
      <c r="C9" s="15">
        <f t="shared" ref="C9:AG9" si="7">B9-B9*0.01</f>
        <v>0.99</v>
      </c>
      <c r="D9" s="15">
        <f t="shared" si="7"/>
        <v>0.98009999999999997</v>
      </c>
      <c r="E9" s="15">
        <f t="shared" si="7"/>
        <v>0.97029900000000002</v>
      </c>
      <c r="F9" s="15">
        <f t="shared" si="7"/>
        <v>0.96059601000000006</v>
      </c>
      <c r="G9" s="15">
        <f t="shared" si="7"/>
        <v>0.95099004990000002</v>
      </c>
      <c r="H9" s="15">
        <f t="shared" si="7"/>
        <v>0.941480149401</v>
      </c>
      <c r="I9" s="15">
        <f t="shared" si="7"/>
        <v>0.93206534790699003</v>
      </c>
      <c r="J9" s="15">
        <f t="shared" si="7"/>
        <v>0.92274469442792018</v>
      </c>
      <c r="K9" s="15">
        <f t="shared" si="7"/>
        <v>0.91351724748364094</v>
      </c>
      <c r="L9" s="15">
        <f t="shared" si="7"/>
        <v>0.90438207500880452</v>
      </c>
      <c r="M9" s="15">
        <f t="shared" si="7"/>
        <v>0.89533825425871649</v>
      </c>
      <c r="N9" s="15">
        <f t="shared" si="7"/>
        <v>0.88638487171612934</v>
      </c>
      <c r="O9" s="15">
        <f t="shared" si="7"/>
        <v>0.87752102299896806</v>
      </c>
      <c r="P9" s="15">
        <f t="shared" si="7"/>
        <v>0.86874581276897833</v>
      </c>
      <c r="Q9" s="15">
        <f t="shared" si="7"/>
        <v>0.86005835464128855</v>
      </c>
      <c r="R9" s="15">
        <f t="shared" si="7"/>
        <v>0.85145777109487564</v>
      </c>
      <c r="S9" s="15">
        <f t="shared" si="7"/>
        <v>0.84294319338392687</v>
      </c>
      <c r="T9" s="15">
        <f t="shared" si="7"/>
        <v>0.8345137614500876</v>
      </c>
      <c r="U9" s="15">
        <f t="shared" si="7"/>
        <v>0.82616862383558676</v>
      </c>
      <c r="V9" s="15">
        <f t="shared" si="7"/>
        <v>0.81790693759723088</v>
      </c>
      <c r="W9" s="15">
        <f t="shared" si="7"/>
        <v>0.80972786822125853</v>
      </c>
      <c r="X9" s="15">
        <f t="shared" si="7"/>
        <v>0.80163058953904598</v>
      </c>
      <c r="Y9" s="15">
        <f t="shared" si="7"/>
        <v>0.79361428364365549</v>
      </c>
      <c r="Z9" s="15">
        <f t="shared" si="7"/>
        <v>0.78567814080721898</v>
      </c>
      <c r="AA9" s="15">
        <f t="shared" si="7"/>
        <v>0.77782135939914676</v>
      </c>
      <c r="AB9" s="15">
        <f t="shared" si="7"/>
        <v>0.77004314580515532</v>
      </c>
      <c r="AC9" s="15">
        <f t="shared" si="7"/>
        <v>0.76234271434710377</v>
      </c>
      <c r="AD9" s="15">
        <f t="shared" si="7"/>
        <v>0.75471928720363268</v>
      </c>
      <c r="AE9" s="15">
        <f t="shared" si="7"/>
        <v>0.74717209433159637</v>
      </c>
      <c r="AF9" s="15">
        <f t="shared" si="7"/>
        <v>0.73970037338828043</v>
      </c>
      <c r="AG9" s="15">
        <f t="shared" si="7"/>
        <v>0.73230336965439757</v>
      </c>
    </row>
    <row r="10" spans="1:33" x14ac:dyDescent="0.3">
      <c r="A10" s="2" t="s">
        <v>8</v>
      </c>
      <c r="B10" s="15">
        <v>1</v>
      </c>
      <c r="C10" s="15">
        <f t="shared" ref="C10:AG10" si="8">B10-B10*0.01</f>
        <v>0.99</v>
      </c>
      <c r="D10" s="15">
        <f t="shared" si="8"/>
        <v>0.98009999999999997</v>
      </c>
      <c r="E10" s="15">
        <f t="shared" si="8"/>
        <v>0.97029900000000002</v>
      </c>
      <c r="F10" s="15">
        <f t="shared" si="8"/>
        <v>0.96059601000000006</v>
      </c>
      <c r="G10" s="15">
        <f t="shared" si="8"/>
        <v>0.95099004990000002</v>
      </c>
      <c r="H10" s="15">
        <f t="shared" si="8"/>
        <v>0.941480149401</v>
      </c>
      <c r="I10" s="15">
        <f t="shared" si="8"/>
        <v>0.93206534790699003</v>
      </c>
      <c r="J10" s="15">
        <f t="shared" si="8"/>
        <v>0.92274469442792018</v>
      </c>
      <c r="K10" s="15">
        <f t="shared" si="8"/>
        <v>0.91351724748364094</v>
      </c>
      <c r="L10" s="15">
        <f t="shared" si="8"/>
        <v>0.90438207500880452</v>
      </c>
      <c r="M10" s="15">
        <f t="shared" si="8"/>
        <v>0.89533825425871649</v>
      </c>
      <c r="N10" s="15">
        <f t="shared" si="8"/>
        <v>0.88638487171612934</v>
      </c>
      <c r="O10" s="15">
        <f t="shared" si="8"/>
        <v>0.87752102299896806</v>
      </c>
      <c r="P10" s="15">
        <f t="shared" si="8"/>
        <v>0.86874581276897833</v>
      </c>
      <c r="Q10" s="15">
        <f t="shared" si="8"/>
        <v>0.86005835464128855</v>
      </c>
      <c r="R10" s="15">
        <f t="shared" si="8"/>
        <v>0.85145777109487564</v>
      </c>
      <c r="S10" s="15">
        <f t="shared" si="8"/>
        <v>0.84294319338392687</v>
      </c>
      <c r="T10" s="15">
        <f t="shared" si="8"/>
        <v>0.8345137614500876</v>
      </c>
      <c r="U10" s="15">
        <f t="shared" si="8"/>
        <v>0.82616862383558676</v>
      </c>
      <c r="V10" s="15">
        <f t="shared" si="8"/>
        <v>0.81790693759723088</v>
      </c>
      <c r="W10" s="15">
        <f t="shared" si="8"/>
        <v>0.80972786822125853</v>
      </c>
      <c r="X10" s="15">
        <f t="shared" si="8"/>
        <v>0.80163058953904598</v>
      </c>
      <c r="Y10" s="15">
        <f t="shared" si="8"/>
        <v>0.79361428364365549</v>
      </c>
      <c r="Z10" s="15">
        <f t="shared" si="8"/>
        <v>0.78567814080721898</v>
      </c>
      <c r="AA10" s="15">
        <f t="shared" si="8"/>
        <v>0.77782135939914676</v>
      </c>
      <c r="AB10" s="15">
        <f t="shared" si="8"/>
        <v>0.77004314580515532</v>
      </c>
      <c r="AC10" s="15">
        <f t="shared" si="8"/>
        <v>0.76234271434710377</v>
      </c>
      <c r="AD10" s="15">
        <f t="shared" si="8"/>
        <v>0.75471928720363268</v>
      </c>
      <c r="AE10" s="15">
        <f t="shared" si="8"/>
        <v>0.74717209433159637</v>
      </c>
      <c r="AF10" s="15">
        <f t="shared" si="8"/>
        <v>0.73970037338828043</v>
      </c>
      <c r="AG10" s="15">
        <f t="shared" si="8"/>
        <v>0.73230336965439757</v>
      </c>
    </row>
    <row r="11" spans="1:33" x14ac:dyDescent="0.3">
      <c r="A11" s="2" t="s">
        <v>9</v>
      </c>
      <c r="B11" s="15">
        <v>1</v>
      </c>
      <c r="C11" s="15">
        <f t="shared" ref="C11:AG11" si="9">B11-B11*0.01</f>
        <v>0.99</v>
      </c>
      <c r="D11" s="15">
        <f t="shared" si="9"/>
        <v>0.98009999999999997</v>
      </c>
      <c r="E11" s="15">
        <f t="shared" si="9"/>
        <v>0.97029900000000002</v>
      </c>
      <c r="F11" s="15">
        <f t="shared" si="9"/>
        <v>0.96059601000000006</v>
      </c>
      <c r="G11" s="15">
        <f t="shared" si="9"/>
        <v>0.95099004990000002</v>
      </c>
      <c r="H11" s="15">
        <f t="shared" si="9"/>
        <v>0.941480149401</v>
      </c>
      <c r="I11" s="15">
        <f t="shared" si="9"/>
        <v>0.93206534790699003</v>
      </c>
      <c r="J11" s="15">
        <f t="shared" si="9"/>
        <v>0.92274469442792018</v>
      </c>
      <c r="K11" s="15">
        <f t="shared" si="9"/>
        <v>0.91351724748364094</v>
      </c>
      <c r="L11" s="15">
        <f t="shared" si="9"/>
        <v>0.90438207500880452</v>
      </c>
      <c r="M11" s="15">
        <f t="shared" si="9"/>
        <v>0.89533825425871649</v>
      </c>
      <c r="N11" s="15">
        <f t="shared" si="9"/>
        <v>0.88638487171612934</v>
      </c>
      <c r="O11" s="15">
        <f t="shared" si="9"/>
        <v>0.87752102299896806</v>
      </c>
      <c r="P11" s="15">
        <f t="shared" si="9"/>
        <v>0.86874581276897833</v>
      </c>
      <c r="Q11" s="15">
        <f t="shared" si="9"/>
        <v>0.86005835464128855</v>
      </c>
      <c r="R11" s="15">
        <f t="shared" si="9"/>
        <v>0.85145777109487564</v>
      </c>
      <c r="S11" s="15">
        <f t="shared" si="9"/>
        <v>0.84294319338392687</v>
      </c>
      <c r="T11" s="15">
        <f t="shared" si="9"/>
        <v>0.8345137614500876</v>
      </c>
      <c r="U11" s="15">
        <f t="shared" si="9"/>
        <v>0.82616862383558676</v>
      </c>
      <c r="V11" s="15">
        <f t="shared" si="9"/>
        <v>0.81790693759723088</v>
      </c>
      <c r="W11" s="15">
        <f t="shared" si="9"/>
        <v>0.80972786822125853</v>
      </c>
      <c r="X11" s="15">
        <f t="shared" si="9"/>
        <v>0.80163058953904598</v>
      </c>
      <c r="Y11" s="15">
        <f t="shared" si="9"/>
        <v>0.79361428364365549</v>
      </c>
      <c r="Z11" s="15">
        <f t="shared" si="9"/>
        <v>0.78567814080721898</v>
      </c>
      <c r="AA11" s="15">
        <f t="shared" si="9"/>
        <v>0.77782135939914676</v>
      </c>
      <c r="AB11" s="15">
        <f t="shared" si="9"/>
        <v>0.77004314580515532</v>
      </c>
      <c r="AC11" s="15">
        <f t="shared" si="9"/>
        <v>0.76234271434710377</v>
      </c>
      <c r="AD11" s="15">
        <f t="shared" si="9"/>
        <v>0.75471928720363268</v>
      </c>
      <c r="AE11" s="15">
        <f t="shared" si="9"/>
        <v>0.74717209433159637</v>
      </c>
      <c r="AF11" s="15">
        <f t="shared" si="9"/>
        <v>0.73970037338828043</v>
      </c>
      <c r="AG11" s="15">
        <f t="shared" si="9"/>
        <v>0.73230336965439757</v>
      </c>
    </row>
    <row r="12" spans="1:33" x14ac:dyDescent="0.3">
      <c r="A12" s="2" t="s">
        <v>10</v>
      </c>
      <c r="B12" s="15">
        <v>1</v>
      </c>
      <c r="C12" s="15">
        <f t="shared" ref="C12:AG12" si="10">B12-B12*0.01</f>
        <v>0.99</v>
      </c>
      <c r="D12" s="15">
        <f t="shared" si="10"/>
        <v>0.98009999999999997</v>
      </c>
      <c r="E12" s="15">
        <f t="shared" si="10"/>
        <v>0.97029900000000002</v>
      </c>
      <c r="F12" s="15">
        <f t="shared" si="10"/>
        <v>0.96059601000000006</v>
      </c>
      <c r="G12" s="15">
        <f t="shared" si="10"/>
        <v>0.95099004990000002</v>
      </c>
      <c r="H12" s="15">
        <f t="shared" si="10"/>
        <v>0.941480149401</v>
      </c>
      <c r="I12" s="15">
        <f t="shared" si="10"/>
        <v>0.93206534790699003</v>
      </c>
      <c r="J12" s="15">
        <f t="shared" si="10"/>
        <v>0.92274469442792018</v>
      </c>
      <c r="K12" s="15">
        <f t="shared" si="10"/>
        <v>0.91351724748364094</v>
      </c>
      <c r="L12" s="15">
        <f t="shared" si="10"/>
        <v>0.90438207500880452</v>
      </c>
      <c r="M12" s="15">
        <f t="shared" si="10"/>
        <v>0.89533825425871649</v>
      </c>
      <c r="N12" s="15">
        <f t="shared" si="10"/>
        <v>0.88638487171612934</v>
      </c>
      <c r="O12" s="15">
        <f t="shared" si="10"/>
        <v>0.87752102299896806</v>
      </c>
      <c r="P12" s="15">
        <f t="shared" si="10"/>
        <v>0.86874581276897833</v>
      </c>
      <c r="Q12" s="15">
        <f t="shared" si="10"/>
        <v>0.86005835464128855</v>
      </c>
      <c r="R12" s="15">
        <f t="shared" si="10"/>
        <v>0.85145777109487564</v>
      </c>
      <c r="S12" s="15">
        <f t="shared" si="10"/>
        <v>0.84294319338392687</v>
      </c>
      <c r="T12" s="15">
        <f t="shared" si="10"/>
        <v>0.8345137614500876</v>
      </c>
      <c r="U12" s="15">
        <f t="shared" si="10"/>
        <v>0.82616862383558676</v>
      </c>
      <c r="V12" s="15">
        <f t="shared" si="10"/>
        <v>0.81790693759723088</v>
      </c>
      <c r="W12" s="15">
        <f t="shared" si="10"/>
        <v>0.80972786822125853</v>
      </c>
      <c r="X12" s="15">
        <f t="shared" si="10"/>
        <v>0.80163058953904598</v>
      </c>
      <c r="Y12" s="15">
        <f t="shared" si="10"/>
        <v>0.79361428364365549</v>
      </c>
      <c r="Z12" s="15">
        <f t="shared" si="10"/>
        <v>0.78567814080721898</v>
      </c>
      <c r="AA12" s="15">
        <f t="shared" si="10"/>
        <v>0.77782135939914676</v>
      </c>
      <c r="AB12" s="15">
        <f t="shared" si="10"/>
        <v>0.77004314580515532</v>
      </c>
      <c r="AC12" s="15">
        <f t="shared" si="10"/>
        <v>0.76234271434710377</v>
      </c>
      <c r="AD12" s="15">
        <f t="shared" si="10"/>
        <v>0.75471928720363268</v>
      </c>
      <c r="AE12" s="15">
        <f t="shared" si="10"/>
        <v>0.74717209433159637</v>
      </c>
      <c r="AF12" s="15">
        <f t="shared" si="10"/>
        <v>0.73970037338828043</v>
      </c>
      <c r="AG12" s="15">
        <f t="shared" si="10"/>
        <v>0.73230336965439757</v>
      </c>
    </row>
    <row r="13" spans="1:33" x14ac:dyDescent="0.3">
      <c r="A13" s="2" t="s">
        <v>11</v>
      </c>
      <c r="B13" s="15">
        <v>1</v>
      </c>
      <c r="C13" s="15">
        <f t="shared" ref="C13:AG13" si="11">B13-B13*0.01</f>
        <v>0.99</v>
      </c>
      <c r="D13" s="15">
        <f t="shared" si="11"/>
        <v>0.98009999999999997</v>
      </c>
      <c r="E13" s="15">
        <f t="shared" si="11"/>
        <v>0.97029900000000002</v>
      </c>
      <c r="F13" s="15">
        <f t="shared" si="11"/>
        <v>0.96059601000000006</v>
      </c>
      <c r="G13" s="15">
        <f t="shared" si="11"/>
        <v>0.95099004990000002</v>
      </c>
      <c r="H13" s="15">
        <f t="shared" si="11"/>
        <v>0.941480149401</v>
      </c>
      <c r="I13" s="15">
        <f t="shared" si="11"/>
        <v>0.93206534790699003</v>
      </c>
      <c r="J13" s="15">
        <f t="shared" si="11"/>
        <v>0.92274469442792018</v>
      </c>
      <c r="K13" s="15">
        <f t="shared" si="11"/>
        <v>0.91351724748364094</v>
      </c>
      <c r="L13" s="15">
        <f t="shared" si="11"/>
        <v>0.90438207500880452</v>
      </c>
      <c r="M13" s="15">
        <f t="shared" si="11"/>
        <v>0.89533825425871649</v>
      </c>
      <c r="N13" s="15">
        <f t="shared" si="11"/>
        <v>0.88638487171612934</v>
      </c>
      <c r="O13" s="15">
        <f t="shared" si="11"/>
        <v>0.87752102299896806</v>
      </c>
      <c r="P13" s="15">
        <f t="shared" si="11"/>
        <v>0.86874581276897833</v>
      </c>
      <c r="Q13" s="15">
        <f t="shared" si="11"/>
        <v>0.86005835464128855</v>
      </c>
      <c r="R13" s="15">
        <f t="shared" si="11"/>
        <v>0.85145777109487564</v>
      </c>
      <c r="S13" s="15">
        <f t="shared" si="11"/>
        <v>0.84294319338392687</v>
      </c>
      <c r="T13" s="15">
        <f t="shared" si="11"/>
        <v>0.8345137614500876</v>
      </c>
      <c r="U13" s="15">
        <f t="shared" si="11"/>
        <v>0.82616862383558676</v>
      </c>
      <c r="V13" s="15">
        <f t="shared" si="11"/>
        <v>0.81790693759723088</v>
      </c>
      <c r="W13" s="15">
        <f t="shared" si="11"/>
        <v>0.80972786822125853</v>
      </c>
      <c r="X13" s="15">
        <f t="shared" si="11"/>
        <v>0.80163058953904598</v>
      </c>
      <c r="Y13" s="15">
        <f t="shared" si="11"/>
        <v>0.79361428364365549</v>
      </c>
      <c r="Z13" s="15">
        <f t="shared" si="11"/>
        <v>0.78567814080721898</v>
      </c>
      <c r="AA13" s="15">
        <f t="shared" si="11"/>
        <v>0.77782135939914676</v>
      </c>
      <c r="AB13" s="15">
        <f t="shared" si="11"/>
        <v>0.77004314580515532</v>
      </c>
      <c r="AC13" s="15">
        <f t="shared" si="11"/>
        <v>0.76234271434710377</v>
      </c>
      <c r="AD13" s="15">
        <f t="shared" si="11"/>
        <v>0.75471928720363268</v>
      </c>
      <c r="AE13" s="15">
        <f t="shared" si="11"/>
        <v>0.74717209433159637</v>
      </c>
      <c r="AF13" s="15">
        <f t="shared" si="11"/>
        <v>0.73970037338828043</v>
      </c>
      <c r="AG13" s="15">
        <f t="shared" si="11"/>
        <v>0.73230336965439757</v>
      </c>
    </row>
    <row r="14" spans="1:33" x14ac:dyDescent="0.3">
      <c r="A14" s="2" t="s">
        <v>12</v>
      </c>
      <c r="B14" s="15">
        <v>1</v>
      </c>
      <c r="C14" s="15">
        <f t="shared" ref="C14:AG14" si="12">B14-B14*0.01</f>
        <v>0.99</v>
      </c>
      <c r="D14" s="15">
        <f t="shared" si="12"/>
        <v>0.98009999999999997</v>
      </c>
      <c r="E14" s="15">
        <f t="shared" si="12"/>
        <v>0.97029900000000002</v>
      </c>
      <c r="F14" s="15">
        <f t="shared" si="12"/>
        <v>0.96059601000000006</v>
      </c>
      <c r="G14" s="15">
        <f t="shared" si="12"/>
        <v>0.95099004990000002</v>
      </c>
      <c r="H14" s="15">
        <f t="shared" si="12"/>
        <v>0.941480149401</v>
      </c>
      <c r="I14" s="15">
        <f t="shared" si="12"/>
        <v>0.93206534790699003</v>
      </c>
      <c r="J14" s="15">
        <f t="shared" si="12"/>
        <v>0.92274469442792018</v>
      </c>
      <c r="K14" s="15">
        <f t="shared" si="12"/>
        <v>0.91351724748364094</v>
      </c>
      <c r="L14" s="15">
        <f t="shared" si="12"/>
        <v>0.90438207500880452</v>
      </c>
      <c r="M14" s="15">
        <f t="shared" si="12"/>
        <v>0.89533825425871649</v>
      </c>
      <c r="N14" s="15">
        <f t="shared" si="12"/>
        <v>0.88638487171612934</v>
      </c>
      <c r="O14" s="15">
        <f t="shared" si="12"/>
        <v>0.87752102299896806</v>
      </c>
      <c r="P14" s="15">
        <f t="shared" si="12"/>
        <v>0.86874581276897833</v>
      </c>
      <c r="Q14" s="15">
        <f t="shared" si="12"/>
        <v>0.86005835464128855</v>
      </c>
      <c r="R14" s="15">
        <f t="shared" si="12"/>
        <v>0.85145777109487564</v>
      </c>
      <c r="S14" s="15">
        <f t="shared" si="12"/>
        <v>0.84294319338392687</v>
      </c>
      <c r="T14" s="15">
        <f t="shared" si="12"/>
        <v>0.8345137614500876</v>
      </c>
      <c r="U14" s="15">
        <f t="shared" si="12"/>
        <v>0.82616862383558676</v>
      </c>
      <c r="V14" s="15">
        <f t="shared" si="12"/>
        <v>0.81790693759723088</v>
      </c>
      <c r="W14" s="15">
        <f t="shared" si="12"/>
        <v>0.80972786822125853</v>
      </c>
      <c r="X14" s="15">
        <f t="shared" si="12"/>
        <v>0.80163058953904598</v>
      </c>
      <c r="Y14" s="15">
        <f t="shared" si="12"/>
        <v>0.79361428364365549</v>
      </c>
      <c r="Z14" s="15">
        <f t="shared" si="12"/>
        <v>0.78567814080721898</v>
      </c>
      <c r="AA14" s="15">
        <f t="shared" si="12"/>
        <v>0.77782135939914676</v>
      </c>
      <c r="AB14" s="15">
        <f t="shared" si="12"/>
        <v>0.77004314580515532</v>
      </c>
      <c r="AC14" s="15">
        <f t="shared" si="12"/>
        <v>0.76234271434710377</v>
      </c>
      <c r="AD14" s="15">
        <f t="shared" si="12"/>
        <v>0.75471928720363268</v>
      </c>
      <c r="AE14" s="15">
        <f t="shared" si="12"/>
        <v>0.74717209433159637</v>
      </c>
      <c r="AF14" s="15">
        <f t="shared" si="12"/>
        <v>0.73970037338828043</v>
      </c>
      <c r="AG14" s="15">
        <f t="shared" si="12"/>
        <v>0.73230336965439757</v>
      </c>
    </row>
    <row r="15" spans="1:33" x14ac:dyDescent="0.3">
      <c r="A15" s="2" t="s">
        <v>13</v>
      </c>
      <c r="B15" s="15">
        <v>1</v>
      </c>
      <c r="C15" s="15">
        <f t="shared" ref="C15:AG15" si="13">B15-B15*0.01</f>
        <v>0.99</v>
      </c>
      <c r="D15" s="15">
        <f t="shared" si="13"/>
        <v>0.98009999999999997</v>
      </c>
      <c r="E15" s="15">
        <f t="shared" si="13"/>
        <v>0.97029900000000002</v>
      </c>
      <c r="F15" s="15">
        <f t="shared" si="13"/>
        <v>0.96059601000000006</v>
      </c>
      <c r="G15" s="15">
        <f t="shared" si="13"/>
        <v>0.95099004990000002</v>
      </c>
      <c r="H15" s="15">
        <f t="shared" si="13"/>
        <v>0.941480149401</v>
      </c>
      <c r="I15" s="15">
        <f t="shared" si="13"/>
        <v>0.93206534790699003</v>
      </c>
      <c r="J15" s="15">
        <f t="shared" si="13"/>
        <v>0.92274469442792018</v>
      </c>
      <c r="K15" s="15">
        <f t="shared" si="13"/>
        <v>0.91351724748364094</v>
      </c>
      <c r="L15" s="15">
        <f t="shared" si="13"/>
        <v>0.90438207500880452</v>
      </c>
      <c r="M15" s="15">
        <f t="shared" si="13"/>
        <v>0.89533825425871649</v>
      </c>
      <c r="N15" s="15">
        <f t="shared" si="13"/>
        <v>0.88638487171612934</v>
      </c>
      <c r="O15" s="15">
        <f t="shared" si="13"/>
        <v>0.87752102299896806</v>
      </c>
      <c r="P15" s="15">
        <f t="shared" si="13"/>
        <v>0.86874581276897833</v>
      </c>
      <c r="Q15" s="15">
        <f t="shared" si="13"/>
        <v>0.86005835464128855</v>
      </c>
      <c r="R15" s="15">
        <f t="shared" si="13"/>
        <v>0.85145777109487564</v>
      </c>
      <c r="S15" s="15">
        <f t="shared" si="13"/>
        <v>0.84294319338392687</v>
      </c>
      <c r="T15" s="15">
        <f t="shared" si="13"/>
        <v>0.8345137614500876</v>
      </c>
      <c r="U15" s="15">
        <f t="shared" si="13"/>
        <v>0.82616862383558676</v>
      </c>
      <c r="V15" s="15">
        <f t="shared" si="13"/>
        <v>0.81790693759723088</v>
      </c>
      <c r="W15" s="15">
        <f t="shared" si="13"/>
        <v>0.80972786822125853</v>
      </c>
      <c r="X15" s="15">
        <f t="shared" si="13"/>
        <v>0.80163058953904598</v>
      </c>
      <c r="Y15" s="15">
        <f t="shared" si="13"/>
        <v>0.79361428364365549</v>
      </c>
      <c r="Z15" s="15">
        <f t="shared" si="13"/>
        <v>0.78567814080721898</v>
      </c>
      <c r="AA15" s="15">
        <f t="shared" si="13"/>
        <v>0.77782135939914676</v>
      </c>
      <c r="AB15" s="15">
        <f t="shared" si="13"/>
        <v>0.77004314580515532</v>
      </c>
      <c r="AC15" s="15">
        <f t="shared" si="13"/>
        <v>0.76234271434710377</v>
      </c>
      <c r="AD15" s="15">
        <f t="shared" si="13"/>
        <v>0.75471928720363268</v>
      </c>
      <c r="AE15" s="15">
        <f t="shared" si="13"/>
        <v>0.74717209433159637</v>
      </c>
      <c r="AF15" s="15">
        <f t="shared" si="13"/>
        <v>0.73970037338828043</v>
      </c>
      <c r="AG15" s="15">
        <f t="shared" si="13"/>
        <v>0.73230336965439757</v>
      </c>
    </row>
    <row r="16" spans="1:33" x14ac:dyDescent="0.3">
      <c r="A16" s="2" t="s">
        <v>14</v>
      </c>
      <c r="B16" s="15">
        <v>1</v>
      </c>
      <c r="C16" s="15">
        <f t="shared" ref="C16:AG16" si="14">B16-B16*0.01</f>
        <v>0.99</v>
      </c>
      <c r="D16" s="15">
        <f t="shared" si="14"/>
        <v>0.98009999999999997</v>
      </c>
      <c r="E16" s="15">
        <f t="shared" si="14"/>
        <v>0.97029900000000002</v>
      </c>
      <c r="F16" s="15">
        <f t="shared" si="14"/>
        <v>0.96059601000000006</v>
      </c>
      <c r="G16" s="15">
        <f t="shared" si="14"/>
        <v>0.95099004990000002</v>
      </c>
      <c r="H16" s="15">
        <f t="shared" si="14"/>
        <v>0.941480149401</v>
      </c>
      <c r="I16" s="15">
        <f t="shared" si="14"/>
        <v>0.93206534790699003</v>
      </c>
      <c r="J16" s="15">
        <f t="shared" si="14"/>
        <v>0.92274469442792018</v>
      </c>
      <c r="K16" s="15">
        <f t="shared" si="14"/>
        <v>0.91351724748364094</v>
      </c>
      <c r="L16" s="15">
        <f t="shared" si="14"/>
        <v>0.90438207500880452</v>
      </c>
      <c r="M16" s="15">
        <f t="shared" si="14"/>
        <v>0.89533825425871649</v>
      </c>
      <c r="N16" s="15">
        <f t="shared" si="14"/>
        <v>0.88638487171612934</v>
      </c>
      <c r="O16" s="15">
        <f t="shared" si="14"/>
        <v>0.87752102299896806</v>
      </c>
      <c r="P16" s="15">
        <f t="shared" si="14"/>
        <v>0.86874581276897833</v>
      </c>
      <c r="Q16" s="15">
        <f t="shared" si="14"/>
        <v>0.86005835464128855</v>
      </c>
      <c r="R16" s="15">
        <f t="shared" si="14"/>
        <v>0.85145777109487564</v>
      </c>
      <c r="S16" s="15">
        <f t="shared" si="14"/>
        <v>0.84294319338392687</v>
      </c>
      <c r="T16" s="15">
        <f t="shared" si="14"/>
        <v>0.8345137614500876</v>
      </c>
      <c r="U16" s="15">
        <f t="shared" si="14"/>
        <v>0.82616862383558676</v>
      </c>
      <c r="V16" s="15">
        <f t="shared" si="14"/>
        <v>0.81790693759723088</v>
      </c>
      <c r="W16" s="15">
        <f t="shared" si="14"/>
        <v>0.80972786822125853</v>
      </c>
      <c r="X16" s="15">
        <f t="shared" si="14"/>
        <v>0.80163058953904598</v>
      </c>
      <c r="Y16" s="15">
        <f t="shared" si="14"/>
        <v>0.79361428364365549</v>
      </c>
      <c r="Z16" s="15">
        <f t="shared" si="14"/>
        <v>0.78567814080721898</v>
      </c>
      <c r="AA16" s="15">
        <f t="shared" si="14"/>
        <v>0.77782135939914676</v>
      </c>
      <c r="AB16" s="15">
        <f t="shared" si="14"/>
        <v>0.77004314580515532</v>
      </c>
      <c r="AC16" s="15">
        <f t="shared" si="14"/>
        <v>0.76234271434710377</v>
      </c>
      <c r="AD16" s="15">
        <f t="shared" si="14"/>
        <v>0.75471928720363268</v>
      </c>
      <c r="AE16" s="15">
        <f t="shared" si="14"/>
        <v>0.74717209433159637</v>
      </c>
      <c r="AF16" s="15">
        <f t="shared" si="14"/>
        <v>0.73970037338828043</v>
      </c>
      <c r="AG16" s="15">
        <f t="shared" si="14"/>
        <v>0.73230336965439757</v>
      </c>
    </row>
    <row r="17" spans="1:33" x14ac:dyDescent="0.3">
      <c r="A17" s="2" t="s">
        <v>15</v>
      </c>
      <c r="B17" s="15">
        <v>1</v>
      </c>
      <c r="C17" s="15">
        <f t="shared" ref="C17:AG17" si="15">B17-B17*0.01</f>
        <v>0.99</v>
      </c>
      <c r="D17" s="15">
        <f t="shared" si="15"/>
        <v>0.98009999999999997</v>
      </c>
      <c r="E17" s="15">
        <f t="shared" si="15"/>
        <v>0.97029900000000002</v>
      </c>
      <c r="F17" s="15">
        <f t="shared" si="15"/>
        <v>0.96059601000000006</v>
      </c>
      <c r="G17" s="15">
        <f t="shared" si="15"/>
        <v>0.95099004990000002</v>
      </c>
      <c r="H17" s="15">
        <f t="shared" si="15"/>
        <v>0.941480149401</v>
      </c>
      <c r="I17" s="15">
        <f t="shared" si="15"/>
        <v>0.93206534790699003</v>
      </c>
      <c r="J17" s="15">
        <f t="shared" si="15"/>
        <v>0.92274469442792018</v>
      </c>
      <c r="K17" s="15">
        <f t="shared" si="15"/>
        <v>0.91351724748364094</v>
      </c>
      <c r="L17" s="15">
        <f t="shared" si="15"/>
        <v>0.90438207500880452</v>
      </c>
      <c r="M17" s="15">
        <f t="shared" si="15"/>
        <v>0.89533825425871649</v>
      </c>
      <c r="N17" s="15">
        <f t="shared" si="15"/>
        <v>0.88638487171612934</v>
      </c>
      <c r="O17" s="15">
        <f t="shared" si="15"/>
        <v>0.87752102299896806</v>
      </c>
      <c r="P17" s="15">
        <f t="shared" si="15"/>
        <v>0.86874581276897833</v>
      </c>
      <c r="Q17" s="15">
        <f t="shared" si="15"/>
        <v>0.86005835464128855</v>
      </c>
      <c r="R17" s="15">
        <f t="shared" si="15"/>
        <v>0.85145777109487564</v>
      </c>
      <c r="S17" s="15">
        <f t="shared" si="15"/>
        <v>0.84294319338392687</v>
      </c>
      <c r="T17" s="15">
        <f t="shared" si="15"/>
        <v>0.8345137614500876</v>
      </c>
      <c r="U17" s="15">
        <f t="shared" si="15"/>
        <v>0.82616862383558676</v>
      </c>
      <c r="V17" s="15">
        <f t="shared" si="15"/>
        <v>0.81790693759723088</v>
      </c>
      <c r="W17" s="15">
        <f t="shared" si="15"/>
        <v>0.80972786822125853</v>
      </c>
      <c r="X17" s="15">
        <f t="shared" si="15"/>
        <v>0.80163058953904598</v>
      </c>
      <c r="Y17" s="15">
        <f t="shared" si="15"/>
        <v>0.79361428364365549</v>
      </c>
      <c r="Z17" s="15">
        <f t="shared" si="15"/>
        <v>0.78567814080721898</v>
      </c>
      <c r="AA17" s="15">
        <f t="shared" si="15"/>
        <v>0.77782135939914676</v>
      </c>
      <c r="AB17" s="15">
        <f t="shared" si="15"/>
        <v>0.77004314580515532</v>
      </c>
      <c r="AC17" s="15">
        <f t="shared" si="15"/>
        <v>0.76234271434710377</v>
      </c>
      <c r="AD17" s="15">
        <f t="shared" si="15"/>
        <v>0.75471928720363268</v>
      </c>
      <c r="AE17" s="15">
        <f t="shared" si="15"/>
        <v>0.74717209433159637</v>
      </c>
      <c r="AF17" s="15">
        <f t="shared" si="15"/>
        <v>0.73970037338828043</v>
      </c>
      <c r="AG17" s="15">
        <f t="shared" si="15"/>
        <v>0.73230336965439757</v>
      </c>
    </row>
    <row r="18" spans="1:33" x14ac:dyDescent="0.3">
      <c r="A18" s="2" t="s">
        <v>16</v>
      </c>
      <c r="B18" s="15">
        <v>1</v>
      </c>
      <c r="C18" s="15">
        <f t="shared" ref="C18:AG18" si="16">B18-B18*0.01</f>
        <v>0.99</v>
      </c>
      <c r="D18" s="15">
        <f t="shared" si="16"/>
        <v>0.98009999999999997</v>
      </c>
      <c r="E18" s="15">
        <f t="shared" si="16"/>
        <v>0.97029900000000002</v>
      </c>
      <c r="F18" s="15">
        <f t="shared" si="16"/>
        <v>0.96059601000000006</v>
      </c>
      <c r="G18" s="15">
        <f t="shared" si="16"/>
        <v>0.95099004990000002</v>
      </c>
      <c r="H18" s="15">
        <f t="shared" si="16"/>
        <v>0.941480149401</v>
      </c>
      <c r="I18" s="15">
        <f t="shared" si="16"/>
        <v>0.93206534790699003</v>
      </c>
      <c r="J18" s="15">
        <f t="shared" si="16"/>
        <v>0.92274469442792018</v>
      </c>
      <c r="K18" s="15">
        <f t="shared" si="16"/>
        <v>0.91351724748364094</v>
      </c>
      <c r="L18" s="15">
        <f t="shared" si="16"/>
        <v>0.90438207500880452</v>
      </c>
      <c r="M18" s="15">
        <f t="shared" si="16"/>
        <v>0.89533825425871649</v>
      </c>
      <c r="N18" s="15">
        <f t="shared" si="16"/>
        <v>0.88638487171612934</v>
      </c>
      <c r="O18" s="15">
        <f t="shared" si="16"/>
        <v>0.87752102299896806</v>
      </c>
      <c r="P18" s="15">
        <f t="shared" si="16"/>
        <v>0.86874581276897833</v>
      </c>
      <c r="Q18" s="15">
        <f t="shared" si="16"/>
        <v>0.86005835464128855</v>
      </c>
      <c r="R18" s="15">
        <f t="shared" si="16"/>
        <v>0.85145777109487564</v>
      </c>
      <c r="S18" s="15">
        <f t="shared" si="16"/>
        <v>0.84294319338392687</v>
      </c>
      <c r="T18" s="15">
        <f t="shared" si="16"/>
        <v>0.8345137614500876</v>
      </c>
      <c r="U18" s="15">
        <f t="shared" si="16"/>
        <v>0.82616862383558676</v>
      </c>
      <c r="V18" s="15">
        <f t="shared" si="16"/>
        <v>0.81790693759723088</v>
      </c>
      <c r="W18" s="15">
        <f t="shared" si="16"/>
        <v>0.80972786822125853</v>
      </c>
      <c r="X18" s="15">
        <f t="shared" si="16"/>
        <v>0.80163058953904598</v>
      </c>
      <c r="Y18" s="15">
        <f t="shared" si="16"/>
        <v>0.79361428364365549</v>
      </c>
      <c r="Z18" s="15">
        <f t="shared" si="16"/>
        <v>0.78567814080721898</v>
      </c>
      <c r="AA18" s="15">
        <f t="shared" si="16"/>
        <v>0.77782135939914676</v>
      </c>
      <c r="AB18" s="15">
        <f t="shared" si="16"/>
        <v>0.77004314580515532</v>
      </c>
      <c r="AC18" s="15">
        <f t="shared" si="16"/>
        <v>0.76234271434710377</v>
      </c>
      <c r="AD18" s="15">
        <f t="shared" si="16"/>
        <v>0.75471928720363268</v>
      </c>
      <c r="AE18" s="15">
        <f t="shared" si="16"/>
        <v>0.74717209433159637</v>
      </c>
      <c r="AF18" s="15">
        <f t="shared" si="16"/>
        <v>0.73970037338828043</v>
      </c>
      <c r="AG18" s="15">
        <f t="shared" si="16"/>
        <v>0.73230336965439757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3DD5-A57F-41E3-A40A-188EC63D5E77}">
  <dimension ref="A1:AG18"/>
  <sheetViews>
    <sheetView topLeftCell="R1" workbookViewId="0">
      <selection sqref="A1:AG18"/>
    </sheetView>
  </sheetViews>
  <sheetFormatPr defaultRowHeight="14.4" x14ac:dyDescent="0.3"/>
  <cols>
    <col min="2" max="3" width="5" bestFit="1" customWidth="1"/>
    <col min="4" max="4" width="8" bestFit="1" customWidth="1"/>
    <col min="5" max="5" width="11" bestFit="1" customWidth="1"/>
    <col min="6" max="33" width="12" bestFit="1" customWidth="1"/>
  </cols>
  <sheetData>
    <row r="1" spans="1:33" x14ac:dyDescent="0.3">
      <c r="A1" s="2"/>
      <c r="B1" s="14">
        <v>2019</v>
      </c>
      <c r="C1" s="14">
        <v>2020</v>
      </c>
      <c r="D1" s="14">
        <v>2021</v>
      </c>
      <c r="E1" s="14">
        <v>2022</v>
      </c>
      <c r="F1" s="14">
        <v>2023</v>
      </c>
      <c r="G1" s="14">
        <v>2024</v>
      </c>
      <c r="H1" s="14">
        <v>2025</v>
      </c>
      <c r="I1" s="14">
        <v>2026</v>
      </c>
      <c r="J1" s="14">
        <v>2027</v>
      </c>
      <c r="K1" s="14">
        <v>2028</v>
      </c>
      <c r="L1" s="14">
        <v>2029</v>
      </c>
      <c r="M1" s="14">
        <v>2030</v>
      </c>
      <c r="N1" s="14">
        <v>2031</v>
      </c>
      <c r="O1" s="14">
        <v>2032</v>
      </c>
      <c r="P1" s="14">
        <v>2033</v>
      </c>
      <c r="Q1" s="14">
        <v>2034</v>
      </c>
      <c r="R1" s="14">
        <v>2035</v>
      </c>
      <c r="S1" s="14">
        <v>2036</v>
      </c>
      <c r="T1" s="14">
        <v>2037</v>
      </c>
      <c r="U1" s="14">
        <v>2038</v>
      </c>
      <c r="V1" s="14">
        <v>2039</v>
      </c>
      <c r="W1" s="14">
        <v>2040</v>
      </c>
      <c r="X1" s="14">
        <v>2041</v>
      </c>
      <c r="Y1" s="14">
        <v>2042</v>
      </c>
      <c r="Z1" s="14">
        <v>2043</v>
      </c>
      <c r="AA1" s="14">
        <v>2044</v>
      </c>
      <c r="AB1" s="14">
        <v>2045</v>
      </c>
      <c r="AC1" s="14">
        <v>2046</v>
      </c>
      <c r="AD1" s="14">
        <v>2047</v>
      </c>
      <c r="AE1" s="14">
        <v>2048</v>
      </c>
      <c r="AF1" s="14">
        <v>2049</v>
      </c>
      <c r="AG1" s="14">
        <v>2050</v>
      </c>
    </row>
    <row r="2" spans="1:33" x14ac:dyDescent="0.3">
      <c r="A2" s="2" t="s">
        <v>0</v>
      </c>
      <c r="B2">
        <v>1</v>
      </c>
      <c r="C2">
        <v>0.97</v>
      </c>
      <c r="D2">
        <v>0.9506</v>
      </c>
      <c r="E2">
        <v>0.93158799999999997</v>
      </c>
      <c r="F2">
        <v>0.91295623999999997</v>
      </c>
      <c r="G2">
        <v>0.89469711519999995</v>
      </c>
      <c r="H2">
        <v>0.87680317289599996</v>
      </c>
      <c r="I2">
        <v>0.85926710943807993</v>
      </c>
      <c r="J2">
        <v>0.84208176724931838</v>
      </c>
      <c r="K2">
        <v>0.82524013190433199</v>
      </c>
      <c r="L2">
        <v>0.80873532926624536</v>
      </c>
      <c r="M2">
        <v>0.79256062268092042</v>
      </c>
      <c r="N2">
        <v>0.776709410227302</v>
      </c>
      <c r="O2">
        <v>0.761175222022756</v>
      </c>
      <c r="P2">
        <v>0.74595171758230083</v>
      </c>
      <c r="Q2">
        <v>0.73103268323065485</v>
      </c>
      <c r="R2">
        <v>0.71641202956604177</v>
      </c>
      <c r="S2">
        <v>0.7020837889747209</v>
      </c>
      <c r="T2">
        <v>0.68804211319522646</v>
      </c>
      <c r="U2">
        <v>0.67428127093132195</v>
      </c>
      <c r="V2">
        <v>0.66079564551269554</v>
      </c>
      <c r="W2">
        <v>0.64757973260244162</v>
      </c>
      <c r="X2">
        <v>0.63462813795039275</v>
      </c>
      <c r="Y2">
        <v>0.62193557519138487</v>
      </c>
      <c r="Z2">
        <v>0.60949686368755718</v>
      </c>
      <c r="AA2">
        <v>0.59730692641380601</v>
      </c>
      <c r="AB2">
        <v>0.58536078788552992</v>
      </c>
      <c r="AC2">
        <v>0.57365357212781931</v>
      </c>
      <c r="AD2">
        <v>0.56218050068526293</v>
      </c>
      <c r="AE2">
        <v>0.55093689067155771</v>
      </c>
      <c r="AF2">
        <v>0.53991815285812661</v>
      </c>
      <c r="AG2">
        <v>0.52911978980096408</v>
      </c>
    </row>
    <row r="3" spans="1:33" x14ac:dyDescent="0.3">
      <c r="A3" s="2" t="s">
        <v>1</v>
      </c>
      <c r="B3">
        <v>1</v>
      </c>
      <c r="C3">
        <v>0.97</v>
      </c>
      <c r="D3">
        <v>0.9506</v>
      </c>
      <c r="E3">
        <v>0.93158799999999997</v>
      </c>
      <c r="F3">
        <v>0.91295623999999997</v>
      </c>
      <c r="G3">
        <v>0.89469711519999995</v>
      </c>
      <c r="H3">
        <v>0.87680317289599996</v>
      </c>
      <c r="I3">
        <v>0.85926710943807993</v>
      </c>
      <c r="J3">
        <v>0.84208176724931838</v>
      </c>
      <c r="K3">
        <v>0.82524013190433199</v>
      </c>
      <c r="L3">
        <v>0.80873532926624536</v>
      </c>
      <c r="M3">
        <v>0.79256062268092042</v>
      </c>
      <c r="N3">
        <v>0.776709410227302</v>
      </c>
      <c r="O3">
        <v>0.761175222022756</v>
      </c>
      <c r="P3">
        <v>0.74595171758230083</v>
      </c>
      <c r="Q3">
        <v>0.73103268323065485</v>
      </c>
      <c r="R3">
        <v>0.71641202956604177</v>
      </c>
      <c r="S3">
        <v>0.7020837889747209</v>
      </c>
      <c r="T3">
        <v>0.68804211319522646</v>
      </c>
      <c r="U3">
        <v>0.67428127093132195</v>
      </c>
      <c r="V3">
        <v>0.66079564551269554</v>
      </c>
      <c r="W3">
        <v>0.64757973260244162</v>
      </c>
      <c r="X3">
        <v>0.63462813795039275</v>
      </c>
      <c r="Y3">
        <v>0.62193557519138487</v>
      </c>
      <c r="Z3">
        <v>0.60949686368755718</v>
      </c>
      <c r="AA3">
        <v>0.59730692641380601</v>
      </c>
      <c r="AB3">
        <v>0.58536078788552992</v>
      </c>
      <c r="AC3">
        <v>0.57365357212781931</v>
      </c>
      <c r="AD3">
        <v>0.56218050068526293</v>
      </c>
      <c r="AE3">
        <v>0.55093689067155771</v>
      </c>
      <c r="AF3">
        <v>0.53991815285812661</v>
      </c>
      <c r="AG3">
        <v>0.52911978980096408</v>
      </c>
    </row>
    <row r="4" spans="1:33" x14ac:dyDescent="0.3">
      <c r="A4" s="2" t="s">
        <v>2</v>
      </c>
      <c r="B4">
        <v>1</v>
      </c>
      <c r="C4">
        <v>0.97</v>
      </c>
      <c r="D4">
        <v>0.9506</v>
      </c>
      <c r="E4">
        <v>0.93158799999999997</v>
      </c>
      <c r="F4">
        <v>0.91295623999999997</v>
      </c>
      <c r="G4">
        <v>0.89469711519999995</v>
      </c>
      <c r="H4">
        <v>0.87680317289599996</v>
      </c>
      <c r="I4">
        <v>0.85926710943807993</v>
      </c>
      <c r="J4">
        <v>0.84208176724931838</v>
      </c>
      <c r="K4">
        <v>0.82524013190433199</v>
      </c>
      <c r="L4">
        <v>0.80873532926624536</v>
      </c>
      <c r="M4">
        <v>0.79256062268092042</v>
      </c>
      <c r="N4">
        <v>0.776709410227302</v>
      </c>
      <c r="O4">
        <v>0.761175222022756</v>
      </c>
      <c r="P4">
        <v>0.74595171758230083</v>
      </c>
      <c r="Q4">
        <v>0.73103268323065485</v>
      </c>
      <c r="R4">
        <v>0.71641202956604177</v>
      </c>
      <c r="S4">
        <v>0.7020837889747209</v>
      </c>
      <c r="T4">
        <v>0.68804211319522646</v>
      </c>
      <c r="U4">
        <v>0.67428127093132195</v>
      </c>
      <c r="V4">
        <v>0.66079564551269554</v>
      </c>
      <c r="W4">
        <v>0.64757973260244162</v>
      </c>
      <c r="X4">
        <v>0.63462813795039275</v>
      </c>
      <c r="Y4">
        <v>0.62193557519138487</v>
      </c>
      <c r="Z4">
        <v>0.60949686368755718</v>
      </c>
      <c r="AA4">
        <v>0.59730692641380601</v>
      </c>
      <c r="AB4">
        <v>0.58536078788552992</v>
      </c>
      <c r="AC4">
        <v>0.57365357212781931</v>
      </c>
      <c r="AD4">
        <v>0.56218050068526293</v>
      </c>
      <c r="AE4">
        <v>0.55093689067155771</v>
      </c>
      <c r="AF4">
        <v>0.53991815285812661</v>
      </c>
      <c r="AG4">
        <v>0.52911978980096408</v>
      </c>
    </row>
    <row r="5" spans="1:33" x14ac:dyDescent="0.3">
      <c r="A5" s="2" t="s">
        <v>3</v>
      </c>
      <c r="B5">
        <v>1</v>
      </c>
      <c r="C5">
        <v>0.97</v>
      </c>
      <c r="D5">
        <v>0.9506</v>
      </c>
      <c r="E5">
        <v>0.93158799999999997</v>
      </c>
      <c r="F5">
        <v>0.91295623999999997</v>
      </c>
      <c r="G5">
        <v>0.89469711519999995</v>
      </c>
      <c r="H5">
        <v>0.87680317289599996</v>
      </c>
      <c r="I5">
        <v>0.85926710943807993</v>
      </c>
      <c r="J5">
        <v>0.84208176724931838</v>
      </c>
      <c r="K5">
        <v>0.82524013190433199</v>
      </c>
      <c r="L5">
        <v>0.80873532926624536</v>
      </c>
      <c r="M5">
        <v>0.79256062268092042</v>
      </c>
      <c r="N5">
        <v>0.776709410227302</v>
      </c>
      <c r="O5">
        <v>0.761175222022756</v>
      </c>
      <c r="P5">
        <v>0.74595171758230083</v>
      </c>
      <c r="Q5">
        <v>0.73103268323065485</v>
      </c>
      <c r="R5">
        <v>0.71641202956604177</v>
      </c>
      <c r="S5">
        <v>0.7020837889747209</v>
      </c>
      <c r="T5">
        <v>0.68804211319522646</v>
      </c>
      <c r="U5">
        <v>0.67428127093132195</v>
      </c>
      <c r="V5">
        <v>0.66079564551269554</v>
      </c>
      <c r="W5">
        <v>0.64757973260244162</v>
      </c>
      <c r="X5">
        <v>0.63462813795039275</v>
      </c>
      <c r="Y5">
        <v>0.62193557519138487</v>
      </c>
      <c r="Z5">
        <v>0.60949686368755718</v>
      </c>
      <c r="AA5">
        <v>0.59730692641380601</v>
      </c>
      <c r="AB5">
        <v>0.58536078788552992</v>
      </c>
      <c r="AC5">
        <v>0.57365357212781931</v>
      </c>
      <c r="AD5">
        <v>0.56218050068526293</v>
      </c>
      <c r="AE5">
        <v>0.55093689067155771</v>
      </c>
      <c r="AF5">
        <v>0.53991815285812661</v>
      </c>
      <c r="AG5">
        <v>0.52911978980096408</v>
      </c>
    </row>
    <row r="6" spans="1:33" x14ac:dyDescent="0.3">
      <c r="A6" s="2" t="s">
        <v>4</v>
      </c>
      <c r="B6">
        <v>1</v>
      </c>
      <c r="C6">
        <v>0.97</v>
      </c>
      <c r="D6">
        <v>0.9506</v>
      </c>
      <c r="E6">
        <v>0.93158799999999997</v>
      </c>
      <c r="F6">
        <v>0.91295623999999997</v>
      </c>
      <c r="G6">
        <v>0.89469711519999995</v>
      </c>
      <c r="H6">
        <v>0.87680317289599996</v>
      </c>
      <c r="I6">
        <v>0.85926710943807993</v>
      </c>
      <c r="J6">
        <v>0.84208176724931838</v>
      </c>
      <c r="K6">
        <v>0.82524013190433199</v>
      </c>
      <c r="L6">
        <v>0.80873532926624536</v>
      </c>
      <c r="M6">
        <v>0.79256062268092042</v>
      </c>
      <c r="N6">
        <v>0.776709410227302</v>
      </c>
      <c r="O6">
        <v>0.761175222022756</v>
      </c>
      <c r="P6">
        <v>0.74595171758230083</v>
      </c>
      <c r="Q6">
        <v>0.73103268323065485</v>
      </c>
      <c r="R6">
        <v>0.71641202956604177</v>
      </c>
      <c r="S6">
        <v>0.7020837889747209</v>
      </c>
      <c r="T6">
        <v>0.68804211319522646</v>
      </c>
      <c r="U6">
        <v>0.67428127093132195</v>
      </c>
      <c r="V6">
        <v>0.66079564551269554</v>
      </c>
      <c r="W6">
        <v>0.64757973260244162</v>
      </c>
      <c r="X6">
        <v>0.63462813795039275</v>
      </c>
      <c r="Y6">
        <v>0.62193557519138487</v>
      </c>
      <c r="Z6">
        <v>0.60949686368755718</v>
      </c>
      <c r="AA6">
        <v>0.59730692641380601</v>
      </c>
      <c r="AB6">
        <v>0.58536078788552992</v>
      </c>
      <c r="AC6">
        <v>0.57365357212781931</v>
      </c>
      <c r="AD6">
        <v>0.56218050068526293</v>
      </c>
      <c r="AE6">
        <v>0.55093689067155771</v>
      </c>
      <c r="AF6">
        <v>0.53991815285812661</v>
      </c>
      <c r="AG6">
        <v>0.52911978980096408</v>
      </c>
    </row>
    <row r="7" spans="1:33" x14ac:dyDescent="0.3">
      <c r="A7" s="2" t="s">
        <v>5</v>
      </c>
      <c r="B7">
        <v>1</v>
      </c>
      <c r="C7">
        <v>0.97</v>
      </c>
      <c r="D7">
        <v>0.9506</v>
      </c>
      <c r="E7">
        <v>0.93158799999999997</v>
      </c>
      <c r="F7">
        <v>0.91295623999999997</v>
      </c>
      <c r="G7">
        <v>0.89469711519999995</v>
      </c>
      <c r="H7">
        <v>0.87680317289599996</v>
      </c>
      <c r="I7">
        <v>0.85926710943807993</v>
      </c>
      <c r="J7">
        <v>0.84208176724931838</v>
      </c>
      <c r="K7">
        <v>0.82524013190433199</v>
      </c>
      <c r="L7">
        <v>0.80873532926624536</v>
      </c>
      <c r="M7">
        <v>0.79256062268092042</v>
      </c>
      <c r="N7">
        <v>0.776709410227302</v>
      </c>
      <c r="O7">
        <v>0.761175222022756</v>
      </c>
      <c r="P7">
        <v>0.74595171758230083</v>
      </c>
      <c r="Q7">
        <v>0.73103268323065485</v>
      </c>
      <c r="R7">
        <v>0.71641202956604177</v>
      </c>
      <c r="S7">
        <v>0.7020837889747209</v>
      </c>
      <c r="T7">
        <v>0.68804211319522646</v>
      </c>
      <c r="U7">
        <v>0.67428127093132195</v>
      </c>
      <c r="V7">
        <v>0.66079564551269554</v>
      </c>
      <c r="W7">
        <v>0.64757973260244162</v>
      </c>
      <c r="X7">
        <v>0.63462813795039275</v>
      </c>
      <c r="Y7">
        <v>0.62193557519138487</v>
      </c>
      <c r="Z7">
        <v>0.60949686368755718</v>
      </c>
      <c r="AA7">
        <v>0.59730692641380601</v>
      </c>
      <c r="AB7">
        <v>0.58536078788552992</v>
      </c>
      <c r="AC7">
        <v>0.57365357212781931</v>
      </c>
      <c r="AD7">
        <v>0.56218050068526293</v>
      </c>
      <c r="AE7">
        <v>0.55093689067155771</v>
      </c>
      <c r="AF7">
        <v>0.53991815285812661</v>
      </c>
      <c r="AG7">
        <v>0.52911978980096408</v>
      </c>
    </row>
    <row r="8" spans="1:33" x14ac:dyDescent="0.3">
      <c r="A8" s="2" t="s">
        <v>6</v>
      </c>
      <c r="B8">
        <v>1</v>
      </c>
      <c r="C8">
        <v>0.97</v>
      </c>
      <c r="D8">
        <v>0.9506</v>
      </c>
      <c r="E8">
        <v>0.93158799999999997</v>
      </c>
      <c r="F8">
        <v>0.91295623999999997</v>
      </c>
      <c r="G8">
        <v>0.89469711519999995</v>
      </c>
      <c r="H8">
        <v>0.87680317289599996</v>
      </c>
      <c r="I8">
        <v>0.85926710943807993</v>
      </c>
      <c r="J8">
        <v>0.84208176724931838</v>
      </c>
      <c r="K8">
        <v>0.82524013190433199</v>
      </c>
      <c r="L8">
        <v>0.80873532926624536</v>
      </c>
      <c r="M8">
        <v>0.79256062268092042</v>
      </c>
      <c r="N8">
        <v>0.776709410227302</v>
      </c>
      <c r="O8">
        <v>0.761175222022756</v>
      </c>
      <c r="P8">
        <v>0.74595171758230083</v>
      </c>
      <c r="Q8">
        <v>0.73103268323065485</v>
      </c>
      <c r="R8">
        <v>0.71641202956604177</v>
      </c>
      <c r="S8">
        <v>0.7020837889747209</v>
      </c>
      <c r="T8">
        <v>0.68804211319522646</v>
      </c>
      <c r="U8">
        <v>0.67428127093132195</v>
      </c>
      <c r="V8">
        <v>0.66079564551269554</v>
      </c>
      <c r="W8">
        <v>0.64757973260244162</v>
      </c>
      <c r="X8">
        <v>0.63462813795039275</v>
      </c>
      <c r="Y8">
        <v>0.62193557519138487</v>
      </c>
      <c r="Z8">
        <v>0.60949686368755718</v>
      </c>
      <c r="AA8">
        <v>0.59730692641380601</v>
      </c>
      <c r="AB8">
        <v>0.58536078788552992</v>
      </c>
      <c r="AC8">
        <v>0.57365357212781931</v>
      </c>
      <c r="AD8">
        <v>0.56218050068526293</v>
      </c>
      <c r="AE8">
        <v>0.55093689067155771</v>
      </c>
      <c r="AF8">
        <v>0.53991815285812661</v>
      </c>
      <c r="AG8">
        <v>0.52911978980096408</v>
      </c>
    </row>
    <row r="9" spans="1:33" x14ac:dyDescent="0.3">
      <c r="A9" s="2" t="s">
        <v>7</v>
      </c>
      <c r="B9">
        <v>1</v>
      </c>
      <c r="C9">
        <v>0.97</v>
      </c>
      <c r="D9">
        <v>0.9506</v>
      </c>
      <c r="E9">
        <v>0.93158799999999997</v>
      </c>
      <c r="F9">
        <v>0.91295623999999997</v>
      </c>
      <c r="G9">
        <v>0.89469711519999995</v>
      </c>
      <c r="H9">
        <v>0.87680317289599996</v>
      </c>
      <c r="I9">
        <v>0.85926710943807993</v>
      </c>
      <c r="J9">
        <v>0.84208176724931838</v>
      </c>
      <c r="K9">
        <v>0.82524013190433199</v>
      </c>
      <c r="L9">
        <v>0.80873532926624536</v>
      </c>
      <c r="M9">
        <v>0.79256062268092042</v>
      </c>
      <c r="N9">
        <v>0.776709410227302</v>
      </c>
      <c r="O9">
        <v>0.761175222022756</v>
      </c>
      <c r="P9">
        <v>0.74595171758230083</v>
      </c>
      <c r="Q9">
        <v>0.73103268323065485</v>
      </c>
      <c r="R9">
        <v>0.71641202956604177</v>
      </c>
      <c r="S9">
        <v>0.7020837889747209</v>
      </c>
      <c r="T9">
        <v>0.68804211319522646</v>
      </c>
      <c r="U9">
        <v>0.67428127093132195</v>
      </c>
      <c r="V9">
        <v>0.66079564551269554</v>
      </c>
      <c r="W9">
        <v>0.64757973260244162</v>
      </c>
      <c r="X9">
        <v>0.63462813795039275</v>
      </c>
      <c r="Y9">
        <v>0.62193557519138487</v>
      </c>
      <c r="Z9">
        <v>0.60949686368755718</v>
      </c>
      <c r="AA9">
        <v>0.59730692641380601</v>
      </c>
      <c r="AB9">
        <v>0.58536078788552992</v>
      </c>
      <c r="AC9">
        <v>0.57365357212781931</v>
      </c>
      <c r="AD9">
        <v>0.56218050068526293</v>
      </c>
      <c r="AE9">
        <v>0.55093689067155771</v>
      </c>
      <c r="AF9">
        <v>0.53991815285812661</v>
      </c>
      <c r="AG9">
        <v>0.52911978980096408</v>
      </c>
    </row>
    <row r="10" spans="1:33" x14ac:dyDescent="0.3">
      <c r="A10" s="2" t="s">
        <v>8</v>
      </c>
      <c r="B10">
        <v>1</v>
      </c>
      <c r="C10">
        <v>0.97</v>
      </c>
      <c r="D10">
        <v>0.9506</v>
      </c>
      <c r="E10">
        <v>0.93158799999999997</v>
      </c>
      <c r="F10">
        <v>0.91295623999999997</v>
      </c>
      <c r="G10">
        <v>0.89469711519999995</v>
      </c>
      <c r="H10">
        <v>0.87680317289599996</v>
      </c>
      <c r="I10">
        <v>0.85926710943807993</v>
      </c>
      <c r="J10">
        <v>0.84208176724931838</v>
      </c>
      <c r="K10">
        <v>0.82524013190433199</v>
      </c>
      <c r="L10">
        <v>0.80873532926624536</v>
      </c>
      <c r="M10">
        <v>0.79256062268092042</v>
      </c>
      <c r="N10">
        <v>0.776709410227302</v>
      </c>
      <c r="O10">
        <v>0.761175222022756</v>
      </c>
      <c r="P10">
        <v>0.74595171758230083</v>
      </c>
      <c r="Q10">
        <v>0.73103268323065485</v>
      </c>
      <c r="R10">
        <v>0.71641202956604177</v>
      </c>
      <c r="S10">
        <v>0.7020837889747209</v>
      </c>
      <c r="T10">
        <v>0.68804211319522646</v>
      </c>
      <c r="U10">
        <v>0.67428127093132195</v>
      </c>
      <c r="V10">
        <v>0.66079564551269554</v>
      </c>
      <c r="W10">
        <v>0.64757973260244162</v>
      </c>
      <c r="X10">
        <v>0.63462813795039275</v>
      </c>
      <c r="Y10">
        <v>0.62193557519138487</v>
      </c>
      <c r="Z10">
        <v>0.60949686368755718</v>
      </c>
      <c r="AA10">
        <v>0.59730692641380601</v>
      </c>
      <c r="AB10">
        <v>0.58536078788552992</v>
      </c>
      <c r="AC10">
        <v>0.57365357212781931</v>
      </c>
      <c r="AD10">
        <v>0.56218050068526293</v>
      </c>
      <c r="AE10">
        <v>0.55093689067155771</v>
      </c>
      <c r="AF10">
        <v>0.53991815285812661</v>
      </c>
      <c r="AG10">
        <v>0.52911978980096408</v>
      </c>
    </row>
    <row r="11" spans="1:33" x14ac:dyDescent="0.3">
      <c r="A11" s="2" t="s">
        <v>9</v>
      </c>
      <c r="B11">
        <v>1</v>
      </c>
      <c r="C11">
        <v>0.97</v>
      </c>
      <c r="D11">
        <v>0.9506</v>
      </c>
      <c r="E11">
        <v>0.93158799999999997</v>
      </c>
      <c r="F11">
        <v>0.91295623999999997</v>
      </c>
      <c r="G11">
        <v>0.89469711519999995</v>
      </c>
      <c r="H11">
        <v>0.87680317289599996</v>
      </c>
      <c r="I11">
        <v>0.85926710943807993</v>
      </c>
      <c r="J11">
        <v>0.84208176724931838</v>
      </c>
      <c r="K11">
        <v>0.82524013190433199</v>
      </c>
      <c r="L11">
        <v>0.80873532926624536</v>
      </c>
      <c r="M11">
        <v>0.79256062268092042</v>
      </c>
      <c r="N11">
        <v>0.776709410227302</v>
      </c>
      <c r="O11">
        <v>0.761175222022756</v>
      </c>
      <c r="P11">
        <v>0.74595171758230083</v>
      </c>
      <c r="Q11">
        <v>0.73103268323065485</v>
      </c>
      <c r="R11">
        <v>0.71641202956604177</v>
      </c>
      <c r="S11">
        <v>0.7020837889747209</v>
      </c>
      <c r="T11">
        <v>0.68804211319522646</v>
      </c>
      <c r="U11">
        <v>0.67428127093132195</v>
      </c>
      <c r="V11">
        <v>0.66079564551269554</v>
      </c>
      <c r="W11">
        <v>0.64757973260244162</v>
      </c>
      <c r="X11">
        <v>0.63462813795039275</v>
      </c>
      <c r="Y11">
        <v>0.62193557519138487</v>
      </c>
      <c r="Z11">
        <v>0.60949686368755718</v>
      </c>
      <c r="AA11">
        <v>0.59730692641380601</v>
      </c>
      <c r="AB11">
        <v>0.58536078788552992</v>
      </c>
      <c r="AC11">
        <v>0.57365357212781931</v>
      </c>
      <c r="AD11">
        <v>0.56218050068526293</v>
      </c>
      <c r="AE11">
        <v>0.55093689067155771</v>
      </c>
      <c r="AF11">
        <v>0.53991815285812661</v>
      </c>
      <c r="AG11">
        <v>0.52911978980096408</v>
      </c>
    </row>
    <row r="12" spans="1:33" x14ac:dyDescent="0.3">
      <c r="A12" s="2" t="s">
        <v>10</v>
      </c>
      <c r="B12">
        <v>1</v>
      </c>
      <c r="C12">
        <v>0.97</v>
      </c>
      <c r="D12">
        <v>0.9506</v>
      </c>
      <c r="E12">
        <v>0.93158799999999997</v>
      </c>
      <c r="F12">
        <v>0.91295623999999997</v>
      </c>
      <c r="G12">
        <v>0.89469711519999995</v>
      </c>
      <c r="H12">
        <v>0.87680317289599996</v>
      </c>
      <c r="I12">
        <v>0.85926710943807993</v>
      </c>
      <c r="J12">
        <v>0.84208176724931838</v>
      </c>
      <c r="K12">
        <v>0.82524013190433199</v>
      </c>
      <c r="L12">
        <v>0.80873532926624536</v>
      </c>
      <c r="M12">
        <v>0.79256062268092042</v>
      </c>
      <c r="N12">
        <v>0.776709410227302</v>
      </c>
      <c r="O12">
        <v>0.761175222022756</v>
      </c>
      <c r="P12">
        <v>0.74595171758230083</v>
      </c>
      <c r="Q12">
        <v>0.73103268323065485</v>
      </c>
      <c r="R12">
        <v>0.71641202956604177</v>
      </c>
      <c r="S12">
        <v>0.7020837889747209</v>
      </c>
      <c r="T12">
        <v>0.68804211319522646</v>
      </c>
      <c r="U12">
        <v>0.67428127093132195</v>
      </c>
      <c r="V12">
        <v>0.66079564551269554</v>
      </c>
      <c r="W12">
        <v>0.64757973260244162</v>
      </c>
      <c r="X12">
        <v>0.63462813795039275</v>
      </c>
      <c r="Y12">
        <v>0.62193557519138487</v>
      </c>
      <c r="Z12">
        <v>0.60949686368755718</v>
      </c>
      <c r="AA12">
        <v>0.59730692641380601</v>
      </c>
      <c r="AB12">
        <v>0.58536078788552992</v>
      </c>
      <c r="AC12">
        <v>0.57365357212781931</v>
      </c>
      <c r="AD12">
        <v>0.56218050068526293</v>
      </c>
      <c r="AE12">
        <v>0.55093689067155771</v>
      </c>
      <c r="AF12">
        <v>0.53991815285812661</v>
      </c>
      <c r="AG12">
        <v>0.52911978980096408</v>
      </c>
    </row>
    <row r="13" spans="1:33" x14ac:dyDescent="0.3">
      <c r="A13" s="2" t="s">
        <v>11</v>
      </c>
      <c r="B13">
        <v>1</v>
      </c>
      <c r="C13">
        <v>0.97</v>
      </c>
      <c r="D13">
        <v>0.9506</v>
      </c>
      <c r="E13">
        <v>0.93158799999999997</v>
      </c>
      <c r="F13">
        <v>0.91295623999999997</v>
      </c>
      <c r="G13">
        <v>0.89469711519999995</v>
      </c>
      <c r="H13">
        <v>0.87680317289599996</v>
      </c>
      <c r="I13">
        <v>0.85926710943807993</v>
      </c>
      <c r="J13">
        <v>0.84208176724931838</v>
      </c>
      <c r="K13">
        <v>0.82524013190433199</v>
      </c>
      <c r="L13">
        <v>0.80873532926624536</v>
      </c>
      <c r="M13">
        <v>0.79256062268092042</v>
      </c>
      <c r="N13">
        <v>0.776709410227302</v>
      </c>
      <c r="O13">
        <v>0.761175222022756</v>
      </c>
      <c r="P13">
        <v>0.74595171758230083</v>
      </c>
      <c r="Q13">
        <v>0.73103268323065485</v>
      </c>
      <c r="R13">
        <v>0.71641202956604177</v>
      </c>
      <c r="S13">
        <v>0.7020837889747209</v>
      </c>
      <c r="T13">
        <v>0.68804211319522646</v>
      </c>
      <c r="U13">
        <v>0.67428127093132195</v>
      </c>
      <c r="V13">
        <v>0.66079564551269554</v>
      </c>
      <c r="W13">
        <v>0.64757973260244162</v>
      </c>
      <c r="X13">
        <v>0.63462813795039275</v>
      </c>
      <c r="Y13">
        <v>0.62193557519138487</v>
      </c>
      <c r="Z13">
        <v>0.60949686368755718</v>
      </c>
      <c r="AA13">
        <v>0.59730692641380601</v>
      </c>
      <c r="AB13">
        <v>0.58536078788552992</v>
      </c>
      <c r="AC13">
        <v>0.57365357212781931</v>
      </c>
      <c r="AD13">
        <v>0.56218050068526293</v>
      </c>
      <c r="AE13">
        <v>0.55093689067155771</v>
      </c>
      <c r="AF13">
        <v>0.53991815285812661</v>
      </c>
      <c r="AG13">
        <v>0.52911978980096408</v>
      </c>
    </row>
    <row r="14" spans="1:33" x14ac:dyDescent="0.3">
      <c r="A14" s="2" t="s">
        <v>12</v>
      </c>
      <c r="B14">
        <v>1</v>
      </c>
      <c r="C14">
        <v>0.97</v>
      </c>
      <c r="D14">
        <v>0.9506</v>
      </c>
      <c r="E14">
        <v>0.93158799999999997</v>
      </c>
      <c r="F14">
        <v>0.91295623999999997</v>
      </c>
      <c r="G14">
        <v>0.89469711519999995</v>
      </c>
      <c r="H14">
        <v>0.87680317289599996</v>
      </c>
      <c r="I14">
        <v>0.85926710943807993</v>
      </c>
      <c r="J14">
        <v>0.84208176724931838</v>
      </c>
      <c r="K14">
        <v>0.82524013190433199</v>
      </c>
      <c r="L14">
        <v>0.80873532926624536</v>
      </c>
      <c r="M14">
        <v>0.79256062268092042</v>
      </c>
      <c r="N14">
        <v>0.776709410227302</v>
      </c>
      <c r="O14">
        <v>0.761175222022756</v>
      </c>
      <c r="P14">
        <v>0.74595171758230083</v>
      </c>
      <c r="Q14">
        <v>0.73103268323065485</v>
      </c>
      <c r="R14">
        <v>0.71641202956604177</v>
      </c>
      <c r="S14">
        <v>0.7020837889747209</v>
      </c>
      <c r="T14">
        <v>0.68804211319522646</v>
      </c>
      <c r="U14">
        <v>0.67428127093132195</v>
      </c>
      <c r="V14">
        <v>0.66079564551269554</v>
      </c>
      <c r="W14">
        <v>0.64757973260244162</v>
      </c>
      <c r="X14">
        <v>0.63462813795039275</v>
      </c>
      <c r="Y14">
        <v>0.62193557519138487</v>
      </c>
      <c r="Z14">
        <v>0.60949686368755718</v>
      </c>
      <c r="AA14">
        <v>0.59730692641380601</v>
      </c>
      <c r="AB14">
        <v>0.58536078788552992</v>
      </c>
      <c r="AC14">
        <v>0.57365357212781931</v>
      </c>
      <c r="AD14">
        <v>0.56218050068526293</v>
      </c>
      <c r="AE14">
        <v>0.55093689067155771</v>
      </c>
      <c r="AF14">
        <v>0.53991815285812661</v>
      </c>
      <c r="AG14">
        <v>0.52911978980096408</v>
      </c>
    </row>
    <row r="15" spans="1:33" x14ac:dyDescent="0.3">
      <c r="A15" s="2" t="s">
        <v>13</v>
      </c>
      <c r="B15">
        <v>1</v>
      </c>
      <c r="C15">
        <v>0.97</v>
      </c>
      <c r="D15">
        <v>0.9506</v>
      </c>
      <c r="E15">
        <v>0.93158799999999997</v>
      </c>
      <c r="F15">
        <v>0.91295623999999997</v>
      </c>
      <c r="G15">
        <v>0.89469711519999995</v>
      </c>
      <c r="H15">
        <v>0.87680317289599996</v>
      </c>
      <c r="I15">
        <v>0.85926710943807993</v>
      </c>
      <c r="J15">
        <v>0.84208176724931838</v>
      </c>
      <c r="K15">
        <v>0.82524013190433199</v>
      </c>
      <c r="L15">
        <v>0.80873532926624536</v>
      </c>
      <c r="M15">
        <v>0.79256062268092042</v>
      </c>
      <c r="N15">
        <v>0.776709410227302</v>
      </c>
      <c r="O15">
        <v>0.761175222022756</v>
      </c>
      <c r="P15">
        <v>0.74595171758230083</v>
      </c>
      <c r="Q15">
        <v>0.73103268323065485</v>
      </c>
      <c r="R15">
        <v>0.71641202956604177</v>
      </c>
      <c r="S15">
        <v>0.7020837889747209</v>
      </c>
      <c r="T15">
        <v>0.68804211319522646</v>
      </c>
      <c r="U15">
        <v>0.67428127093132195</v>
      </c>
      <c r="V15">
        <v>0.66079564551269554</v>
      </c>
      <c r="W15">
        <v>0.64757973260244162</v>
      </c>
      <c r="X15">
        <v>0.63462813795039275</v>
      </c>
      <c r="Y15">
        <v>0.62193557519138487</v>
      </c>
      <c r="Z15">
        <v>0.60949686368755718</v>
      </c>
      <c r="AA15">
        <v>0.59730692641380601</v>
      </c>
      <c r="AB15">
        <v>0.58536078788552992</v>
      </c>
      <c r="AC15">
        <v>0.57365357212781931</v>
      </c>
      <c r="AD15">
        <v>0.56218050068526293</v>
      </c>
      <c r="AE15">
        <v>0.55093689067155771</v>
      </c>
      <c r="AF15">
        <v>0.53991815285812661</v>
      </c>
      <c r="AG15">
        <v>0.52911978980096408</v>
      </c>
    </row>
    <row r="16" spans="1:33" x14ac:dyDescent="0.3">
      <c r="A16" s="2" t="s">
        <v>14</v>
      </c>
      <c r="B16">
        <v>1</v>
      </c>
      <c r="C16">
        <v>0.97</v>
      </c>
      <c r="D16">
        <v>0.9506</v>
      </c>
      <c r="E16">
        <v>0.93158799999999997</v>
      </c>
      <c r="F16">
        <v>0.91295623999999997</v>
      </c>
      <c r="G16">
        <v>0.89469711519999995</v>
      </c>
      <c r="H16">
        <v>0.87680317289599996</v>
      </c>
      <c r="I16">
        <v>0.85926710943807993</v>
      </c>
      <c r="J16">
        <v>0.84208176724931838</v>
      </c>
      <c r="K16">
        <v>0.82524013190433199</v>
      </c>
      <c r="L16">
        <v>0.80873532926624536</v>
      </c>
      <c r="M16">
        <v>0.79256062268092042</v>
      </c>
      <c r="N16">
        <v>0.776709410227302</v>
      </c>
      <c r="O16">
        <v>0.761175222022756</v>
      </c>
      <c r="P16">
        <v>0.74595171758230083</v>
      </c>
      <c r="Q16">
        <v>0.73103268323065485</v>
      </c>
      <c r="R16">
        <v>0.71641202956604177</v>
      </c>
      <c r="S16">
        <v>0.7020837889747209</v>
      </c>
      <c r="T16">
        <v>0.68804211319522646</v>
      </c>
      <c r="U16">
        <v>0.67428127093132195</v>
      </c>
      <c r="V16">
        <v>0.66079564551269554</v>
      </c>
      <c r="W16">
        <v>0.64757973260244162</v>
      </c>
      <c r="X16">
        <v>0.63462813795039275</v>
      </c>
      <c r="Y16">
        <v>0.62193557519138487</v>
      </c>
      <c r="Z16">
        <v>0.60949686368755718</v>
      </c>
      <c r="AA16">
        <v>0.59730692641380601</v>
      </c>
      <c r="AB16">
        <v>0.58536078788552992</v>
      </c>
      <c r="AC16">
        <v>0.57365357212781931</v>
      </c>
      <c r="AD16">
        <v>0.56218050068526293</v>
      </c>
      <c r="AE16">
        <v>0.55093689067155771</v>
      </c>
      <c r="AF16">
        <v>0.53991815285812661</v>
      </c>
      <c r="AG16">
        <v>0.52911978980096408</v>
      </c>
    </row>
    <row r="17" spans="1:33" x14ac:dyDescent="0.3">
      <c r="A17" s="2" t="s">
        <v>15</v>
      </c>
      <c r="B17">
        <v>1</v>
      </c>
      <c r="C17">
        <v>0.97</v>
      </c>
      <c r="D17">
        <v>0.9506</v>
      </c>
      <c r="E17">
        <v>0.93158799999999997</v>
      </c>
      <c r="F17">
        <v>0.91295623999999997</v>
      </c>
      <c r="G17">
        <v>0.89469711519999995</v>
      </c>
      <c r="H17">
        <v>0.87680317289599996</v>
      </c>
      <c r="I17">
        <v>0.85926710943807993</v>
      </c>
      <c r="J17">
        <v>0.84208176724931838</v>
      </c>
      <c r="K17">
        <v>0.82524013190433199</v>
      </c>
      <c r="L17">
        <v>0.80873532926624536</v>
      </c>
      <c r="M17">
        <v>0.79256062268092042</v>
      </c>
      <c r="N17">
        <v>0.776709410227302</v>
      </c>
      <c r="O17">
        <v>0.761175222022756</v>
      </c>
      <c r="P17">
        <v>0.74595171758230083</v>
      </c>
      <c r="Q17">
        <v>0.73103268323065485</v>
      </c>
      <c r="R17">
        <v>0.71641202956604177</v>
      </c>
      <c r="S17">
        <v>0.7020837889747209</v>
      </c>
      <c r="T17">
        <v>0.68804211319522646</v>
      </c>
      <c r="U17">
        <v>0.67428127093132195</v>
      </c>
      <c r="V17">
        <v>0.66079564551269554</v>
      </c>
      <c r="W17">
        <v>0.64757973260244162</v>
      </c>
      <c r="X17">
        <v>0.63462813795039275</v>
      </c>
      <c r="Y17">
        <v>0.62193557519138487</v>
      </c>
      <c r="Z17">
        <v>0.60949686368755718</v>
      </c>
      <c r="AA17">
        <v>0.59730692641380601</v>
      </c>
      <c r="AB17">
        <v>0.58536078788552992</v>
      </c>
      <c r="AC17">
        <v>0.57365357212781931</v>
      </c>
      <c r="AD17">
        <v>0.56218050068526293</v>
      </c>
      <c r="AE17">
        <v>0.55093689067155771</v>
      </c>
      <c r="AF17">
        <v>0.53991815285812661</v>
      </c>
      <c r="AG17">
        <v>0.52911978980096408</v>
      </c>
    </row>
    <row r="18" spans="1:33" x14ac:dyDescent="0.3">
      <c r="A18" s="2" t="s">
        <v>16</v>
      </c>
      <c r="B18">
        <v>1</v>
      </c>
      <c r="C18">
        <v>0.97</v>
      </c>
      <c r="D18">
        <v>0.9506</v>
      </c>
      <c r="E18">
        <v>0.93158799999999997</v>
      </c>
      <c r="F18">
        <v>0.91295623999999997</v>
      </c>
      <c r="G18">
        <v>0.89469711519999995</v>
      </c>
      <c r="H18">
        <v>0.87680317289599996</v>
      </c>
      <c r="I18">
        <v>0.85926710943807993</v>
      </c>
      <c r="J18">
        <v>0.84208176724931838</v>
      </c>
      <c r="K18">
        <v>0.82524013190433199</v>
      </c>
      <c r="L18">
        <v>0.80873532926624536</v>
      </c>
      <c r="M18">
        <v>0.79256062268092042</v>
      </c>
      <c r="N18">
        <v>0.776709410227302</v>
      </c>
      <c r="O18">
        <v>0.761175222022756</v>
      </c>
      <c r="P18">
        <v>0.74595171758230083</v>
      </c>
      <c r="Q18">
        <v>0.73103268323065485</v>
      </c>
      <c r="R18">
        <v>0.71641202956604177</v>
      </c>
      <c r="S18">
        <v>0.7020837889747209</v>
      </c>
      <c r="T18">
        <v>0.68804211319522646</v>
      </c>
      <c r="U18">
        <v>0.67428127093132195</v>
      </c>
      <c r="V18">
        <v>0.66079564551269554</v>
      </c>
      <c r="W18">
        <v>0.64757973260244162</v>
      </c>
      <c r="X18">
        <v>0.63462813795039275</v>
      </c>
      <c r="Y18">
        <v>0.62193557519138487</v>
      </c>
      <c r="Z18">
        <v>0.60949686368755718</v>
      </c>
      <c r="AA18">
        <v>0.59730692641380601</v>
      </c>
      <c r="AB18">
        <v>0.58536078788552992</v>
      </c>
      <c r="AC18">
        <v>0.57365357212781931</v>
      </c>
      <c r="AD18">
        <v>0.56218050068526293</v>
      </c>
      <c r="AE18">
        <v>0.55093689067155771</v>
      </c>
      <c r="AF18">
        <v>0.53991815285812661</v>
      </c>
      <c r="AG18">
        <v>0.52911978980096408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193B-B5D4-4AC5-97E6-556CD0293688}">
  <dimension ref="A1:AG18"/>
  <sheetViews>
    <sheetView topLeftCell="L1" workbookViewId="0">
      <selection activeCell="AG2" sqref="M2:AG18"/>
    </sheetView>
  </sheetViews>
  <sheetFormatPr defaultRowHeight="14.4" x14ac:dyDescent="0.3"/>
  <sheetData>
    <row r="1" spans="1:33" x14ac:dyDescent="0.3">
      <c r="A1" s="2"/>
      <c r="B1" s="14">
        <v>2019</v>
      </c>
      <c r="C1" s="14">
        <v>2020</v>
      </c>
      <c r="D1" s="14">
        <v>2021</v>
      </c>
      <c r="E1" s="14">
        <v>2022</v>
      </c>
      <c r="F1" s="14">
        <v>2023</v>
      </c>
      <c r="G1" s="14">
        <v>2024</v>
      </c>
      <c r="H1" s="14">
        <v>2025</v>
      </c>
      <c r="I1" s="14">
        <v>2026</v>
      </c>
      <c r="J1" s="14">
        <v>2027</v>
      </c>
      <c r="K1" s="14">
        <v>2028</v>
      </c>
      <c r="L1" s="14">
        <v>2029</v>
      </c>
      <c r="M1" s="14">
        <v>2030</v>
      </c>
      <c r="N1" s="14">
        <v>2031</v>
      </c>
      <c r="O1" s="14">
        <v>2032</v>
      </c>
      <c r="P1" s="14">
        <v>2033</v>
      </c>
      <c r="Q1" s="14">
        <v>2034</v>
      </c>
      <c r="R1" s="14">
        <v>2035</v>
      </c>
      <c r="S1" s="14">
        <v>2036</v>
      </c>
      <c r="T1" s="14">
        <v>2037</v>
      </c>
      <c r="U1" s="14">
        <v>2038</v>
      </c>
      <c r="V1" s="14">
        <v>2039</v>
      </c>
      <c r="W1" s="14">
        <v>2040</v>
      </c>
      <c r="X1" s="14">
        <v>2041</v>
      </c>
      <c r="Y1" s="14">
        <v>2042</v>
      </c>
      <c r="Z1" s="14">
        <v>2043</v>
      </c>
      <c r="AA1" s="14">
        <v>2044</v>
      </c>
      <c r="AB1" s="14">
        <v>2045</v>
      </c>
      <c r="AC1" s="14">
        <v>2046</v>
      </c>
      <c r="AD1" s="14">
        <v>2047</v>
      </c>
      <c r="AE1" s="14">
        <v>2048</v>
      </c>
      <c r="AF1" s="14">
        <v>2049</v>
      </c>
      <c r="AG1" s="14">
        <v>2050</v>
      </c>
    </row>
    <row r="2" spans="1:33" x14ac:dyDescent="0.3">
      <c r="A2" s="2" t="s">
        <v>0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0.99999999999999956</v>
      </c>
      <c r="N2" s="2">
        <v>0.95499999999999952</v>
      </c>
      <c r="O2" s="2">
        <v>0.90999999999999959</v>
      </c>
      <c r="P2" s="2">
        <v>0.86499999999999955</v>
      </c>
      <c r="Q2" s="2">
        <v>0.81999999999999962</v>
      </c>
      <c r="R2" s="2">
        <v>0.77499999999999969</v>
      </c>
      <c r="S2" s="2">
        <v>0.72999999999999965</v>
      </c>
      <c r="T2" s="2">
        <v>0.68499999999999961</v>
      </c>
      <c r="U2" s="2">
        <v>0.63999999999999968</v>
      </c>
      <c r="V2" s="2">
        <v>0.59499999999999975</v>
      </c>
      <c r="W2" s="2">
        <v>0.54999999999999971</v>
      </c>
      <c r="X2" s="2">
        <v>0.50499999999999978</v>
      </c>
      <c r="Y2" s="2">
        <v>0.45999999999999974</v>
      </c>
      <c r="Z2" s="2">
        <v>0.41499999999999981</v>
      </c>
      <c r="AA2" s="2">
        <v>0.36999999999999977</v>
      </c>
      <c r="AB2" s="2">
        <v>0.32499999999999984</v>
      </c>
      <c r="AC2" s="2">
        <v>0.27999999999999992</v>
      </c>
      <c r="AD2" s="2">
        <v>0.23499999999999988</v>
      </c>
      <c r="AE2" s="2">
        <v>0.18999999999999995</v>
      </c>
      <c r="AF2" s="2">
        <v>0.14499999999999991</v>
      </c>
      <c r="AG2" s="2">
        <v>9.9999999999999978E-2</v>
      </c>
    </row>
    <row r="3" spans="1:33" x14ac:dyDescent="0.3">
      <c r="A3" s="2" t="s">
        <v>1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0.99999999999999956</v>
      </c>
      <c r="N3" s="2">
        <v>0.95499999999999952</v>
      </c>
      <c r="O3" s="2">
        <v>0.90999999999999959</v>
      </c>
      <c r="P3" s="2">
        <v>0.86499999999999955</v>
      </c>
      <c r="Q3" s="2">
        <v>0.81999999999999962</v>
      </c>
      <c r="R3" s="2">
        <v>0.77499999999999969</v>
      </c>
      <c r="S3" s="2">
        <v>0.72999999999999965</v>
      </c>
      <c r="T3" s="2">
        <v>0.68499999999999961</v>
      </c>
      <c r="U3" s="2">
        <v>0.63999999999999968</v>
      </c>
      <c r="V3" s="2">
        <v>0.59499999999999975</v>
      </c>
      <c r="W3" s="2">
        <v>0.54999999999999971</v>
      </c>
      <c r="X3" s="2">
        <v>0.50499999999999978</v>
      </c>
      <c r="Y3" s="2">
        <v>0.45999999999999974</v>
      </c>
      <c r="Z3" s="2">
        <v>0.41499999999999981</v>
      </c>
      <c r="AA3" s="2">
        <v>0.36999999999999977</v>
      </c>
      <c r="AB3" s="2">
        <v>0.32499999999999984</v>
      </c>
      <c r="AC3" s="2">
        <v>0.27999999999999992</v>
      </c>
      <c r="AD3" s="2">
        <v>0.23499999999999988</v>
      </c>
      <c r="AE3" s="2">
        <v>0.18999999999999995</v>
      </c>
      <c r="AF3" s="2">
        <v>0.14499999999999991</v>
      </c>
      <c r="AG3" s="2">
        <v>9.9999999999999978E-2</v>
      </c>
    </row>
    <row r="4" spans="1:33" x14ac:dyDescent="0.3">
      <c r="A4" s="2" t="s">
        <v>2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0.99999999999999956</v>
      </c>
      <c r="N4" s="2">
        <v>0.95499999999999952</v>
      </c>
      <c r="O4" s="2">
        <v>0.90999999999999959</v>
      </c>
      <c r="P4" s="2">
        <v>0.86499999999999955</v>
      </c>
      <c r="Q4" s="2">
        <v>0.81999999999999962</v>
      </c>
      <c r="R4" s="2">
        <v>0.77499999999999969</v>
      </c>
      <c r="S4" s="2">
        <v>0.72999999999999965</v>
      </c>
      <c r="T4" s="2">
        <v>0.68499999999999961</v>
      </c>
      <c r="U4" s="2">
        <v>0.63999999999999968</v>
      </c>
      <c r="V4" s="2">
        <v>0.59499999999999975</v>
      </c>
      <c r="W4" s="2">
        <v>0.54999999999999971</v>
      </c>
      <c r="X4" s="2">
        <v>0.50499999999999978</v>
      </c>
      <c r="Y4" s="2">
        <v>0.45999999999999974</v>
      </c>
      <c r="Z4" s="2">
        <v>0.41499999999999981</v>
      </c>
      <c r="AA4" s="2">
        <v>0.36999999999999977</v>
      </c>
      <c r="AB4" s="2">
        <v>0.32499999999999984</v>
      </c>
      <c r="AC4" s="2">
        <v>0.27999999999999992</v>
      </c>
      <c r="AD4" s="2">
        <v>0.23499999999999988</v>
      </c>
      <c r="AE4" s="2">
        <v>0.18999999999999995</v>
      </c>
      <c r="AF4" s="2">
        <v>0.14499999999999991</v>
      </c>
      <c r="AG4" s="2">
        <v>9.9999999999999978E-2</v>
      </c>
    </row>
    <row r="5" spans="1:33" x14ac:dyDescent="0.3">
      <c r="A5" s="2" t="s">
        <v>3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0.99999999999999956</v>
      </c>
      <c r="N5" s="2">
        <v>0.95499999999999952</v>
      </c>
      <c r="O5" s="2">
        <v>0.90999999999999959</v>
      </c>
      <c r="P5" s="2">
        <v>0.86499999999999955</v>
      </c>
      <c r="Q5" s="2">
        <v>0.81999999999999962</v>
      </c>
      <c r="R5" s="2">
        <v>0.77499999999999969</v>
      </c>
      <c r="S5" s="2">
        <v>0.72999999999999965</v>
      </c>
      <c r="T5" s="2">
        <v>0.68499999999999961</v>
      </c>
      <c r="U5" s="2">
        <v>0.63999999999999968</v>
      </c>
      <c r="V5" s="2">
        <v>0.59499999999999975</v>
      </c>
      <c r="W5" s="2">
        <v>0.54999999999999971</v>
      </c>
      <c r="X5" s="2">
        <v>0.50499999999999978</v>
      </c>
      <c r="Y5" s="2">
        <v>0.45999999999999974</v>
      </c>
      <c r="Z5" s="2">
        <v>0.41499999999999981</v>
      </c>
      <c r="AA5" s="2">
        <v>0.36999999999999977</v>
      </c>
      <c r="AB5" s="2">
        <v>0.32499999999999984</v>
      </c>
      <c r="AC5" s="2">
        <v>0.27999999999999992</v>
      </c>
      <c r="AD5" s="2">
        <v>0.23499999999999988</v>
      </c>
      <c r="AE5" s="2">
        <v>0.18999999999999995</v>
      </c>
      <c r="AF5" s="2">
        <v>0.14499999999999991</v>
      </c>
      <c r="AG5" s="2">
        <v>9.9999999999999978E-2</v>
      </c>
    </row>
    <row r="6" spans="1:33" x14ac:dyDescent="0.3">
      <c r="A6" s="2" t="s">
        <v>4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0.99999999999999956</v>
      </c>
      <c r="N6" s="2">
        <v>0.95499999999999952</v>
      </c>
      <c r="O6" s="2">
        <v>0.90999999999999959</v>
      </c>
      <c r="P6" s="2">
        <v>0.86499999999999955</v>
      </c>
      <c r="Q6" s="2">
        <v>0.81999999999999962</v>
      </c>
      <c r="R6" s="2">
        <v>0.77499999999999969</v>
      </c>
      <c r="S6" s="2">
        <v>0.72999999999999965</v>
      </c>
      <c r="T6" s="2">
        <v>0.68499999999999961</v>
      </c>
      <c r="U6" s="2">
        <v>0.63999999999999968</v>
      </c>
      <c r="V6" s="2">
        <v>0.59499999999999975</v>
      </c>
      <c r="W6" s="2">
        <v>0.54999999999999971</v>
      </c>
      <c r="X6" s="2">
        <v>0.50499999999999978</v>
      </c>
      <c r="Y6" s="2">
        <v>0.45999999999999974</v>
      </c>
      <c r="Z6" s="2">
        <v>0.41499999999999981</v>
      </c>
      <c r="AA6" s="2">
        <v>0.36999999999999977</v>
      </c>
      <c r="AB6" s="2">
        <v>0.32499999999999984</v>
      </c>
      <c r="AC6" s="2">
        <v>0.27999999999999992</v>
      </c>
      <c r="AD6" s="2">
        <v>0.23499999999999988</v>
      </c>
      <c r="AE6" s="2">
        <v>0.18999999999999995</v>
      </c>
      <c r="AF6" s="2">
        <v>0.14499999999999991</v>
      </c>
      <c r="AG6" s="2">
        <v>9.9999999999999978E-2</v>
      </c>
    </row>
    <row r="7" spans="1:33" x14ac:dyDescent="0.3">
      <c r="A7" s="2" t="s">
        <v>5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0.99999999999999956</v>
      </c>
      <c r="N7" s="2">
        <v>0.95499999999999952</v>
      </c>
      <c r="O7" s="2">
        <v>0.90999999999999959</v>
      </c>
      <c r="P7" s="2">
        <v>0.86499999999999955</v>
      </c>
      <c r="Q7" s="2">
        <v>0.81999999999999962</v>
      </c>
      <c r="R7" s="2">
        <v>0.77499999999999969</v>
      </c>
      <c r="S7" s="2">
        <v>0.72999999999999965</v>
      </c>
      <c r="T7" s="2">
        <v>0.68499999999999961</v>
      </c>
      <c r="U7" s="2">
        <v>0.63999999999999968</v>
      </c>
      <c r="V7" s="2">
        <v>0.59499999999999975</v>
      </c>
      <c r="W7" s="2">
        <v>0.54999999999999971</v>
      </c>
      <c r="X7" s="2">
        <v>0.50499999999999978</v>
      </c>
      <c r="Y7" s="2">
        <v>0.45999999999999974</v>
      </c>
      <c r="Z7" s="2">
        <v>0.41499999999999981</v>
      </c>
      <c r="AA7" s="2">
        <v>0.36999999999999977</v>
      </c>
      <c r="AB7" s="2">
        <v>0.32499999999999984</v>
      </c>
      <c r="AC7" s="2">
        <v>0.27999999999999992</v>
      </c>
      <c r="AD7" s="2">
        <v>0.23499999999999988</v>
      </c>
      <c r="AE7" s="2">
        <v>0.18999999999999995</v>
      </c>
      <c r="AF7" s="2">
        <v>0.14499999999999991</v>
      </c>
      <c r="AG7" s="2">
        <v>9.9999999999999978E-2</v>
      </c>
    </row>
    <row r="8" spans="1:33" x14ac:dyDescent="0.3">
      <c r="A8" s="2" t="s">
        <v>6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0.99999999999999956</v>
      </c>
      <c r="N8" s="2">
        <v>0.95499999999999952</v>
      </c>
      <c r="O8" s="2">
        <v>0.90999999999999959</v>
      </c>
      <c r="P8" s="2">
        <v>0.86499999999999955</v>
      </c>
      <c r="Q8" s="2">
        <v>0.81999999999999962</v>
      </c>
      <c r="R8" s="2">
        <v>0.77499999999999969</v>
      </c>
      <c r="S8" s="2">
        <v>0.72999999999999965</v>
      </c>
      <c r="T8" s="2">
        <v>0.68499999999999961</v>
      </c>
      <c r="U8" s="2">
        <v>0.63999999999999968</v>
      </c>
      <c r="V8" s="2">
        <v>0.59499999999999975</v>
      </c>
      <c r="W8" s="2">
        <v>0.54999999999999971</v>
      </c>
      <c r="X8" s="2">
        <v>0.50499999999999978</v>
      </c>
      <c r="Y8" s="2">
        <v>0.45999999999999974</v>
      </c>
      <c r="Z8" s="2">
        <v>0.41499999999999981</v>
      </c>
      <c r="AA8" s="2">
        <v>0.36999999999999977</v>
      </c>
      <c r="AB8" s="2">
        <v>0.32499999999999984</v>
      </c>
      <c r="AC8" s="2">
        <v>0.27999999999999992</v>
      </c>
      <c r="AD8" s="2">
        <v>0.23499999999999988</v>
      </c>
      <c r="AE8" s="2">
        <v>0.18999999999999995</v>
      </c>
      <c r="AF8" s="2">
        <v>0.14499999999999991</v>
      </c>
      <c r="AG8" s="2">
        <v>9.9999999999999978E-2</v>
      </c>
    </row>
    <row r="9" spans="1:33" x14ac:dyDescent="0.3">
      <c r="A9" s="2" t="s">
        <v>7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0.99999999999999956</v>
      </c>
      <c r="N9" s="2">
        <v>0.95499999999999952</v>
      </c>
      <c r="O9" s="2">
        <v>0.90999999999999959</v>
      </c>
      <c r="P9" s="2">
        <v>0.86499999999999955</v>
      </c>
      <c r="Q9" s="2">
        <v>0.81999999999999962</v>
      </c>
      <c r="R9" s="2">
        <v>0.77499999999999969</v>
      </c>
      <c r="S9" s="2">
        <v>0.72999999999999965</v>
      </c>
      <c r="T9" s="2">
        <v>0.68499999999999961</v>
      </c>
      <c r="U9" s="2">
        <v>0.63999999999999968</v>
      </c>
      <c r="V9" s="2">
        <v>0.59499999999999975</v>
      </c>
      <c r="W9" s="2">
        <v>0.54999999999999971</v>
      </c>
      <c r="X9" s="2">
        <v>0.50499999999999978</v>
      </c>
      <c r="Y9" s="2">
        <v>0.45999999999999974</v>
      </c>
      <c r="Z9" s="2">
        <v>0.41499999999999981</v>
      </c>
      <c r="AA9" s="2">
        <v>0.36999999999999977</v>
      </c>
      <c r="AB9" s="2">
        <v>0.32499999999999984</v>
      </c>
      <c r="AC9" s="2">
        <v>0.27999999999999992</v>
      </c>
      <c r="AD9" s="2">
        <v>0.23499999999999988</v>
      </c>
      <c r="AE9" s="2">
        <v>0.18999999999999995</v>
      </c>
      <c r="AF9" s="2">
        <v>0.14499999999999991</v>
      </c>
      <c r="AG9" s="2">
        <v>9.9999999999999978E-2</v>
      </c>
    </row>
    <row r="10" spans="1:33" x14ac:dyDescent="0.3">
      <c r="A10" s="2" t="s">
        <v>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0.99999999999999956</v>
      </c>
      <c r="N10" s="2">
        <v>0.95499999999999952</v>
      </c>
      <c r="O10" s="2">
        <v>0.90999999999999959</v>
      </c>
      <c r="P10" s="2">
        <v>0.86499999999999955</v>
      </c>
      <c r="Q10" s="2">
        <v>0.81999999999999962</v>
      </c>
      <c r="R10" s="2">
        <v>0.77499999999999969</v>
      </c>
      <c r="S10" s="2">
        <v>0.72999999999999965</v>
      </c>
      <c r="T10" s="2">
        <v>0.68499999999999961</v>
      </c>
      <c r="U10" s="2">
        <v>0.63999999999999968</v>
      </c>
      <c r="V10" s="2">
        <v>0.59499999999999975</v>
      </c>
      <c r="W10" s="2">
        <v>0.54999999999999971</v>
      </c>
      <c r="X10" s="2">
        <v>0.50499999999999978</v>
      </c>
      <c r="Y10" s="2">
        <v>0.45999999999999974</v>
      </c>
      <c r="Z10" s="2">
        <v>0.41499999999999981</v>
      </c>
      <c r="AA10" s="2">
        <v>0.36999999999999977</v>
      </c>
      <c r="AB10" s="2">
        <v>0.32499999999999984</v>
      </c>
      <c r="AC10" s="2">
        <v>0.27999999999999992</v>
      </c>
      <c r="AD10" s="2">
        <v>0.23499999999999988</v>
      </c>
      <c r="AE10" s="2">
        <v>0.18999999999999995</v>
      </c>
      <c r="AF10" s="2">
        <v>0.14499999999999991</v>
      </c>
      <c r="AG10" s="2">
        <v>9.9999999999999978E-2</v>
      </c>
    </row>
    <row r="11" spans="1:33" x14ac:dyDescent="0.3">
      <c r="A11" s="2" t="s">
        <v>9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0.99999999999999956</v>
      </c>
      <c r="N11" s="2">
        <v>0.95499999999999952</v>
      </c>
      <c r="O11" s="2">
        <v>0.90999999999999959</v>
      </c>
      <c r="P11" s="2">
        <v>0.86499999999999955</v>
      </c>
      <c r="Q11" s="2">
        <v>0.81999999999999962</v>
      </c>
      <c r="R11" s="2">
        <v>0.77499999999999969</v>
      </c>
      <c r="S11" s="2">
        <v>0.72999999999999965</v>
      </c>
      <c r="T11" s="2">
        <v>0.68499999999999961</v>
      </c>
      <c r="U11" s="2">
        <v>0.63999999999999968</v>
      </c>
      <c r="V11" s="2">
        <v>0.59499999999999975</v>
      </c>
      <c r="W11" s="2">
        <v>0.54999999999999971</v>
      </c>
      <c r="X11" s="2">
        <v>0.50499999999999978</v>
      </c>
      <c r="Y11" s="2">
        <v>0.45999999999999974</v>
      </c>
      <c r="Z11" s="2">
        <v>0.41499999999999981</v>
      </c>
      <c r="AA11" s="2">
        <v>0.36999999999999977</v>
      </c>
      <c r="AB11" s="2">
        <v>0.32499999999999984</v>
      </c>
      <c r="AC11" s="2">
        <v>0.27999999999999992</v>
      </c>
      <c r="AD11" s="2">
        <v>0.23499999999999988</v>
      </c>
      <c r="AE11" s="2">
        <v>0.18999999999999995</v>
      </c>
      <c r="AF11" s="2">
        <v>0.14499999999999991</v>
      </c>
      <c r="AG11" s="2">
        <v>9.9999999999999978E-2</v>
      </c>
    </row>
    <row r="12" spans="1:33" x14ac:dyDescent="0.3">
      <c r="A12" s="2" t="s">
        <v>10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0.99999999999999956</v>
      </c>
      <c r="N12" s="2">
        <v>0.95499999999999952</v>
      </c>
      <c r="O12" s="2">
        <v>0.90999999999999959</v>
      </c>
      <c r="P12" s="2">
        <v>0.86499999999999955</v>
      </c>
      <c r="Q12" s="2">
        <v>0.81999999999999962</v>
      </c>
      <c r="R12" s="2">
        <v>0.77499999999999969</v>
      </c>
      <c r="S12" s="2">
        <v>0.72999999999999965</v>
      </c>
      <c r="T12" s="2">
        <v>0.68499999999999961</v>
      </c>
      <c r="U12" s="2">
        <v>0.63999999999999968</v>
      </c>
      <c r="V12" s="2">
        <v>0.59499999999999975</v>
      </c>
      <c r="W12" s="2">
        <v>0.54999999999999971</v>
      </c>
      <c r="X12" s="2">
        <v>0.50499999999999978</v>
      </c>
      <c r="Y12" s="2">
        <v>0.45999999999999974</v>
      </c>
      <c r="Z12" s="2">
        <v>0.41499999999999981</v>
      </c>
      <c r="AA12" s="2">
        <v>0.36999999999999977</v>
      </c>
      <c r="AB12" s="2">
        <v>0.32499999999999984</v>
      </c>
      <c r="AC12" s="2">
        <v>0.27999999999999992</v>
      </c>
      <c r="AD12" s="2">
        <v>0.23499999999999988</v>
      </c>
      <c r="AE12" s="2">
        <v>0.18999999999999995</v>
      </c>
      <c r="AF12" s="2">
        <v>0.14499999999999991</v>
      </c>
      <c r="AG12" s="2">
        <v>9.9999999999999978E-2</v>
      </c>
    </row>
    <row r="13" spans="1:33" x14ac:dyDescent="0.3">
      <c r="A13" s="2" t="s">
        <v>11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0.99999999999999956</v>
      </c>
      <c r="N13" s="2">
        <v>0.95499999999999952</v>
      </c>
      <c r="O13" s="2">
        <v>0.90999999999999959</v>
      </c>
      <c r="P13" s="2">
        <v>0.86499999999999955</v>
      </c>
      <c r="Q13" s="2">
        <v>0.81999999999999962</v>
      </c>
      <c r="R13" s="2">
        <v>0.77499999999999969</v>
      </c>
      <c r="S13" s="2">
        <v>0.72999999999999965</v>
      </c>
      <c r="T13" s="2">
        <v>0.68499999999999961</v>
      </c>
      <c r="U13" s="2">
        <v>0.63999999999999968</v>
      </c>
      <c r="V13" s="2">
        <v>0.59499999999999975</v>
      </c>
      <c r="W13" s="2">
        <v>0.54999999999999971</v>
      </c>
      <c r="X13" s="2">
        <v>0.50499999999999978</v>
      </c>
      <c r="Y13" s="2">
        <v>0.45999999999999974</v>
      </c>
      <c r="Z13" s="2">
        <v>0.41499999999999981</v>
      </c>
      <c r="AA13" s="2">
        <v>0.36999999999999977</v>
      </c>
      <c r="AB13" s="2">
        <v>0.32499999999999984</v>
      </c>
      <c r="AC13" s="2">
        <v>0.27999999999999992</v>
      </c>
      <c r="AD13" s="2">
        <v>0.23499999999999988</v>
      </c>
      <c r="AE13" s="2">
        <v>0.18999999999999995</v>
      </c>
      <c r="AF13" s="2">
        <v>0.14499999999999991</v>
      </c>
      <c r="AG13" s="2">
        <v>9.9999999999999978E-2</v>
      </c>
    </row>
    <row r="14" spans="1:33" x14ac:dyDescent="0.3">
      <c r="A14" s="2" t="s">
        <v>12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0.99999999999999956</v>
      </c>
      <c r="N14" s="2">
        <v>0.95499999999999952</v>
      </c>
      <c r="O14" s="2">
        <v>0.90999999999999959</v>
      </c>
      <c r="P14" s="2">
        <v>0.86499999999999955</v>
      </c>
      <c r="Q14" s="2">
        <v>0.81999999999999962</v>
      </c>
      <c r="R14" s="2">
        <v>0.77499999999999969</v>
      </c>
      <c r="S14" s="2">
        <v>0.72999999999999965</v>
      </c>
      <c r="T14" s="2">
        <v>0.68499999999999961</v>
      </c>
      <c r="U14" s="2">
        <v>0.63999999999999968</v>
      </c>
      <c r="V14" s="2">
        <v>0.59499999999999975</v>
      </c>
      <c r="W14" s="2">
        <v>0.54999999999999971</v>
      </c>
      <c r="X14" s="2">
        <v>0.50499999999999978</v>
      </c>
      <c r="Y14" s="2">
        <v>0.45999999999999974</v>
      </c>
      <c r="Z14" s="2">
        <v>0.41499999999999981</v>
      </c>
      <c r="AA14" s="2">
        <v>0.36999999999999977</v>
      </c>
      <c r="AB14" s="2">
        <v>0.32499999999999984</v>
      </c>
      <c r="AC14" s="2">
        <v>0.27999999999999992</v>
      </c>
      <c r="AD14" s="2">
        <v>0.23499999999999988</v>
      </c>
      <c r="AE14" s="2">
        <v>0.18999999999999995</v>
      </c>
      <c r="AF14" s="2">
        <v>0.14499999999999991</v>
      </c>
      <c r="AG14" s="2">
        <v>9.9999999999999978E-2</v>
      </c>
    </row>
    <row r="15" spans="1:33" x14ac:dyDescent="0.3">
      <c r="A15" s="2" t="s">
        <v>13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0.99999999999999956</v>
      </c>
      <c r="N15" s="2">
        <v>0.95499999999999952</v>
      </c>
      <c r="O15" s="2">
        <v>0.90999999999999959</v>
      </c>
      <c r="P15" s="2">
        <v>0.86499999999999955</v>
      </c>
      <c r="Q15" s="2">
        <v>0.81999999999999962</v>
      </c>
      <c r="R15" s="2">
        <v>0.77499999999999969</v>
      </c>
      <c r="S15" s="2">
        <v>0.72999999999999965</v>
      </c>
      <c r="T15" s="2">
        <v>0.68499999999999961</v>
      </c>
      <c r="U15" s="2">
        <v>0.63999999999999968</v>
      </c>
      <c r="V15" s="2">
        <v>0.59499999999999975</v>
      </c>
      <c r="W15" s="2">
        <v>0.54999999999999971</v>
      </c>
      <c r="X15" s="2">
        <v>0.50499999999999978</v>
      </c>
      <c r="Y15" s="2">
        <v>0.45999999999999974</v>
      </c>
      <c r="Z15" s="2">
        <v>0.41499999999999981</v>
      </c>
      <c r="AA15" s="2">
        <v>0.36999999999999977</v>
      </c>
      <c r="AB15" s="2">
        <v>0.32499999999999984</v>
      </c>
      <c r="AC15" s="2">
        <v>0.27999999999999992</v>
      </c>
      <c r="AD15" s="2">
        <v>0.23499999999999988</v>
      </c>
      <c r="AE15" s="2">
        <v>0.18999999999999995</v>
      </c>
      <c r="AF15" s="2">
        <v>0.14499999999999991</v>
      </c>
      <c r="AG15" s="2">
        <v>9.9999999999999978E-2</v>
      </c>
    </row>
    <row r="16" spans="1:33" x14ac:dyDescent="0.3">
      <c r="A16" s="2" t="s">
        <v>14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0.99999999999999956</v>
      </c>
      <c r="N16" s="2">
        <v>0.95499999999999952</v>
      </c>
      <c r="O16" s="2">
        <v>0.90999999999999959</v>
      </c>
      <c r="P16" s="2">
        <v>0.86499999999999955</v>
      </c>
      <c r="Q16" s="2">
        <v>0.81999999999999962</v>
      </c>
      <c r="R16" s="2">
        <v>0.77499999999999969</v>
      </c>
      <c r="S16" s="2">
        <v>0.72999999999999965</v>
      </c>
      <c r="T16" s="2">
        <v>0.68499999999999961</v>
      </c>
      <c r="U16" s="2">
        <v>0.63999999999999968</v>
      </c>
      <c r="V16" s="2">
        <v>0.59499999999999975</v>
      </c>
      <c r="W16" s="2">
        <v>0.54999999999999971</v>
      </c>
      <c r="X16" s="2">
        <v>0.50499999999999978</v>
      </c>
      <c r="Y16" s="2">
        <v>0.45999999999999974</v>
      </c>
      <c r="Z16" s="2">
        <v>0.41499999999999981</v>
      </c>
      <c r="AA16" s="2">
        <v>0.36999999999999977</v>
      </c>
      <c r="AB16" s="2">
        <v>0.32499999999999984</v>
      </c>
      <c r="AC16" s="2">
        <v>0.27999999999999992</v>
      </c>
      <c r="AD16" s="2">
        <v>0.23499999999999988</v>
      </c>
      <c r="AE16" s="2">
        <v>0.18999999999999995</v>
      </c>
      <c r="AF16" s="2">
        <v>0.14499999999999991</v>
      </c>
      <c r="AG16" s="2">
        <v>9.9999999999999978E-2</v>
      </c>
    </row>
    <row r="17" spans="1:33" x14ac:dyDescent="0.3">
      <c r="A17" s="2" t="s">
        <v>15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0.99999999999999956</v>
      </c>
      <c r="N17" s="2">
        <v>0.95499999999999952</v>
      </c>
      <c r="O17" s="2">
        <v>0.90999999999999959</v>
      </c>
      <c r="P17" s="2">
        <v>0.86499999999999955</v>
      </c>
      <c r="Q17" s="2">
        <v>0.81999999999999962</v>
      </c>
      <c r="R17" s="2">
        <v>0.77499999999999969</v>
      </c>
      <c r="S17" s="2">
        <v>0.72999999999999965</v>
      </c>
      <c r="T17" s="2">
        <v>0.68499999999999961</v>
      </c>
      <c r="U17" s="2">
        <v>0.63999999999999968</v>
      </c>
      <c r="V17" s="2">
        <v>0.59499999999999975</v>
      </c>
      <c r="W17" s="2">
        <v>0.54999999999999971</v>
      </c>
      <c r="X17" s="2">
        <v>0.50499999999999978</v>
      </c>
      <c r="Y17" s="2">
        <v>0.45999999999999974</v>
      </c>
      <c r="Z17" s="2">
        <v>0.41499999999999981</v>
      </c>
      <c r="AA17" s="2">
        <v>0.36999999999999977</v>
      </c>
      <c r="AB17" s="2">
        <v>0.32499999999999984</v>
      </c>
      <c r="AC17" s="2">
        <v>0.27999999999999992</v>
      </c>
      <c r="AD17" s="2">
        <v>0.23499999999999988</v>
      </c>
      <c r="AE17" s="2">
        <v>0.18999999999999995</v>
      </c>
      <c r="AF17" s="2">
        <v>0.14499999999999991</v>
      </c>
      <c r="AG17" s="2">
        <v>9.9999999999999978E-2</v>
      </c>
    </row>
    <row r="18" spans="1:33" x14ac:dyDescent="0.3">
      <c r="A18" s="2" t="s">
        <v>16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0.99999999999999956</v>
      </c>
      <c r="N18" s="2">
        <v>0.95499999999999952</v>
      </c>
      <c r="O18" s="2">
        <v>0.90999999999999959</v>
      </c>
      <c r="P18" s="2">
        <v>0.86499999999999955</v>
      </c>
      <c r="Q18" s="2">
        <v>0.81999999999999962</v>
      </c>
      <c r="R18" s="2">
        <v>0.77499999999999969</v>
      </c>
      <c r="S18" s="2">
        <v>0.72999999999999965</v>
      </c>
      <c r="T18" s="2">
        <v>0.68499999999999961</v>
      </c>
      <c r="U18" s="2">
        <v>0.63999999999999968</v>
      </c>
      <c r="V18" s="2">
        <v>0.59499999999999975</v>
      </c>
      <c r="W18" s="2">
        <v>0.54999999999999971</v>
      </c>
      <c r="X18" s="2">
        <v>0.50499999999999978</v>
      </c>
      <c r="Y18" s="2">
        <v>0.45999999999999974</v>
      </c>
      <c r="Z18" s="2">
        <v>0.41499999999999981</v>
      </c>
      <c r="AA18" s="2">
        <v>0.36999999999999977</v>
      </c>
      <c r="AB18" s="2">
        <v>0.32499999999999984</v>
      </c>
      <c r="AC18" s="2">
        <v>0.27999999999999992</v>
      </c>
      <c r="AD18" s="2">
        <v>0.23499999999999988</v>
      </c>
      <c r="AE18" s="2">
        <v>0.18999999999999995</v>
      </c>
      <c r="AF18" s="2">
        <v>0.14499999999999991</v>
      </c>
      <c r="AG18" s="2">
        <v>9.9999999999999978E-2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7C65-188C-4CA3-A752-2C202A8ABC29}">
  <dimension ref="A1:AG20"/>
  <sheetViews>
    <sheetView zoomScale="130" zoomScaleNormal="130" workbookViewId="0">
      <selection activeCell="C6" sqref="C6:AG7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2">
        <v>0</v>
      </c>
      <c r="C2" s="13">
        <v>3.3333333333333326E-2</v>
      </c>
      <c r="D2" s="13">
        <v>6.6666666666666666E-2</v>
      </c>
      <c r="E2" s="13">
        <v>0.10000000000000002</v>
      </c>
      <c r="F2" s="13">
        <f>E2</f>
        <v>0.10000000000000002</v>
      </c>
      <c r="G2" s="13">
        <f t="shared" ref="G2:AG11" si="0">F2</f>
        <v>0.10000000000000002</v>
      </c>
      <c r="H2" s="13">
        <f t="shared" si="0"/>
        <v>0.10000000000000002</v>
      </c>
      <c r="I2" s="13">
        <f t="shared" si="0"/>
        <v>0.10000000000000002</v>
      </c>
      <c r="J2" s="13">
        <f t="shared" si="0"/>
        <v>0.10000000000000002</v>
      </c>
      <c r="K2" s="13">
        <f t="shared" si="0"/>
        <v>0.10000000000000002</v>
      </c>
      <c r="L2" s="13">
        <f t="shared" si="0"/>
        <v>0.10000000000000002</v>
      </c>
      <c r="M2" s="13">
        <f t="shared" si="0"/>
        <v>0.10000000000000002</v>
      </c>
      <c r="N2" s="13">
        <f t="shared" si="0"/>
        <v>0.10000000000000002</v>
      </c>
      <c r="O2" s="13">
        <f t="shared" si="0"/>
        <v>0.10000000000000002</v>
      </c>
      <c r="P2" s="13">
        <f t="shared" si="0"/>
        <v>0.10000000000000002</v>
      </c>
      <c r="Q2" s="13">
        <f t="shared" si="0"/>
        <v>0.10000000000000002</v>
      </c>
      <c r="R2" s="13">
        <f t="shared" si="0"/>
        <v>0.10000000000000002</v>
      </c>
      <c r="S2" s="13">
        <f t="shared" si="0"/>
        <v>0.10000000000000002</v>
      </c>
      <c r="T2" s="13">
        <f t="shared" si="0"/>
        <v>0.10000000000000002</v>
      </c>
      <c r="U2" s="13">
        <f t="shared" si="0"/>
        <v>0.10000000000000002</v>
      </c>
      <c r="V2" s="13">
        <f t="shared" si="0"/>
        <v>0.10000000000000002</v>
      </c>
      <c r="W2" s="13">
        <f t="shared" si="0"/>
        <v>0.10000000000000002</v>
      </c>
      <c r="X2" s="13">
        <f t="shared" si="0"/>
        <v>0.10000000000000002</v>
      </c>
      <c r="Y2" s="13">
        <f t="shared" si="0"/>
        <v>0.10000000000000002</v>
      </c>
      <c r="Z2" s="13">
        <f t="shared" si="0"/>
        <v>0.10000000000000002</v>
      </c>
      <c r="AA2" s="13">
        <f t="shared" si="0"/>
        <v>0.10000000000000002</v>
      </c>
      <c r="AB2" s="13">
        <f t="shared" si="0"/>
        <v>0.10000000000000002</v>
      </c>
      <c r="AC2" s="13">
        <f t="shared" si="0"/>
        <v>0.10000000000000002</v>
      </c>
      <c r="AD2" s="13">
        <f t="shared" si="0"/>
        <v>0.10000000000000002</v>
      </c>
      <c r="AE2" s="13">
        <f t="shared" si="0"/>
        <v>0.10000000000000002</v>
      </c>
      <c r="AF2" s="13">
        <f t="shared" si="0"/>
        <v>0.10000000000000002</v>
      </c>
      <c r="AG2" s="13">
        <f t="shared" si="0"/>
        <v>0.10000000000000002</v>
      </c>
    </row>
    <row r="3" spans="1:33" x14ac:dyDescent="0.3">
      <c r="A3" s="1" t="s">
        <v>1</v>
      </c>
      <c r="B3" s="12">
        <v>0</v>
      </c>
      <c r="C3" s="27">
        <v>1.6666666666666663E-2</v>
      </c>
      <c r="D3" s="27">
        <v>3.3333333333333333E-2</v>
      </c>
      <c r="E3" s="27">
        <v>5.000000000000001E-2</v>
      </c>
      <c r="F3" s="13">
        <f t="shared" ref="F3:U18" si="1">E3</f>
        <v>5.000000000000001E-2</v>
      </c>
      <c r="G3" s="13">
        <f t="shared" si="1"/>
        <v>5.000000000000001E-2</v>
      </c>
      <c r="H3" s="13">
        <f t="shared" si="1"/>
        <v>5.000000000000001E-2</v>
      </c>
      <c r="I3" s="13">
        <f t="shared" si="1"/>
        <v>5.000000000000001E-2</v>
      </c>
      <c r="J3" s="13">
        <f t="shared" si="1"/>
        <v>5.000000000000001E-2</v>
      </c>
      <c r="K3" s="13">
        <f t="shared" si="1"/>
        <v>5.000000000000001E-2</v>
      </c>
      <c r="L3" s="13">
        <f t="shared" si="1"/>
        <v>5.000000000000001E-2</v>
      </c>
      <c r="M3" s="13">
        <f t="shared" si="1"/>
        <v>5.000000000000001E-2</v>
      </c>
      <c r="N3" s="13">
        <f t="shared" si="1"/>
        <v>5.000000000000001E-2</v>
      </c>
      <c r="O3" s="13">
        <f t="shared" si="1"/>
        <v>5.000000000000001E-2</v>
      </c>
      <c r="P3" s="13">
        <f t="shared" si="1"/>
        <v>5.000000000000001E-2</v>
      </c>
      <c r="Q3" s="13">
        <f t="shared" si="1"/>
        <v>5.000000000000001E-2</v>
      </c>
      <c r="R3" s="13">
        <f t="shared" si="1"/>
        <v>5.000000000000001E-2</v>
      </c>
      <c r="S3" s="13">
        <f t="shared" si="1"/>
        <v>5.000000000000001E-2</v>
      </c>
      <c r="T3" s="13">
        <f t="shared" si="1"/>
        <v>5.000000000000001E-2</v>
      </c>
      <c r="U3" s="13">
        <f t="shared" si="1"/>
        <v>5.000000000000001E-2</v>
      </c>
      <c r="V3" s="13">
        <f t="shared" si="0"/>
        <v>5.000000000000001E-2</v>
      </c>
      <c r="W3" s="13">
        <f t="shared" si="0"/>
        <v>5.000000000000001E-2</v>
      </c>
      <c r="X3" s="13">
        <f t="shared" si="0"/>
        <v>5.000000000000001E-2</v>
      </c>
      <c r="Y3" s="13">
        <f t="shared" si="0"/>
        <v>5.000000000000001E-2</v>
      </c>
      <c r="Z3" s="13">
        <f t="shared" si="0"/>
        <v>5.000000000000001E-2</v>
      </c>
      <c r="AA3" s="13">
        <f t="shared" si="0"/>
        <v>5.000000000000001E-2</v>
      </c>
      <c r="AB3" s="13">
        <f t="shared" si="0"/>
        <v>5.000000000000001E-2</v>
      </c>
      <c r="AC3" s="13">
        <f t="shared" si="0"/>
        <v>5.000000000000001E-2</v>
      </c>
      <c r="AD3" s="13">
        <f t="shared" si="0"/>
        <v>5.000000000000001E-2</v>
      </c>
      <c r="AE3" s="13">
        <f t="shared" si="0"/>
        <v>5.000000000000001E-2</v>
      </c>
      <c r="AF3" s="13">
        <f t="shared" si="0"/>
        <v>5.000000000000001E-2</v>
      </c>
      <c r="AG3" s="13">
        <f t="shared" si="0"/>
        <v>5.000000000000001E-2</v>
      </c>
    </row>
    <row r="4" spans="1:33" x14ac:dyDescent="0.3">
      <c r="A4" s="1" t="s">
        <v>2</v>
      </c>
      <c r="B4" s="12">
        <v>0</v>
      </c>
      <c r="C4" s="13">
        <v>3.3333333333333326E-2</v>
      </c>
      <c r="D4" s="13">
        <v>6.6666666666666666E-2</v>
      </c>
      <c r="E4" s="13">
        <v>0.10000000000000002</v>
      </c>
      <c r="F4" s="13">
        <f t="shared" si="1"/>
        <v>0.10000000000000002</v>
      </c>
      <c r="G4" s="13">
        <f t="shared" si="0"/>
        <v>0.10000000000000002</v>
      </c>
      <c r="H4" s="13">
        <f t="shared" si="0"/>
        <v>0.10000000000000002</v>
      </c>
      <c r="I4" s="13">
        <f t="shared" si="0"/>
        <v>0.10000000000000002</v>
      </c>
      <c r="J4" s="13">
        <f t="shared" si="0"/>
        <v>0.10000000000000002</v>
      </c>
      <c r="K4" s="13">
        <f t="shared" si="0"/>
        <v>0.10000000000000002</v>
      </c>
      <c r="L4" s="13">
        <f t="shared" si="0"/>
        <v>0.10000000000000002</v>
      </c>
      <c r="M4" s="13">
        <f t="shared" si="0"/>
        <v>0.10000000000000002</v>
      </c>
      <c r="N4" s="13">
        <f t="shared" si="0"/>
        <v>0.10000000000000002</v>
      </c>
      <c r="O4" s="13">
        <f t="shared" si="0"/>
        <v>0.10000000000000002</v>
      </c>
      <c r="P4" s="13">
        <f t="shared" si="0"/>
        <v>0.10000000000000002</v>
      </c>
      <c r="Q4" s="13">
        <f t="shared" si="0"/>
        <v>0.10000000000000002</v>
      </c>
      <c r="R4" s="13">
        <f t="shared" si="0"/>
        <v>0.10000000000000002</v>
      </c>
      <c r="S4" s="13">
        <f t="shared" si="0"/>
        <v>0.10000000000000002</v>
      </c>
      <c r="T4" s="13">
        <f t="shared" si="0"/>
        <v>0.10000000000000002</v>
      </c>
      <c r="U4" s="13">
        <f t="shared" si="0"/>
        <v>0.10000000000000002</v>
      </c>
      <c r="V4" s="13">
        <f t="shared" si="0"/>
        <v>0.10000000000000002</v>
      </c>
      <c r="W4" s="13">
        <f t="shared" si="0"/>
        <v>0.10000000000000002</v>
      </c>
      <c r="X4" s="13">
        <f t="shared" si="0"/>
        <v>0.10000000000000002</v>
      </c>
      <c r="Y4" s="13">
        <f t="shared" si="0"/>
        <v>0.10000000000000002</v>
      </c>
      <c r="Z4" s="13">
        <f t="shared" si="0"/>
        <v>0.10000000000000002</v>
      </c>
      <c r="AA4" s="13">
        <f t="shared" si="0"/>
        <v>0.10000000000000002</v>
      </c>
      <c r="AB4" s="13">
        <f t="shared" si="0"/>
        <v>0.10000000000000002</v>
      </c>
      <c r="AC4" s="13">
        <f t="shared" si="0"/>
        <v>0.10000000000000002</v>
      </c>
      <c r="AD4" s="13">
        <f t="shared" si="0"/>
        <v>0.10000000000000002</v>
      </c>
      <c r="AE4" s="13">
        <f t="shared" si="0"/>
        <v>0.10000000000000002</v>
      </c>
      <c r="AF4" s="13">
        <f t="shared" si="0"/>
        <v>0.10000000000000002</v>
      </c>
      <c r="AG4" s="13">
        <f t="shared" si="0"/>
        <v>0.10000000000000002</v>
      </c>
    </row>
    <row r="5" spans="1:33" x14ac:dyDescent="0.3">
      <c r="A5" s="1" t="s">
        <v>3</v>
      </c>
      <c r="B5" s="12">
        <v>0</v>
      </c>
      <c r="C5" s="27">
        <v>0.01</v>
      </c>
      <c r="D5" s="27">
        <v>0.01</v>
      </c>
      <c r="E5" s="27">
        <v>0.01</v>
      </c>
      <c r="F5" s="13">
        <f t="shared" si="1"/>
        <v>0.01</v>
      </c>
      <c r="G5" s="13">
        <f t="shared" si="0"/>
        <v>0.01</v>
      </c>
      <c r="H5" s="13">
        <f t="shared" si="0"/>
        <v>0.01</v>
      </c>
      <c r="I5" s="13">
        <f t="shared" si="0"/>
        <v>0.01</v>
      </c>
      <c r="J5" s="13">
        <f t="shared" si="0"/>
        <v>0.01</v>
      </c>
      <c r="K5" s="13">
        <f t="shared" si="0"/>
        <v>0.01</v>
      </c>
      <c r="L5" s="13">
        <f t="shared" si="0"/>
        <v>0.01</v>
      </c>
      <c r="M5" s="13">
        <f t="shared" si="0"/>
        <v>0.01</v>
      </c>
      <c r="N5" s="13">
        <f t="shared" si="0"/>
        <v>0.01</v>
      </c>
      <c r="O5" s="13">
        <f t="shared" si="0"/>
        <v>0.01</v>
      </c>
      <c r="P5" s="13">
        <f t="shared" si="0"/>
        <v>0.01</v>
      </c>
      <c r="Q5" s="13">
        <f t="shared" si="0"/>
        <v>0.01</v>
      </c>
      <c r="R5" s="13">
        <f t="shared" si="0"/>
        <v>0.01</v>
      </c>
      <c r="S5" s="13">
        <f t="shared" si="0"/>
        <v>0.01</v>
      </c>
      <c r="T5" s="13">
        <f t="shared" si="0"/>
        <v>0.01</v>
      </c>
      <c r="U5" s="13">
        <f t="shared" si="0"/>
        <v>0.01</v>
      </c>
      <c r="V5" s="13">
        <f t="shared" si="0"/>
        <v>0.01</v>
      </c>
      <c r="W5" s="13">
        <f t="shared" si="0"/>
        <v>0.01</v>
      </c>
      <c r="X5" s="13">
        <f t="shared" si="0"/>
        <v>0.01</v>
      </c>
      <c r="Y5" s="13">
        <f t="shared" si="0"/>
        <v>0.01</v>
      </c>
      <c r="Z5" s="13">
        <f t="shared" si="0"/>
        <v>0.01</v>
      </c>
      <c r="AA5" s="13">
        <f t="shared" si="0"/>
        <v>0.01</v>
      </c>
      <c r="AB5" s="13">
        <f t="shared" si="0"/>
        <v>0.01</v>
      </c>
      <c r="AC5" s="13">
        <f t="shared" si="0"/>
        <v>0.01</v>
      </c>
      <c r="AD5" s="13">
        <f t="shared" si="0"/>
        <v>0.01</v>
      </c>
      <c r="AE5" s="13">
        <f t="shared" si="0"/>
        <v>0.01</v>
      </c>
      <c r="AF5" s="13">
        <f t="shared" si="0"/>
        <v>0.01</v>
      </c>
      <c r="AG5" s="13">
        <f t="shared" si="0"/>
        <v>0.01</v>
      </c>
    </row>
    <row r="6" spans="1:33" x14ac:dyDescent="0.3">
      <c r="A6" s="1" t="s">
        <v>4</v>
      </c>
      <c r="B6" s="11">
        <v>0</v>
      </c>
      <c r="C6" s="32">
        <v>1E-4</v>
      </c>
      <c r="D6" s="32">
        <v>1E-4</v>
      </c>
      <c r="E6" s="32">
        <v>1E-4</v>
      </c>
      <c r="F6" s="32">
        <v>1E-4</v>
      </c>
      <c r="G6" s="32">
        <v>1E-4</v>
      </c>
      <c r="H6" s="32">
        <v>1E-4</v>
      </c>
      <c r="I6" s="32">
        <v>1E-4</v>
      </c>
      <c r="J6" s="32">
        <v>1E-4</v>
      </c>
      <c r="K6" s="32">
        <v>1E-4</v>
      </c>
      <c r="L6" s="32">
        <v>1E-4</v>
      </c>
      <c r="M6" s="32">
        <v>1E-4</v>
      </c>
      <c r="N6" s="32">
        <v>1E-4</v>
      </c>
      <c r="O6" s="32">
        <v>1E-4</v>
      </c>
      <c r="P6" s="32">
        <v>1E-4</v>
      </c>
      <c r="Q6" s="32">
        <v>1E-4</v>
      </c>
      <c r="R6" s="32">
        <v>1E-4</v>
      </c>
      <c r="S6" s="32">
        <v>1E-4</v>
      </c>
      <c r="T6" s="32">
        <v>1E-4</v>
      </c>
      <c r="U6" s="32">
        <v>1E-4</v>
      </c>
      <c r="V6" s="32">
        <v>1E-4</v>
      </c>
      <c r="W6" s="32">
        <v>1E-4</v>
      </c>
      <c r="X6" s="32">
        <v>1E-4</v>
      </c>
      <c r="Y6" s="32">
        <v>1E-4</v>
      </c>
      <c r="Z6" s="32">
        <v>1E-4</v>
      </c>
      <c r="AA6" s="32">
        <v>1E-4</v>
      </c>
      <c r="AB6" s="32">
        <v>1E-4</v>
      </c>
      <c r="AC6" s="32">
        <v>1E-4</v>
      </c>
      <c r="AD6" s="32">
        <v>1E-4</v>
      </c>
      <c r="AE6" s="32">
        <v>1E-4</v>
      </c>
      <c r="AF6" s="32">
        <v>1E-4</v>
      </c>
      <c r="AG6" s="32">
        <v>1E-4</v>
      </c>
    </row>
    <row r="7" spans="1:33" x14ac:dyDescent="0.3">
      <c r="A7" s="1" t="s">
        <v>5</v>
      </c>
      <c r="B7" s="12">
        <v>0</v>
      </c>
      <c r="C7" s="32">
        <v>1E-4</v>
      </c>
      <c r="D7" s="32">
        <v>1E-4</v>
      </c>
      <c r="E7" s="32">
        <v>1E-4</v>
      </c>
      <c r="F7" s="32">
        <v>1E-4</v>
      </c>
      <c r="G7" s="32">
        <v>1E-4</v>
      </c>
      <c r="H7" s="32">
        <v>1E-4</v>
      </c>
      <c r="I7" s="32">
        <v>1E-4</v>
      </c>
      <c r="J7" s="32">
        <v>1E-4</v>
      </c>
      <c r="K7" s="32">
        <v>1E-4</v>
      </c>
      <c r="L7" s="32">
        <v>1E-4</v>
      </c>
      <c r="M7" s="32">
        <v>1E-4</v>
      </c>
      <c r="N7" s="32">
        <v>1E-4</v>
      </c>
      <c r="O7" s="32">
        <v>1E-4</v>
      </c>
      <c r="P7" s="32">
        <v>1E-4</v>
      </c>
      <c r="Q7" s="32">
        <v>1E-4</v>
      </c>
      <c r="R7" s="32">
        <v>1E-4</v>
      </c>
      <c r="S7" s="32">
        <v>1E-4</v>
      </c>
      <c r="T7" s="32">
        <v>1E-4</v>
      </c>
      <c r="U7" s="32">
        <v>1E-4</v>
      </c>
      <c r="V7" s="32">
        <v>1E-4</v>
      </c>
      <c r="W7" s="32">
        <v>1E-4</v>
      </c>
      <c r="X7" s="32">
        <v>1E-4</v>
      </c>
      <c r="Y7" s="32">
        <v>1E-4</v>
      </c>
      <c r="Z7" s="32">
        <v>1E-4</v>
      </c>
      <c r="AA7" s="32">
        <v>1E-4</v>
      </c>
      <c r="AB7" s="32">
        <v>1E-4</v>
      </c>
      <c r="AC7" s="32">
        <v>1E-4</v>
      </c>
      <c r="AD7" s="32">
        <v>1E-4</v>
      </c>
      <c r="AE7" s="32">
        <v>1E-4</v>
      </c>
      <c r="AF7" s="32">
        <v>1E-4</v>
      </c>
      <c r="AG7" s="32">
        <v>1E-4</v>
      </c>
    </row>
    <row r="8" spans="1:33" x14ac:dyDescent="0.3">
      <c r="A8" s="1" t="s">
        <v>6</v>
      </c>
      <c r="B8" s="12">
        <v>0</v>
      </c>
      <c r="C8" s="13">
        <v>6.6666666666666652E-2</v>
      </c>
      <c r="D8" s="13">
        <v>0.13333333333333333</v>
      </c>
      <c r="E8" s="13">
        <v>0.20000000000000004</v>
      </c>
      <c r="F8" s="13">
        <f t="shared" si="1"/>
        <v>0.20000000000000004</v>
      </c>
      <c r="G8" s="13">
        <f t="shared" si="0"/>
        <v>0.20000000000000004</v>
      </c>
      <c r="H8" s="13">
        <f t="shared" si="0"/>
        <v>0.20000000000000004</v>
      </c>
      <c r="I8" s="13">
        <f t="shared" si="0"/>
        <v>0.20000000000000004</v>
      </c>
      <c r="J8" s="13">
        <f t="shared" si="0"/>
        <v>0.20000000000000004</v>
      </c>
      <c r="K8" s="13">
        <f t="shared" si="0"/>
        <v>0.20000000000000004</v>
      </c>
      <c r="L8" s="13">
        <f t="shared" si="0"/>
        <v>0.20000000000000004</v>
      </c>
      <c r="M8" s="13">
        <f t="shared" si="0"/>
        <v>0.20000000000000004</v>
      </c>
      <c r="N8" s="13">
        <f t="shared" si="0"/>
        <v>0.20000000000000004</v>
      </c>
      <c r="O8" s="13">
        <f t="shared" si="0"/>
        <v>0.20000000000000004</v>
      </c>
      <c r="P8" s="13">
        <f t="shared" si="0"/>
        <v>0.20000000000000004</v>
      </c>
      <c r="Q8" s="13">
        <f t="shared" si="0"/>
        <v>0.20000000000000004</v>
      </c>
      <c r="R8" s="13">
        <f t="shared" si="0"/>
        <v>0.20000000000000004</v>
      </c>
      <c r="S8" s="13">
        <f t="shared" si="0"/>
        <v>0.20000000000000004</v>
      </c>
      <c r="T8" s="13">
        <f t="shared" si="0"/>
        <v>0.20000000000000004</v>
      </c>
      <c r="U8" s="13">
        <f t="shared" si="0"/>
        <v>0.20000000000000004</v>
      </c>
      <c r="V8" s="13">
        <f t="shared" si="0"/>
        <v>0.20000000000000004</v>
      </c>
      <c r="W8" s="13">
        <f t="shared" si="0"/>
        <v>0.20000000000000004</v>
      </c>
      <c r="X8" s="13">
        <f t="shared" si="0"/>
        <v>0.20000000000000004</v>
      </c>
      <c r="Y8" s="13">
        <f t="shared" si="0"/>
        <v>0.20000000000000004</v>
      </c>
      <c r="Z8" s="13">
        <f t="shared" si="0"/>
        <v>0.20000000000000004</v>
      </c>
      <c r="AA8" s="13">
        <f t="shared" si="0"/>
        <v>0.20000000000000004</v>
      </c>
      <c r="AB8" s="13">
        <f t="shared" si="0"/>
        <v>0.20000000000000004</v>
      </c>
      <c r="AC8" s="13">
        <f t="shared" si="0"/>
        <v>0.20000000000000004</v>
      </c>
      <c r="AD8" s="13">
        <f t="shared" si="0"/>
        <v>0.20000000000000004</v>
      </c>
      <c r="AE8" s="13">
        <f t="shared" si="0"/>
        <v>0.20000000000000004</v>
      </c>
      <c r="AF8" s="13">
        <f t="shared" si="0"/>
        <v>0.20000000000000004</v>
      </c>
      <c r="AG8" s="13">
        <f t="shared" si="0"/>
        <v>0.20000000000000004</v>
      </c>
    </row>
    <row r="9" spans="1:33" x14ac:dyDescent="0.3">
      <c r="A9" s="1" t="s">
        <v>7</v>
      </c>
      <c r="B9" s="12">
        <v>0</v>
      </c>
      <c r="C9" s="27">
        <v>1.6666666666666663E-2</v>
      </c>
      <c r="D9" s="27">
        <v>3.3333333333333333E-2</v>
      </c>
      <c r="E9" s="27">
        <v>5.000000000000001E-2</v>
      </c>
      <c r="F9" s="13">
        <f t="shared" si="1"/>
        <v>5.000000000000001E-2</v>
      </c>
      <c r="G9" s="13">
        <f t="shared" si="0"/>
        <v>5.000000000000001E-2</v>
      </c>
      <c r="H9" s="13">
        <f t="shared" si="0"/>
        <v>5.000000000000001E-2</v>
      </c>
      <c r="I9" s="13">
        <f t="shared" si="0"/>
        <v>5.000000000000001E-2</v>
      </c>
      <c r="J9" s="13">
        <f t="shared" si="0"/>
        <v>5.000000000000001E-2</v>
      </c>
      <c r="K9" s="13">
        <f t="shared" si="0"/>
        <v>5.000000000000001E-2</v>
      </c>
      <c r="L9" s="13">
        <f t="shared" si="0"/>
        <v>5.000000000000001E-2</v>
      </c>
      <c r="M9" s="13">
        <f t="shared" si="0"/>
        <v>5.000000000000001E-2</v>
      </c>
      <c r="N9" s="13">
        <f t="shared" si="0"/>
        <v>5.000000000000001E-2</v>
      </c>
      <c r="O9" s="13">
        <f t="shared" si="0"/>
        <v>5.000000000000001E-2</v>
      </c>
      <c r="P9" s="13">
        <f t="shared" si="0"/>
        <v>5.000000000000001E-2</v>
      </c>
      <c r="Q9" s="13">
        <f t="shared" si="0"/>
        <v>5.000000000000001E-2</v>
      </c>
      <c r="R9" s="13">
        <f t="shared" si="0"/>
        <v>5.000000000000001E-2</v>
      </c>
      <c r="S9" s="13">
        <f t="shared" si="0"/>
        <v>5.000000000000001E-2</v>
      </c>
      <c r="T9" s="13">
        <f t="shared" si="0"/>
        <v>5.000000000000001E-2</v>
      </c>
      <c r="U9" s="13">
        <f t="shared" si="0"/>
        <v>5.000000000000001E-2</v>
      </c>
      <c r="V9" s="13">
        <f t="shared" si="0"/>
        <v>5.000000000000001E-2</v>
      </c>
      <c r="W9" s="13">
        <f t="shared" si="0"/>
        <v>5.000000000000001E-2</v>
      </c>
      <c r="X9" s="13">
        <f t="shared" si="0"/>
        <v>5.000000000000001E-2</v>
      </c>
      <c r="Y9" s="13">
        <f t="shared" si="0"/>
        <v>5.000000000000001E-2</v>
      </c>
      <c r="Z9" s="13">
        <f t="shared" si="0"/>
        <v>5.000000000000001E-2</v>
      </c>
      <c r="AA9" s="13">
        <f t="shared" si="0"/>
        <v>5.000000000000001E-2</v>
      </c>
      <c r="AB9" s="13">
        <f t="shared" si="0"/>
        <v>5.000000000000001E-2</v>
      </c>
      <c r="AC9" s="13">
        <f t="shared" si="0"/>
        <v>5.000000000000001E-2</v>
      </c>
      <c r="AD9" s="13">
        <f t="shared" si="0"/>
        <v>5.000000000000001E-2</v>
      </c>
      <c r="AE9" s="13">
        <f t="shared" si="0"/>
        <v>5.000000000000001E-2</v>
      </c>
      <c r="AF9" s="13">
        <f t="shared" si="0"/>
        <v>5.000000000000001E-2</v>
      </c>
      <c r="AG9" s="13">
        <f t="shared" si="0"/>
        <v>5.000000000000001E-2</v>
      </c>
    </row>
    <row r="10" spans="1:33" x14ac:dyDescent="0.3">
      <c r="A10" s="1" t="s">
        <v>8</v>
      </c>
      <c r="B10" s="12">
        <v>0</v>
      </c>
      <c r="C10" s="13">
        <v>0.1333333333333333</v>
      </c>
      <c r="D10" s="13">
        <v>0.26666666666666666</v>
      </c>
      <c r="E10" s="13">
        <v>0.40000000000000008</v>
      </c>
      <c r="F10" s="13">
        <f t="shared" si="1"/>
        <v>0.40000000000000008</v>
      </c>
      <c r="G10" s="13">
        <f t="shared" si="0"/>
        <v>0.40000000000000008</v>
      </c>
      <c r="H10" s="13">
        <f t="shared" si="0"/>
        <v>0.40000000000000008</v>
      </c>
      <c r="I10" s="13">
        <f t="shared" si="0"/>
        <v>0.40000000000000008</v>
      </c>
      <c r="J10" s="13">
        <f t="shared" si="0"/>
        <v>0.40000000000000008</v>
      </c>
      <c r="K10" s="13">
        <f t="shared" si="0"/>
        <v>0.40000000000000008</v>
      </c>
      <c r="L10" s="13">
        <f t="shared" si="0"/>
        <v>0.40000000000000008</v>
      </c>
      <c r="M10" s="13">
        <f t="shared" si="0"/>
        <v>0.40000000000000008</v>
      </c>
      <c r="N10" s="13">
        <f t="shared" si="0"/>
        <v>0.40000000000000008</v>
      </c>
      <c r="O10" s="13">
        <f t="shared" si="0"/>
        <v>0.40000000000000008</v>
      </c>
      <c r="P10" s="13">
        <f t="shared" si="0"/>
        <v>0.40000000000000008</v>
      </c>
      <c r="Q10" s="13">
        <f t="shared" si="0"/>
        <v>0.40000000000000008</v>
      </c>
      <c r="R10" s="13">
        <f t="shared" si="0"/>
        <v>0.40000000000000008</v>
      </c>
      <c r="S10" s="13">
        <f t="shared" si="0"/>
        <v>0.40000000000000008</v>
      </c>
      <c r="T10" s="13">
        <f t="shared" si="0"/>
        <v>0.40000000000000008</v>
      </c>
      <c r="U10" s="13">
        <f t="shared" si="0"/>
        <v>0.40000000000000008</v>
      </c>
      <c r="V10" s="13">
        <f t="shared" si="0"/>
        <v>0.40000000000000008</v>
      </c>
      <c r="W10" s="13">
        <f t="shared" si="0"/>
        <v>0.40000000000000008</v>
      </c>
      <c r="X10" s="13">
        <f t="shared" si="0"/>
        <v>0.40000000000000008</v>
      </c>
      <c r="Y10" s="13">
        <f t="shared" si="0"/>
        <v>0.40000000000000008</v>
      </c>
      <c r="Z10" s="13">
        <f t="shared" si="0"/>
        <v>0.40000000000000008</v>
      </c>
      <c r="AA10" s="13">
        <f t="shared" si="0"/>
        <v>0.40000000000000008</v>
      </c>
      <c r="AB10" s="13">
        <f t="shared" si="0"/>
        <v>0.40000000000000008</v>
      </c>
      <c r="AC10" s="13">
        <f t="shared" si="0"/>
        <v>0.40000000000000008</v>
      </c>
      <c r="AD10" s="13">
        <f t="shared" si="0"/>
        <v>0.40000000000000008</v>
      </c>
      <c r="AE10" s="13">
        <f t="shared" si="0"/>
        <v>0.40000000000000008</v>
      </c>
      <c r="AF10" s="13">
        <f t="shared" si="0"/>
        <v>0.40000000000000008</v>
      </c>
      <c r="AG10" s="13">
        <f t="shared" si="0"/>
        <v>0.40000000000000008</v>
      </c>
    </row>
    <row r="11" spans="1:33" x14ac:dyDescent="0.3">
      <c r="A11" s="1" t="s">
        <v>9</v>
      </c>
      <c r="B11" s="12">
        <v>0</v>
      </c>
      <c r="C11" s="27">
        <v>1.6666666666666663E-2</v>
      </c>
      <c r="D11" s="27">
        <v>3.3333333333333333E-2</v>
      </c>
      <c r="E11" s="27">
        <v>5.000000000000001E-2</v>
      </c>
      <c r="F11" s="13">
        <f t="shared" si="1"/>
        <v>5.000000000000001E-2</v>
      </c>
      <c r="G11" s="13">
        <f t="shared" si="0"/>
        <v>5.000000000000001E-2</v>
      </c>
      <c r="H11" s="13">
        <f t="shared" si="0"/>
        <v>5.000000000000001E-2</v>
      </c>
      <c r="I11" s="13">
        <f t="shared" si="0"/>
        <v>5.000000000000001E-2</v>
      </c>
      <c r="J11" s="13">
        <f t="shared" si="0"/>
        <v>5.000000000000001E-2</v>
      </c>
      <c r="K11" s="13">
        <f t="shared" si="0"/>
        <v>5.000000000000001E-2</v>
      </c>
      <c r="L11" s="13">
        <f t="shared" si="0"/>
        <v>5.000000000000001E-2</v>
      </c>
      <c r="M11" s="13">
        <f t="shared" si="0"/>
        <v>5.000000000000001E-2</v>
      </c>
      <c r="N11" s="13">
        <f t="shared" si="0"/>
        <v>5.000000000000001E-2</v>
      </c>
      <c r="O11" s="13">
        <f t="shared" si="0"/>
        <v>5.000000000000001E-2</v>
      </c>
      <c r="P11" s="13">
        <f t="shared" si="0"/>
        <v>5.000000000000001E-2</v>
      </c>
      <c r="Q11" s="13">
        <f t="shared" si="0"/>
        <v>5.000000000000001E-2</v>
      </c>
      <c r="R11" s="13">
        <f t="shared" si="0"/>
        <v>5.000000000000001E-2</v>
      </c>
      <c r="S11" s="13">
        <f t="shared" si="0"/>
        <v>5.000000000000001E-2</v>
      </c>
      <c r="T11" s="13">
        <f t="shared" si="0"/>
        <v>5.000000000000001E-2</v>
      </c>
      <c r="U11" s="13">
        <f t="shared" si="0"/>
        <v>5.000000000000001E-2</v>
      </c>
      <c r="V11" s="13">
        <f t="shared" si="0"/>
        <v>5.000000000000001E-2</v>
      </c>
      <c r="W11" s="13">
        <f t="shared" si="0"/>
        <v>5.000000000000001E-2</v>
      </c>
      <c r="X11" s="13">
        <f t="shared" si="0"/>
        <v>5.000000000000001E-2</v>
      </c>
      <c r="Y11" s="13">
        <f t="shared" si="0"/>
        <v>5.000000000000001E-2</v>
      </c>
      <c r="Z11" s="13">
        <f t="shared" si="0"/>
        <v>5.000000000000001E-2</v>
      </c>
      <c r="AA11" s="13">
        <f t="shared" si="0"/>
        <v>5.000000000000001E-2</v>
      </c>
      <c r="AB11" s="13">
        <f t="shared" si="0"/>
        <v>5.000000000000001E-2</v>
      </c>
      <c r="AC11" s="13">
        <f t="shared" si="0"/>
        <v>5.000000000000001E-2</v>
      </c>
      <c r="AD11" s="13">
        <f t="shared" si="0"/>
        <v>5.000000000000001E-2</v>
      </c>
      <c r="AE11" s="13">
        <f t="shared" si="0"/>
        <v>5.000000000000001E-2</v>
      </c>
      <c r="AF11" s="13">
        <f t="shared" si="0"/>
        <v>5.000000000000001E-2</v>
      </c>
      <c r="AG11" s="13">
        <f t="shared" si="0"/>
        <v>5.000000000000001E-2</v>
      </c>
    </row>
    <row r="12" spans="1:33" x14ac:dyDescent="0.3">
      <c r="A12" s="1" t="s">
        <v>10</v>
      </c>
      <c r="B12" s="12">
        <v>0</v>
      </c>
      <c r="C12" s="27">
        <v>0.01</v>
      </c>
      <c r="D12" s="27">
        <v>0.01</v>
      </c>
      <c r="E12" s="27">
        <v>0.01</v>
      </c>
      <c r="F12" s="13">
        <f t="shared" si="1"/>
        <v>0.01</v>
      </c>
      <c r="G12" s="13">
        <f t="shared" ref="G12:AG18" si="2">F12</f>
        <v>0.01</v>
      </c>
      <c r="H12" s="13">
        <f t="shared" si="2"/>
        <v>0.01</v>
      </c>
      <c r="I12" s="13">
        <f t="shared" si="2"/>
        <v>0.01</v>
      </c>
      <c r="J12" s="13">
        <f t="shared" si="2"/>
        <v>0.01</v>
      </c>
      <c r="K12" s="13">
        <f t="shared" si="2"/>
        <v>0.01</v>
      </c>
      <c r="L12" s="13">
        <f t="shared" si="2"/>
        <v>0.01</v>
      </c>
      <c r="M12" s="13">
        <f t="shared" si="2"/>
        <v>0.01</v>
      </c>
      <c r="N12" s="13">
        <f t="shared" si="2"/>
        <v>0.01</v>
      </c>
      <c r="O12" s="13">
        <f t="shared" si="2"/>
        <v>0.01</v>
      </c>
      <c r="P12" s="13">
        <f t="shared" si="2"/>
        <v>0.01</v>
      </c>
      <c r="Q12" s="13">
        <f t="shared" si="2"/>
        <v>0.01</v>
      </c>
      <c r="R12" s="13">
        <f t="shared" si="2"/>
        <v>0.01</v>
      </c>
      <c r="S12" s="13">
        <f t="shared" si="2"/>
        <v>0.01</v>
      </c>
      <c r="T12" s="13">
        <f t="shared" si="2"/>
        <v>0.01</v>
      </c>
      <c r="U12" s="13">
        <f t="shared" si="2"/>
        <v>0.01</v>
      </c>
      <c r="V12" s="13">
        <f t="shared" si="2"/>
        <v>0.01</v>
      </c>
      <c r="W12" s="13">
        <f t="shared" si="2"/>
        <v>0.01</v>
      </c>
      <c r="X12" s="13">
        <f t="shared" si="2"/>
        <v>0.01</v>
      </c>
      <c r="Y12" s="13">
        <f t="shared" si="2"/>
        <v>0.01</v>
      </c>
      <c r="Z12" s="13">
        <f t="shared" si="2"/>
        <v>0.01</v>
      </c>
      <c r="AA12" s="13">
        <f t="shared" si="2"/>
        <v>0.01</v>
      </c>
      <c r="AB12" s="13">
        <f t="shared" si="2"/>
        <v>0.01</v>
      </c>
      <c r="AC12" s="13">
        <f t="shared" si="2"/>
        <v>0.01</v>
      </c>
      <c r="AD12" s="13">
        <f t="shared" si="2"/>
        <v>0.01</v>
      </c>
      <c r="AE12" s="13">
        <f t="shared" si="2"/>
        <v>0.01</v>
      </c>
      <c r="AF12" s="13">
        <f t="shared" si="2"/>
        <v>0.01</v>
      </c>
      <c r="AG12" s="13">
        <f t="shared" si="2"/>
        <v>0.01</v>
      </c>
    </row>
    <row r="13" spans="1:33" x14ac:dyDescent="0.3">
      <c r="A13" s="1" t="s">
        <v>11</v>
      </c>
      <c r="B13" s="12">
        <v>0</v>
      </c>
      <c r="C13" s="27">
        <v>0.01</v>
      </c>
      <c r="D13" s="27">
        <v>0.01</v>
      </c>
      <c r="E13" s="27">
        <v>0.01</v>
      </c>
      <c r="F13" s="13">
        <f t="shared" si="1"/>
        <v>0.01</v>
      </c>
      <c r="G13" s="13">
        <f t="shared" si="2"/>
        <v>0.01</v>
      </c>
      <c r="H13" s="13">
        <f t="shared" si="2"/>
        <v>0.01</v>
      </c>
      <c r="I13" s="13">
        <f t="shared" si="2"/>
        <v>0.01</v>
      </c>
      <c r="J13" s="13">
        <f t="shared" si="2"/>
        <v>0.01</v>
      </c>
      <c r="K13" s="13">
        <f t="shared" si="2"/>
        <v>0.01</v>
      </c>
      <c r="L13" s="13">
        <f t="shared" si="2"/>
        <v>0.01</v>
      </c>
      <c r="M13" s="13">
        <f t="shared" si="2"/>
        <v>0.01</v>
      </c>
      <c r="N13" s="13">
        <f t="shared" si="2"/>
        <v>0.01</v>
      </c>
      <c r="O13" s="13">
        <f t="shared" si="2"/>
        <v>0.01</v>
      </c>
      <c r="P13" s="13">
        <f t="shared" si="2"/>
        <v>0.01</v>
      </c>
      <c r="Q13" s="13">
        <f t="shared" si="2"/>
        <v>0.01</v>
      </c>
      <c r="R13" s="13">
        <f t="shared" si="2"/>
        <v>0.01</v>
      </c>
      <c r="S13" s="13">
        <f t="shared" si="2"/>
        <v>0.01</v>
      </c>
      <c r="T13" s="13">
        <f t="shared" si="2"/>
        <v>0.01</v>
      </c>
      <c r="U13" s="13">
        <f t="shared" si="2"/>
        <v>0.01</v>
      </c>
      <c r="V13" s="13">
        <f t="shared" si="2"/>
        <v>0.01</v>
      </c>
      <c r="W13" s="13">
        <f t="shared" si="2"/>
        <v>0.01</v>
      </c>
      <c r="X13" s="13">
        <f t="shared" si="2"/>
        <v>0.01</v>
      </c>
      <c r="Y13" s="13">
        <f t="shared" si="2"/>
        <v>0.01</v>
      </c>
      <c r="Z13" s="13">
        <f t="shared" si="2"/>
        <v>0.01</v>
      </c>
      <c r="AA13" s="13">
        <f t="shared" si="2"/>
        <v>0.01</v>
      </c>
      <c r="AB13" s="13">
        <f t="shared" si="2"/>
        <v>0.01</v>
      </c>
      <c r="AC13" s="13">
        <f t="shared" si="2"/>
        <v>0.01</v>
      </c>
      <c r="AD13" s="13">
        <f t="shared" si="2"/>
        <v>0.01</v>
      </c>
      <c r="AE13" s="13">
        <f t="shared" si="2"/>
        <v>0.01</v>
      </c>
      <c r="AF13" s="13">
        <f t="shared" si="2"/>
        <v>0.01</v>
      </c>
      <c r="AG13" s="13">
        <f t="shared" si="2"/>
        <v>0.01</v>
      </c>
    </row>
    <row r="14" spans="1:33" x14ac:dyDescent="0.3">
      <c r="A14" s="1" t="s">
        <v>12</v>
      </c>
      <c r="B14" s="12">
        <v>0</v>
      </c>
      <c r="C14" s="27">
        <v>0.01</v>
      </c>
      <c r="D14" s="27">
        <v>0.01</v>
      </c>
      <c r="E14" s="27">
        <v>0.01</v>
      </c>
      <c r="F14" s="13">
        <f t="shared" si="1"/>
        <v>0.01</v>
      </c>
      <c r="G14" s="13">
        <f t="shared" si="2"/>
        <v>0.01</v>
      </c>
      <c r="H14" s="13">
        <f t="shared" si="2"/>
        <v>0.01</v>
      </c>
      <c r="I14" s="13">
        <f t="shared" si="2"/>
        <v>0.01</v>
      </c>
      <c r="J14" s="13">
        <f t="shared" si="2"/>
        <v>0.01</v>
      </c>
      <c r="K14" s="13">
        <f t="shared" si="2"/>
        <v>0.01</v>
      </c>
      <c r="L14" s="13">
        <f t="shared" si="2"/>
        <v>0.01</v>
      </c>
      <c r="M14" s="13">
        <f t="shared" si="2"/>
        <v>0.01</v>
      </c>
      <c r="N14" s="13">
        <f t="shared" si="2"/>
        <v>0.01</v>
      </c>
      <c r="O14" s="13">
        <f t="shared" si="2"/>
        <v>0.01</v>
      </c>
      <c r="P14" s="13">
        <f t="shared" si="2"/>
        <v>0.01</v>
      </c>
      <c r="Q14" s="13">
        <f t="shared" si="2"/>
        <v>0.01</v>
      </c>
      <c r="R14" s="13">
        <f t="shared" si="2"/>
        <v>0.01</v>
      </c>
      <c r="S14" s="13">
        <f t="shared" si="2"/>
        <v>0.01</v>
      </c>
      <c r="T14" s="13">
        <f t="shared" si="2"/>
        <v>0.01</v>
      </c>
      <c r="U14" s="13">
        <f t="shared" si="2"/>
        <v>0.01</v>
      </c>
      <c r="V14" s="13">
        <f t="shared" si="2"/>
        <v>0.01</v>
      </c>
      <c r="W14" s="13">
        <f t="shared" si="2"/>
        <v>0.01</v>
      </c>
      <c r="X14" s="13">
        <f t="shared" si="2"/>
        <v>0.01</v>
      </c>
      <c r="Y14" s="13">
        <f t="shared" si="2"/>
        <v>0.01</v>
      </c>
      <c r="Z14" s="13">
        <f t="shared" si="2"/>
        <v>0.01</v>
      </c>
      <c r="AA14" s="13">
        <f t="shared" si="2"/>
        <v>0.01</v>
      </c>
      <c r="AB14" s="13">
        <f t="shared" si="2"/>
        <v>0.01</v>
      </c>
      <c r="AC14" s="13">
        <f t="shared" si="2"/>
        <v>0.01</v>
      </c>
      <c r="AD14" s="13">
        <f t="shared" si="2"/>
        <v>0.01</v>
      </c>
      <c r="AE14" s="13">
        <f t="shared" si="2"/>
        <v>0.01</v>
      </c>
      <c r="AF14" s="13">
        <f t="shared" si="2"/>
        <v>0.01</v>
      </c>
      <c r="AG14" s="13">
        <f t="shared" si="2"/>
        <v>0.01</v>
      </c>
    </row>
    <row r="15" spans="1:33" x14ac:dyDescent="0.3">
      <c r="A15" s="1" t="s">
        <v>13</v>
      </c>
      <c r="B15" s="12">
        <v>0</v>
      </c>
      <c r="C15" s="27">
        <v>0.01</v>
      </c>
      <c r="D15" s="27">
        <v>0.01</v>
      </c>
      <c r="E15" s="27">
        <v>0.01</v>
      </c>
      <c r="F15" s="13">
        <f t="shared" si="1"/>
        <v>0.01</v>
      </c>
      <c r="G15" s="13">
        <f t="shared" si="2"/>
        <v>0.01</v>
      </c>
      <c r="H15" s="13">
        <f t="shared" si="2"/>
        <v>0.01</v>
      </c>
      <c r="I15" s="13">
        <f t="shared" si="2"/>
        <v>0.01</v>
      </c>
      <c r="J15" s="13">
        <f t="shared" si="2"/>
        <v>0.01</v>
      </c>
      <c r="K15" s="13">
        <f t="shared" si="2"/>
        <v>0.01</v>
      </c>
      <c r="L15" s="13">
        <f t="shared" si="2"/>
        <v>0.01</v>
      </c>
      <c r="M15" s="13">
        <f t="shared" si="2"/>
        <v>0.01</v>
      </c>
      <c r="N15" s="13">
        <f t="shared" si="2"/>
        <v>0.01</v>
      </c>
      <c r="O15" s="13">
        <f t="shared" si="2"/>
        <v>0.01</v>
      </c>
      <c r="P15" s="13">
        <f t="shared" si="2"/>
        <v>0.01</v>
      </c>
      <c r="Q15" s="13">
        <f t="shared" si="2"/>
        <v>0.01</v>
      </c>
      <c r="R15" s="13">
        <f t="shared" si="2"/>
        <v>0.01</v>
      </c>
      <c r="S15" s="13">
        <f t="shared" si="2"/>
        <v>0.01</v>
      </c>
      <c r="T15" s="13">
        <f t="shared" si="2"/>
        <v>0.01</v>
      </c>
      <c r="U15" s="13">
        <f t="shared" si="2"/>
        <v>0.01</v>
      </c>
      <c r="V15" s="13">
        <f t="shared" si="2"/>
        <v>0.01</v>
      </c>
      <c r="W15" s="13">
        <f t="shared" si="2"/>
        <v>0.01</v>
      </c>
      <c r="X15" s="13">
        <f t="shared" si="2"/>
        <v>0.01</v>
      </c>
      <c r="Y15" s="13">
        <f t="shared" si="2"/>
        <v>0.01</v>
      </c>
      <c r="Z15" s="13">
        <f t="shared" si="2"/>
        <v>0.01</v>
      </c>
      <c r="AA15" s="13">
        <f t="shared" si="2"/>
        <v>0.01</v>
      </c>
      <c r="AB15" s="13">
        <f t="shared" si="2"/>
        <v>0.01</v>
      </c>
      <c r="AC15" s="13">
        <f t="shared" si="2"/>
        <v>0.01</v>
      </c>
      <c r="AD15" s="13">
        <f t="shared" si="2"/>
        <v>0.01</v>
      </c>
      <c r="AE15" s="13">
        <f t="shared" si="2"/>
        <v>0.01</v>
      </c>
      <c r="AF15" s="13">
        <f t="shared" si="2"/>
        <v>0.01</v>
      </c>
      <c r="AG15" s="13">
        <f t="shared" si="2"/>
        <v>0.01</v>
      </c>
    </row>
    <row r="16" spans="1:33" x14ac:dyDescent="0.3">
      <c r="A16" s="1" t="s">
        <v>14</v>
      </c>
      <c r="B16" s="12">
        <v>0</v>
      </c>
      <c r="C16" s="27">
        <v>0.01</v>
      </c>
      <c r="D16" s="27">
        <v>0.01</v>
      </c>
      <c r="E16" s="27">
        <v>0.01</v>
      </c>
      <c r="F16" s="13">
        <f t="shared" si="1"/>
        <v>0.01</v>
      </c>
      <c r="G16" s="13">
        <f t="shared" si="2"/>
        <v>0.01</v>
      </c>
      <c r="H16" s="13">
        <f t="shared" si="2"/>
        <v>0.01</v>
      </c>
      <c r="I16" s="13">
        <f t="shared" si="2"/>
        <v>0.01</v>
      </c>
      <c r="J16" s="13">
        <f t="shared" si="2"/>
        <v>0.01</v>
      </c>
      <c r="K16" s="13">
        <f t="shared" si="2"/>
        <v>0.01</v>
      </c>
      <c r="L16" s="13">
        <f t="shared" si="2"/>
        <v>0.01</v>
      </c>
      <c r="M16" s="13">
        <f t="shared" si="2"/>
        <v>0.01</v>
      </c>
      <c r="N16" s="13">
        <f t="shared" si="2"/>
        <v>0.01</v>
      </c>
      <c r="O16" s="13">
        <f t="shared" si="2"/>
        <v>0.01</v>
      </c>
      <c r="P16" s="13">
        <f t="shared" si="2"/>
        <v>0.01</v>
      </c>
      <c r="Q16" s="13">
        <f t="shared" si="2"/>
        <v>0.01</v>
      </c>
      <c r="R16" s="13">
        <f t="shared" si="2"/>
        <v>0.01</v>
      </c>
      <c r="S16" s="13">
        <f t="shared" si="2"/>
        <v>0.01</v>
      </c>
      <c r="T16" s="13">
        <f t="shared" si="2"/>
        <v>0.01</v>
      </c>
      <c r="U16" s="13">
        <f t="shared" si="2"/>
        <v>0.01</v>
      </c>
      <c r="V16" s="13">
        <f t="shared" si="2"/>
        <v>0.01</v>
      </c>
      <c r="W16" s="13">
        <f t="shared" si="2"/>
        <v>0.01</v>
      </c>
      <c r="X16" s="13">
        <f t="shared" si="2"/>
        <v>0.01</v>
      </c>
      <c r="Y16" s="13">
        <f t="shared" si="2"/>
        <v>0.01</v>
      </c>
      <c r="Z16" s="13">
        <f t="shared" si="2"/>
        <v>0.01</v>
      </c>
      <c r="AA16" s="13">
        <f t="shared" si="2"/>
        <v>0.01</v>
      </c>
      <c r="AB16" s="13">
        <f t="shared" si="2"/>
        <v>0.01</v>
      </c>
      <c r="AC16" s="13">
        <f t="shared" si="2"/>
        <v>0.01</v>
      </c>
      <c r="AD16" s="13">
        <f t="shared" si="2"/>
        <v>0.01</v>
      </c>
      <c r="AE16" s="13">
        <f t="shared" si="2"/>
        <v>0.01</v>
      </c>
      <c r="AF16" s="13">
        <f t="shared" si="2"/>
        <v>0.01</v>
      </c>
      <c r="AG16" s="13">
        <f t="shared" si="2"/>
        <v>0.01</v>
      </c>
    </row>
    <row r="17" spans="1:33" x14ac:dyDescent="0.3">
      <c r="A17" s="1" t="s">
        <v>15</v>
      </c>
      <c r="B17" s="12">
        <v>0</v>
      </c>
      <c r="C17" s="27">
        <v>0.01</v>
      </c>
      <c r="D17" s="27">
        <v>0.01</v>
      </c>
      <c r="E17" s="27">
        <v>0.01</v>
      </c>
      <c r="F17" s="13">
        <f t="shared" si="1"/>
        <v>0.01</v>
      </c>
      <c r="G17" s="13">
        <f t="shared" si="2"/>
        <v>0.01</v>
      </c>
      <c r="H17" s="13">
        <f t="shared" si="2"/>
        <v>0.01</v>
      </c>
      <c r="I17" s="13">
        <f t="shared" si="2"/>
        <v>0.01</v>
      </c>
      <c r="J17" s="13">
        <f t="shared" si="2"/>
        <v>0.01</v>
      </c>
      <c r="K17" s="13">
        <f t="shared" si="2"/>
        <v>0.01</v>
      </c>
      <c r="L17" s="13">
        <f t="shared" si="2"/>
        <v>0.01</v>
      </c>
      <c r="M17" s="13">
        <f t="shared" si="2"/>
        <v>0.01</v>
      </c>
      <c r="N17" s="13">
        <f t="shared" si="2"/>
        <v>0.01</v>
      </c>
      <c r="O17" s="13">
        <f t="shared" si="2"/>
        <v>0.01</v>
      </c>
      <c r="P17" s="13">
        <f t="shared" si="2"/>
        <v>0.01</v>
      </c>
      <c r="Q17" s="13">
        <f t="shared" si="2"/>
        <v>0.01</v>
      </c>
      <c r="R17" s="13">
        <f t="shared" si="2"/>
        <v>0.01</v>
      </c>
      <c r="S17" s="13">
        <f t="shared" si="2"/>
        <v>0.01</v>
      </c>
      <c r="T17" s="13">
        <f t="shared" si="2"/>
        <v>0.01</v>
      </c>
      <c r="U17" s="13">
        <f t="shared" si="2"/>
        <v>0.01</v>
      </c>
      <c r="V17" s="13">
        <f t="shared" si="2"/>
        <v>0.01</v>
      </c>
      <c r="W17" s="13">
        <f t="shared" si="2"/>
        <v>0.01</v>
      </c>
      <c r="X17" s="13">
        <f t="shared" si="2"/>
        <v>0.01</v>
      </c>
      <c r="Y17" s="13">
        <f t="shared" si="2"/>
        <v>0.01</v>
      </c>
      <c r="Z17" s="13">
        <f t="shared" si="2"/>
        <v>0.01</v>
      </c>
      <c r="AA17" s="13">
        <f t="shared" si="2"/>
        <v>0.01</v>
      </c>
      <c r="AB17" s="13">
        <f t="shared" si="2"/>
        <v>0.01</v>
      </c>
      <c r="AC17" s="13">
        <f t="shared" si="2"/>
        <v>0.01</v>
      </c>
      <c r="AD17" s="13">
        <f t="shared" si="2"/>
        <v>0.01</v>
      </c>
      <c r="AE17" s="13">
        <f t="shared" si="2"/>
        <v>0.01</v>
      </c>
      <c r="AF17" s="13">
        <f t="shared" si="2"/>
        <v>0.01</v>
      </c>
      <c r="AG17" s="13">
        <f t="shared" si="2"/>
        <v>0.01</v>
      </c>
    </row>
    <row r="18" spans="1:33" x14ac:dyDescent="0.3">
      <c r="A18" s="1" t="s">
        <v>16</v>
      </c>
      <c r="B18" s="12">
        <v>0</v>
      </c>
      <c r="C18" s="13">
        <v>3.3333333333333326E-2</v>
      </c>
      <c r="D18" s="13">
        <v>6.6666666666666666E-2</v>
      </c>
      <c r="E18" s="13">
        <v>0.10000000000000002</v>
      </c>
      <c r="F18" s="13">
        <f t="shared" si="1"/>
        <v>0.10000000000000002</v>
      </c>
      <c r="G18" s="13">
        <f t="shared" si="2"/>
        <v>0.10000000000000002</v>
      </c>
      <c r="H18" s="13">
        <f t="shared" si="2"/>
        <v>0.10000000000000002</v>
      </c>
      <c r="I18" s="13">
        <f t="shared" si="2"/>
        <v>0.10000000000000002</v>
      </c>
      <c r="J18" s="13">
        <f t="shared" si="2"/>
        <v>0.10000000000000002</v>
      </c>
      <c r="K18" s="13">
        <f t="shared" si="2"/>
        <v>0.10000000000000002</v>
      </c>
      <c r="L18" s="13">
        <f t="shared" si="2"/>
        <v>0.10000000000000002</v>
      </c>
      <c r="M18" s="13">
        <f t="shared" si="2"/>
        <v>0.10000000000000002</v>
      </c>
      <c r="N18" s="13">
        <f t="shared" si="2"/>
        <v>0.10000000000000002</v>
      </c>
      <c r="O18" s="13">
        <f t="shared" si="2"/>
        <v>0.10000000000000002</v>
      </c>
      <c r="P18" s="13">
        <f t="shared" si="2"/>
        <v>0.10000000000000002</v>
      </c>
      <c r="Q18" s="13">
        <f t="shared" si="2"/>
        <v>0.10000000000000002</v>
      </c>
      <c r="R18" s="13">
        <f t="shared" si="2"/>
        <v>0.10000000000000002</v>
      </c>
      <c r="S18" s="13">
        <f t="shared" si="2"/>
        <v>0.10000000000000002</v>
      </c>
      <c r="T18" s="13">
        <f t="shared" si="2"/>
        <v>0.10000000000000002</v>
      </c>
      <c r="U18" s="13">
        <f t="shared" si="2"/>
        <v>0.10000000000000002</v>
      </c>
      <c r="V18" s="13">
        <f t="shared" si="2"/>
        <v>0.10000000000000002</v>
      </c>
      <c r="W18" s="13">
        <f t="shared" si="2"/>
        <v>0.10000000000000002</v>
      </c>
      <c r="X18" s="13">
        <f t="shared" si="2"/>
        <v>0.10000000000000002</v>
      </c>
      <c r="Y18" s="13">
        <f t="shared" si="2"/>
        <v>0.10000000000000002</v>
      </c>
      <c r="Z18" s="13">
        <f t="shared" si="2"/>
        <v>0.10000000000000002</v>
      </c>
      <c r="AA18" s="13">
        <f t="shared" si="2"/>
        <v>0.10000000000000002</v>
      </c>
      <c r="AB18" s="13">
        <f t="shared" si="2"/>
        <v>0.10000000000000002</v>
      </c>
      <c r="AC18" s="13">
        <f t="shared" si="2"/>
        <v>0.10000000000000002</v>
      </c>
      <c r="AD18" s="13">
        <f t="shared" si="2"/>
        <v>0.10000000000000002</v>
      </c>
      <c r="AE18" s="13">
        <f t="shared" si="2"/>
        <v>0.10000000000000002</v>
      </c>
      <c r="AF18" s="13">
        <f t="shared" si="2"/>
        <v>0.10000000000000002</v>
      </c>
      <c r="AG18" s="13">
        <f t="shared" si="2"/>
        <v>0.10000000000000002</v>
      </c>
    </row>
    <row r="20" spans="1:33" x14ac:dyDescent="0.3">
      <c r="C20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ECFF-F9A5-41C5-BA4B-FC0238B94C34}">
  <dimension ref="A1:AI18"/>
  <sheetViews>
    <sheetView zoomScale="85" zoomScaleNormal="85" workbookViewId="0">
      <selection activeCell="AE21" sqref="AE21"/>
    </sheetView>
  </sheetViews>
  <sheetFormatPr defaultRowHeight="14.4" x14ac:dyDescent="0.3"/>
  <cols>
    <col min="1" max="1" width="11.109375" bestFit="1" customWidth="1"/>
    <col min="7" max="32" width="8.88671875" customWidth="1"/>
  </cols>
  <sheetData>
    <row r="1" spans="1:35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I1">
        <f>AG1-E1</f>
        <v>28</v>
      </c>
    </row>
    <row r="2" spans="1:35" x14ac:dyDescent="0.3">
      <c r="A2" s="1" t="s">
        <v>0</v>
      </c>
      <c r="B2" s="12">
        <v>0</v>
      </c>
      <c r="C2" s="27">
        <v>3.3333300000000003E-2</v>
      </c>
      <c r="D2" s="27">
        <v>6.6666699999999995E-2</v>
      </c>
      <c r="E2" s="27">
        <v>9.9999999999999895E-2</v>
      </c>
      <c r="F2" s="27">
        <v>0.12321428571428561</v>
      </c>
      <c r="G2" s="27">
        <v>0.14642857142857135</v>
      </c>
      <c r="H2" s="27">
        <v>0.16964285714285704</v>
      </c>
      <c r="I2" s="27">
        <v>0.19285714285714278</v>
      </c>
      <c r="J2" s="27">
        <v>0.2160714285714285</v>
      </c>
      <c r="K2" s="27">
        <v>0.23928571428571421</v>
      </c>
      <c r="L2" s="27">
        <v>0.26249999999999996</v>
      </c>
      <c r="M2" s="27">
        <v>0.28571428571428564</v>
      </c>
      <c r="N2" s="27">
        <v>0.30892857142857133</v>
      </c>
      <c r="O2" s="27">
        <v>0.33214285714285707</v>
      </c>
      <c r="P2" s="27">
        <v>0.35535714285714282</v>
      </c>
      <c r="Q2" s="27">
        <v>0.3785714285714285</v>
      </c>
      <c r="R2" s="27">
        <v>0.40178571428571425</v>
      </c>
      <c r="S2" s="27">
        <v>0.42499999999999993</v>
      </c>
      <c r="T2" s="27">
        <v>0.44821428571428568</v>
      </c>
      <c r="U2" s="27">
        <v>0.47142857142857142</v>
      </c>
      <c r="V2" s="27">
        <v>0.49464285714285711</v>
      </c>
      <c r="W2" s="27">
        <v>0.51785714285714279</v>
      </c>
      <c r="X2" s="27">
        <v>0.54107142857142854</v>
      </c>
      <c r="Y2" s="27">
        <v>0.56428571428571428</v>
      </c>
      <c r="Z2" s="27">
        <v>0.58749999999999991</v>
      </c>
      <c r="AA2" s="27">
        <v>0.61071428571428577</v>
      </c>
      <c r="AB2" s="27">
        <v>0.6339285714285714</v>
      </c>
      <c r="AC2" s="27">
        <v>0.65714285714285725</v>
      </c>
      <c r="AD2" s="27">
        <v>0.68035714285714288</v>
      </c>
      <c r="AE2" s="27">
        <v>0.70357142857142851</v>
      </c>
      <c r="AF2" s="27">
        <v>0.72678571428571437</v>
      </c>
      <c r="AG2" s="27">
        <v>0.75</v>
      </c>
      <c r="AI2" s="28">
        <f>(AG2-E2)/$AI$1</f>
        <v>2.3214285714285719E-2</v>
      </c>
    </row>
    <row r="3" spans="1:35" x14ac:dyDescent="0.3">
      <c r="A3" s="1" t="s">
        <v>1</v>
      </c>
      <c r="B3" s="12">
        <v>0</v>
      </c>
      <c r="C3" s="27">
        <v>1.6666666666666663E-2</v>
      </c>
      <c r="D3" s="27">
        <v>3.3333333333333333E-2</v>
      </c>
      <c r="E3" s="27">
        <v>5.0000000000000044E-2</v>
      </c>
      <c r="F3" s="27">
        <v>6.6071428571428614E-2</v>
      </c>
      <c r="G3" s="27">
        <v>8.2142857142857184E-2</v>
      </c>
      <c r="H3" s="27">
        <v>9.8214285714285754E-2</v>
      </c>
      <c r="I3" s="27">
        <v>0.11428571428571432</v>
      </c>
      <c r="J3" s="27">
        <v>0.13035714285714289</v>
      </c>
      <c r="K3" s="27">
        <v>0.14642857142857146</v>
      </c>
      <c r="L3" s="27">
        <v>0.16250000000000003</v>
      </c>
      <c r="M3" s="27">
        <v>0.1785714285714286</v>
      </c>
      <c r="N3" s="27">
        <v>0.19464285714285717</v>
      </c>
      <c r="O3" s="27">
        <v>0.21071428571428574</v>
      </c>
      <c r="P3" s="27">
        <v>0.22678571428571431</v>
      </c>
      <c r="Q3" s="27">
        <v>0.24285714285714288</v>
      </c>
      <c r="R3" s="27">
        <v>0.25892857142857145</v>
      </c>
      <c r="S3" s="27">
        <v>0.27500000000000002</v>
      </c>
      <c r="T3" s="27">
        <v>0.29107142857142859</v>
      </c>
      <c r="U3" s="27">
        <v>0.30714285714285716</v>
      </c>
      <c r="V3" s="27">
        <v>0.32321428571428573</v>
      </c>
      <c r="W3" s="27">
        <v>0.3392857142857143</v>
      </c>
      <c r="X3" s="27">
        <v>0.35535714285714287</v>
      </c>
      <c r="Y3" s="27">
        <v>0.37142857142857144</v>
      </c>
      <c r="Z3" s="27">
        <v>0.38750000000000001</v>
      </c>
      <c r="AA3" s="27">
        <v>0.40357142857142858</v>
      </c>
      <c r="AB3" s="27">
        <v>0.41964285714285715</v>
      </c>
      <c r="AC3" s="27">
        <v>0.43571428571428572</v>
      </c>
      <c r="AD3" s="27">
        <v>0.45178571428571429</v>
      </c>
      <c r="AE3" s="27">
        <v>0.46785714285714286</v>
      </c>
      <c r="AF3" s="27">
        <v>0.48392857142857143</v>
      </c>
      <c r="AG3" s="27">
        <v>0.5</v>
      </c>
      <c r="AI3" s="28">
        <f t="shared" ref="AI3:AI18" si="0">(AG3-E3)/$AI$1</f>
        <v>1.607142857142857E-2</v>
      </c>
    </row>
    <row r="4" spans="1:35" x14ac:dyDescent="0.3">
      <c r="A4" s="1" t="s">
        <v>2</v>
      </c>
      <c r="B4" s="12">
        <v>0</v>
      </c>
      <c r="C4" s="27">
        <v>3.3333300000000003E-2</v>
      </c>
      <c r="D4" s="27">
        <v>6.6666699999999995E-2</v>
      </c>
      <c r="E4" s="27">
        <v>0.1</v>
      </c>
      <c r="F4" s="27">
        <v>0.18571399999999999</v>
      </c>
      <c r="G4" s="27">
        <v>0.27142899999999998</v>
      </c>
      <c r="H4" s="27">
        <v>0.35714299999999999</v>
      </c>
      <c r="I4" s="27">
        <v>0.442857</v>
      </c>
      <c r="J4" s="27">
        <v>0.52857100000000001</v>
      </c>
      <c r="K4" s="27">
        <v>0.614286</v>
      </c>
      <c r="L4" s="27">
        <v>0.7</v>
      </c>
      <c r="M4" s="27">
        <v>0.7857142857142857</v>
      </c>
      <c r="N4" s="27">
        <v>0.83142857142857141</v>
      </c>
      <c r="O4" s="27">
        <v>0.87714285714285711</v>
      </c>
      <c r="P4" s="27">
        <v>0.92285714285714282</v>
      </c>
      <c r="Q4" s="27">
        <v>0.96857142857142853</v>
      </c>
      <c r="R4" s="27">
        <v>1.0142857142857142</v>
      </c>
      <c r="S4" s="27">
        <v>1.06</v>
      </c>
      <c r="T4" s="27">
        <v>1.1057142857142856</v>
      </c>
      <c r="U4" s="27">
        <v>1.1514285714285715</v>
      </c>
      <c r="V4" s="27">
        <v>1.1971428571428571</v>
      </c>
      <c r="W4" s="27">
        <v>1.2428571428571429</v>
      </c>
      <c r="X4" s="27">
        <v>1.2885714285714287</v>
      </c>
      <c r="Y4" s="27">
        <v>1.3342857142857143</v>
      </c>
      <c r="Z4" s="27">
        <v>1.38</v>
      </c>
      <c r="AA4" s="27">
        <v>1.4257142857142857</v>
      </c>
      <c r="AB4" s="27">
        <v>1.4714285714285715</v>
      </c>
      <c r="AC4" s="27">
        <v>1.5171428571428571</v>
      </c>
      <c r="AD4" s="27">
        <v>1.5628571428571427</v>
      </c>
      <c r="AE4" s="27">
        <v>1.6085714285714285</v>
      </c>
      <c r="AF4" s="27">
        <v>1.6542857142857144</v>
      </c>
      <c r="AG4" s="27">
        <v>1.7</v>
      </c>
      <c r="AI4" s="28">
        <f t="shared" si="0"/>
        <v>5.7142857142857141E-2</v>
      </c>
    </row>
    <row r="5" spans="1:35" x14ac:dyDescent="0.3">
      <c r="A5" s="1" t="s">
        <v>3</v>
      </c>
      <c r="B5" s="12">
        <v>0</v>
      </c>
      <c r="C5" s="27">
        <v>1.6666666666666663E-2</v>
      </c>
      <c r="D5" s="27">
        <v>3.3333333333333333E-2</v>
      </c>
      <c r="E5" s="27">
        <v>5.000000000000001E-2</v>
      </c>
      <c r="F5" s="13">
        <f t="shared" ref="F5" si="1">E5+$AI5</f>
        <v>5.5357142857142869E-2</v>
      </c>
      <c r="G5" s="13">
        <f t="shared" ref="G5" si="2">F5+$AI5</f>
        <v>6.0714285714285728E-2</v>
      </c>
      <c r="H5" s="13">
        <f t="shared" ref="H5" si="3">G5+$AI5</f>
        <v>6.6071428571428586E-2</v>
      </c>
      <c r="I5" s="13">
        <f t="shared" ref="I5" si="4">H5+$AI5</f>
        <v>7.1428571428571438E-2</v>
      </c>
      <c r="J5" s="13">
        <f t="shared" ref="J5" si="5">I5+$AI5</f>
        <v>7.678571428571429E-2</v>
      </c>
      <c r="K5" s="13">
        <f t="shared" ref="K5" si="6">J5+$AI5</f>
        <v>8.2142857142857142E-2</v>
      </c>
      <c r="L5" s="13">
        <f t="shared" ref="L5" si="7">K5+$AI5</f>
        <v>8.7499999999999994E-2</v>
      </c>
      <c r="M5" s="13">
        <f t="shared" ref="M5" si="8">L5+$AI5</f>
        <v>9.2857142857142846E-2</v>
      </c>
      <c r="N5" s="13">
        <f t="shared" ref="N5" si="9">M5+$AI5</f>
        <v>9.8214285714285698E-2</v>
      </c>
      <c r="O5" s="13">
        <f t="shared" ref="O5" si="10">N5+$AI5</f>
        <v>0.10357142857142855</v>
      </c>
      <c r="P5" s="13">
        <f t="shared" ref="P5" si="11">O5+$AI5</f>
        <v>0.1089285714285714</v>
      </c>
      <c r="Q5" s="13">
        <f t="shared" ref="Q5" si="12">P5+$AI5</f>
        <v>0.11428571428571425</v>
      </c>
      <c r="R5" s="13">
        <f t="shared" ref="R5" si="13">Q5+$AI5</f>
        <v>0.11964285714285711</v>
      </c>
      <c r="S5" s="13">
        <f t="shared" ref="S5" si="14">R5+$AI5</f>
        <v>0.12499999999999996</v>
      </c>
      <c r="T5" s="13">
        <f t="shared" ref="T5" si="15">S5+$AI5</f>
        <v>0.13035714285714281</v>
      </c>
      <c r="U5" s="13">
        <f t="shared" ref="U5" si="16">T5+$AI5</f>
        <v>0.13571428571428568</v>
      </c>
      <c r="V5" s="13">
        <f t="shared" ref="V5" si="17">U5+$AI5</f>
        <v>0.14107142857142854</v>
      </c>
      <c r="W5" s="13">
        <f t="shared" ref="W5" si="18">V5+$AI5</f>
        <v>0.14642857142857141</v>
      </c>
      <c r="X5" s="13">
        <f t="shared" ref="X5" si="19">W5+$AI5</f>
        <v>0.15178571428571427</v>
      </c>
      <c r="Y5" s="13">
        <f t="shared" ref="Y5" si="20">X5+$AI5</f>
        <v>0.15714285714285714</v>
      </c>
      <c r="Z5" s="13">
        <f t="shared" ref="Z5" si="21">Y5+$AI5</f>
        <v>0.16250000000000001</v>
      </c>
      <c r="AA5" s="13">
        <f t="shared" ref="AA5" si="22">Z5+$AI5</f>
        <v>0.16785714285714287</v>
      </c>
      <c r="AB5" s="13">
        <f t="shared" ref="AB5" si="23">AA5+$AI5</f>
        <v>0.17321428571428574</v>
      </c>
      <c r="AC5" s="13">
        <f t="shared" ref="AC5" si="24">AB5+$AI5</f>
        <v>0.1785714285714286</v>
      </c>
      <c r="AD5" s="13">
        <f t="shared" ref="AD5" si="25">AC5+$AI5</f>
        <v>0.18392857142857147</v>
      </c>
      <c r="AE5" s="13">
        <f t="shared" ref="AE5" si="26">AD5+$AI5</f>
        <v>0.18928571428571433</v>
      </c>
      <c r="AF5" s="13">
        <f t="shared" ref="AF5" si="27">AE5+$AI5</f>
        <v>0.1946428571428572</v>
      </c>
      <c r="AG5" s="13">
        <v>0.2</v>
      </c>
      <c r="AI5" s="28">
        <f t="shared" si="0"/>
        <v>5.3571428571428572E-3</v>
      </c>
    </row>
    <row r="6" spans="1:35" x14ac:dyDescent="0.3">
      <c r="A6" s="1" t="s">
        <v>4</v>
      </c>
      <c r="B6" s="31">
        <v>0</v>
      </c>
      <c r="C6" s="35">
        <v>1E-4</v>
      </c>
      <c r="D6" s="35">
        <v>1E-4</v>
      </c>
      <c r="E6" s="35">
        <v>1E-4</v>
      </c>
      <c r="F6" s="35">
        <v>8.107142857142844E-4</v>
      </c>
      <c r="G6" s="35">
        <v>1.5214285714285703E-3</v>
      </c>
      <c r="H6" s="35">
        <v>2.2321428571428562E-3</v>
      </c>
      <c r="I6" s="35">
        <v>2.942857142857142E-3</v>
      </c>
      <c r="J6" s="35">
        <v>3.6535714285714279E-3</v>
      </c>
      <c r="K6" s="35">
        <v>4.3642857142857138E-3</v>
      </c>
      <c r="L6" s="35">
        <v>5.0749999999999997E-3</v>
      </c>
      <c r="M6" s="35">
        <v>5.7857142857142855E-3</v>
      </c>
      <c r="N6" s="35">
        <v>6.4964285714285714E-3</v>
      </c>
      <c r="O6" s="35">
        <v>7.2071428571428564E-3</v>
      </c>
      <c r="P6" s="35">
        <v>7.9178571428571431E-3</v>
      </c>
      <c r="Q6" s="35">
        <v>8.6285714285714299E-3</v>
      </c>
      <c r="R6" s="35">
        <v>9.3392857142857149E-3</v>
      </c>
      <c r="S6" s="35">
        <v>1.005E-2</v>
      </c>
      <c r="T6" s="35">
        <v>1.0760714285714287E-2</v>
      </c>
      <c r="U6" s="35">
        <v>1.1471428571428573E-2</v>
      </c>
      <c r="V6" s="35">
        <v>1.2182142857142858E-2</v>
      </c>
      <c r="W6" s="35">
        <v>1.2892857142857143E-2</v>
      </c>
      <c r="X6" s="35">
        <v>1.360357142857143E-2</v>
      </c>
      <c r="Y6" s="35">
        <v>1.4314285714285717E-2</v>
      </c>
      <c r="Z6" s="35">
        <v>1.5025E-2</v>
      </c>
      <c r="AA6" s="35">
        <v>1.5735714285714287E-2</v>
      </c>
      <c r="AB6" s="35">
        <v>1.6446428571428574E-2</v>
      </c>
      <c r="AC6" s="35">
        <v>1.715714285714286E-2</v>
      </c>
      <c r="AD6" s="35">
        <v>1.7867857142857147E-2</v>
      </c>
      <c r="AE6" s="35">
        <v>1.857857142857143E-2</v>
      </c>
      <c r="AF6" s="35">
        <v>1.9289285714285717E-2</v>
      </c>
      <c r="AG6" s="35">
        <v>2.0000000000000004E-2</v>
      </c>
      <c r="AI6" s="28">
        <f t="shared" si="0"/>
        <v>7.1071428571428587E-4</v>
      </c>
    </row>
    <row r="7" spans="1:35" x14ac:dyDescent="0.3">
      <c r="A7" s="1" t="s">
        <v>5</v>
      </c>
      <c r="B7" s="34">
        <v>0</v>
      </c>
      <c r="C7" s="35">
        <v>1E-4</v>
      </c>
      <c r="D7" s="35">
        <v>1E-4</v>
      </c>
      <c r="E7" s="35">
        <v>1E-4</v>
      </c>
      <c r="F7" s="36">
        <f t="shared" ref="F6:G18" si="28">E7+$AI7</f>
        <v>1.8821428571428572E-3</v>
      </c>
      <c r="G7" s="36">
        <f t="shared" si="28"/>
        <v>3.6642857142857145E-3</v>
      </c>
      <c r="H7" s="36">
        <f t="shared" ref="G6:V18" si="29">G7+$AI7</f>
        <v>5.4464285714285717E-3</v>
      </c>
      <c r="I7" s="36">
        <f t="shared" si="29"/>
        <v>7.2285714285714288E-3</v>
      </c>
      <c r="J7" s="36">
        <f t="shared" si="29"/>
        <v>9.0107142857142851E-3</v>
      </c>
      <c r="K7" s="36">
        <f t="shared" si="29"/>
        <v>1.0792857142857142E-2</v>
      </c>
      <c r="L7" s="36">
        <f t="shared" si="29"/>
        <v>1.2574999999999999E-2</v>
      </c>
      <c r="M7" s="36">
        <f t="shared" si="29"/>
        <v>1.4357142857142857E-2</v>
      </c>
      <c r="N7" s="36">
        <f t="shared" si="29"/>
        <v>1.6139285714285714E-2</v>
      </c>
      <c r="O7" s="36">
        <f t="shared" si="29"/>
        <v>1.7921428571428571E-2</v>
      </c>
      <c r="P7" s="36">
        <f t="shared" si="29"/>
        <v>1.9703571428571428E-2</v>
      </c>
      <c r="Q7" s="36">
        <f t="shared" si="29"/>
        <v>2.1485714285714285E-2</v>
      </c>
      <c r="R7" s="36">
        <f t="shared" si="29"/>
        <v>2.3267857142857142E-2</v>
      </c>
      <c r="S7" s="36">
        <f t="shared" si="29"/>
        <v>2.5049999999999999E-2</v>
      </c>
      <c r="T7" s="36">
        <f t="shared" si="29"/>
        <v>2.6832142857142856E-2</v>
      </c>
      <c r="U7" s="36">
        <f t="shared" si="29"/>
        <v>2.8614285714285714E-2</v>
      </c>
      <c r="V7" s="36">
        <f t="shared" si="29"/>
        <v>3.0396428571428571E-2</v>
      </c>
      <c r="W7" s="36">
        <f t="shared" ref="W6:AE7" si="30">V7+$AI7</f>
        <v>3.2178571428571431E-2</v>
      </c>
      <c r="X7" s="36">
        <f t="shared" si="30"/>
        <v>3.3960714285714289E-2</v>
      </c>
      <c r="Y7" s="36">
        <f t="shared" si="30"/>
        <v>3.5742857142857146E-2</v>
      </c>
      <c r="Z7" s="36">
        <f t="shared" si="30"/>
        <v>3.7525000000000003E-2</v>
      </c>
      <c r="AA7" s="36">
        <f t="shared" si="30"/>
        <v>3.930714285714286E-2</v>
      </c>
      <c r="AB7" s="36">
        <f t="shared" si="30"/>
        <v>4.1089285714285717E-2</v>
      </c>
      <c r="AC7" s="36">
        <f t="shared" si="30"/>
        <v>4.2871428571428574E-2</v>
      </c>
      <c r="AD7" s="36">
        <f t="shared" si="30"/>
        <v>4.4653571428571431E-2</v>
      </c>
      <c r="AE7" s="36">
        <f t="shared" si="30"/>
        <v>4.6435714285714288E-2</v>
      </c>
      <c r="AF7" s="36">
        <f t="shared" ref="AF6:AF7" si="31">AE7+$AI7</f>
        <v>4.8217857142857146E-2</v>
      </c>
      <c r="AG7" s="36">
        <v>0.05</v>
      </c>
      <c r="AI7" s="28">
        <f t="shared" si="0"/>
        <v>1.7821428571428571E-3</v>
      </c>
    </row>
    <row r="8" spans="1:35" x14ac:dyDescent="0.3">
      <c r="A8" s="1" t="s">
        <v>6</v>
      </c>
      <c r="B8" s="12">
        <v>0</v>
      </c>
      <c r="C8" s="13">
        <v>6.6666666666666652E-2</v>
      </c>
      <c r="D8" s="13">
        <v>0.13333333333333333</v>
      </c>
      <c r="E8" s="13">
        <v>0.20000000000000004</v>
      </c>
      <c r="F8" s="13">
        <f t="shared" si="28"/>
        <v>0.22142857142857147</v>
      </c>
      <c r="G8" s="13">
        <f t="shared" si="29"/>
        <v>0.24285714285714291</v>
      </c>
      <c r="H8" s="13">
        <f t="shared" ref="H8:AE8" si="32">G8+$AI8</f>
        <v>0.26428571428571435</v>
      </c>
      <c r="I8" s="13">
        <f t="shared" si="32"/>
        <v>0.28571428571428575</v>
      </c>
      <c r="J8" s="13">
        <f t="shared" si="32"/>
        <v>0.30714285714285716</v>
      </c>
      <c r="K8" s="13">
        <f t="shared" si="32"/>
        <v>0.32857142857142857</v>
      </c>
      <c r="L8" s="13">
        <f t="shared" si="32"/>
        <v>0.35</v>
      </c>
      <c r="M8" s="13">
        <f t="shared" si="32"/>
        <v>0.37142857142857139</v>
      </c>
      <c r="N8" s="13">
        <f t="shared" si="32"/>
        <v>0.39285714285714279</v>
      </c>
      <c r="O8" s="13">
        <f t="shared" si="32"/>
        <v>0.4142857142857142</v>
      </c>
      <c r="P8" s="13">
        <f t="shared" si="32"/>
        <v>0.43571428571428561</v>
      </c>
      <c r="Q8" s="13">
        <f t="shared" si="32"/>
        <v>0.45714285714285702</v>
      </c>
      <c r="R8" s="13">
        <f t="shared" si="32"/>
        <v>0.47857142857142843</v>
      </c>
      <c r="S8" s="13">
        <f t="shared" si="32"/>
        <v>0.49999999999999983</v>
      </c>
      <c r="T8" s="13">
        <f t="shared" si="32"/>
        <v>0.52142857142857124</v>
      </c>
      <c r="U8" s="13">
        <f t="shared" si="32"/>
        <v>0.5428571428571427</v>
      </c>
      <c r="V8" s="13">
        <f t="shared" si="32"/>
        <v>0.56428571428571417</v>
      </c>
      <c r="W8" s="13">
        <f t="shared" si="32"/>
        <v>0.58571428571428563</v>
      </c>
      <c r="X8" s="13">
        <f t="shared" si="32"/>
        <v>0.6071428571428571</v>
      </c>
      <c r="Y8" s="13">
        <f t="shared" si="32"/>
        <v>0.62857142857142856</v>
      </c>
      <c r="Z8" s="13">
        <f t="shared" si="32"/>
        <v>0.65</v>
      </c>
      <c r="AA8" s="13">
        <f t="shared" si="32"/>
        <v>0.67142857142857149</v>
      </c>
      <c r="AB8" s="13">
        <f t="shared" si="32"/>
        <v>0.69285714285714295</v>
      </c>
      <c r="AC8" s="13">
        <f t="shared" si="32"/>
        <v>0.71428571428571441</v>
      </c>
      <c r="AD8" s="13">
        <f t="shared" si="32"/>
        <v>0.73571428571428588</v>
      </c>
      <c r="AE8" s="13">
        <f t="shared" si="32"/>
        <v>0.75714285714285734</v>
      </c>
      <c r="AF8" s="13">
        <f t="shared" ref="AF8" si="33">AE8+$AI8</f>
        <v>0.7785714285714288</v>
      </c>
      <c r="AG8" s="13">
        <v>0.8</v>
      </c>
      <c r="AI8" s="28">
        <f t="shared" si="0"/>
        <v>2.1428571428571429E-2</v>
      </c>
    </row>
    <row r="9" spans="1:35" x14ac:dyDescent="0.3">
      <c r="A9" s="1" t="s">
        <v>7</v>
      </c>
      <c r="B9" s="12">
        <v>0</v>
      </c>
      <c r="C9" s="27">
        <v>1.6666666666666663E-2</v>
      </c>
      <c r="D9" s="27">
        <v>3.3333333333333333E-2</v>
      </c>
      <c r="E9" s="27">
        <v>5.000000000000001E-2</v>
      </c>
      <c r="F9" s="13">
        <f t="shared" si="28"/>
        <v>5.5357142857142869E-2</v>
      </c>
      <c r="G9" s="13">
        <f t="shared" si="29"/>
        <v>6.0714285714285728E-2</v>
      </c>
      <c r="H9" s="13">
        <f t="shared" ref="H9:AE9" si="34">G9+$AI9</f>
        <v>6.6071428571428586E-2</v>
      </c>
      <c r="I9" s="13">
        <f t="shared" si="34"/>
        <v>7.1428571428571438E-2</v>
      </c>
      <c r="J9" s="13">
        <f t="shared" si="34"/>
        <v>7.678571428571429E-2</v>
      </c>
      <c r="K9" s="13">
        <f t="shared" si="34"/>
        <v>8.2142857142857142E-2</v>
      </c>
      <c r="L9" s="13">
        <f t="shared" si="34"/>
        <v>8.7499999999999994E-2</v>
      </c>
      <c r="M9" s="13">
        <f t="shared" si="34"/>
        <v>9.2857142857142846E-2</v>
      </c>
      <c r="N9" s="13">
        <f t="shared" si="34"/>
        <v>9.8214285714285698E-2</v>
      </c>
      <c r="O9" s="13">
        <f t="shared" si="34"/>
        <v>0.10357142857142855</v>
      </c>
      <c r="P9" s="13">
        <f t="shared" si="34"/>
        <v>0.1089285714285714</v>
      </c>
      <c r="Q9" s="13">
        <f t="shared" si="34"/>
        <v>0.11428571428571425</v>
      </c>
      <c r="R9" s="13">
        <f t="shared" si="34"/>
        <v>0.11964285714285711</v>
      </c>
      <c r="S9" s="13">
        <f t="shared" si="34"/>
        <v>0.12499999999999996</v>
      </c>
      <c r="T9" s="13">
        <f t="shared" si="34"/>
        <v>0.13035714285714281</v>
      </c>
      <c r="U9" s="13">
        <f t="shared" si="34"/>
        <v>0.13571428571428568</v>
      </c>
      <c r="V9" s="13">
        <f t="shared" si="34"/>
        <v>0.14107142857142854</v>
      </c>
      <c r="W9" s="13">
        <f t="shared" si="34"/>
        <v>0.14642857142857141</v>
      </c>
      <c r="X9" s="13">
        <f t="shared" si="34"/>
        <v>0.15178571428571427</v>
      </c>
      <c r="Y9" s="13">
        <f t="shared" si="34"/>
        <v>0.15714285714285714</v>
      </c>
      <c r="Z9" s="13">
        <f t="shared" si="34"/>
        <v>0.16250000000000001</v>
      </c>
      <c r="AA9" s="13">
        <f t="shared" si="34"/>
        <v>0.16785714285714287</v>
      </c>
      <c r="AB9" s="13">
        <f t="shared" si="34"/>
        <v>0.17321428571428574</v>
      </c>
      <c r="AC9" s="13">
        <f t="shared" si="34"/>
        <v>0.1785714285714286</v>
      </c>
      <c r="AD9" s="13">
        <f t="shared" si="34"/>
        <v>0.18392857142857147</v>
      </c>
      <c r="AE9" s="13">
        <f t="shared" si="34"/>
        <v>0.18928571428571433</v>
      </c>
      <c r="AF9" s="13">
        <f t="shared" ref="AF9" si="35">AE9+$AI9</f>
        <v>0.1946428571428572</v>
      </c>
      <c r="AG9" s="13">
        <v>0.2</v>
      </c>
      <c r="AI9" s="28">
        <f t="shared" si="0"/>
        <v>5.3571428571428572E-3</v>
      </c>
    </row>
    <row r="10" spans="1:35" x14ac:dyDescent="0.3">
      <c r="A10" s="1" t="s">
        <v>8</v>
      </c>
      <c r="B10" s="12">
        <v>0</v>
      </c>
      <c r="C10" s="13">
        <v>0.1333333333333333</v>
      </c>
      <c r="D10" s="13">
        <v>0.26666666666666666</v>
      </c>
      <c r="E10" s="13">
        <v>0.40000000000000008</v>
      </c>
      <c r="F10" s="13">
        <f t="shared" si="28"/>
        <v>0.44285714285714295</v>
      </c>
      <c r="G10" s="13">
        <f t="shared" si="29"/>
        <v>0.48571428571428582</v>
      </c>
      <c r="H10" s="13">
        <f t="shared" ref="H10:AE10" si="36">G10+$AI10</f>
        <v>0.52857142857142869</v>
      </c>
      <c r="I10" s="13">
        <f t="shared" si="36"/>
        <v>0.57142857142857151</v>
      </c>
      <c r="J10" s="13">
        <f t="shared" si="36"/>
        <v>0.61428571428571432</v>
      </c>
      <c r="K10" s="13">
        <f t="shared" si="36"/>
        <v>0.65714285714285714</v>
      </c>
      <c r="L10" s="13">
        <f t="shared" si="36"/>
        <v>0.7</v>
      </c>
      <c r="M10" s="13">
        <f t="shared" si="36"/>
        <v>0.74285714285714277</v>
      </c>
      <c r="N10" s="13">
        <f t="shared" si="36"/>
        <v>0.78571428571428559</v>
      </c>
      <c r="O10" s="13">
        <f t="shared" si="36"/>
        <v>0.8285714285714284</v>
      </c>
      <c r="P10" s="13">
        <f t="shared" si="36"/>
        <v>0.87142857142857122</v>
      </c>
      <c r="Q10" s="13">
        <f t="shared" si="36"/>
        <v>0.91428571428571404</v>
      </c>
      <c r="R10" s="13">
        <f t="shared" si="36"/>
        <v>0.95714285714285685</v>
      </c>
      <c r="S10" s="13">
        <f t="shared" si="36"/>
        <v>0.99999999999999967</v>
      </c>
      <c r="T10" s="13">
        <f t="shared" si="36"/>
        <v>1.0428571428571425</v>
      </c>
      <c r="U10" s="13">
        <f t="shared" si="36"/>
        <v>1.0857142857142854</v>
      </c>
      <c r="V10" s="13">
        <f t="shared" si="36"/>
        <v>1.1285714285714283</v>
      </c>
      <c r="W10" s="13">
        <f t="shared" si="36"/>
        <v>1.1714285714285713</v>
      </c>
      <c r="X10" s="13">
        <f t="shared" si="36"/>
        <v>1.2142857142857142</v>
      </c>
      <c r="Y10" s="13">
        <f t="shared" si="36"/>
        <v>1.2571428571428571</v>
      </c>
      <c r="Z10" s="13">
        <f t="shared" si="36"/>
        <v>1.3</v>
      </c>
      <c r="AA10" s="13">
        <f t="shared" si="36"/>
        <v>1.342857142857143</v>
      </c>
      <c r="AB10" s="13">
        <f t="shared" si="36"/>
        <v>1.3857142857142859</v>
      </c>
      <c r="AC10" s="13">
        <f t="shared" si="36"/>
        <v>1.4285714285714288</v>
      </c>
      <c r="AD10" s="13">
        <f t="shared" si="36"/>
        <v>1.4714285714285718</v>
      </c>
      <c r="AE10" s="13">
        <f t="shared" si="36"/>
        <v>1.5142857142857147</v>
      </c>
      <c r="AF10" s="13">
        <f t="shared" ref="AF10" si="37">AE10+$AI10</f>
        <v>1.5571428571428576</v>
      </c>
      <c r="AG10" s="13">
        <v>1.6</v>
      </c>
      <c r="AI10" s="28">
        <f t="shared" si="0"/>
        <v>4.2857142857142858E-2</v>
      </c>
    </row>
    <row r="11" spans="1:35" x14ac:dyDescent="0.3">
      <c r="A11" s="1" t="s">
        <v>9</v>
      </c>
      <c r="B11" s="12">
        <v>0</v>
      </c>
      <c r="C11" s="27">
        <v>1.6666666666666663E-2</v>
      </c>
      <c r="D11" s="27">
        <v>3.3333333333333333E-2</v>
      </c>
      <c r="E11" s="27">
        <v>5.000000000000001E-2</v>
      </c>
      <c r="F11" s="13">
        <f t="shared" si="28"/>
        <v>5.5357142857142869E-2</v>
      </c>
      <c r="G11" s="13">
        <f t="shared" si="29"/>
        <v>6.0714285714285728E-2</v>
      </c>
      <c r="H11" s="13">
        <f t="shared" ref="H11:AE11" si="38">G11+$AI11</f>
        <v>6.6071428571428586E-2</v>
      </c>
      <c r="I11" s="13">
        <f t="shared" si="38"/>
        <v>7.1428571428571438E-2</v>
      </c>
      <c r="J11" s="13">
        <f t="shared" si="38"/>
        <v>7.678571428571429E-2</v>
      </c>
      <c r="K11" s="13">
        <f t="shared" si="38"/>
        <v>8.2142857142857142E-2</v>
      </c>
      <c r="L11" s="13">
        <f t="shared" si="38"/>
        <v>8.7499999999999994E-2</v>
      </c>
      <c r="M11" s="13">
        <f t="shared" si="38"/>
        <v>9.2857142857142846E-2</v>
      </c>
      <c r="N11" s="13">
        <f t="shared" si="38"/>
        <v>9.8214285714285698E-2</v>
      </c>
      <c r="O11" s="13">
        <f t="shared" si="38"/>
        <v>0.10357142857142855</v>
      </c>
      <c r="P11" s="13">
        <f t="shared" si="38"/>
        <v>0.1089285714285714</v>
      </c>
      <c r="Q11" s="13">
        <f t="shared" si="38"/>
        <v>0.11428571428571425</v>
      </c>
      <c r="R11" s="13">
        <f t="shared" si="38"/>
        <v>0.11964285714285711</v>
      </c>
      <c r="S11" s="13">
        <f t="shared" si="38"/>
        <v>0.12499999999999996</v>
      </c>
      <c r="T11" s="13">
        <f t="shared" si="38"/>
        <v>0.13035714285714281</v>
      </c>
      <c r="U11" s="13">
        <f t="shared" si="38"/>
        <v>0.13571428571428568</v>
      </c>
      <c r="V11" s="13">
        <f t="shared" si="38"/>
        <v>0.14107142857142854</v>
      </c>
      <c r="W11" s="13">
        <f t="shared" si="38"/>
        <v>0.14642857142857141</v>
      </c>
      <c r="X11" s="13">
        <f t="shared" si="38"/>
        <v>0.15178571428571427</v>
      </c>
      <c r="Y11" s="13">
        <f t="shared" si="38"/>
        <v>0.15714285714285714</v>
      </c>
      <c r="Z11" s="13">
        <f t="shared" si="38"/>
        <v>0.16250000000000001</v>
      </c>
      <c r="AA11" s="13">
        <f t="shared" si="38"/>
        <v>0.16785714285714287</v>
      </c>
      <c r="AB11" s="13">
        <f t="shared" si="38"/>
        <v>0.17321428571428574</v>
      </c>
      <c r="AC11" s="13">
        <f t="shared" si="38"/>
        <v>0.1785714285714286</v>
      </c>
      <c r="AD11" s="13">
        <f t="shared" si="38"/>
        <v>0.18392857142857147</v>
      </c>
      <c r="AE11" s="13">
        <f t="shared" si="38"/>
        <v>0.18928571428571433</v>
      </c>
      <c r="AF11" s="13">
        <f t="shared" ref="AF11" si="39">AE11+$AI11</f>
        <v>0.1946428571428572</v>
      </c>
      <c r="AG11" s="13">
        <v>0.2</v>
      </c>
      <c r="AI11" s="28">
        <f t="shared" si="0"/>
        <v>5.3571428571428572E-3</v>
      </c>
    </row>
    <row r="12" spans="1:35" x14ac:dyDescent="0.3">
      <c r="A12" s="1" t="s">
        <v>10</v>
      </c>
      <c r="B12" s="12">
        <v>0</v>
      </c>
      <c r="C12" s="27">
        <v>0.01</v>
      </c>
      <c r="D12" s="27">
        <v>0.01</v>
      </c>
      <c r="E12" s="27">
        <v>0.01</v>
      </c>
      <c r="F12" s="13">
        <f t="shared" si="28"/>
        <v>1.3214285714285715E-2</v>
      </c>
      <c r="G12" s="13">
        <f t="shared" si="29"/>
        <v>1.6428571428571431E-2</v>
      </c>
      <c r="H12" s="13">
        <f t="shared" ref="H12:AE12" si="40">G12+$AI12</f>
        <v>1.9642857142857146E-2</v>
      </c>
      <c r="I12" s="13">
        <f t="shared" si="40"/>
        <v>2.2857142857142861E-2</v>
      </c>
      <c r="J12" s="13">
        <f t="shared" si="40"/>
        <v>2.6071428571428575E-2</v>
      </c>
      <c r="K12" s="13">
        <f t="shared" si="40"/>
        <v>2.928571428571429E-2</v>
      </c>
      <c r="L12" s="13">
        <f t="shared" si="40"/>
        <v>3.2500000000000001E-2</v>
      </c>
      <c r="M12" s="13">
        <f t="shared" si="40"/>
        <v>3.5714285714285712E-2</v>
      </c>
      <c r="N12" s="13">
        <f t="shared" si="40"/>
        <v>3.8928571428571423E-2</v>
      </c>
      <c r="O12" s="13">
        <f t="shared" si="40"/>
        <v>4.2142857142857135E-2</v>
      </c>
      <c r="P12" s="13">
        <f t="shared" si="40"/>
        <v>4.5357142857142846E-2</v>
      </c>
      <c r="Q12" s="13">
        <f t="shared" si="40"/>
        <v>4.8571428571428557E-2</v>
      </c>
      <c r="R12" s="13">
        <f t="shared" si="40"/>
        <v>5.1785714285714268E-2</v>
      </c>
      <c r="S12" s="13">
        <f t="shared" si="40"/>
        <v>5.4999999999999979E-2</v>
      </c>
      <c r="T12" s="13">
        <f t="shared" si="40"/>
        <v>5.8214285714285691E-2</v>
      </c>
      <c r="U12" s="13">
        <f t="shared" si="40"/>
        <v>6.1428571428571402E-2</v>
      </c>
      <c r="V12" s="13">
        <f t="shared" si="40"/>
        <v>6.4642857142857113E-2</v>
      </c>
      <c r="W12" s="13">
        <f t="shared" si="40"/>
        <v>6.7857142857142824E-2</v>
      </c>
      <c r="X12" s="13">
        <f t="shared" si="40"/>
        <v>7.1071428571428535E-2</v>
      </c>
      <c r="Y12" s="13">
        <f t="shared" si="40"/>
        <v>7.4285714285714247E-2</v>
      </c>
      <c r="Z12" s="13">
        <f t="shared" si="40"/>
        <v>7.7499999999999958E-2</v>
      </c>
      <c r="AA12" s="13">
        <f t="shared" si="40"/>
        <v>8.0714285714285669E-2</v>
      </c>
      <c r="AB12" s="13">
        <f t="shared" si="40"/>
        <v>8.392857142857138E-2</v>
      </c>
      <c r="AC12" s="13">
        <f t="shared" si="40"/>
        <v>8.7142857142857091E-2</v>
      </c>
      <c r="AD12" s="13">
        <f t="shared" si="40"/>
        <v>9.0357142857142803E-2</v>
      </c>
      <c r="AE12" s="13">
        <f t="shared" si="40"/>
        <v>9.3571428571428514E-2</v>
      </c>
      <c r="AF12" s="13">
        <f t="shared" ref="AF12" si="41">AE12+$AI12</f>
        <v>9.6785714285714225E-2</v>
      </c>
      <c r="AG12" s="13">
        <v>0.1</v>
      </c>
      <c r="AI12" s="28">
        <f t="shared" si="0"/>
        <v>3.2142857142857147E-3</v>
      </c>
    </row>
    <row r="13" spans="1:35" x14ac:dyDescent="0.3">
      <c r="A13" s="1" t="s">
        <v>11</v>
      </c>
      <c r="B13" s="12">
        <v>0</v>
      </c>
      <c r="C13" s="27">
        <v>0.01</v>
      </c>
      <c r="D13" s="27">
        <v>0.01</v>
      </c>
      <c r="E13" s="27">
        <v>0.01</v>
      </c>
      <c r="F13" s="13">
        <f t="shared" si="28"/>
        <v>1.3214285714285715E-2</v>
      </c>
      <c r="G13" s="13">
        <f t="shared" si="29"/>
        <v>1.6428571428571431E-2</v>
      </c>
      <c r="H13" s="13">
        <f t="shared" ref="H13:AE13" si="42">G13+$AI13</f>
        <v>1.9642857142857146E-2</v>
      </c>
      <c r="I13" s="13">
        <f t="shared" si="42"/>
        <v>2.2857142857142861E-2</v>
      </c>
      <c r="J13" s="13">
        <f t="shared" si="42"/>
        <v>2.6071428571428575E-2</v>
      </c>
      <c r="K13" s="13">
        <f t="shared" si="42"/>
        <v>2.928571428571429E-2</v>
      </c>
      <c r="L13" s="13">
        <f t="shared" si="42"/>
        <v>3.2500000000000001E-2</v>
      </c>
      <c r="M13" s="13">
        <f t="shared" si="42"/>
        <v>3.5714285714285712E-2</v>
      </c>
      <c r="N13" s="13">
        <f t="shared" si="42"/>
        <v>3.8928571428571423E-2</v>
      </c>
      <c r="O13" s="13">
        <f t="shared" si="42"/>
        <v>4.2142857142857135E-2</v>
      </c>
      <c r="P13" s="13">
        <f t="shared" si="42"/>
        <v>4.5357142857142846E-2</v>
      </c>
      <c r="Q13" s="13">
        <f t="shared" si="42"/>
        <v>4.8571428571428557E-2</v>
      </c>
      <c r="R13" s="13">
        <f t="shared" si="42"/>
        <v>5.1785714285714268E-2</v>
      </c>
      <c r="S13" s="13">
        <f t="shared" si="42"/>
        <v>5.4999999999999979E-2</v>
      </c>
      <c r="T13" s="13">
        <f t="shared" si="42"/>
        <v>5.8214285714285691E-2</v>
      </c>
      <c r="U13" s="13">
        <f t="shared" si="42"/>
        <v>6.1428571428571402E-2</v>
      </c>
      <c r="V13" s="13">
        <f t="shared" si="42"/>
        <v>6.4642857142857113E-2</v>
      </c>
      <c r="W13" s="13">
        <f t="shared" si="42"/>
        <v>6.7857142857142824E-2</v>
      </c>
      <c r="X13" s="13">
        <f t="shared" si="42"/>
        <v>7.1071428571428535E-2</v>
      </c>
      <c r="Y13" s="13">
        <f t="shared" si="42"/>
        <v>7.4285714285714247E-2</v>
      </c>
      <c r="Z13" s="13">
        <f t="shared" si="42"/>
        <v>7.7499999999999958E-2</v>
      </c>
      <c r="AA13" s="13">
        <f t="shared" si="42"/>
        <v>8.0714285714285669E-2</v>
      </c>
      <c r="AB13" s="13">
        <f t="shared" si="42"/>
        <v>8.392857142857138E-2</v>
      </c>
      <c r="AC13" s="13">
        <f t="shared" si="42"/>
        <v>8.7142857142857091E-2</v>
      </c>
      <c r="AD13" s="13">
        <f t="shared" si="42"/>
        <v>9.0357142857142803E-2</v>
      </c>
      <c r="AE13" s="13">
        <f t="shared" si="42"/>
        <v>9.3571428571428514E-2</v>
      </c>
      <c r="AF13" s="13">
        <f t="shared" ref="AF13" si="43">AE13+$AI13</f>
        <v>9.6785714285714225E-2</v>
      </c>
      <c r="AG13" s="13">
        <v>0.1</v>
      </c>
      <c r="AI13" s="28">
        <f t="shared" si="0"/>
        <v>3.2142857142857147E-3</v>
      </c>
    </row>
    <row r="14" spans="1:35" x14ac:dyDescent="0.3">
      <c r="A14" s="1" t="s">
        <v>12</v>
      </c>
      <c r="B14" s="12">
        <v>0</v>
      </c>
      <c r="C14" s="27">
        <v>0.01</v>
      </c>
      <c r="D14" s="27">
        <v>0.01</v>
      </c>
      <c r="E14" s="27">
        <v>0.01</v>
      </c>
      <c r="F14" s="13">
        <f t="shared" si="28"/>
        <v>1.3214285714285715E-2</v>
      </c>
      <c r="G14" s="13">
        <f t="shared" si="29"/>
        <v>1.6428571428571431E-2</v>
      </c>
      <c r="H14" s="13">
        <f t="shared" ref="H14:AE14" si="44">G14+$AI14</f>
        <v>1.9642857142857146E-2</v>
      </c>
      <c r="I14" s="13">
        <f t="shared" si="44"/>
        <v>2.2857142857142861E-2</v>
      </c>
      <c r="J14" s="13">
        <f t="shared" si="44"/>
        <v>2.6071428571428575E-2</v>
      </c>
      <c r="K14" s="13">
        <f t="shared" si="44"/>
        <v>2.928571428571429E-2</v>
      </c>
      <c r="L14" s="13">
        <f t="shared" si="44"/>
        <v>3.2500000000000001E-2</v>
      </c>
      <c r="M14" s="13">
        <f t="shared" si="44"/>
        <v>3.5714285714285712E-2</v>
      </c>
      <c r="N14" s="13">
        <f t="shared" si="44"/>
        <v>3.8928571428571423E-2</v>
      </c>
      <c r="O14" s="13">
        <f t="shared" si="44"/>
        <v>4.2142857142857135E-2</v>
      </c>
      <c r="P14" s="13">
        <f t="shared" si="44"/>
        <v>4.5357142857142846E-2</v>
      </c>
      <c r="Q14" s="13">
        <f t="shared" si="44"/>
        <v>4.8571428571428557E-2</v>
      </c>
      <c r="R14" s="13">
        <f t="shared" si="44"/>
        <v>5.1785714285714268E-2</v>
      </c>
      <c r="S14" s="13">
        <f t="shared" si="44"/>
        <v>5.4999999999999979E-2</v>
      </c>
      <c r="T14" s="13">
        <f t="shared" si="44"/>
        <v>5.8214285714285691E-2</v>
      </c>
      <c r="U14" s="13">
        <f t="shared" si="44"/>
        <v>6.1428571428571402E-2</v>
      </c>
      <c r="V14" s="13">
        <f t="shared" si="44"/>
        <v>6.4642857142857113E-2</v>
      </c>
      <c r="W14" s="13">
        <f t="shared" si="44"/>
        <v>6.7857142857142824E-2</v>
      </c>
      <c r="X14" s="13">
        <f t="shared" si="44"/>
        <v>7.1071428571428535E-2</v>
      </c>
      <c r="Y14" s="13">
        <f t="shared" si="44"/>
        <v>7.4285714285714247E-2</v>
      </c>
      <c r="Z14" s="13">
        <f t="shared" si="44"/>
        <v>7.7499999999999958E-2</v>
      </c>
      <c r="AA14" s="13">
        <f t="shared" si="44"/>
        <v>8.0714285714285669E-2</v>
      </c>
      <c r="AB14" s="13">
        <f t="shared" si="44"/>
        <v>8.392857142857138E-2</v>
      </c>
      <c r="AC14" s="13">
        <f t="shared" si="44"/>
        <v>8.7142857142857091E-2</v>
      </c>
      <c r="AD14" s="13">
        <f t="shared" si="44"/>
        <v>9.0357142857142803E-2</v>
      </c>
      <c r="AE14" s="13">
        <f t="shared" si="44"/>
        <v>9.3571428571428514E-2</v>
      </c>
      <c r="AF14" s="13">
        <f t="shared" ref="AF14" si="45">AE14+$AI14</f>
        <v>9.6785714285714225E-2</v>
      </c>
      <c r="AG14" s="13">
        <v>0.1</v>
      </c>
      <c r="AI14" s="28">
        <f t="shared" si="0"/>
        <v>3.2142857142857147E-3</v>
      </c>
    </row>
    <row r="15" spans="1:35" x14ac:dyDescent="0.3">
      <c r="A15" s="1" t="s">
        <v>13</v>
      </c>
      <c r="B15" s="12">
        <v>0</v>
      </c>
      <c r="C15" s="27">
        <v>0.01</v>
      </c>
      <c r="D15" s="27">
        <v>0.01</v>
      </c>
      <c r="E15" s="27">
        <v>0.01</v>
      </c>
      <c r="F15" s="13">
        <f t="shared" si="28"/>
        <v>1.3214285714285715E-2</v>
      </c>
      <c r="G15" s="13">
        <f t="shared" si="29"/>
        <v>1.6428571428571431E-2</v>
      </c>
      <c r="H15" s="13">
        <f t="shared" ref="H15:AE15" si="46">G15+$AI15</f>
        <v>1.9642857142857146E-2</v>
      </c>
      <c r="I15" s="13">
        <f t="shared" si="46"/>
        <v>2.2857142857142861E-2</v>
      </c>
      <c r="J15" s="13">
        <f t="shared" si="46"/>
        <v>2.6071428571428575E-2</v>
      </c>
      <c r="K15" s="13">
        <f t="shared" si="46"/>
        <v>2.928571428571429E-2</v>
      </c>
      <c r="L15" s="13">
        <f t="shared" si="46"/>
        <v>3.2500000000000001E-2</v>
      </c>
      <c r="M15" s="13">
        <f t="shared" si="46"/>
        <v>3.5714285714285712E-2</v>
      </c>
      <c r="N15" s="13">
        <f t="shared" si="46"/>
        <v>3.8928571428571423E-2</v>
      </c>
      <c r="O15" s="13">
        <f t="shared" si="46"/>
        <v>4.2142857142857135E-2</v>
      </c>
      <c r="P15" s="13">
        <f t="shared" si="46"/>
        <v>4.5357142857142846E-2</v>
      </c>
      <c r="Q15" s="13">
        <f t="shared" si="46"/>
        <v>4.8571428571428557E-2</v>
      </c>
      <c r="R15" s="13">
        <f t="shared" si="46"/>
        <v>5.1785714285714268E-2</v>
      </c>
      <c r="S15" s="13">
        <f t="shared" si="46"/>
        <v>5.4999999999999979E-2</v>
      </c>
      <c r="T15" s="13">
        <f t="shared" si="46"/>
        <v>5.8214285714285691E-2</v>
      </c>
      <c r="U15" s="13">
        <f t="shared" si="46"/>
        <v>6.1428571428571402E-2</v>
      </c>
      <c r="V15" s="13">
        <f t="shared" si="46"/>
        <v>6.4642857142857113E-2</v>
      </c>
      <c r="W15" s="13">
        <f t="shared" si="46"/>
        <v>6.7857142857142824E-2</v>
      </c>
      <c r="X15" s="13">
        <f t="shared" si="46"/>
        <v>7.1071428571428535E-2</v>
      </c>
      <c r="Y15" s="13">
        <f t="shared" si="46"/>
        <v>7.4285714285714247E-2</v>
      </c>
      <c r="Z15" s="13">
        <f t="shared" si="46"/>
        <v>7.7499999999999958E-2</v>
      </c>
      <c r="AA15" s="13">
        <f t="shared" si="46"/>
        <v>8.0714285714285669E-2</v>
      </c>
      <c r="AB15" s="13">
        <f t="shared" si="46"/>
        <v>8.392857142857138E-2</v>
      </c>
      <c r="AC15" s="13">
        <f t="shared" si="46"/>
        <v>8.7142857142857091E-2</v>
      </c>
      <c r="AD15" s="13">
        <f t="shared" si="46"/>
        <v>9.0357142857142803E-2</v>
      </c>
      <c r="AE15" s="13">
        <f t="shared" si="46"/>
        <v>9.3571428571428514E-2</v>
      </c>
      <c r="AF15" s="13">
        <f t="shared" ref="AF15" si="47">AE15+$AI15</f>
        <v>9.6785714285714225E-2</v>
      </c>
      <c r="AG15" s="13">
        <v>0.1</v>
      </c>
      <c r="AI15" s="28">
        <f t="shared" si="0"/>
        <v>3.2142857142857147E-3</v>
      </c>
    </row>
    <row r="16" spans="1:35" x14ac:dyDescent="0.3">
      <c r="A16" s="1" t="s">
        <v>14</v>
      </c>
      <c r="B16" s="12">
        <v>0</v>
      </c>
      <c r="C16" s="27">
        <v>0.01</v>
      </c>
      <c r="D16" s="27">
        <v>0.01</v>
      </c>
      <c r="E16" s="27">
        <v>0.01</v>
      </c>
      <c r="F16" s="13">
        <f t="shared" si="28"/>
        <v>1.3214285714285715E-2</v>
      </c>
      <c r="G16" s="13">
        <f t="shared" si="29"/>
        <v>1.6428571428571431E-2</v>
      </c>
      <c r="H16" s="13">
        <f t="shared" ref="H16:AE16" si="48">G16+$AI16</f>
        <v>1.9642857142857146E-2</v>
      </c>
      <c r="I16" s="13">
        <f t="shared" si="48"/>
        <v>2.2857142857142861E-2</v>
      </c>
      <c r="J16" s="13">
        <f t="shared" si="48"/>
        <v>2.6071428571428575E-2</v>
      </c>
      <c r="K16" s="13">
        <f t="shared" si="48"/>
        <v>2.928571428571429E-2</v>
      </c>
      <c r="L16" s="13">
        <f t="shared" si="48"/>
        <v>3.2500000000000001E-2</v>
      </c>
      <c r="M16" s="13">
        <f t="shared" si="48"/>
        <v>3.5714285714285712E-2</v>
      </c>
      <c r="N16" s="13">
        <f t="shared" si="48"/>
        <v>3.8928571428571423E-2</v>
      </c>
      <c r="O16" s="13">
        <f t="shared" si="48"/>
        <v>4.2142857142857135E-2</v>
      </c>
      <c r="P16" s="13">
        <f t="shared" si="48"/>
        <v>4.5357142857142846E-2</v>
      </c>
      <c r="Q16" s="13">
        <f t="shared" si="48"/>
        <v>4.8571428571428557E-2</v>
      </c>
      <c r="R16" s="13">
        <f t="shared" si="48"/>
        <v>5.1785714285714268E-2</v>
      </c>
      <c r="S16" s="13">
        <f t="shared" si="48"/>
        <v>5.4999999999999979E-2</v>
      </c>
      <c r="T16" s="13">
        <f t="shared" si="48"/>
        <v>5.8214285714285691E-2</v>
      </c>
      <c r="U16" s="13">
        <f t="shared" si="48"/>
        <v>6.1428571428571402E-2</v>
      </c>
      <c r="V16" s="13">
        <f t="shared" si="48"/>
        <v>6.4642857142857113E-2</v>
      </c>
      <c r="W16" s="13">
        <f t="shared" si="48"/>
        <v>6.7857142857142824E-2</v>
      </c>
      <c r="X16" s="13">
        <f t="shared" si="48"/>
        <v>7.1071428571428535E-2</v>
      </c>
      <c r="Y16" s="13">
        <f t="shared" si="48"/>
        <v>7.4285714285714247E-2</v>
      </c>
      <c r="Z16" s="13">
        <f t="shared" si="48"/>
        <v>7.7499999999999958E-2</v>
      </c>
      <c r="AA16" s="13">
        <f t="shared" si="48"/>
        <v>8.0714285714285669E-2</v>
      </c>
      <c r="AB16" s="13">
        <f t="shared" si="48"/>
        <v>8.392857142857138E-2</v>
      </c>
      <c r="AC16" s="13">
        <f t="shared" si="48"/>
        <v>8.7142857142857091E-2</v>
      </c>
      <c r="AD16" s="13">
        <f t="shared" si="48"/>
        <v>9.0357142857142803E-2</v>
      </c>
      <c r="AE16" s="13">
        <f t="shared" si="48"/>
        <v>9.3571428571428514E-2</v>
      </c>
      <c r="AF16" s="13">
        <f t="shared" ref="AF16" si="49">AE16+$AI16</f>
        <v>9.6785714285714225E-2</v>
      </c>
      <c r="AG16" s="13">
        <v>0.1</v>
      </c>
      <c r="AI16" s="28">
        <f t="shared" si="0"/>
        <v>3.2142857142857147E-3</v>
      </c>
    </row>
    <row r="17" spans="1:35" x14ac:dyDescent="0.3">
      <c r="A17" s="1" t="s">
        <v>15</v>
      </c>
      <c r="B17" s="12">
        <v>0</v>
      </c>
      <c r="C17" s="27">
        <v>0.01</v>
      </c>
      <c r="D17" s="27">
        <v>0.01</v>
      </c>
      <c r="E17" s="27">
        <v>0.01</v>
      </c>
      <c r="F17" s="13">
        <f t="shared" si="28"/>
        <v>1.3214285714285715E-2</v>
      </c>
      <c r="G17" s="13">
        <f t="shared" si="29"/>
        <v>1.6428571428571431E-2</v>
      </c>
      <c r="H17" s="13">
        <f t="shared" ref="H17:AE17" si="50">G17+$AI17</f>
        <v>1.9642857142857146E-2</v>
      </c>
      <c r="I17" s="13">
        <f t="shared" si="50"/>
        <v>2.2857142857142861E-2</v>
      </c>
      <c r="J17" s="13">
        <f t="shared" si="50"/>
        <v>2.6071428571428575E-2</v>
      </c>
      <c r="K17" s="13">
        <f t="shared" si="50"/>
        <v>2.928571428571429E-2</v>
      </c>
      <c r="L17" s="13">
        <f t="shared" si="50"/>
        <v>3.2500000000000001E-2</v>
      </c>
      <c r="M17" s="13">
        <f t="shared" si="50"/>
        <v>3.5714285714285712E-2</v>
      </c>
      <c r="N17" s="13">
        <f t="shared" si="50"/>
        <v>3.8928571428571423E-2</v>
      </c>
      <c r="O17" s="13">
        <f t="shared" si="50"/>
        <v>4.2142857142857135E-2</v>
      </c>
      <c r="P17" s="13">
        <f t="shared" si="50"/>
        <v>4.5357142857142846E-2</v>
      </c>
      <c r="Q17" s="13">
        <f t="shared" si="50"/>
        <v>4.8571428571428557E-2</v>
      </c>
      <c r="R17" s="13">
        <f t="shared" si="50"/>
        <v>5.1785714285714268E-2</v>
      </c>
      <c r="S17" s="13">
        <f t="shared" si="50"/>
        <v>5.4999999999999979E-2</v>
      </c>
      <c r="T17" s="13">
        <f t="shared" si="50"/>
        <v>5.8214285714285691E-2</v>
      </c>
      <c r="U17" s="13">
        <f t="shared" si="50"/>
        <v>6.1428571428571402E-2</v>
      </c>
      <c r="V17" s="13">
        <f t="shared" si="50"/>
        <v>6.4642857142857113E-2</v>
      </c>
      <c r="W17" s="13">
        <f t="shared" si="50"/>
        <v>6.7857142857142824E-2</v>
      </c>
      <c r="X17" s="13">
        <f t="shared" si="50"/>
        <v>7.1071428571428535E-2</v>
      </c>
      <c r="Y17" s="13">
        <f t="shared" si="50"/>
        <v>7.4285714285714247E-2</v>
      </c>
      <c r="Z17" s="13">
        <f t="shared" si="50"/>
        <v>7.7499999999999958E-2</v>
      </c>
      <c r="AA17" s="13">
        <f t="shared" si="50"/>
        <v>8.0714285714285669E-2</v>
      </c>
      <c r="AB17" s="13">
        <f t="shared" si="50"/>
        <v>8.392857142857138E-2</v>
      </c>
      <c r="AC17" s="13">
        <f t="shared" si="50"/>
        <v>8.7142857142857091E-2</v>
      </c>
      <c r="AD17" s="13">
        <f t="shared" si="50"/>
        <v>9.0357142857142803E-2</v>
      </c>
      <c r="AE17" s="13">
        <f t="shared" si="50"/>
        <v>9.3571428571428514E-2</v>
      </c>
      <c r="AF17" s="13">
        <f t="shared" ref="AF17" si="51">AE17+$AI17</f>
        <v>9.6785714285714225E-2</v>
      </c>
      <c r="AG17" s="13">
        <v>0.1</v>
      </c>
      <c r="AI17" s="28">
        <f t="shared" si="0"/>
        <v>3.2142857142857147E-3</v>
      </c>
    </row>
    <row r="18" spans="1:35" x14ac:dyDescent="0.3">
      <c r="A18" s="1" t="s">
        <v>16</v>
      </c>
      <c r="B18" s="12">
        <v>0</v>
      </c>
      <c r="C18" s="13">
        <v>3.3333333333333326E-2</v>
      </c>
      <c r="D18" s="13">
        <v>6.6666666666666666E-2</v>
      </c>
      <c r="E18" s="13">
        <v>0.10000000000000002</v>
      </c>
      <c r="F18" s="13">
        <f t="shared" si="28"/>
        <v>0.11071428571428574</v>
      </c>
      <c r="G18" s="13">
        <f t="shared" si="29"/>
        <v>0.12142857142857146</v>
      </c>
      <c r="H18" s="13">
        <f t="shared" ref="H18:AE18" si="52">G18+$AI18</f>
        <v>0.13214285714285717</v>
      </c>
      <c r="I18" s="13">
        <f t="shared" si="52"/>
        <v>0.14285714285714288</v>
      </c>
      <c r="J18" s="13">
        <f t="shared" si="52"/>
        <v>0.15357142857142858</v>
      </c>
      <c r="K18" s="13">
        <f t="shared" si="52"/>
        <v>0.16428571428571428</v>
      </c>
      <c r="L18" s="13">
        <f t="shared" si="52"/>
        <v>0.17499999999999999</v>
      </c>
      <c r="M18" s="13">
        <f t="shared" si="52"/>
        <v>0.18571428571428569</v>
      </c>
      <c r="N18" s="13">
        <f t="shared" si="52"/>
        <v>0.1964285714285714</v>
      </c>
      <c r="O18" s="13">
        <f t="shared" si="52"/>
        <v>0.2071428571428571</v>
      </c>
      <c r="P18" s="13">
        <f t="shared" si="52"/>
        <v>0.2178571428571428</v>
      </c>
      <c r="Q18" s="13">
        <f t="shared" si="52"/>
        <v>0.22857142857142851</v>
      </c>
      <c r="R18" s="13">
        <f t="shared" si="52"/>
        <v>0.23928571428571421</v>
      </c>
      <c r="S18" s="13">
        <f t="shared" si="52"/>
        <v>0.24999999999999992</v>
      </c>
      <c r="T18" s="13">
        <f t="shared" si="52"/>
        <v>0.26071428571428562</v>
      </c>
      <c r="U18" s="13">
        <f t="shared" si="52"/>
        <v>0.27142857142857135</v>
      </c>
      <c r="V18" s="13">
        <f t="shared" si="52"/>
        <v>0.28214285714285708</v>
      </c>
      <c r="W18" s="13">
        <f t="shared" si="52"/>
        <v>0.29285714285714282</v>
      </c>
      <c r="X18" s="13">
        <f t="shared" si="52"/>
        <v>0.30357142857142855</v>
      </c>
      <c r="Y18" s="13">
        <f t="shared" si="52"/>
        <v>0.31428571428571428</v>
      </c>
      <c r="Z18" s="13">
        <f t="shared" si="52"/>
        <v>0.32500000000000001</v>
      </c>
      <c r="AA18" s="13">
        <f t="shared" si="52"/>
        <v>0.33571428571428574</v>
      </c>
      <c r="AB18" s="13">
        <f t="shared" si="52"/>
        <v>0.34642857142857147</v>
      </c>
      <c r="AC18" s="13">
        <f t="shared" si="52"/>
        <v>0.35714285714285721</v>
      </c>
      <c r="AD18" s="13">
        <f t="shared" si="52"/>
        <v>0.36785714285714294</v>
      </c>
      <c r="AE18" s="13">
        <f t="shared" si="52"/>
        <v>0.37857142857142867</v>
      </c>
      <c r="AF18" s="13">
        <f t="shared" ref="AF18" si="53">AE18+$AI18</f>
        <v>0.3892857142857144</v>
      </c>
      <c r="AG18" s="13">
        <v>0.4</v>
      </c>
      <c r="AI18" s="28">
        <f t="shared" si="0"/>
        <v>1.0714285714285714E-2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D9CA-EF31-4EFC-AD7B-988A295063BD}">
  <dimension ref="A1:AI18"/>
  <sheetViews>
    <sheetView tabSelected="1" workbookViewId="0">
      <selection activeCell="F25" sqref="F25"/>
    </sheetView>
  </sheetViews>
  <sheetFormatPr defaultRowHeight="14.4" x14ac:dyDescent="0.3"/>
  <cols>
    <col min="6" max="32" width="8.88671875" customWidth="1"/>
  </cols>
  <sheetData>
    <row r="1" spans="1:35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I1">
        <f>AG1-E1</f>
        <v>28</v>
      </c>
    </row>
    <row r="2" spans="1:35" x14ac:dyDescent="0.3">
      <c r="A2" s="1" t="s">
        <v>0</v>
      </c>
      <c r="B2" s="12">
        <v>0</v>
      </c>
      <c r="C2" s="13">
        <v>3.3333333333333326E-2</v>
      </c>
      <c r="D2" s="13">
        <v>6.6666666666666666E-2</v>
      </c>
      <c r="E2" s="13">
        <v>0.10000000000000002</v>
      </c>
      <c r="F2" s="13">
        <f>E2+$AI2</f>
        <v>0.16785714285714287</v>
      </c>
      <c r="G2" s="13">
        <f>F2+$AI2</f>
        <v>0.23571428571428571</v>
      </c>
      <c r="H2" s="13">
        <f t="shared" ref="H2:AF12" si="0">G2+$AI2</f>
        <v>0.30357142857142855</v>
      </c>
      <c r="I2" s="13">
        <f t="shared" si="0"/>
        <v>0.37142857142857139</v>
      </c>
      <c r="J2" s="13">
        <f t="shared" si="0"/>
        <v>0.43928571428571422</v>
      </c>
      <c r="K2" s="13">
        <f t="shared" si="0"/>
        <v>0.50714285714285712</v>
      </c>
      <c r="L2" s="13">
        <f t="shared" si="0"/>
        <v>0.57499999999999996</v>
      </c>
      <c r="M2" s="13">
        <f t="shared" si="0"/>
        <v>0.64285714285714279</v>
      </c>
      <c r="N2" s="13">
        <f t="shared" si="0"/>
        <v>0.71071428571428563</v>
      </c>
      <c r="O2" s="13">
        <f t="shared" si="0"/>
        <v>0.77857142857142847</v>
      </c>
      <c r="P2" s="13">
        <f t="shared" si="0"/>
        <v>0.84642857142857131</v>
      </c>
      <c r="Q2" s="13">
        <f t="shared" si="0"/>
        <v>0.91428571428571415</v>
      </c>
      <c r="R2" s="13">
        <f t="shared" si="0"/>
        <v>0.98214285714285698</v>
      </c>
      <c r="S2" s="13">
        <f t="shared" si="0"/>
        <v>1.0499999999999998</v>
      </c>
      <c r="T2" s="13">
        <f t="shared" si="0"/>
        <v>1.1178571428571427</v>
      </c>
      <c r="U2" s="13">
        <f t="shared" si="0"/>
        <v>1.1857142857142855</v>
      </c>
      <c r="V2" s="13">
        <f t="shared" si="0"/>
        <v>1.2535714285714283</v>
      </c>
      <c r="W2" s="13">
        <f t="shared" si="0"/>
        <v>1.3214285714285712</v>
      </c>
      <c r="X2" s="13">
        <f t="shared" si="0"/>
        <v>1.389285714285714</v>
      </c>
      <c r="Y2" s="13">
        <f t="shared" si="0"/>
        <v>1.4571428571428569</v>
      </c>
      <c r="Z2" s="13">
        <f t="shared" si="0"/>
        <v>1.5249999999999997</v>
      </c>
      <c r="AA2" s="13">
        <f t="shared" si="0"/>
        <v>1.5928571428571425</v>
      </c>
      <c r="AB2" s="13">
        <f t="shared" si="0"/>
        <v>1.6607142857142854</v>
      </c>
      <c r="AC2" s="13">
        <f t="shared" si="0"/>
        <v>1.7285714285714282</v>
      </c>
      <c r="AD2" s="13">
        <f t="shared" si="0"/>
        <v>1.796428571428571</v>
      </c>
      <c r="AE2" s="13">
        <f t="shared" si="0"/>
        <v>1.8642857142857139</v>
      </c>
      <c r="AF2" s="13">
        <f t="shared" si="0"/>
        <v>1.9321428571428567</v>
      </c>
      <c r="AG2" s="13">
        <v>2</v>
      </c>
      <c r="AI2" s="28">
        <f>(AG2-E2)/$AI$1</f>
        <v>6.7857142857142852E-2</v>
      </c>
    </row>
    <row r="3" spans="1:35" x14ac:dyDescent="0.3">
      <c r="A3" s="1" t="s">
        <v>1</v>
      </c>
      <c r="B3" s="12">
        <v>0</v>
      </c>
      <c r="C3" s="27">
        <v>1.6666666666666663E-2</v>
      </c>
      <c r="D3" s="27">
        <v>3.3333333333333333E-2</v>
      </c>
      <c r="E3" s="27">
        <v>5.000000000000001E-2</v>
      </c>
      <c r="F3" s="13">
        <f t="shared" ref="F3:U18" si="1">E3+$AI3</f>
        <v>8.3928571428571436E-2</v>
      </c>
      <c r="G3" s="13">
        <f t="shared" si="1"/>
        <v>0.11785714285714285</v>
      </c>
      <c r="H3" s="13">
        <f t="shared" si="0"/>
        <v>0.15178571428571427</v>
      </c>
      <c r="I3" s="13">
        <f t="shared" si="0"/>
        <v>0.18571428571428569</v>
      </c>
      <c r="J3" s="13">
        <f t="shared" si="0"/>
        <v>0.21964285714285711</v>
      </c>
      <c r="K3" s="13">
        <f t="shared" si="0"/>
        <v>0.25357142857142856</v>
      </c>
      <c r="L3" s="13">
        <f t="shared" si="0"/>
        <v>0.28749999999999998</v>
      </c>
      <c r="M3" s="13">
        <f t="shared" si="0"/>
        <v>0.3214285714285714</v>
      </c>
      <c r="N3" s="13">
        <f t="shared" si="0"/>
        <v>0.35535714285714282</v>
      </c>
      <c r="O3" s="13">
        <f t="shared" si="0"/>
        <v>0.38928571428571423</v>
      </c>
      <c r="P3" s="13">
        <f t="shared" si="0"/>
        <v>0.42321428571428565</v>
      </c>
      <c r="Q3" s="13">
        <f t="shared" si="0"/>
        <v>0.45714285714285707</v>
      </c>
      <c r="R3" s="13">
        <f t="shared" si="0"/>
        <v>0.49107142857142849</v>
      </c>
      <c r="S3" s="13">
        <f t="shared" si="0"/>
        <v>0.52499999999999991</v>
      </c>
      <c r="T3" s="13">
        <f t="shared" si="0"/>
        <v>0.55892857142857133</v>
      </c>
      <c r="U3" s="13">
        <f t="shared" si="0"/>
        <v>0.59285714285714275</v>
      </c>
      <c r="V3" s="13">
        <f t="shared" si="0"/>
        <v>0.62678571428571417</v>
      </c>
      <c r="W3" s="13">
        <f t="shared" si="0"/>
        <v>0.66071428571428559</v>
      </c>
      <c r="X3" s="13">
        <f t="shared" si="0"/>
        <v>0.69464285714285701</v>
      </c>
      <c r="Y3" s="13">
        <f t="shared" si="0"/>
        <v>0.72857142857142843</v>
      </c>
      <c r="Z3" s="13">
        <f t="shared" si="0"/>
        <v>0.76249999999999984</v>
      </c>
      <c r="AA3" s="13">
        <f t="shared" si="0"/>
        <v>0.79642857142857126</v>
      </c>
      <c r="AB3" s="13">
        <f t="shared" si="0"/>
        <v>0.83035714285714268</v>
      </c>
      <c r="AC3" s="13">
        <f t="shared" si="0"/>
        <v>0.8642857142857141</v>
      </c>
      <c r="AD3" s="13">
        <f t="shared" si="0"/>
        <v>0.89821428571428552</v>
      </c>
      <c r="AE3" s="13">
        <f t="shared" si="0"/>
        <v>0.93214285714285694</v>
      </c>
      <c r="AF3" s="13">
        <f t="shared" si="0"/>
        <v>0.96607142857142836</v>
      </c>
      <c r="AG3" s="13">
        <v>1</v>
      </c>
      <c r="AI3" s="28">
        <f t="shared" ref="AI3:AI18" si="2">(AG3-E3)/$AI$1</f>
        <v>3.3928571428571426E-2</v>
      </c>
    </row>
    <row r="4" spans="1:35" x14ac:dyDescent="0.3">
      <c r="A4" s="1" t="s">
        <v>2</v>
      </c>
      <c r="B4" s="12">
        <v>0</v>
      </c>
      <c r="C4" s="13">
        <v>3.3333333333333326E-2</v>
      </c>
      <c r="D4" s="13">
        <v>6.6666666666666666E-2</v>
      </c>
      <c r="E4" s="13">
        <v>9.999999999999995E-2</v>
      </c>
      <c r="F4" s="13">
        <v>0.18571428571428567</v>
      </c>
      <c r="G4" s="13">
        <v>0.27142857142857135</v>
      </c>
      <c r="H4" s="13">
        <v>0.3571428571428571</v>
      </c>
      <c r="I4" s="13">
        <v>0.44285714285714284</v>
      </c>
      <c r="J4" s="13">
        <v>0.52857142857142847</v>
      </c>
      <c r="K4" s="13">
        <v>0.61428571428571421</v>
      </c>
      <c r="L4" s="13">
        <v>0.7</v>
      </c>
      <c r="M4" s="13">
        <v>0.7857142857142857</v>
      </c>
      <c r="N4" s="13">
        <v>0.87142857142857144</v>
      </c>
      <c r="O4" s="13">
        <v>0.95714285714285707</v>
      </c>
      <c r="P4" s="13">
        <v>1.0428571428571427</v>
      </c>
      <c r="Q4" s="13">
        <v>1.1285714285714286</v>
      </c>
      <c r="R4" s="13">
        <v>1.2142857142857142</v>
      </c>
      <c r="S4" s="13">
        <v>1.3</v>
      </c>
      <c r="T4" s="13">
        <v>1.3857142857142857</v>
      </c>
      <c r="U4" s="13">
        <v>1.4714285714285713</v>
      </c>
      <c r="V4" s="13">
        <v>1.5571428571428572</v>
      </c>
      <c r="W4" s="13">
        <v>1.6428571428571428</v>
      </c>
      <c r="X4" s="13">
        <v>1.7285714285714286</v>
      </c>
      <c r="Y4" s="13">
        <v>1.8142857142857143</v>
      </c>
      <c r="Z4" s="13">
        <v>1.9</v>
      </c>
      <c r="AA4" s="13">
        <v>1.9857142857142858</v>
      </c>
      <c r="AB4" s="13">
        <v>2.0714285714285712</v>
      </c>
      <c r="AC4" s="13">
        <v>2.157142857142857</v>
      </c>
      <c r="AD4" s="13">
        <v>2.2428571428571429</v>
      </c>
      <c r="AE4" s="13">
        <v>2.3285714285714287</v>
      </c>
      <c r="AF4" s="13">
        <v>2.4142857142857141</v>
      </c>
      <c r="AG4" s="13">
        <v>2.5</v>
      </c>
      <c r="AI4" s="28">
        <f t="shared" si="2"/>
        <v>8.5714285714285715E-2</v>
      </c>
    </row>
    <row r="5" spans="1:35" x14ac:dyDescent="0.3">
      <c r="A5" s="1" t="s">
        <v>3</v>
      </c>
      <c r="B5" s="12">
        <v>0</v>
      </c>
      <c r="C5" s="27">
        <v>1.6666666666666663E-2</v>
      </c>
      <c r="D5" s="27">
        <v>3.3333333333333333E-2</v>
      </c>
      <c r="E5" s="27">
        <v>5.000000000000001E-2</v>
      </c>
      <c r="F5" s="13">
        <f t="shared" ref="F5" si="3">E5+$AI5</f>
        <v>8.3928571428571436E-2</v>
      </c>
      <c r="G5" s="13">
        <f t="shared" ref="G5" si="4">F5+$AI5</f>
        <v>0.11785714285714285</v>
      </c>
      <c r="H5" s="13">
        <f t="shared" ref="H5" si="5">G5+$AI5</f>
        <v>0.15178571428571427</v>
      </c>
      <c r="I5" s="13">
        <f t="shared" ref="I5" si="6">H5+$AI5</f>
        <v>0.18571428571428569</v>
      </c>
      <c r="J5" s="13">
        <f t="shared" ref="J5" si="7">I5+$AI5</f>
        <v>0.21964285714285711</v>
      </c>
      <c r="K5" s="13">
        <f t="shared" ref="K5" si="8">J5+$AI5</f>
        <v>0.25357142857142856</v>
      </c>
      <c r="L5" s="13">
        <f t="shared" ref="L5" si="9">K5+$AI5</f>
        <v>0.28749999999999998</v>
      </c>
      <c r="M5" s="13">
        <f t="shared" ref="M5" si="10">L5+$AI5</f>
        <v>0.3214285714285714</v>
      </c>
      <c r="N5" s="13">
        <f t="shared" ref="N5" si="11">M5+$AI5</f>
        <v>0.35535714285714282</v>
      </c>
      <c r="O5" s="13">
        <f t="shared" ref="O5" si="12">N5+$AI5</f>
        <v>0.38928571428571423</v>
      </c>
      <c r="P5" s="13">
        <f t="shared" ref="P5" si="13">O5+$AI5</f>
        <v>0.42321428571428565</v>
      </c>
      <c r="Q5" s="13">
        <f t="shared" ref="Q5" si="14">P5+$AI5</f>
        <v>0.45714285714285707</v>
      </c>
      <c r="R5" s="13">
        <f t="shared" ref="R5" si="15">Q5+$AI5</f>
        <v>0.49107142857142849</v>
      </c>
      <c r="S5" s="13">
        <f t="shared" ref="S5" si="16">R5+$AI5</f>
        <v>0.52499999999999991</v>
      </c>
      <c r="T5" s="13">
        <f t="shared" ref="T5" si="17">S5+$AI5</f>
        <v>0.55892857142857133</v>
      </c>
      <c r="U5" s="13">
        <f t="shared" ref="U5" si="18">T5+$AI5</f>
        <v>0.59285714285714275</v>
      </c>
      <c r="V5" s="13">
        <f t="shared" ref="V5" si="19">U5+$AI5</f>
        <v>0.62678571428571417</v>
      </c>
      <c r="W5" s="13">
        <f t="shared" ref="W5" si="20">V5+$AI5</f>
        <v>0.66071428571428559</v>
      </c>
      <c r="X5" s="13">
        <f t="shared" ref="X5" si="21">W5+$AI5</f>
        <v>0.69464285714285701</v>
      </c>
      <c r="Y5" s="13">
        <f t="shared" ref="Y5" si="22">X5+$AI5</f>
        <v>0.72857142857142843</v>
      </c>
      <c r="Z5" s="13">
        <f t="shared" ref="Z5" si="23">Y5+$AI5</f>
        <v>0.76249999999999984</v>
      </c>
      <c r="AA5" s="13">
        <f t="shared" ref="AA5" si="24">Z5+$AI5</f>
        <v>0.79642857142857126</v>
      </c>
      <c r="AB5" s="13">
        <f t="shared" ref="AB5" si="25">AA5+$AI5</f>
        <v>0.83035714285714268</v>
      </c>
      <c r="AC5" s="13">
        <f t="shared" ref="AC5" si="26">AB5+$AI5</f>
        <v>0.8642857142857141</v>
      </c>
      <c r="AD5" s="13">
        <f t="shared" ref="AD5" si="27">AC5+$AI5</f>
        <v>0.89821428571428552</v>
      </c>
      <c r="AE5" s="13">
        <f t="shared" ref="AE5" si="28">AD5+$AI5</f>
        <v>0.93214285714285694</v>
      </c>
      <c r="AF5" s="13">
        <f t="shared" ref="AF5" si="29">AE5+$AI5</f>
        <v>0.96607142857142836</v>
      </c>
      <c r="AG5" s="13">
        <v>1</v>
      </c>
      <c r="AI5" s="28">
        <f t="shared" si="2"/>
        <v>3.3928571428571426E-2</v>
      </c>
    </row>
    <row r="6" spans="1:35" s="20" customFormat="1" x14ac:dyDescent="0.3">
      <c r="A6" s="30" t="s">
        <v>4</v>
      </c>
      <c r="B6" s="31">
        <v>0</v>
      </c>
      <c r="C6" s="27">
        <v>1E-4</v>
      </c>
      <c r="D6" s="27">
        <v>1E-4</v>
      </c>
      <c r="E6" s="27">
        <v>9.9999999999995925E-5</v>
      </c>
      <c r="F6" s="27">
        <v>3.6678571428571394E-3</v>
      </c>
      <c r="G6" s="27">
        <v>7.2357142857142828E-3</v>
      </c>
      <c r="H6" s="27">
        <v>1.0803571428571426E-2</v>
      </c>
      <c r="I6" s="27">
        <v>1.437142857142857E-2</v>
      </c>
      <c r="J6" s="27">
        <v>1.7939285714285713E-2</v>
      </c>
      <c r="K6" s="27">
        <v>2.1507142857142857E-2</v>
      </c>
      <c r="L6" s="27">
        <v>2.5075E-2</v>
      </c>
      <c r="M6" s="27">
        <v>2.8642857142857144E-2</v>
      </c>
      <c r="N6" s="27">
        <v>3.2210714285714287E-2</v>
      </c>
      <c r="O6" s="27">
        <v>3.577857142857143E-2</v>
      </c>
      <c r="P6" s="27">
        <v>3.9346428571428574E-2</v>
      </c>
      <c r="Q6" s="27">
        <v>4.2914285714285717E-2</v>
      </c>
      <c r="R6" s="27">
        <v>4.6482142857142861E-2</v>
      </c>
      <c r="S6" s="27">
        <v>5.0050000000000004E-2</v>
      </c>
      <c r="T6" s="27">
        <v>5.3617857142857148E-2</v>
      </c>
      <c r="U6" s="27">
        <v>5.7185714285714291E-2</v>
      </c>
      <c r="V6" s="27">
        <v>6.0753571428571435E-2</v>
      </c>
      <c r="W6" s="27">
        <v>6.4321428571428571E-2</v>
      </c>
      <c r="X6" s="27">
        <v>6.7889285714285721E-2</v>
      </c>
      <c r="Y6" s="27">
        <v>7.1457142857142872E-2</v>
      </c>
      <c r="Z6" s="27">
        <v>7.5025000000000008E-2</v>
      </c>
      <c r="AA6" s="27">
        <v>7.8592857142857145E-2</v>
      </c>
      <c r="AB6" s="27">
        <v>8.2160714285714295E-2</v>
      </c>
      <c r="AC6" s="27">
        <v>8.5728571428571446E-2</v>
      </c>
      <c r="AD6" s="27">
        <v>8.9296428571428582E-2</v>
      </c>
      <c r="AE6" s="27">
        <v>9.2864285714285719E-2</v>
      </c>
      <c r="AF6" s="27">
        <v>9.6432142857142869E-2</v>
      </c>
      <c r="AG6" s="27">
        <v>0.10000000000000002</v>
      </c>
      <c r="AI6" s="33">
        <f t="shared" si="2"/>
        <v>3.5678571428571434E-3</v>
      </c>
    </row>
    <row r="7" spans="1:35" s="20" customFormat="1" x14ac:dyDescent="0.3">
      <c r="A7" s="30" t="s">
        <v>5</v>
      </c>
      <c r="B7" s="31">
        <v>0</v>
      </c>
      <c r="C7" s="27">
        <v>1E-4</v>
      </c>
      <c r="D7" s="27">
        <v>1E-4</v>
      </c>
      <c r="E7" s="27">
        <v>1E-4</v>
      </c>
      <c r="F7" s="27">
        <v>3.6678599999999998E-3</v>
      </c>
      <c r="G7" s="27">
        <v>7.2357100000000002E-3</v>
      </c>
      <c r="H7" s="27">
        <v>1.08036E-2</v>
      </c>
      <c r="I7" s="27">
        <v>1.4371399999999999E-2</v>
      </c>
      <c r="J7" s="27">
        <v>1.7939299999999998E-2</v>
      </c>
      <c r="K7" s="27">
        <v>2.1507100000000001E-2</v>
      </c>
      <c r="L7" s="27">
        <v>2.5075E-2</v>
      </c>
      <c r="M7" s="27">
        <v>2.8642899999999999E-2</v>
      </c>
      <c r="N7" s="27">
        <v>3.2210700000000002E-2</v>
      </c>
      <c r="O7" s="27">
        <v>3.5778600000000001E-2</v>
      </c>
      <c r="P7" s="27">
        <v>3.9346399999999997E-2</v>
      </c>
      <c r="Q7" s="27">
        <v>4.2914300000000002E-2</v>
      </c>
      <c r="R7" s="27">
        <v>4.6482099999999998E-2</v>
      </c>
      <c r="S7" s="27">
        <v>5.0049999999999997E-2</v>
      </c>
      <c r="T7" s="27">
        <v>5.3617900000000003E-2</v>
      </c>
      <c r="U7" s="27">
        <v>5.7185699999999999E-2</v>
      </c>
      <c r="V7" s="27">
        <v>6.0753599999999998E-2</v>
      </c>
      <c r="W7" s="27">
        <v>6.4321400000000001E-2</v>
      </c>
      <c r="X7" s="27">
        <v>6.78893E-2</v>
      </c>
      <c r="Y7" s="27">
        <v>7.1457099999999996E-2</v>
      </c>
      <c r="Z7" s="27">
        <v>7.5024999999999994E-2</v>
      </c>
      <c r="AA7" s="27">
        <v>7.8592899999999993E-2</v>
      </c>
      <c r="AB7" s="27">
        <v>8.2160700000000003E-2</v>
      </c>
      <c r="AC7" s="27">
        <v>8.5728600000000002E-2</v>
      </c>
      <c r="AD7" s="27">
        <v>8.9296399999999998E-2</v>
      </c>
      <c r="AE7" s="27">
        <v>9.2864299999999997E-2</v>
      </c>
      <c r="AF7" s="27">
        <v>9.6432100000000007E-2</v>
      </c>
      <c r="AG7" s="27">
        <v>0.1</v>
      </c>
      <c r="AI7" s="33">
        <f t="shared" si="2"/>
        <v>3.567857142857143E-3</v>
      </c>
    </row>
    <row r="8" spans="1:35" x14ac:dyDescent="0.3">
      <c r="A8" s="1" t="s">
        <v>6</v>
      </c>
      <c r="B8" s="12">
        <v>0</v>
      </c>
      <c r="C8" s="13">
        <v>6.6666666666666652E-2</v>
      </c>
      <c r="D8" s="13">
        <v>0.13333333333333333</v>
      </c>
      <c r="E8" s="13">
        <v>0.20000000000000004</v>
      </c>
      <c r="F8" s="13">
        <f t="shared" si="1"/>
        <v>0.2821428571428572</v>
      </c>
      <c r="G8" s="13">
        <f t="shared" si="1"/>
        <v>0.36428571428571432</v>
      </c>
      <c r="H8" s="13">
        <f t="shared" si="0"/>
        <v>0.44642857142857145</v>
      </c>
      <c r="I8" s="13">
        <f t="shared" si="0"/>
        <v>0.52857142857142858</v>
      </c>
      <c r="J8" s="13">
        <f t="shared" si="0"/>
        <v>0.61071428571428577</v>
      </c>
      <c r="K8" s="13">
        <f t="shared" si="0"/>
        <v>0.69285714285714295</v>
      </c>
      <c r="L8" s="13">
        <f t="shared" si="0"/>
        <v>0.77500000000000013</v>
      </c>
      <c r="M8" s="13">
        <f t="shared" si="0"/>
        <v>0.85714285714285732</v>
      </c>
      <c r="N8" s="13">
        <f t="shared" si="0"/>
        <v>0.9392857142857145</v>
      </c>
      <c r="O8" s="13">
        <f t="shared" si="0"/>
        <v>1.0214285714285716</v>
      </c>
      <c r="P8" s="13">
        <f t="shared" si="0"/>
        <v>1.1035714285714286</v>
      </c>
      <c r="Q8" s="13">
        <f t="shared" si="0"/>
        <v>1.1857142857142857</v>
      </c>
      <c r="R8" s="13">
        <f t="shared" si="0"/>
        <v>1.2678571428571428</v>
      </c>
      <c r="S8" s="13">
        <f t="shared" si="0"/>
        <v>1.3499999999999999</v>
      </c>
      <c r="T8" s="13">
        <f t="shared" si="0"/>
        <v>1.4321428571428569</v>
      </c>
      <c r="U8" s="13">
        <f t="shared" si="0"/>
        <v>1.514285714285714</v>
      </c>
      <c r="V8" s="13">
        <f t="shared" si="0"/>
        <v>1.5964285714285711</v>
      </c>
      <c r="W8" s="13">
        <f t="shared" si="0"/>
        <v>1.6785714285714282</v>
      </c>
      <c r="X8" s="13">
        <f t="shared" si="0"/>
        <v>1.7607142857142852</v>
      </c>
      <c r="Y8" s="13">
        <f t="shared" si="0"/>
        <v>1.8428571428571423</v>
      </c>
      <c r="Z8" s="13">
        <f t="shared" si="0"/>
        <v>1.9249999999999994</v>
      </c>
      <c r="AA8" s="13">
        <f t="shared" si="0"/>
        <v>2.0071428571428567</v>
      </c>
      <c r="AB8" s="13">
        <f t="shared" si="0"/>
        <v>2.089285714285714</v>
      </c>
      <c r="AC8" s="13">
        <f t="shared" si="0"/>
        <v>2.1714285714285713</v>
      </c>
      <c r="AD8" s="13">
        <f t="shared" si="0"/>
        <v>2.2535714285714286</v>
      </c>
      <c r="AE8" s="13">
        <f t="shared" si="0"/>
        <v>2.3357142857142859</v>
      </c>
      <c r="AF8" s="13">
        <f t="shared" si="0"/>
        <v>2.4178571428571431</v>
      </c>
      <c r="AG8" s="13">
        <v>2.5</v>
      </c>
      <c r="AI8" s="28">
        <f t="shared" si="2"/>
        <v>8.2142857142857142E-2</v>
      </c>
    </row>
    <row r="9" spans="1:35" x14ac:dyDescent="0.3">
      <c r="A9" s="1" t="s">
        <v>7</v>
      </c>
      <c r="B9" s="12">
        <v>0</v>
      </c>
      <c r="C9" s="27">
        <v>1.6666666666666663E-2</v>
      </c>
      <c r="D9" s="27">
        <v>3.3333333333333333E-2</v>
      </c>
      <c r="E9" s="27">
        <v>5.000000000000001E-2</v>
      </c>
      <c r="F9" s="13">
        <f t="shared" si="1"/>
        <v>8.3928571428571436E-2</v>
      </c>
      <c r="G9" s="13">
        <f t="shared" si="1"/>
        <v>0.11785714285714285</v>
      </c>
      <c r="H9" s="13">
        <f t="shared" si="0"/>
        <v>0.15178571428571427</v>
      </c>
      <c r="I9" s="13">
        <f t="shared" si="0"/>
        <v>0.18571428571428569</v>
      </c>
      <c r="J9" s="13">
        <f t="shared" si="0"/>
        <v>0.21964285714285711</v>
      </c>
      <c r="K9" s="13">
        <f t="shared" si="0"/>
        <v>0.25357142857142856</v>
      </c>
      <c r="L9" s="13">
        <f t="shared" si="0"/>
        <v>0.28749999999999998</v>
      </c>
      <c r="M9" s="13">
        <f t="shared" si="0"/>
        <v>0.3214285714285714</v>
      </c>
      <c r="N9" s="13">
        <f t="shared" si="0"/>
        <v>0.35535714285714282</v>
      </c>
      <c r="O9" s="13">
        <f t="shared" si="0"/>
        <v>0.38928571428571423</v>
      </c>
      <c r="P9" s="13">
        <f t="shared" si="0"/>
        <v>0.42321428571428565</v>
      </c>
      <c r="Q9" s="13">
        <f t="shared" si="0"/>
        <v>0.45714285714285707</v>
      </c>
      <c r="R9" s="13">
        <f t="shared" si="0"/>
        <v>0.49107142857142849</v>
      </c>
      <c r="S9" s="13">
        <f t="shared" si="0"/>
        <v>0.52499999999999991</v>
      </c>
      <c r="T9" s="13">
        <f t="shared" si="0"/>
        <v>0.55892857142857133</v>
      </c>
      <c r="U9" s="13">
        <f t="shared" si="0"/>
        <v>0.59285714285714275</v>
      </c>
      <c r="V9" s="13">
        <f t="shared" si="0"/>
        <v>0.62678571428571417</v>
      </c>
      <c r="W9" s="13">
        <f t="shared" si="0"/>
        <v>0.66071428571428559</v>
      </c>
      <c r="X9" s="13">
        <f t="shared" si="0"/>
        <v>0.69464285714285701</v>
      </c>
      <c r="Y9" s="13">
        <f t="shared" si="0"/>
        <v>0.72857142857142843</v>
      </c>
      <c r="Z9" s="13">
        <f t="shared" si="0"/>
        <v>0.76249999999999984</v>
      </c>
      <c r="AA9" s="13">
        <f t="shared" si="0"/>
        <v>0.79642857142857126</v>
      </c>
      <c r="AB9" s="13">
        <f t="shared" si="0"/>
        <v>0.83035714285714268</v>
      </c>
      <c r="AC9" s="13">
        <f t="shared" si="0"/>
        <v>0.8642857142857141</v>
      </c>
      <c r="AD9" s="13">
        <f t="shared" si="0"/>
        <v>0.89821428571428552</v>
      </c>
      <c r="AE9" s="13">
        <f t="shared" si="0"/>
        <v>0.93214285714285694</v>
      </c>
      <c r="AF9" s="13">
        <f t="shared" si="0"/>
        <v>0.96607142857142836</v>
      </c>
      <c r="AG9" s="13">
        <v>1</v>
      </c>
      <c r="AI9" s="28">
        <f t="shared" si="2"/>
        <v>3.3928571428571426E-2</v>
      </c>
    </row>
    <row r="10" spans="1:35" x14ac:dyDescent="0.3">
      <c r="A10" s="1" t="s">
        <v>8</v>
      </c>
      <c r="B10" s="12">
        <v>0</v>
      </c>
      <c r="C10" s="13">
        <v>0.1333333333333333</v>
      </c>
      <c r="D10" s="13">
        <v>0.26666666666666666</v>
      </c>
      <c r="E10" s="13">
        <v>0.40000000000000008</v>
      </c>
      <c r="F10" s="13">
        <f t="shared" si="1"/>
        <v>0.47500000000000009</v>
      </c>
      <c r="G10" s="13">
        <f t="shared" si="1"/>
        <v>0.55000000000000004</v>
      </c>
      <c r="H10" s="13">
        <f t="shared" si="0"/>
        <v>0.625</v>
      </c>
      <c r="I10" s="13">
        <f t="shared" si="0"/>
        <v>0.7</v>
      </c>
      <c r="J10" s="13">
        <f t="shared" si="0"/>
        <v>0.77499999999999991</v>
      </c>
      <c r="K10" s="13">
        <f t="shared" si="0"/>
        <v>0.84999999999999987</v>
      </c>
      <c r="L10" s="13">
        <f t="shared" si="0"/>
        <v>0.92499999999999982</v>
      </c>
      <c r="M10" s="13">
        <f t="shared" si="0"/>
        <v>0.99999999999999978</v>
      </c>
      <c r="N10" s="13">
        <f t="shared" si="0"/>
        <v>1.0749999999999997</v>
      </c>
      <c r="O10" s="13">
        <f t="shared" si="0"/>
        <v>1.1499999999999997</v>
      </c>
      <c r="P10" s="13">
        <f t="shared" si="0"/>
        <v>1.2249999999999996</v>
      </c>
      <c r="Q10" s="13">
        <f t="shared" si="0"/>
        <v>1.2999999999999996</v>
      </c>
      <c r="R10" s="13">
        <f t="shared" si="0"/>
        <v>1.3749999999999996</v>
      </c>
      <c r="S10" s="13">
        <f t="shared" si="0"/>
        <v>1.4499999999999995</v>
      </c>
      <c r="T10" s="13">
        <f t="shared" si="0"/>
        <v>1.5249999999999995</v>
      </c>
      <c r="U10" s="13">
        <f t="shared" si="0"/>
        <v>1.5999999999999994</v>
      </c>
      <c r="V10" s="13">
        <f t="shared" si="0"/>
        <v>1.6749999999999994</v>
      </c>
      <c r="W10" s="13">
        <f t="shared" si="0"/>
        <v>1.7499999999999993</v>
      </c>
      <c r="X10" s="13">
        <f t="shared" si="0"/>
        <v>1.8249999999999993</v>
      </c>
      <c r="Y10" s="13">
        <f t="shared" si="0"/>
        <v>1.8999999999999992</v>
      </c>
      <c r="Z10" s="13">
        <f t="shared" si="0"/>
        <v>1.9749999999999992</v>
      </c>
      <c r="AA10" s="13">
        <f t="shared" si="0"/>
        <v>2.0499999999999994</v>
      </c>
      <c r="AB10" s="13">
        <f t="shared" si="0"/>
        <v>2.1249999999999996</v>
      </c>
      <c r="AC10" s="13">
        <f t="shared" si="0"/>
        <v>2.1999999999999997</v>
      </c>
      <c r="AD10" s="13">
        <f t="shared" si="0"/>
        <v>2.2749999999999999</v>
      </c>
      <c r="AE10" s="13">
        <f t="shared" si="0"/>
        <v>2.35</v>
      </c>
      <c r="AF10" s="13">
        <f t="shared" si="0"/>
        <v>2.4250000000000003</v>
      </c>
      <c r="AG10" s="13">
        <v>2.5</v>
      </c>
      <c r="AI10" s="28">
        <f t="shared" si="2"/>
        <v>7.4999999999999997E-2</v>
      </c>
    </row>
    <row r="11" spans="1:35" x14ac:dyDescent="0.3">
      <c r="A11" s="1" t="s">
        <v>9</v>
      </c>
      <c r="B11" s="12">
        <v>0</v>
      </c>
      <c r="C11" s="27">
        <v>1.6666666666666663E-2</v>
      </c>
      <c r="D11" s="27">
        <v>3.3333333333333333E-2</v>
      </c>
      <c r="E11" s="27">
        <v>5.000000000000001E-2</v>
      </c>
      <c r="F11" s="13">
        <f t="shared" si="1"/>
        <v>8.3928571428571436E-2</v>
      </c>
      <c r="G11" s="13">
        <f t="shared" si="1"/>
        <v>0.11785714285714285</v>
      </c>
      <c r="H11" s="13">
        <f t="shared" si="0"/>
        <v>0.15178571428571427</v>
      </c>
      <c r="I11" s="13">
        <f t="shared" si="0"/>
        <v>0.18571428571428569</v>
      </c>
      <c r="J11" s="13">
        <f t="shared" si="0"/>
        <v>0.21964285714285711</v>
      </c>
      <c r="K11" s="13">
        <f t="shared" si="0"/>
        <v>0.25357142857142856</v>
      </c>
      <c r="L11" s="13">
        <f t="shared" si="0"/>
        <v>0.28749999999999998</v>
      </c>
      <c r="M11" s="13">
        <f t="shared" si="0"/>
        <v>0.3214285714285714</v>
      </c>
      <c r="N11" s="13">
        <f t="shared" si="0"/>
        <v>0.35535714285714282</v>
      </c>
      <c r="O11" s="13">
        <f t="shared" si="0"/>
        <v>0.38928571428571423</v>
      </c>
      <c r="P11" s="13">
        <f t="shared" si="0"/>
        <v>0.42321428571428565</v>
      </c>
      <c r="Q11" s="13">
        <f t="shared" si="0"/>
        <v>0.45714285714285707</v>
      </c>
      <c r="R11" s="13">
        <f t="shared" si="0"/>
        <v>0.49107142857142849</v>
      </c>
      <c r="S11" s="13">
        <f t="shared" si="0"/>
        <v>0.52499999999999991</v>
      </c>
      <c r="T11" s="13">
        <f t="shared" si="0"/>
        <v>0.55892857142857133</v>
      </c>
      <c r="U11" s="13">
        <f t="shared" si="0"/>
        <v>0.59285714285714275</v>
      </c>
      <c r="V11" s="13">
        <f t="shared" si="0"/>
        <v>0.62678571428571417</v>
      </c>
      <c r="W11" s="13">
        <f t="shared" si="0"/>
        <v>0.66071428571428559</v>
      </c>
      <c r="X11" s="13">
        <f t="shared" si="0"/>
        <v>0.69464285714285701</v>
      </c>
      <c r="Y11" s="13">
        <f t="shared" si="0"/>
        <v>0.72857142857142843</v>
      </c>
      <c r="Z11" s="13">
        <f t="shared" si="0"/>
        <v>0.76249999999999984</v>
      </c>
      <c r="AA11" s="13">
        <f t="shared" si="0"/>
        <v>0.79642857142857126</v>
      </c>
      <c r="AB11" s="13">
        <f t="shared" si="0"/>
        <v>0.83035714285714268</v>
      </c>
      <c r="AC11" s="13">
        <f t="shared" si="0"/>
        <v>0.8642857142857141</v>
      </c>
      <c r="AD11" s="13">
        <f t="shared" si="0"/>
        <v>0.89821428571428552</v>
      </c>
      <c r="AE11" s="13">
        <f t="shared" si="0"/>
        <v>0.93214285714285694</v>
      </c>
      <c r="AF11" s="13">
        <f t="shared" si="0"/>
        <v>0.96607142857142836</v>
      </c>
      <c r="AG11" s="13">
        <v>1</v>
      </c>
      <c r="AI11" s="28">
        <f t="shared" si="2"/>
        <v>3.3928571428571426E-2</v>
      </c>
    </row>
    <row r="12" spans="1:35" x14ac:dyDescent="0.3">
      <c r="A12" s="1" t="s">
        <v>10</v>
      </c>
      <c r="B12" s="12">
        <v>0</v>
      </c>
      <c r="C12" s="27">
        <v>0.01</v>
      </c>
      <c r="D12" s="27">
        <v>0.01</v>
      </c>
      <c r="E12" s="27">
        <v>0.01</v>
      </c>
      <c r="F12" s="13">
        <f t="shared" si="1"/>
        <v>2.7499999999999997E-2</v>
      </c>
      <c r="G12" s="13">
        <f t="shared" si="1"/>
        <v>4.4999999999999998E-2</v>
      </c>
      <c r="H12" s="13">
        <f t="shared" si="0"/>
        <v>6.25E-2</v>
      </c>
      <c r="I12" s="13">
        <f t="shared" si="0"/>
        <v>0.08</v>
      </c>
      <c r="J12" s="13">
        <f t="shared" si="0"/>
        <v>9.7500000000000003E-2</v>
      </c>
      <c r="K12" s="13">
        <f t="shared" si="0"/>
        <v>0.115</v>
      </c>
      <c r="L12" s="13">
        <f t="shared" si="0"/>
        <v>0.13250000000000001</v>
      </c>
      <c r="M12" s="13">
        <f t="shared" ref="M12:AF18" si="30">L12+$AI12</f>
        <v>0.15</v>
      </c>
      <c r="N12" s="13">
        <f t="shared" si="30"/>
        <v>0.16749999999999998</v>
      </c>
      <c r="O12" s="13">
        <f t="shared" si="30"/>
        <v>0.18499999999999997</v>
      </c>
      <c r="P12" s="13">
        <f t="shared" si="30"/>
        <v>0.20249999999999996</v>
      </c>
      <c r="Q12" s="13">
        <f t="shared" si="30"/>
        <v>0.21999999999999995</v>
      </c>
      <c r="R12" s="13">
        <f t="shared" si="30"/>
        <v>0.23749999999999993</v>
      </c>
      <c r="S12" s="13">
        <f t="shared" si="30"/>
        <v>0.25499999999999995</v>
      </c>
      <c r="T12" s="13">
        <f t="shared" si="30"/>
        <v>0.27249999999999996</v>
      </c>
      <c r="U12" s="13">
        <f t="shared" si="30"/>
        <v>0.28999999999999998</v>
      </c>
      <c r="V12" s="13">
        <f t="shared" si="30"/>
        <v>0.3075</v>
      </c>
      <c r="W12" s="13">
        <f t="shared" si="30"/>
        <v>0.32500000000000001</v>
      </c>
      <c r="X12" s="13">
        <f t="shared" si="30"/>
        <v>0.34250000000000003</v>
      </c>
      <c r="Y12" s="13">
        <f t="shared" si="30"/>
        <v>0.36000000000000004</v>
      </c>
      <c r="Z12" s="13">
        <f t="shared" si="30"/>
        <v>0.37750000000000006</v>
      </c>
      <c r="AA12" s="13">
        <f t="shared" si="30"/>
        <v>0.39500000000000007</v>
      </c>
      <c r="AB12" s="13">
        <f t="shared" si="30"/>
        <v>0.41250000000000009</v>
      </c>
      <c r="AC12" s="13">
        <f t="shared" si="30"/>
        <v>0.4300000000000001</v>
      </c>
      <c r="AD12" s="13">
        <f t="shared" si="30"/>
        <v>0.44750000000000012</v>
      </c>
      <c r="AE12" s="13">
        <f t="shared" si="30"/>
        <v>0.46500000000000014</v>
      </c>
      <c r="AF12" s="13">
        <f t="shared" si="30"/>
        <v>0.48250000000000015</v>
      </c>
      <c r="AG12" s="13">
        <v>0.5</v>
      </c>
      <c r="AI12" s="28">
        <f t="shared" si="2"/>
        <v>1.7499999999999998E-2</v>
      </c>
    </row>
    <row r="13" spans="1:35" x14ac:dyDescent="0.3">
      <c r="A13" s="1" t="s">
        <v>11</v>
      </c>
      <c r="B13" s="12">
        <v>0</v>
      </c>
      <c r="C13" s="27">
        <v>0.01</v>
      </c>
      <c r="D13" s="27">
        <v>0.01</v>
      </c>
      <c r="E13" s="27">
        <v>0.01</v>
      </c>
      <c r="F13" s="13">
        <f t="shared" si="1"/>
        <v>2.7499999999999997E-2</v>
      </c>
      <c r="G13" s="13">
        <f t="shared" si="1"/>
        <v>4.4999999999999998E-2</v>
      </c>
      <c r="H13" s="13">
        <f t="shared" si="1"/>
        <v>6.25E-2</v>
      </c>
      <c r="I13" s="13">
        <f t="shared" si="1"/>
        <v>0.08</v>
      </c>
      <c r="J13" s="13">
        <f t="shared" si="1"/>
        <v>9.7500000000000003E-2</v>
      </c>
      <c r="K13" s="13">
        <f t="shared" si="1"/>
        <v>0.115</v>
      </c>
      <c r="L13" s="13">
        <f t="shared" si="1"/>
        <v>0.13250000000000001</v>
      </c>
      <c r="M13" s="13">
        <f t="shared" si="1"/>
        <v>0.15</v>
      </c>
      <c r="N13" s="13">
        <f t="shared" si="1"/>
        <v>0.16749999999999998</v>
      </c>
      <c r="O13" s="13">
        <f t="shared" si="1"/>
        <v>0.18499999999999997</v>
      </c>
      <c r="P13" s="13">
        <f t="shared" si="1"/>
        <v>0.20249999999999996</v>
      </c>
      <c r="Q13" s="13">
        <f t="shared" si="1"/>
        <v>0.21999999999999995</v>
      </c>
      <c r="R13" s="13">
        <f t="shared" si="1"/>
        <v>0.23749999999999993</v>
      </c>
      <c r="S13" s="13">
        <f t="shared" si="1"/>
        <v>0.25499999999999995</v>
      </c>
      <c r="T13" s="13">
        <f t="shared" si="1"/>
        <v>0.27249999999999996</v>
      </c>
      <c r="U13" s="13">
        <f t="shared" si="1"/>
        <v>0.28999999999999998</v>
      </c>
      <c r="V13" s="13">
        <f t="shared" si="30"/>
        <v>0.3075</v>
      </c>
      <c r="W13" s="13">
        <f t="shared" si="30"/>
        <v>0.32500000000000001</v>
      </c>
      <c r="X13" s="13">
        <f t="shared" si="30"/>
        <v>0.34250000000000003</v>
      </c>
      <c r="Y13" s="13">
        <f t="shared" si="30"/>
        <v>0.36000000000000004</v>
      </c>
      <c r="Z13" s="13">
        <f t="shared" si="30"/>
        <v>0.37750000000000006</v>
      </c>
      <c r="AA13" s="13">
        <f t="shared" si="30"/>
        <v>0.39500000000000007</v>
      </c>
      <c r="AB13" s="13">
        <f t="shared" si="30"/>
        <v>0.41250000000000009</v>
      </c>
      <c r="AC13" s="13">
        <f t="shared" si="30"/>
        <v>0.4300000000000001</v>
      </c>
      <c r="AD13" s="13">
        <f t="shared" si="30"/>
        <v>0.44750000000000012</v>
      </c>
      <c r="AE13" s="13">
        <f t="shared" si="30"/>
        <v>0.46500000000000014</v>
      </c>
      <c r="AF13" s="13">
        <f t="shared" si="30"/>
        <v>0.48250000000000015</v>
      </c>
      <c r="AG13" s="13">
        <v>0.5</v>
      </c>
      <c r="AI13" s="28">
        <f t="shared" si="2"/>
        <v>1.7499999999999998E-2</v>
      </c>
    </row>
    <row r="14" spans="1:35" x14ac:dyDescent="0.3">
      <c r="A14" s="1" t="s">
        <v>12</v>
      </c>
      <c r="B14" s="12">
        <v>0</v>
      </c>
      <c r="C14" s="27">
        <v>0.01</v>
      </c>
      <c r="D14" s="27">
        <v>0.01</v>
      </c>
      <c r="E14" s="27">
        <v>0.01</v>
      </c>
      <c r="F14" s="13">
        <f t="shared" si="1"/>
        <v>2.7499999999999997E-2</v>
      </c>
      <c r="G14" s="13">
        <f t="shared" si="1"/>
        <v>4.4999999999999998E-2</v>
      </c>
      <c r="H14" s="13">
        <f t="shared" si="1"/>
        <v>6.25E-2</v>
      </c>
      <c r="I14" s="13">
        <f t="shared" si="1"/>
        <v>0.08</v>
      </c>
      <c r="J14" s="13">
        <f t="shared" si="1"/>
        <v>9.7500000000000003E-2</v>
      </c>
      <c r="K14" s="13">
        <f t="shared" si="1"/>
        <v>0.115</v>
      </c>
      <c r="L14" s="13">
        <f t="shared" si="1"/>
        <v>0.13250000000000001</v>
      </c>
      <c r="M14" s="13">
        <f t="shared" si="1"/>
        <v>0.15</v>
      </c>
      <c r="N14" s="13">
        <f t="shared" si="1"/>
        <v>0.16749999999999998</v>
      </c>
      <c r="O14" s="13">
        <f t="shared" si="1"/>
        <v>0.18499999999999997</v>
      </c>
      <c r="P14" s="13">
        <f t="shared" si="1"/>
        <v>0.20249999999999996</v>
      </c>
      <c r="Q14" s="13">
        <f t="shared" si="1"/>
        <v>0.21999999999999995</v>
      </c>
      <c r="R14" s="13">
        <f t="shared" si="1"/>
        <v>0.23749999999999993</v>
      </c>
      <c r="S14" s="13">
        <f t="shared" si="1"/>
        <v>0.25499999999999995</v>
      </c>
      <c r="T14" s="13">
        <f t="shared" si="1"/>
        <v>0.27249999999999996</v>
      </c>
      <c r="U14" s="13">
        <f t="shared" si="1"/>
        <v>0.28999999999999998</v>
      </c>
      <c r="V14" s="13">
        <f t="shared" si="30"/>
        <v>0.3075</v>
      </c>
      <c r="W14" s="13">
        <f t="shared" si="30"/>
        <v>0.32500000000000001</v>
      </c>
      <c r="X14" s="13">
        <f t="shared" si="30"/>
        <v>0.34250000000000003</v>
      </c>
      <c r="Y14" s="13">
        <f t="shared" si="30"/>
        <v>0.36000000000000004</v>
      </c>
      <c r="Z14" s="13">
        <f t="shared" si="30"/>
        <v>0.37750000000000006</v>
      </c>
      <c r="AA14" s="13">
        <f t="shared" si="30"/>
        <v>0.39500000000000007</v>
      </c>
      <c r="AB14" s="13">
        <f t="shared" si="30"/>
        <v>0.41250000000000009</v>
      </c>
      <c r="AC14" s="13">
        <f t="shared" si="30"/>
        <v>0.4300000000000001</v>
      </c>
      <c r="AD14" s="13">
        <f t="shared" si="30"/>
        <v>0.44750000000000012</v>
      </c>
      <c r="AE14" s="13">
        <f t="shared" si="30"/>
        <v>0.46500000000000014</v>
      </c>
      <c r="AF14" s="13">
        <f t="shared" si="30"/>
        <v>0.48250000000000015</v>
      </c>
      <c r="AG14" s="13">
        <v>0.5</v>
      </c>
      <c r="AI14" s="28">
        <f t="shared" si="2"/>
        <v>1.7499999999999998E-2</v>
      </c>
    </row>
    <row r="15" spans="1:35" x14ac:dyDescent="0.3">
      <c r="A15" s="1" t="s">
        <v>13</v>
      </c>
      <c r="B15" s="12">
        <v>0</v>
      </c>
      <c r="C15" s="27">
        <v>0.01</v>
      </c>
      <c r="D15" s="27">
        <v>0.01</v>
      </c>
      <c r="E15" s="27">
        <v>0.01</v>
      </c>
      <c r="F15" s="13">
        <f t="shared" si="1"/>
        <v>2.7499999999999997E-2</v>
      </c>
      <c r="G15" s="13">
        <f t="shared" si="1"/>
        <v>4.4999999999999998E-2</v>
      </c>
      <c r="H15" s="13">
        <f t="shared" si="1"/>
        <v>6.25E-2</v>
      </c>
      <c r="I15" s="13">
        <f t="shared" si="1"/>
        <v>0.08</v>
      </c>
      <c r="J15" s="13">
        <f t="shared" si="1"/>
        <v>9.7500000000000003E-2</v>
      </c>
      <c r="K15" s="13">
        <f t="shared" si="1"/>
        <v>0.115</v>
      </c>
      <c r="L15" s="13">
        <f t="shared" si="1"/>
        <v>0.13250000000000001</v>
      </c>
      <c r="M15" s="13">
        <f t="shared" si="1"/>
        <v>0.15</v>
      </c>
      <c r="N15" s="13">
        <f t="shared" si="1"/>
        <v>0.16749999999999998</v>
      </c>
      <c r="O15" s="13">
        <f t="shared" si="1"/>
        <v>0.18499999999999997</v>
      </c>
      <c r="P15" s="13">
        <f t="shared" si="1"/>
        <v>0.20249999999999996</v>
      </c>
      <c r="Q15" s="13">
        <f t="shared" si="1"/>
        <v>0.21999999999999995</v>
      </c>
      <c r="R15" s="13">
        <f t="shared" si="1"/>
        <v>0.23749999999999993</v>
      </c>
      <c r="S15" s="13">
        <f t="shared" si="1"/>
        <v>0.25499999999999995</v>
      </c>
      <c r="T15" s="13">
        <f t="shared" si="1"/>
        <v>0.27249999999999996</v>
      </c>
      <c r="U15" s="13">
        <f t="shared" si="1"/>
        <v>0.28999999999999998</v>
      </c>
      <c r="V15" s="13">
        <f t="shared" si="30"/>
        <v>0.3075</v>
      </c>
      <c r="W15" s="13">
        <f t="shared" si="30"/>
        <v>0.32500000000000001</v>
      </c>
      <c r="X15" s="13">
        <f t="shared" si="30"/>
        <v>0.34250000000000003</v>
      </c>
      <c r="Y15" s="13">
        <f t="shared" si="30"/>
        <v>0.36000000000000004</v>
      </c>
      <c r="Z15" s="13">
        <f t="shared" si="30"/>
        <v>0.37750000000000006</v>
      </c>
      <c r="AA15" s="13">
        <f t="shared" si="30"/>
        <v>0.39500000000000007</v>
      </c>
      <c r="AB15" s="13">
        <f t="shared" si="30"/>
        <v>0.41250000000000009</v>
      </c>
      <c r="AC15" s="13">
        <f t="shared" si="30"/>
        <v>0.4300000000000001</v>
      </c>
      <c r="AD15" s="13">
        <f t="shared" si="30"/>
        <v>0.44750000000000012</v>
      </c>
      <c r="AE15" s="13">
        <f t="shared" si="30"/>
        <v>0.46500000000000014</v>
      </c>
      <c r="AF15" s="13">
        <f t="shared" si="30"/>
        <v>0.48250000000000015</v>
      </c>
      <c r="AG15" s="13">
        <v>0.5</v>
      </c>
      <c r="AI15" s="28">
        <f t="shared" si="2"/>
        <v>1.7499999999999998E-2</v>
      </c>
    </row>
    <row r="16" spans="1:35" x14ac:dyDescent="0.3">
      <c r="A16" s="1" t="s">
        <v>14</v>
      </c>
      <c r="B16" s="12">
        <v>0</v>
      </c>
      <c r="C16" s="27">
        <v>0.01</v>
      </c>
      <c r="D16" s="27">
        <v>0.01</v>
      </c>
      <c r="E16" s="27">
        <v>0.01</v>
      </c>
      <c r="F16" s="13">
        <f t="shared" si="1"/>
        <v>2.7499999999999997E-2</v>
      </c>
      <c r="G16" s="13">
        <f t="shared" si="1"/>
        <v>4.4999999999999998E-2</v>
      </c>
      <c r="H16" s="13">
        <f t="shared" si="1"/>
        <v>6.25E-2</v>
      </c>
      <c r="I16" s="13">
        <f t="shared" si="1"/>
        <v>0.08</v>
      </c>
      <c r="J16" s="13">
        <f t="shared" si="1"/>
        <v>9.7500000000000003E-2</v>
      </c>
      <c r="K16" s="13">
        <f t="shared" si="1"/>
        <v>0.115</v>
      </c>
      <c r="L16" s="13">
        <f t="shared" si="1"/>
        <v>0.13250000000000001</v>
      </c>
      <c r="M16" s="13">
        <f t="shared" si="1"/>
        <v>0.15</v>
      </c>
      <c r="N16" s="13">
        <f t="shared" si="1"/>
        <v>0.16749999999999998</v>
      </c>
      <c r="O16" s="13">
        <f t="shared" si="1"/>
        <v>0.18499999999999997</v>
      </c>
      <c r="P16" s="13">
        <f t="shared" si="1"/>
        <v>0.20249999999999996</v>
      </c>
      <c r="Q16" s="13">
        <f t="shared" si="1"/>
        <v>0.21999999999999995</v>
      </c>
      <c r="R16" s="13">
        <f t="shared" si="1"/>
        <v>0.23749999999999993</v>
      </c>
      <c r="S16" s="13">
        <f t="shared" si="1"/>
        <v>0.25499999999999995</v>
      </c>
      <c r="T16" s="13">
        <f t="shared" si="1"/>
        <v>0.27249999999999996</v>
      </c>
      <c r="U16" s="13">
        <f t="shared" si="1"/>
        <v>0.28999999999999998</v>
      </c>
      <c r="V16" s="13">
        <f t="shared" si="30"/>
        <v>0.3075</v>
      </c>
      <c r="W16" s="13">
        <f t="shared" si="30"/>
        <v>0.32500000000000001</v>
      </c>
      <c r="X16" s="13">
        <f t="shared" si="30"/>
        <v>0.34250000000000003</v>
      </c>
      <c r="Y16" s="13">
        <f t="shared" si="30"/>
        <v>0.36000000000000004</v>
      </c>
      <c r="Z16" s="13">
        <f t="shared" si="30"/>
        <v>0.37750000000000006</v>
      </c>
      <c r="AA16" s="13">
        <f t="shared" si="30"/>
        <v>0.39500000000000007</v>
      </c>
      <c r="AB16" s="13">
        <f t="shared" si="30"/>
        <v>0.41250000000000009</v>
      </c>
      <c r="AC16" s="13">
        <f t="shared" si="30"/>
        <v>0.4300000000000001</v>
      </c>
      <c r="AD16" s="13">
        <f t="shared" si="30"/>
        <v>0.44750000000000012</v>
      </c>
      <c r="AE16" s="13">
        <f t="shared" si="30"/>
        <v>0.46500000000000014</v>
      </c>
      <c r="AF16" s="13">
        <f t="shared" si="30"/>
        <v>0.48250000000000015</v>
      </c>
      <c r="AG16" s="13">
        <v>0.5</v>
      </c>
      <c r="AI16" s="28">
        <f t="shared" si="2"/>
        <v>1.7499999999999998E-2</v>
      </c>
    </row>
    <row r="17" spans="1:35" x14ac:dyDescent="0.3">
      <c r="A17" s="1" t="s">
        <v>15</v>
      </c>
      <c r="B17" s="12">
        <v>0</v>
      </c>
      <c r="C17" s="27">
        <v>0.01</v>
      </c>
      <c r="D17" s="27">
        <v>0.01</v>
      </c>
      <c r="E17" s="27">
        <v>0.01</v>
      </c>
      <c r="F17" s="13">
        <f t="shared" si="1"/>
        <v>2.7499999999999997E-2</v>
      </c>
      <c r="G17" s="13">
        <f t="shared" si="1"/>
        <v>4.4999999999999998E-2</v>
      </c>
      <c r="H17" s="13">
        <f t="shared" si="1"/>
        <v>6.25E-2</v>
      </c>
      <c r="I17" s="13">
        <f t="shared" si="1"/>
        <v>0.08</v>
      </c>
      <c r="J17" s="13">
        <f t="shared" si="1"/>
        <v>9.7500000000000003E-2</v>
      </c>
      <c r="K17" s="13">
        <f t="shared" si="1"/>
        <v>0.115</v>
      </c>
      <c r="L17" s="13">
        <f t="shared" si="1"/>
        <v>0.13250000000000001</v>
      </c>
      <c r="M17" s="13">
        <f t="shared" si="1"/>
        <v>0.15</v>
      </c>
      <c r="N17" s="13">
        <f t="shared" si="1"/>
        <v>0.16749999999999998</v>
      </c>
      <c r="O17" s="13">
        <f t="shared" si="1"/>
        <v>0.18499999999999997</v>
      </c>
      <c r="P17" s="13">
        <f t="shared" si="1"/>
        <v>0.20249999999999996</v>
      </c>
      <c r="Q17" s="13">
        <f t="shared" si="1"/>
        <v>0.21999999999999995</v>
      </c>
      <c r="R17" s="13">
        <f t="shared" si="1"/>
        <v>0.23749999999999993</v>
      </c>
      <c r="S17" s="13">
        <f t="shared" si="1"/>
        <v>0.25499999999999995</v>
      </c>
      <c r="T17" s="13">
        <f t="shared" si="1"/>
        <v>0.27249999999999996</v>
      </c>
      <c r="U17" s="13">
        <f t="shared" si="1"/>
        <v>0.28999999999999998</v>
      </c>
      <c r="V17" s="13">
        <f t="shared" si="30"/>
        <v>0.3075</v>
      </c>
      <c r="W17" s="13">
        <f t="shared" si="30"/>
        <v>0.32500000000000001</v>
      </c>
      <c r="X17" s="13">
        <f t="shared" si="30"/>
        <v>0.34250000000000003</v>
      </c>
      <c r="Y17" s="13">
        <f t="shared" si="30"/>
        <v>0.36000000000000004</v>
      </c>
      <c r="Z17" s="13">
        <f t="shared" si="30"/>
        <v>0.37750000000000006</v>
      </c>
      <c r="AA17" s="13">
        <f t="shared" si="30"/>
        <v>0.39500000000000007</v>
      </c>
      <c r="AB17" s="13">
        <f t="shared" si="30"/>
        <v>0.41250000000000009</v>
      </c>
      <c r="AC17" s="13">
        <f t="shared" si="30"/>
        <v>0.4300000000000001</v>
      </c>
      <c r="AD17" s="13">
        <f t="shared" si="30"/>
        <v>0.44750000000000012</v>
      </c>
      <c r="AE17" s="13">
        <f t="shared" si="30"/>
        <v>0.46500000000000014</v>
      </c>
      <c r="AF17" s="13">
        <f t="shared" si="30"/>
        <v>0.48250000000000015</v>
      </c>
      <c r="AG17" s="13">
        <v>0.5</v>
      </c>
      <c r="AI17" s="28">
        <f t="shared" si="2"/>
        <v>1.7499999999999998E-2</v>
      </c>
    </row>
    <row r="18" spans="1:35" x14ac:dyDescent="0.3">
      <c r="A18" s="1" t="s">
        <v>16</v>
      </c>
      <c r="B18" s="12">
        <v>0</v>
      </c>
      <c r="C18" s="13">
        <v>3.3333333333333326E-2</v>
      </c>
      <c r="D18" s="13">
        <v>6.6666666666666666E-2</v>
      </c>
      <c r="E18" s="13">
        <v>0.10000000000000002</v>
      </c>
      <c r="F18" s="13">
        <f t="shared" si="1"/>
        <v>0.18571428571428572</v>
      </c>
      <c r="G18" s="13">
        <f t="shared" si="1"/>
        <v>0.27142857142857146</v>
      </c>
      <c r="H18" s="13">
        <f t="shared" si="1"/>
        <v>0.35714285714285721</v>
      </c>
      <c r="I18" s="13">
        <f t="shared" si="1"/>
        <v>0.44285714285714295</v>
      </c>
      <c r="J18" s="13">
        <f t="shared" si="1"/>
        <v>0.52857142857142869</v>
      </c>
      <c r="K18" s="13">
        <f t="shared" si="1"/>
        <v>0.61428571428571443</v>
      </c>
      <c r="L18" s="13">
        <f t="shared" si="1"/>
        <v>0.70000000000000018</v>
      </c>
      <c r="M18" s="13">
        <f t="shared" si="1"/>
        <v>0.78571428571428592</v>
      </c>
      <c r="N18" s="13">
        <f t="shared" si="1"/>
        <v>0.87142857142857166</v>
      </c>
      <c r="O18" s="13">
        <f t="shared" si="1"/>
        <v>0.95714285714285741</v>
      </c>
      <c r="P18" s="13">
        <f t="shared" si="1"/>
        <v>1.0428571428571431</v>
      </c>
      <c r="Q18" s="13">
        <f t="shared" si="1"/>
        <v>1.1285714285714288</v>
      </c>
      <c r="R18" s="13">
        <f t="shared" si="1"/>
        <v>1.2142857142857144</v>
      </c>
      <c r="S18" s="13">
        <f t="shared" si="1"/>
        <v>1.3</v>
      </c>
      <c r="T18" s="13">
        <f t="shared" si="1"/>
        <v>1.3857142857142857</v>
      </c>
      <c r="U18" s="13">
        <f t="shared" si="1"/>
        <v>1.4714285714285713</v>
      </c>
      <c r="V18" s="13">
        <f t="shared" si="30"/>
        <v>1.5571428571428569</v>
      </c>
      <c r="W18" s="13">
        <f t="shared" si="30"/>
        <v>1.6428571428571426</v>
      </c>
      <c r="X18" s="13">
        <f t="shared" si="30"/>
        <v>1.7285714285714282</v>
      </c>
      <c r="Y18" s="13">
        <f t="shared" si="30"/>
        <v>1.8142857142857138</v>
      </c>
      <c r="Z18" s="13">
        <f t="shared" si="30"/>
        <v>1.8999999999999995</v>
      </c>
      <c r="AA18" s="13">
        <f t="shared" si="30"/>
        <v>1.9857142857142851</v>
      </c>
      <c r="AB18" s="13">
        <f t="shared" si="30"/>
        <v>2.0714285714285707</v>
      </c>
      <c r="AC18" s="13">
        <f t="shared" si="30"/>
        <v>2.1571428571428566</v>
      </c>
      <c r="AD18" s="13">
        <f t="shared" si="30"/>
        <v>2.2428571428571424</v>
      </c>
      <c r="AE18" s="13">
        <f t="shared" si="30"/>
        <v>2.3285714285714283</v>
      </c>
      <c r="AF18" s="13">
        <f t="shared" si="30"/>
        <v>2.4142857142857141</v>
      </c>
      <c r="AG18" s="13">
        <v>2.5</v>
      </c>
      <c r="AI18" s="28">
        <f t="shared" si="2"/>
        <v>8.5714285714285715E-2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C21A-7770-4760-8D5B-5F2CE7B41329}">
  <dimension ref="A1:AG18"/>
  <sheetViews>
    <sheetView zoomScale="85" zoomScaleNormal="85" workbookViewId="0">
      <selection activeCell="A7" sqref="A5:AG7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2">
        <v>0</v>
      </c>
      <c r="C2" s="13">
        <v>3.3333333333333326E-2</v>
      </c>
      <c r="D2" s="13">
        <v>6.6666666666666666E-2</v>
      </c>
      <c r="E2" s="13">
        <v>0.10000000000000002</v>
      </c>
      <c r="F2" s="13">
        <f>E2</f>
        <v>0.10000000000000002</v>
      </c>
      <c r="G2" s="13">
        <f t="shared" ref="G2:AG2" si="0">F2+0.02</f>
        <v>0.12000000000000002</v>
      </c>
      <c r="H2" s="13">
        <f t="shared" si="0"/>
        <v>0.14000000000000001</v>
      </c>
      <c r="I2" s="13">
        <f t="shared" si="0"/>
        <v>0.16</v>
      </c>
      <c r="J2" s="13">
        <f t="shared" si="0"/>
        <v>0.18</v>
      </c>
      <c r="K2" s="13">
        <f t="shared" si="0"/>
        <v>0.19999999999999998</v>
      </c>
      <c r="L2" s="13">
        <f t="shared" si="0"/>
        <v>0.21999999999999997</v>
      </c>
      <c r="M2" s="13">
        <f t="shared" si="0"/>
        <v>0.23999999999999996</v>
      </c>
      <c r="N2" s="13">
        <f t="shared" si="0"/>
        <v>0.25999999999999995</v>
      </c>
      <c r="O2" s="13">
        <f t="shared" si="0"/>
        <v>0.27999999999999997</v>
      </c>
      <c r="P2" s="13">
        <f t="shared" si="0"/>
        <v>0.3</v>
      </c>
      <c r="Q2" s="13">
        <f t="shared" si="0"/>
        <v>0.32</v>
      </c>
      <c r="R2" s="13">
        <f t="shared" si="0"/>
        <v>0.34</v>
      </c>
      <c r="S2" s="13">
        <f t="shared" si="0"/>
        <v>0.36000000000000004</v>
      </c>
      <c r="T2" s="13">
        <f t="shared" si="0"/>
        <v>0.38000000000000006</v>
      </c>
      <c r="U2" s="13">
        <f t="shared" si="0"/>
        <v>0.40000000000000008</v>
      </c>
      <c r="V2" s="13">
        <f t="shared" si="0"/>
        <v>0.4200000000000001</v>
      </c>
      <c r="W2" s="13">
        <f t="shared" si="0"/>
        <v>0.44000000000000011</v>
      </c>
      <c r="X2" s="13">
        <f t="shared" si="0"/>
        <v>0.46000000000000013</v>
      </c>
      <c r="Y2" s="13">
        <f t="shared" si="0"/>
        <v>0.48000000000000015</v>
      </c>
      <c r="Z2" s="13">
        <f t="shared" si="0"/>
        <v>0.50000000000000011</v>
      </c>
      <c r="AA2" s="13">
        <f t="shared" si="0"/>
        <v>0.52000000000000013</v>
      </c>
      <c r="AB2" s="13">
        <f t="shared" si="0"/>
        <v>0.54000000000000015</v>
      </c>
      <c r="AC2" s="13">
        <f t="shared" si="0"/>
        <v>0.56000000000000016</v>
      </c>
      <c r="AD2" s="13">
        <f t="shared" si="0"/>
        <v>0.58000000000000018</v>
      </c>
      <c r="AE2" s="13">
        <f t="shared" si="0"/>
        <v>0.6000000000000002</v>
      </c>
      <c r="AF2" s="13">
        <f t="shared" si="0"/>
        <v>0.62000000000000022</v>
      </c>
      <c r="AG2" s="13">
        <f t="shared" si="0"/>
        <v>0.64000000000000024</v>
      </c>
    </row>
    <row r="3" spans="1:33" x14ac:dyDescent="0.3">
      <c r="A3" s="1" t="s">
        <v>1</v>
      </c>
      <c r="B3" s="12">
        <v>0</v>
      </c>
      <c r="C3" s="27">
        <v>1.6666666666666663E-2</v>
      </c>
      <c r="D3" s="27">
        <v>3.3333333333333333E-2</v>
      </c>
      <c r="E3" s="27">
        <v>5.000000000000001E-2</v>
      </c>
      <c r="F3" s="13">
        <f t="shared" ref="F3:F18" si="1">E3</f>
        <v>5.000000000000001E-2</v>
      </c>
      <c r="G3" s="13">
        <f t="shared" ref="G3:AG3" si="2">F3+0.02</f>
        <v>7.0000000000000007E-2</v>
      </c>
      <c r="H3" s="13">
        <f t="shared" si="2"/>
        <v>9.0000000000000011E-2</v>
      </c>
      <c r="I3" s="13">
        <f t="shared" si="2"/>
        <v>0.11000000000000001</v>
      </c>
      <c r="J3" s="13">
        <f t="shared" si="2"/>
        <v>0.13</v>
      </c>
      <c r="K3" s="13">
        <f t="shared" si="2"/>
        <v>0.15</v>
      </c>
      <c r="L3" s="13">
        <f t="shared" si="2"/>
        <v>0.16999999999999998</v>
      </c>
      <c r="M3" s="13">
        <f t="shared" si="2"/>
        <v>0.18999999999999997</v>
      </c>
      <c r="N3" s="13">
        <f t="shared" si="2"/>
        <v>0.20999999999999996</v>
      </c>
      <c r="O3" s="13">
        <f t="shared" si="2"/>
        <v>0.22999999999999995</v>
      </c>
      <c r="P3" s="13">
        <f t="shared" si="2"/>
        <v>0.24999999999999994</v>
      </c>
      <c r="Q3" s="13">
        <f t="shared" si="2"/>
        <v>0.26999999999999996</v>
      </c>
      <c r="R3" s="13">
        <f t="shared" si="2"/>
        <v>0.28999999999999998</v>
      </c>
      <c r="S3" s="13">
        <f t="shared" si="2"/>
        <v>0.31</v>
      </c>
      <c r="T3" s="13">
        <f t="shared" si="2"/>
        <v>0.33</v>
      </c>
      <c r="U3" s="13">
        <f t="shared" si="2"/>
        <v>0.35000000000000003</v>
      </c>
      <c r="V3" s="13">
        <f t="shared" si="2"/>
        <v>0.37000000000000005</v>
      </c>
      <c r="W3" s="13">
        <f t="shared" si="2"/>
        <v>0.39000000000000007</v>
      </c>
      <c r="X3" s="13">
        <f t="shared" si="2"/>
        <v>0.41000000000000009</v>
      </c>
      <c r="Y3" s="13">
        <f t="shared" si="2"/>
        <v>0.4300000000000001</v>
      </c>
      <c r="Z3" s="13">
        <f t="shared" si="2"/>
        <v>0.45000000000000012</v>
      </c>
      <c r="AA3" s="13">
        <f t="shared" si="2"/>
        <v>0.47000000000000014</v>
      </c>
      <c r="AB3" s="13">
        <f t="shared" si="2"/>
        <v>0.49000000000000016</v>
      </c>
      <c r="AC3" s="13">
        <f t="shared" si="2"/>
        <v>0.51000000000000012</v>
      </c>
      <c r="AD3" s="13">
        <f t="shared" si="2"/>
        <v>0.53000000000000014</v>
      </c>
      <c r="AE3" s="13">
        <f t="shared" si="2"/>
        <v>0.55000000000000016</v>
      </c>
      <c r="AF3" s="13">
        <f t="shared" si="2"/>
        <v>0.57000000000000017</v>
      </c>
      <c r="AG3" s="13">
        <f t="shared" si="2"/>
        <v>0.59000000000000019</v>
      </c>
    </row>
    <row r="4" spans="1:33" x14ac:dyDescent="0.3">
      <c r="A4" s="1" t="s">
        <v>2</v>
      </c>
      <c r="B4" s="12">
        <v>0</v>
      </c>
      <c r="C4" s="13">
        <v>3.3333333333333326E-2</v>
      </c>
      <c r="D4" s="13">
        <v>6.6666666666666666E-2</v>
      </c>
      <c r="E4" s="13">
        <v>0.10000000000000002</v>
      </c>
      <c r="F4" s="13">
        <f t="shared" si="1"/>
        <v>0.10000000000000002</v>
      </c>
      <c r="G4" s="13">
        <f t="shared" ref="G4:AG4" si="3">F4+0.02</f>
        <v>0.12000000000000002</v>
      </c>
      <c r="H4" s="13">
        <f t="shared" si="3"/>
        <v>0.14000000000000001</v>
      </c>
      <c r="I4" s="13">
        <f t="shared" si="3"/>
        <v>0.16</v>
      </c>
      <c r="J4" s="13">
        <f t="shared" si="3"/>
        <v>0.18</v>
      </c>
      <c r="K4" s="13">
        <f t="shared" si="3"/>
        <v>0.19999999999999998</v>
      </c>
      <c r="L4" s="13">
        <f t="shared" si="3"/>
        <v>0.21999999999999997</v>
      </c>
      <c r="M4" s="13">
        <f t="shared" si="3"/>
        <v>0.23999999999999996</v>
      </c>
      <c r="N4" s="13">
        <f t="shared" si="3"/>
        <v>0.25999999999999995</v>
      </c>
      <c r="O4" s="13">
        <f t="shared" si="3"/>
        <v>0.27999999999999997</v>
      </c>
      <c r="P4" s="13">
        <f t="shared" si="3"/>
        <v>0.3</v>
      </c>
      <c r="Q4" s="13">
        <f t="shared" si="3"/>
        <v>0.32</v>
      </c>
      <c r="R4" s="13">
        <f t="shared" si="3"/>
        <v>0.34</v>
      </c>
      <c r="S4" s="13">
        <f t="shared" si="3"/>
        <v>0.36000000000000004</v>
      </c>
      <c r="T4" s="13">
        <f t="shared" si="3"/>
        <v>0.38000000000000006</v>
      </c>
      <c r="U4" s="13">
        <f t="shared" si="3"/>
        <v>0.40000000000000008</v>
      </c>
      <c r="V4" s="13">
        <f t="shared" si="3"/>
        <v>0.4200000000000001</v>
      </c>
      <c r="W4" s="13">
        <f t="shared" si="3"/>
        <v>0.44000000000000011</v>
      </c>
      <c r="X4" s="13">
        <f t="shared" si="3"/>
        <v>0.46000000000000013</v>
      </c>
      <c r="Y4" s="13">
        <f t="shared" si="3"/>
        <v>0.48000000000000015</v>
      </c>
      <c r="Z4" s="13">
        <f t="shared" si="3"/>
        <v>0.50000000000000011</v>
      </c>
      <c r="AA4" s="13">
        <f t="shared" si="3"/>
        <v>0.52000000000000013</v>
      </c>
      <c r="AB4" s="13">
        <f t="shared" si="3"/>
        <v>0.54000000000000015</v>
      </c>
      <c r="AC4" s="13">
        <f t="shared" si="3"/>
        <v>0.56000000000000016</v>
      </c>
      <c r="AD4" s="13">
        <f t="shared" si="3"/>
        <v>0.58000000000000018</v>
      </c>
      <c r="AE4" s="13">
        <f t="shared" si="3"/>
        <v>0.6000000000000002</v>
      </c>
      <c r="AF4" s="13">
        <f t="shared" si="3"/>
        <v>0.62000000000000022</v>
      </c>
      <c r="AG4" s="13">
        <f t="shared" si="3"/>
        <v>0.64000000000000024</v>
      </c>
    </row>
    <row r="5" spans="1:33" x14ac:dyDescent="0.3">
      <c r="A5" s="1" t="s">
        <v>3</v>
      </c>
      <c r="B5" s="12">
        <v>0</v>
      </c>
      <c r="C5" s="27">
        <v>0.01</v>
      </c>
      <c r="D5" s="27">
        <v>0.01</v>
      </c>
      <c r="E5" s="27">
        <v>0.01</v>
      </c>
      <c r="F5" s="13">
        <f t="shared" si="1"/>
        <v>0.01</v>
      </c>
      <c r="G5" s="13">
        <f t="shared" ref="G5:AG5" si="4">F5+0.02</f>
        <v>0.03</v>
      </c>
      <c r="H5" s="13">
        <f t="shared" si="4"/>
        <v>0.05</v>
      </c>
      <c r="I5" s="13">
        <f t="shared" si="4"/>
        <v>7.0000000000000007E-2</v>
      </c>
      <c r="J5" s="13">
        <f t="shared" si="4"/>
        <v>9.0000000000000011E-2</v>
      </c>
      <c r="K5" s="13">
        <f t="shared" si="4"/>
        <v>0.11000000000000001</v>
      </c>
      <c r="L5" s="13">
        <f t="shared" si="4"/>
        <v>0.13</v>
      </c>
      <c r="M5" s="13">
        <f t="shared" si="4"/>
        <v>0.15</v>
      </c>
      <c r="N5" s="13">
        <f t="shared" si="4"/>
        <v>0.16999999999999998</v>
      </c>
      <c r="O5" s="13">
        <f t="shared" si="4"/>
        <v>0.18999999999999997</v>
      </c>
      <c r="P5" s="13">
        <f t="shared" si="4"/>
        <v>0.20999999999999996</v>
      </c>
      <c r="Q5" s="13">
        <f t="shared" si="4"/>
        <v>0.22999999999999995</v>
      </c>
      <c r="R5" s="13">
        <f t="shared" si="4"/>
        <v>0.24999999999999994</v>
      </c>
      <c r="S5" s="13">
        <f t="shared" si="4"/>
        <v>0.26999999999999996</v>
      </c>
      <c r="T5" s="13">
        <f t="shared" si="4"/>
        <v>0.28999999999999998</v>
      </c>
      <c r="U5" s="13">
        <f t="shared" si="4"/>
        <v>0.31</v>
      </c>
      <c r="V5" s="13">
        <f t="shared" si="4"/>
        <v>0.33</v>
      </c>
      <c r="W5" s="13">
        <f t="shared" si="4"/>
        <v>0.35000000000000003</v>
      </c>
      <c r="X5" s="13">
        <f t="shared" si="4"/>
        <v>0.37000000000000005</v>
      </c>
      <c r="Y5" s="13">
        <f t="shared" si="4"/>
        <v>0.39000000000000007</v>
      </c>
      <c r="Z5" s="13">
        <f t="shared" si="4"/>
        <v>0.41000000000000009</v>
      </c>
      <c r="AA5" s="13">
        <f t="shared" si="4"/>
        <v>0.4300000000000001</v>
      </c>
      <c r="AB5" s="13">
        <f t="shared" si="4"/>
        <v>0.45000000000000012</v>
      </c>
      <c r="AC5" s="13">
        <f t="shared" si="4"/>
        <v>0.47000000000000014</v>
      </c>
      <c r="AD5" s="13">
        <f t="shared" si="4"/>
        <v>0.49000000000000016</v>
      </c>
      <c r="AE5" s="13">
        <f t="shared" si="4"/>
        <v>0.51000000000000012</v>
      </c>
      <c r="AF5" s="13">
        <f t="shared" si="4"/>
        <v>0.53000000000000014</v>
      </c>
      <c r="AG5" s="13">
        <f t="shared" si="4"/>
        <v>0.55000000000000016</v>
      </c>
    </row>
    <row r="6" spans="1:33" x14ac:dyDescent="0.3">
      <c r="A6" s="1" t="s">
        <v>4</v>
      </c>
      <c r="B6" s="11">
        <v>0</v>
      </c>
      <c r="C6" s="27">
        <v>0.01</v>
      </c>
      <c r="D6" s="27">
        <v>0.01</v>
      </c>
      <c r="E6" s="27">
        <v>0.01</v>
      </c>
      <c r="F6" s="13">
        <f t="shared" si="1"/>
        <v>0.01</v>
      </c>
      <c r="G6" s="13">
        <f t="shared" ref="G6:AG6" si="5">F6+0.02</f>
        <v>0.03</v>
      </c>
      <c r="H6" s="13">
        <f t="shared" si="5"/>
        <v>0.05</v>
      </c>
      <c r="I6" s="13">
        <f t="shared" si="5"/>
        <v>7.0000000000000007E-2</v>
      </c>
      <c r="J6" s="13">
        <f t="shared" si="5"/>
        <v>9.0000000000000011E-2</v>
      </c>
      <c r="K6" s="13">
        <f t="shared" si="5"/>
        <v>0.11000000000000001</v>
      </c>
      <c r="L6" s="13">
        <f t="shared" si="5"/>
        <v>0.13</v>
      </c>
      <c r="M6" s="13">
        <f t="shared" si="5"/>
        <v>0.15</v>
      </c>
      <c r="N6" s="13">
        <f t="shared" si="5"/>
        <v>0.16999999999999998</v>
      </c>
      <c r="O6" s="13">
        <f t="shared" si="5"/>
        <v>0.18999999999999997</v>
      </c>
      <c r="P6" s="13">
        <f t="shared" si="5"/>
        <v>0.20999999999999996</v>
      </c>
      <c r="Q6" s="13">
        <f t="shared" si="5"/>
        <v>0.22999999999999995</v>
      </c>
      <c r="R6" s="13">
        <f t="shared" si="5"/>
        <v>0.24999999999999994</v>
      </c>
      <c r="S6" s="13">
        <f t="shared" si="5"/>
        <v>0.26999999999999996</v>
      </c>
      <c r="T6" s="13">
        <f t="shared" si="5"/>
        <v>0.28999999999999998</v>
      </c>
      <c r="U6" s="13">
        <f t="shared" si="5"/>
        <v>0.31</v>
      </c>
      <c r="V6" s="13">
        <f t="shared" si="5"/>
        <v>0.33</v>
      </c>
      <c r="W6" s="13">
        <f t="shared" si="5"/>
        <v>0.35000000000000003</v>
      </c>
      <c r="X6" s="13">
        <f t="shared" si="5"/>
        <v>0.37000000000000005</v>
      </c>
      <c r="Y6" s="13">
        <f t="shared" si="5"/>
        <v>0.39000000000000007</v>
      </c>
      <c r="Z6" s="13">
        <f t="shared" si="5"/>
        <v>0.41000000000000009</v>
      </c>
      <c r="AA6" s="13">
        <f t="shared" si="5"/>
        <v>0.4300000000000001</v>
      </c>
      <c r="AB6" s="13">
        <f t="shared" si="5"/>
        <v>0.45000000000000012</v>
      </c>
      <c r="AC6" s="13">
        <f t="shared" si="5"/>
        <v>0.47000000000000014</v>
      </c>
      <c r="AD6" s="13">
        <f t="shared" si="5"/>
        <v>0.49000000000000016</v>
      </c>
      <c r="AE6" s="13">
        <f t="shared" si="5"/>
        <v>0.51000000000000012</v>
      </c>
      <c r="AF6" s="13">
        <f t="shared" si="5"/>
        <v>0.53000000000000014</v>
      </c>
      <c r="AG6" s="13">
        <f t="shared" si="5"/>
        <v>0.55000000000000016</v>
      </c>
    </row>
    <row r="7" spans="1:33" x14ac:dyDescent="0.3">
      <c r="A7" s="1" t="s">
        <v>5</v>
      </c>
      <c r="B7" s="12">
        <v>0</v>
      </c>
      <c r="C7" s="27">
        <v>0.01</v>
      </c>
      <c r="D7" s="27">
        <v>0.01</v>
      </c>
      <c r="E7" s="27">
        <v>0.01</v>
      </c>
      <c r="F7" s="13">
        <f t="shared" si="1"/>
        <v>0.01</v>
      </c>
      <c r="G7" s="13">
        <f t="shared" ref="G7:AG7" si="6">F7+0.02</f>
        <v>0.03</v>
      </c>
      <c r="H7" s="13">
        <f t="shared" si="6"/>
        <v>0.05</v>
      </c>
      <c r="I7" s="13">
        <f t="shared" si="6"/>
        <v>7.0000000000000007E-2</v>
      </c>
      <c r="J7" s="13">
        <f t="shared" si="6"/>
        <v>9.0000000000000011E-2</v>
      </c>
      <c r="K7" s="13">
        <f t="shared" si="6"/>
        <v>0.11000000000000001</v>
      </c>
      <c r="L7" s="13">
        <f t="shared" si="6"/>
        <v>0.13</v>
      </c>
      <c r="M7" s="13">
        <f t="shared" si="6"/>
        <v>0.15</v>
      </c>
      <c r="N7" s="13">
        <f t="shared" si="6"/>
        <v>0.16999999999999998</v>
      </c>
      <c r="O7" s="13">
        <f t="shared" si="6"/>
        <v>0.18999999999999997</v>
      </c>
      <c r="P7" s="13">
        <f t="shared" si="6"/>
        <v>0.20999999999999996</v>
      </c>
      <c r="Q7" s="13">
        <f t="shared" si="6"/>
        <v>0.22999999999999995</v>
      </c>
      <c r="R7" s="13">
        <f t="shared" si="6"/>
        <v>0.24999999999999994</v>
      </c>
      <c r="S7" s="13">
        <f t="shared" si="6"/>
        <v>0.26999999999999996</v>
      </c>
      <c r="T7" s="13">
        <f t="shared" si="6"/>
        <v>0.28999999999999998</v>
      </c>
      <c r="U7" s="13">
        <f t="shared" si="6"/>
        <v>0.31</v>
      </c>
      <c r="V7" s="13">
        <f t="shared" si="6"/>
        <v>0.33</v>
      </c>
      <c r="W7" s="13">
        <f t="shared" si="6"/>
        <v>0.35000000000000003</v>
      </c>
      <c r="X7" s="13">
        <f t="shared" si="6"/>
        <v>0.37000000000000005</v>
      </c>
      <c r="Y7" s="13">
        <f t="shared" si="6"/>
        <v>0.39000000000000007</v>
      </c>
      <c r="Z7" s="13">
        <f t="shared" si="6"/>
        <v>0.41000000000000009</v>
      </c>
      <c r="AA7" s="13">
        <f t="shared" si="6"/>
        <v>0.4300000000000001</v>
      </c>
      <c r="AB7" s="13">
        <f t="shared" si="6"/>
        <v>0.45000000000000012</v>
      </c>
      <c r="AC7" s="13">
        <f t="shared" si="6"/>
        <v>0.47000000000000014</v>
      </c>
      <c r="AD7" s="13">
        <f t="shared" si="6"/>
        <v>0.49000000000000016</v>
      </c>
      <c r="AE7" s="13">
        <f t="shared" si="6"/>
        <v>0.51000000000000012</v>
      </c>
      <c r="AF7" s="13">
        <f t="shared" si="6"/>
        <v>0.53000000000000014</v>
      </c>
      <c r="AG7" s="13">
        <f t="shared" si="6"/>
        <v>0.55000000000000016</v>
      </c>
    </row>
    <row r="8" spans="1:33" x14ac:dyDescent="0.3">
      <c r="A8" s="1" t="s">
        <v>6</v>
      </c>
      <c r="B8" s="12">
        <v>0</v>
      </c>
      <c r="C8" s="13">
        <v>6.6666666666666652E-2</v>
      </c>
      <c r="D8" s="13">
        <v>0.13333333333333333</v>
      </c>
      <c r="E8" s="13">
        <v>0.20000000000000004</v>
      </c>
      <c r="F8" s="13">
        <f t="shared" si="1"/>
        <v>0.20000000000000004</v>
      </c>
      <c r="G8" s="13">
        <f t="shared" ref="G8:AG8" si="7">F8+0.02</f>
        <v>0.22000000000000003</v>
      </c>
      <c r="H8" s="13">
        <f t="shared" si="7"/>
        <v>0.24000000000000002</v>
      </c>
      <c r="I8" s="13">
        <f t="shared" si="7"/>
        <v>0.26</v>
      </c>
      <c r="J8" s="13">
        <f t="shared" si="7"/>
        <v>0.28000000000000003</v>
      </c>
      <c r="K8" s="13">
        <f t="shared" si="7"/>
        <v>0.30000000000000004</v>
      </c>
      <c r="L8" s="13">
        <f t="shared" si="7"/>
        <v>0.32000000000000006</v>
      </c>
      <c r="M8" s="13">
        <f t="shared" si="7"/>
        <v>0.34000000000000008</v>
      </c>
      <c r="N8" s="13">
        <f t="shared" si="7"/>
        <v>0.3600000000000001</v>
      </c>
      <c r="O8" s="13">
        <f t="shared" si="7"/>
        <v>0.38000000000000012</v>
      </c>
      <c r="P8" s="13">
        <f t="shared" si="7"/>
        <v>0.40000000000000013</v>
      </c>
      <c r="Q8" s="13">
        <f t="shared" si="7"/>
        <v>0.42000000000000015</v>
      </c>
      <c r="R8" s="13">
        <f t="shared" si="7"/>
        <v>0.44000000000000017</v>
      </c>
      <c r="S8" s="13">
        <f t="shared" si="7"/>
        <v>0.46000000000000019</v>
      </c>
      <c r="T8" s="13">
        <f t="shared" si="7"/>
        <v>0.4800000000000002</v>
      </c>
      <c r="U8" s="13">
        <f t="shared" si="7"/>
        <v>0.50000000000000022</v>
      </c>
      <c r="V8" s="13">
        <f t="shared" si="7"/>
        <v>0.52000000000000024</v>
      </c>
      <c r="W8" s="13">
        <f t="shared" si="7"/>
        <v>0.54000000000000026</v>
      </c>
      <c r="X8" s="13">
        <f t="shared" si="7"/>
        <v>0.56000000000000028</v>
      </c>
      <c r="Y8" s="13">
        <f t="shared" si="7"/>
        <v>0.58000000000000029</v>
      </c>
      <c r="Z8" s="13">
        <f t="shared" si="7"/>
        <v>0.60000000000000031</v>
      </c>
      <c r="AA8" s="13">
        <f t="shared" si="7"/>
        <v>0.62000000000000033</v>
      </c>
      <c r="AB8" s="13">
        <f t="shared" si="7"/>
        <v>0.64000000000000035</v>
      </c>
      <c r="AC8" s="13">
        <f t="shared" si="7"/>
        <v>0.66000000000000036</v>
      </c>
      <c r="AD8" s="13">
        <f t="shared" si="7"/>
        <v>0.68000000000000038</v>
      </c>
      <c r="AE8" s="13">
        <f t="shared" si="7"/>
        <v>0.7000000000000004</v>
      </c>
      <c r="AF8" s="13">
        <f t="shared" si="7"/>
        <v>0.72000000000000042</v>
      </c>
      <c r="AG8" s="13">
        <f t="shared" si="7"/>
        <v>0.74000000000000044</v>
      </c>
    </row>
    <row r="9" spans="1:33" x14ac:dyDescent="0.3">
      <c r="A9" s="1" t="s">
        <v>7</v>
      </c>
      <c r="B9" s="12">
        <v>0</v>
      </c>
      <c r="C9" s="27">
        <v>1.6666666666666663E-2</v>
      </c>
      <c r="D9" s="27">
        <v>3.3333333333333333E-2</v>
      </c>
      <c r="E9" s="27">
        <v>5.000000000000001E-2</v>
      </c>
      <c r="F9" s="13">
        <f t="shared" si="1"/>
        <v>5.000000000000001E-2</v>
      </c>
      <c r="G9" s="13">
        <f t="shared" ref="G9:AG9" si="8">F9+0.02</f>
        <v>7.0000000000000007E-2</v>
      </c>
      <c r="H9" s="13">
        <f t="shared" si="8"/>
        <v>9.0000000000000011E-2</v>
      </c>
      <c r="I9" s="13">
        <f t="shared" si="8"/>
        <v>0.11000000000000001</v>
      </c>
      <c r="J9" s="13">
        <f t="shared" si="8"/>
        <v>0.13</v>
      </c>
      <c r="K9" s="13">
        <f t="shared" si="8"/>
        <v>0.15</v>
      </c>
      <c r="L9" s="13">
        <f t="shared" si="8"/>
        <v>0.16999999999999998</v>
      </c>
      <c r="M9" s="13">
        <f t="shared" si="8"/>
        <v>0.18999999999999997</v>
      </c>
      <c r="N9" s="13">
        <f t="shared" si="8"/>
        <v>0.20999999999999996</v>
      </c>
      <c r="O9" s="13">
        <f t="shared" si="8"/>
        <v>0.22999999999999995</v>
      </c>
      <c r="P9" s="13">
        <f t="shared" si="8"/>
        <v>0.24999999999999994</v>
      </c>
      <c r="Q9" s="13">
        <f t="shared" si="8"/>
        <v>0.26999999999999996</v>
      </c>
      <c r="R9" s="13">
        <f t="shared" si="8"/>
        <v>0.28999999999999998</v>
      </c>
      <c r="S9" s="13">
        <f t="shared" si="8"/>
        <v>0.31</v>
      </c>
      <c r="T9" s="13">
        <f t="shared" si="8"/>
        <v>0.33</v>
      </c>
      <c r="U9" s="13">
        <f t="shared" si="8"/>
        <v>0.35000000000000003</v>
      </c>
      <c r="V9" s="13">
        <f t="shared" si="8"/>
        <v>0.37000000000000005</v>
      </c>
      <c r="W9" s="13">
        <f t="shared" si="8"/>
        <v>0.39000000000000007</v>
      </c>
      <c r="X9" s="13">
        <f t="shared" si="8"/>
        <v>0.41000000000000009</v>
      </c>
      <c r="Y9" s="13">
        <f t="shared" si="8"/>
        <v>0.4300000000000001</v>
      </c>
      <c r="Z9" s="13">
        <f t="shared" si="8"/>
        <v>0.45000000000000012</v>
      </c>
      <c r="AA9" s="13">
        <f t="shared" si="8"/>
        <v>0.47000000000000014</v>
      </c>
      <c r="AB9" s="13">
        <f t="shared" si="8"/>
        <v>0.49000000000000016</v>
      </c>
      <c r="AC9" s="13">
        <f t="shared" si="8"/>
        <v>0.51000000000000012</v>
      </c>
      <c r="AD9" s="13">
        <f t="shared" si="8"/>
        <v>0.53000000000000014</v>
      </c>
      <c r="AE9" s="13">
        <f t="shared" si="8"/>
        <v>0.55000000000000016</v>
      </c>
      <c r="AF9" s="13">
        <f t="shared" si="8"/>
        <v>0.57000000000000017</v>
      </c>
      <c r="AG9" s="13">
        <f t="shared" si="8"/>
        <v>0.59000000000000019</v>
      </c>
    </row>
    <row r="10" spans="1:33" x14ac:dyDescent="0.3">
      <c r="A10" s="1" t="s">
        <v>8</v>
      </c>
      <c r="B10" s="12">
        <v>0</v>
      </c>
      <c r="C10" s="13">
        <v>0.1333333333333333</v>
      </c>
      <c r="D10" s="13">
        <v>0.26666666666666666</v>
      </c>
      <c r="E10" s="13">
        <v>0.40000000000000008</v>
      </c>
      <c r="F10" s="13">
        <f t="shared" si="1"/>
        <v>0.40000000000000008</v>
      </c>
      <c r="G10" s="13">
        <f t="shared" ref="G10:AG10" si="9">F10+0.02</f>
        <v>0.4200000000000001</v>
      </c>
      <c r="H10" s="13">
        <f t="shared" si="9"/>
        <v>0.44000000000000011</v>
      </c>
      <c r="I10" s="13">
        <f t="shared" si="9"/>
        <v>0.46000000000000013</v>
      </c>
      <c r="J10" s="13">
        <f t="shared" si="9"/>
        <v>0.48000000000000015</v>
      </c>
      <c r="K10" s="13">
        <f t="shared" si="9"/>
        <v>0.50000000000000011</v>
      </c>
      <c r="L10" s="13">
        <f t="shared" si="9"/>
        <v>0.52000000000000013</v>
      </c>
      <c r="M10" s="13">
        <f t="shared" si="9"/>
        <v>0.54000000000000015</v>
      </c>
      <c r="N10" s="13">
        <f t="shared" si="9"/>
        <v>0.56000000000000016</v>
      </c>
      <c r="O10" s="13">
        <f t="shared" si="9"/>
        <v>0.58000000000000018</v>
      </c>
      <c r="P10" s="13">
        <f t="shared" si="9"/>
        <v>0.6000000000000002</v>
      </c>
      <c r="Q10" s="13">
        <f t="shared" si="9"/>
        <v>0.62000000000000022</v>
      </c>
      <c r="R10" s="13">
        <f t="shared" si="9"/>
        <v>0.64000000000000024</v>
      </c>
      <c r="S10" s="13">
        <f t="shared" si="9"/>
        <v>0.66000000000000025</v>
      </c>
      <c r="T10" s="13">
        <f t="shared" si="9"/>
        <v>0.68000000000000027</v>
      </c>
      <c r="U10" s="13">
        <f t="shared" si="9"/>
        <v>0.70000000000000029</v>
      </c>
      <c r="V10" s="13">
        <f t="shared" si="9"/>
        <v>0.72000000000000031</v>
      </c>
      <c r="W10" s="13">
        <f t="shared" si="9"/>
        <v>0.74000000000000032</v>
      </c>
      <c r="X10" s="13">
        <f t="shared" si="9"/>
        <v>0.76000000000000034</v>
      </c>
      <c r="Y10" s="13">
        <f t="shared" si="9"/>
        <v>0.78000000000000036</v>
      </c>
      <c r="Z10" s="13">
        <f t="shared" si="9"/>
        <v>0.80000000000000038</v>
      </c>
      <c r="AA10" s="13">
        <f t="shared" si="9"/>
        <v>0.8200000000000004</v>
      </c>
      <c r="AB10" s="13">
        <f t="shared" si="9"/>
        <v>0.84000000000000041</v>
      </c>
      <c r="AC10" s="13">
        <f t="shared" si="9"/>
        <v>0.86000000000000043</v>
      </c>
      <c r="AD10" s="13">
        <f t="shared" si="9"/>
        <v>0.88000000000000045</v>
      </c>
      <c r="AE10" s="13">
        <f t="shared" si="9"/>
        <v>0.90000000000000047</v>
      </c>
      <c r="AF10" s="13">
        <f t="shared" si="9"/>
        <v>0.92000000000000048</v>
      </c>
      <c r="AG10" s="13">
        <f t="shared" si="9"/>
        <v>0.9400000000000005</v>
      </c>
    </row>
    <row r="11" spans="1:33" x14ac:dyDescent="0.3">
      <c r="A11" s="1" t="s">
        <v>9</v>
      </c>
      <c r="B11" s="12">
        <v>0</v>
      </c>
      <c r="C11" s="27">
        <v>1.6666666666666663E-2</v>
      </c>
      <c r="D11" s="27">
        <v>3.3333333333333333E-2</v>
      </c>
      <c r="E11" s="27">
        <v>5.000000000000001E-2</v>
      </c>
      <c r="F11" s="13">
        <f t="shared" si="1"/>
        <v>5.000000000000001E-2</v>
      </c>
      <c r="G11" s="13">
        <f t="shared" ref="G11:AG11" si="10">F11+0.02</f>
        <v>7.0000000000000007E-2</v>
      </c>
      <c r="H11" s="13">
        <f t="shared" si="10"/>
        <v>9.0000000000000011E-2</v>
      </c>
      <c r="I11" s="13">
        <f t="shared" si="10"/>
        <v>0.11000000000000001</v>
      </c>
      <c r="J11" s="13">
        <f t="shared" si="10"/>
        <v>0.13</v>
      </c>
      <c r="K11" s="13">
        <f t="shared" si="10"/>
        <v>0.15</v>
      </c>
      <c r="L11" s="13">
        <f t="shared" si="10"/>
        <v>0.16999999999999998</v>
      </c>
      <c r="M11" s="13">
        <f t="shared" si="10"/>
        <v>0.18999999999999997</v>
      </c>
      <c r="N11" s="13">
        <f t="shared" si="10"/>
        <v>0.20999999999999996</v>
      </c>
      <c r="O11" s="13">
        <f t="shared" si="10"/>
        <v>0.22999999999999995</v>
      </c>
      <c r="P11" s="13">
        <f t="shared" si="10"/>
        <v>0.24999999999999994</v>
      </c>
      <c r="Q11" s="13">
        <f t="shared" si="10"/>
        <v>0.26999999999999996</v>
      </c>
      <c r="R11" s="13">
        <f t="shared" si="10"/>
        <v>0.28999999999999998</v>
      </c>
      <c r="S11" s="13">
        <f t="shared" si="10"/>
        <v>0.31</v>
      </c>
      <c r="T11" s="13">
        <f t="shared" si="10"/>
        <v>0.33</v>
      </c>
      <c r="U11" s="13">
        <f t="shared" si="10"/>
        <v>0.35000000000000003</v>
      </c>
      <c r="V11" s="13">
        <f t="shared" si="10"/>
        <v>0.37000000000000005</v>
      </c>
      <c r="W11" s="13">
        <f t="shared" si="10"/>
        <v>0.39000000000000007</v>
      </c>
      <c r="X11" s="13">
        <f t="shared" si="10"/>
        <v>0.41000000000000009</v>
      </c>
      <c r="Y11" s="13">
        <f t="shared" si="10"/>
        <v>0.4300000000000001</v>
      </c>
      <c r="Z11" s="13">
        <f t="shared" si="10"/>
        <v>0.45000000000000012</v>
      </c>
      <c r="AA11" s="13">
        <f t="shared" si="10"/>
        <v>0.47000000000000014</v>
      </c>
      <c r="AB11" s="13">
        <f t="shared" si="10"/>
        <v>0.49000000000000016</v>
      </c>
      <c r="AC11" s="13">
        <f t="shared" si="10"/>
        <v>0.51000000000000012</v>
      </c>
      <c r="AD11" s="13">
        <f t="shared" si="10"/>
        <v>0.53000000000000014</v>
      </c>
      <c r="AE11" s="13">
        <f t="shared" si="10"/>
        <v>0.55000000000000016</v>
      </c>
      <c r="AF11" s="13">
        <f t="shared" si="10"/>
        <v>0.57000000000000017</v>
      </c>
      <c r="AG11" s="13">
        <f t="shared" si="10"/>
        <v>0.59000000000000019</v>
      </c>
    </row>
    <row r="12" spans="1:33" x14ac:dyDescent="0.3">
      <c r="A12" s="1" t="s">
        <v>10</v>
      </c>
      <c r="B12" s="12">
        <v>0</v>
      </c>
      <c r="C12" s="27">
        <v>0.01</v>
      </c>
      <c r="D12" s="27">
        <v>0.01</v>
      </c>
      <c r="E12" s="27">
        <v>0.01</v>
      </c>
      <c r="F12" s="13">
        <f t="shared" si="1"/>
        <v>0.01</v>
      </c>
      <c r="G12" s="13">
        <f t="shared" ref="G12:AG12" si="11">F12+0.02</f>
        <v>0.03</v>
      </c>
      <c r="H12" s="13">
        <f t="shared" si="11"/>
        <v>0.05</v>
      </c>
      <c r="I12" s="13">
        <f t="shared" si="11"/>
        <v>7.0000000000000007E-2</v>
      </c>
      <c r="J12" s="13">
        <f t="shared" si="11"/>
        <v>9.0000000000000011E-2</v>
      </c>
      <c r="K12" s="13">
        <f t="shared" si="11"/>
        <v>0.11000000000000001</v>
      </c>
      <c r="L12" s="13">
        <f t="shared" si="11"/>
        <v>0.13</v>
      </c>
      <c r="M12" s="13">
        <f t="shared" si="11"/>
        <v>0.15</v>
      </c>
      <c r="N12" s="13">
        <f t="shared" si="11"/>
        <v>0.16999999999999998</v>
      </c>
      <c r="O12" s="13">
        <f t="shared" si="11"/>
        <v>0.18999999999999997</v>
      </c>
      <c r="P12" s="13">
        <f t="shared" si="11"/>
        <v>0.20999999999999996</v>
      </c>
      <c r="Q12" s="13">
        <f t="shared" si="11"/>
        <v>0.22999999999999995</v>
      </c>
      <c r="R12" s="13">
        <f t="shared" si="11"/>
        <v>0.24999999999999994</v>
      </c>
      <c r="S12" s="13">
        <f t="shared" si="11"/>
        <v>0.26999999999999996</v>
      </c>
      <c r="T12" s="13">
        <f t="shared" si="11"/>
        <v>0.28999999999999998</v>
      </c>
      <c r="U12" s="13">
        <f t="shared" si="11"/>
        <v>0.31</v>
      </c>
      <c r="V12" s="13">
        <f t="shared" si="11"/>
        <v>0.33</v>
      </c>
      <c r="W12" s="13">
        <f t="shared" si="11"/>
        <v>0.35000000000000003</v>
      </c>
      <c r="X12" s="13">
        <f t="shared" si="11"/>
        <v>0.37000000000000005</v>
      </c>
      <c r="Y12" s="13">
        <f t="shared" si="11"/>
        <v>0.39000000000000007</v>
      </c>
      <c r="Z12" s="13">
        <f t="shared" si="11"/>
        <v>0.41000000000000009</v>
      </c>
      <c r="AA12" s="13">
        <f t="shared" si="11"/>
        <v>0.4300000000000001</v>
      </c>
      <c r="AB12" s="13">
        <f t="shared" si="11"/>
        <v>0.45000000000000012</v>
      </c>
      <c r="AC12" s="13">
        <f t="shared" si="11"/>
        <v>0.47000000000000014</v>
      </c>
      <c r="AD12" s="13">
        <f t="shared" si="11"/>
        <v>0.49000000000000016</v>
      </c>
      <c r="AE12" s="13">
        <f t="shared" si="11"/>
        <v>0.51000000000000012</v>
      </c>
      <c r="AF12" s="13">
        <f t="shared" si="11"/>
        <v>0.53000000000000014</v>
      </c>
      <c r="AG12" s="13">
        <f t="shared" si="11"/>
        <v>0.55000000000000016</v>
      </c>
    </row>
    <row r="13" spans="1:33" x14ac:dyDescent="0.3">
      <c r="A13" s="1" t="s">
        <v>11</v>
      </c>
      <c r="B13" s="12">
        <v>0</v>
      </c>
      <c r="C13" s="27">
        <v>0.01</v>
      </c>
      <c r="D13" s="27">
        <v>0.01</v>
      </c>
      <c r="E13" s="27">
        <v>0.01</v>
      </c>
      <c r="F13" s="13">
        <f t="shared" si="1"/>
        <v>0.01</v>
      </c>
      <c r="G13" s="13">
        <f t="shared" ref="G13:AG13" si="12">F13+0.02</f>
        <v>0.03</v>
      </c>
      <c r="H13" s="13">
        <f t="shared" si="12"/>
        <v>0.05</v>
      </c>
      <c r="I13" s="13">
        <f t="shared" si="12"/>
        <v>7.0000000000000007E-2</v>
      </c>
      <c r="J13" s="13">
        <f t="shared" si="12"/>
        <v>9.0000000000000011E-2</v>
      </c>
      <c r="K13" s="13">
        <f t="shared" si="12"/>
        <v>0.11000000000000001</v>
      </c>
      <c r="L13" s="13">
        <f t="shared" si="12"/>
        <v>0.13</v>
      </c>
      <c r="M13" s="13">
        <f t="shared" si="12"/>
        <v>0.15</v>
      </c>
      <c r="N13" s="13">
        <f t="shared" si="12"/>
        <v>0.16999999999999998</v>
      </c>
      <c r="O13" s="13">
        <f t="shared" si="12"/>
        <v>0.18999999999999997</v>
      </c>
      <c r="P13" s="13">
        <f t="shared" si="12"/>
        <v>0.20999999999999996</v>
      </c>
      <c r="Q13" s="13">
        <f t="shared" si="12"/>
        <v>0.22999999999999995</v>
      </c>
      <c r="R13" s="13">
        <f t="shared" si="12"/>
        <v>0.24999999999999994</v>
      </c>
      <c r="S13" s="13">
        <f t="shared" si="12"/>
        <v>0.26999999999999996</v>
      </c>
      <c r="T13" s="13">
        <f t="shared" si="12"/>
        <v>0.28999999999999998</v>
      </c>
      <c r="U13" s="13">
        <f t="shared" si="12"/>
        <v>0.31</v>
      </c>
      <c r="V13" s="13">
        <f t="shared" si="12"/>
        <v>0.33</v>
      </c>
      <c r="W13" s="13">
        <f t="shared" si="12"/>
        <v>0.35000000000000003</v>
      </c>
      <c r="X13" s="13">
        <f t="shared" si="12"/>
        <v>0.37000000000000005</v>
      </c>
      <c r="Y13" s="13">
        <f t="shared" si="12"/>
        <v>0.39000000000000007</v>
      </c>
      <c r="Z13" s="13">
        <f t="shared" si="12"/>
        <v>0.41000000000000009</v>
      </c>
      <c r="AA13" s="13">
        <f t="shared" si="12"/>
        <v>0.4300000000000001</v>
      </c>
      <c r="AB13" s="13">
        <f t="shared" si="12"/>
        <v>0.45000000000000012</v>
      </c>
      <c r="AC13" s="13">
        <f t="shared" si="12"/>
        <v>0.47000000000000014</v>
      </c>
      <c r="AD13" s="13">
        <f t="shared" si="12"/>
        <v>0.49000000000000016</v>
      </c>
      <c r="AE13" s="13">
        <f t="shared" si="12"/>
        <v>0.51000000000000012</v>
      </c>
      <c r="AF13" s="13">
        <f t="shared" si="12"/>
        <v>0.53000000000000014</v>
      </c>
      <c r="AG13" s="13">
        <f t="shared" si="12"/>
        <v>0.55000000000000016</v>
      </c>
    </row>
    <row r="14" spans="1:33" x14ac:dyDescent="0.3">
      <c r="A14" s="1" t="s">
        <v>12</v>
      </c>
      <c r="B14" s="12">
        <v>0</v>
      </c>
      <c r="C14" s="27">
        <v>0.01</v>
      </c>
      <c r="D14" s="27">
        <v>0.01</v>
      </c>
      <c r="E14" s="27">
        <v>0.01</v>
      </c>
      <c r="F14" s="13">
        <f t="shared" si="1"/>
        <v>0.01</v>
      </c>
      <c r="G14" s="13">
        <f t="shared" ref="G14:AG14" si="13">F14+0.02</f>
        <v>0.03</v>
      </c>
      <c r="H14" s="13">
        <f t="shared" si="13"/>
        <v>0.05</v>
      </c>
      <c r="I14" s="13">
        <f t="shared" si="13"/>
        <v>7.0000000000000007E-2</v>
      </c>
      <c r="J14" s="13">
        <f t="shared" si="13"/>
        <v>9.0000000000000011E-2</v>
      </c>
      <c r="K14" s="13">
        <f t="shared" si="13"/>
        <v>0.11000000000000001</v>
      </c>
      <c r="L14" s="13">
        <f t="shared" si="13"/>
        <v>0.13</v>
      </c>
      <c r="M14" s="13">
        <f t="shared" si="13"/>
        <v>0.15</v>
      </c>
      <c r="N14" s="13">
        <f t="shared" si="13"/>
        <v>0.16999999999999998</v>
      </c>
      <c r="O14" s="13">
        <f t="shared" si="13"/>
        <v>0.18999999999999997</v>
      </c>
      <c r="P14" s="13">
        <f t="shared" si="13"/>
        <v>0.20999999999999996</v>
      </c>
      <c r="Q14" s="13">
        <f t="shared" si="13"/>
        <v>0.22999999999999995</v>
      </c>
      <c r="R14" s="13">
        <f t="shared" si="13"/>
        <v>0.24999999999999994</v>
      </c>
      <c r="S14" s="13">
        <f t="shared" si="13"/>
        <v>0.26999999999999996</v>
      </c>
      <c r="T14" s="13">
        <f t="shared" si="13"/>
        <v>0.28999999999999998</v>
      </c>
      <c r="U14" s="13">
        <f t="shared" si="13"/>
        <v>0.31</v>
      </c>
      <c r="V14" s="13">
        <f t="shared" si="13"/>
        <v>0.33</v>
      </c>
      <c r="W14" s="13">
        <f t="shared" si="13"/>
        <v>0.35000000000000003</v>
      </c>
      <c r="X14" s="13">
        <f t="shared" si="13"/>
        <v>0.37000000000000005</v>
      </c>
      <c r="Y14" s="13">
        <f t="shared" si="13"/>
        <v>0.39000000000000007</v>
      </c>
      <c r="Z14" s="13">
        <f t="shared" si="13"/>
        <v>0.41000000000000009</v>
      </c>
      <c r="AA14" s="13">
        <f t="shared" si="13"/>
        <v>0.4300000000000001</v>
      </c>
      <c r="AB14" s="13">
        <f t="shared" si="13"/>
        <v>0.45000000000000012</v>
      </c>
      <c r="AC14" s="13">
        <f t="shared" si="13"/>
        <v>0.47000000000000014</v>
      </c>
      <c r="AD14" s="13">
        <f t="shared" si="13"/>
        <v>0.49000000000000016</v>
      </c>
      <c r="AE14" s="13">
        <f t="shared" si="13"/>
        <v>0.51000000000000012</v>
      </c>
      <c r="AF14" s="13">
        <f t="shared" si="13"/>
        <v>0.53000000000000014</v>
      </c>
      <c r="AG14" s="13">
        <f t="shared" si="13"/>
        <v>0.55000000000000016</v>
      </c>
    </row>
    <row r="15" spans="1:33" x14ac:dyDescent="0.3">
      <c r="A15" s="1" t="s">
        <v>13</v>
      </c>
      <c r="B15" s="12">
        <v>0</v>
      </c>
      <c r="C15" s="27">
        <v>0.01</v>
      </c>
      <c r="D15" s="27">
        <v>0.01</v>
      </c>
      <c r="E15" s="27">
        <v>0.01</v>
      </c>
      <c r="F15" s="13">
        <f t="shared" si="1"/>
        <v>0.01</v>
      </c>
      <c r="G15" s="13">
        <f t="shared" ref="G15:AG15" si="14">F15+0.02</f>
        <v>0.03</v>
      </c>
      <c r="H15" s="13">
        <f t="shared" si="14"/>
        <v>0.05</v>
      </c>
      <c r="I15" s="13">
        <f t="shared" si="14"/>
        <v>7.0000000000000007E-2</v>
      </c>
      <c r="J15" s="13">
        <f t="shared" si="14"/>
        <v>9.0000000000000011E-2</v>
      </c>
      <c r="K15" s="13">
        <f t="shared" si="14"/>
        <v>0.11000000000000001</v>
      </c>
      <c r="L15" s="13">
        <f t="shared" si="14"/>
        <v>0.13</v>
      </c>
      <c r="M15" s="13">
        <f t="shared" si="14"/>
        <v>0.15</v>
      </c>
      <c r="N15" s="13">
        <f t="shared" si="14"/>
        <v>0.16999999999999998</v>
      </c>
      <c r="O15" s="13">
        <f t="shared" si="14"/>
        <v>0.18999999999999997</v>
      </c>
      <c r="P15" s="13">
        <f t="shared" si="14"/>
        <v>0.20999999999999996</v>
      </c>
      <c r="Q15" s="13">
        <f t="shared" si="14"/>
        <v>0.22999999999999995</v>
      </c>
      <c r="R15" s="13">
        <f t="shared" si="14"/>
        <v>0.24999999999999994</v>
      </c>
      <c r="S15" s="13">
        <f t="shared" si="14"/>
        <v>0.26999999999999996</v>
      </c>
      <c r="T15" s="13">
        <f t="shared" si="14"/>
        <v>0.28999999999999998</v>
      </c>
      <c r="U15" s="13">
        <f t="shared" si="14"/>
        <v>0.31</v>
      </c>
      <c r="V15" s="13">
        <f t="shared" si="14"/>
        <v>0.33</v>
      </c>
      <c r="W15" s="13">
        <f t="shared" si="14"/>
        <v>0.35000000000000003</v>
      </c>
      <c r="X15" s="13">
        <f t="shared" si="14"/>
        <v>0.37000000000000005</v>
      </c>
      <c r="Y15" s="13">
        <f t="shared" si="14"/>
        <v>0.39000000000000007</v>
      </c>
      <c r="Z15" s="13">
        <f t="shared" si="14"/>
        <v>0.41000000000000009</v>
      </c>
      <c r="AA15" s="13">
        <f t="shared" si="14"/>
        <v>0.4300000000000001</v>
      </c>
      <c r="AB15" s="13">
        <f t="shared" si="14"/>
        <v>0.45000000000000012</v>
      </c>
      <c r="AC15" s="13">
        <f t="shared" si="14"/>
        <v>0.47000000000000014</v>
      </c>
      <c r="AD15" s="13">
        <f t="shared" si="14"/>
        <v>0.49000000000000016</v>
      </c>
      <c r="AE15" s="13">
        <f t="shared" si="14"/>
        <v>0.51000000000000012</v>
      </c>
      <c r="AF15" s="13">
        <f t="shared" si="14"/>
        <v>0.53000000000000014</v>
      </c>
      <c r="AG15" s="13">
        <f t="shared" si="14"/>
        <v>0.55000000000000016</v>
      </c>
    </row>
    <row r="16" spans="1:33" x14ac:dyDescent="0.3">
      <c r="A16" s="1" t="s">
        <v>14</v>
      </c>
      <c r="B16" s="12">
        <v>0</v>
      </c>
      <c r="C16" s="27">
        <v>0.01</v>
      </c>
      <c r="D16" s="27">
        <v>0.01</v>
      </c>
      <c r="E16" s="27">
        <v>0.01</v>
      </c>
      <c r="F16" s="13">
        <f t="shared" si="1"/>
        <v>0.01</v>
      </c>
      <c r="G16" s="13">
        <f t="shared" ref="G16:AG16" si="15">F16+0.02</f>
        <v>0.03</v>
      </c>
      <c r="H16" s="13">
        <f t="shared" si="15"/>
        <v>0.05</v>
      </c>
      <c r="I16" s="13">
        <f t="shared" si="15"/>
        <v>7.0000000000000007E-2</v>
      </c>
      <c r="J16" s="13">
        <f t="shared" si="15"/>
        <v>9.0000000000000011E-2</v>
      </c>
      <c r="K16" s="13">
        <f t="shared" si="15"/>
        <v>0.11000000000000001</v>
      </c>
      <c r="L16" s="13">
        <f t="shared" si="15"/>
        <v>0.13</v>
      </c>
      <c r="M16" s="13">
        <f t="shared" si="15"/>
        <v>0.15</v>
      </c>
      <c r="N16" s="13">
        <f t="shared" si="15"/>
        <v>0.16999999999999998</v>
      </c>
      <c r="O16" s="13">
        <f t="shared" si="15"/>
        <v>0.18999999999999997</v>
      </c>
      <c r="P16" s="13">
        <f t="shared" si="15"/>
        <v>0.20999999999999996</v>
      </c>
      <c r="Q16" s="13">
        <f t="shared" si="15"/>
        <v>0.22999999999999995</v>
      </c>
      <c r="R16" s="13">
        <f t="shared" si="15"/>
        <v>0.24999999999999994</v>
      </c>
      <c r="S16" s="13">
        <f t="shared" si="15"/>
        <v>0.26999999999999996</v>
      </c>
      <c r="T16" s="13">
        <f t="shared" si="15"/>
        <v>0.28999999999999998</v>
      </c>
      <c r="U16" s="13">
        <f t="shared" si="15"/>
        <v>0.31</v>
      </c>
      <c r="V16" s="13">
        <f t="shared" si="15"/>
        <v>0.33</v>
      </c>
      <c r="W16" s="13">
        <f t="shared" si="15"/>
        <v>0.35000000000000003</v>
      </c>
      <c r="X16" s="13">
        <f t="shared" si="15"/>
        <v>0.37000000000000005</v>
      </c>
      <c r="Y16" s="13">
        <f t="shared" si="15"/>
        <v>0.39000000000000007</v>
      </c>
      <c r="Z16" s="13">
        <f t="shared" si="15"/>
        <v>0.41000000000000009</v>
      </c>
      <c r="AA16" s="13">
        <f t="shared" si="15"/>
        <v>0.4300000000000001</v>
      </c>
      <c r="AB16" s="13">
        <f t="shared" si="15"/>
        <v>0.45000000000000012</v>
      </c>
      <c r="AC16" s="13">
        <f t="shared" si="15"/>
        <v>0.47000000000000014</v>
      </c>
      <c r="AD16" s="13">
        <f t="shared" si="15"/>
        <v>0.49000000000000016</v>
      </c>
      <c r="AE16" s="13">
        <f t="shared" si="15"/>
        <v>0.51000000000000012</v>
      </c>
      <c r="AF16" s="13">
        <f t="shared" si="15"/>
        <v>0.53000000000000014</v>
      </c>
      <c r="AG16" s="13">
        <f t="shared" si="15"/>
        <v>0.55000000000000016</v>
      </c>
    </row>
    <row r="17" spans="1:33" x14ac:dyDescent="0.3">
      <c r="A17" s="1" t="s">
        <v>15</v>
      </c>
      <c r="B17" s="12">
        <v>0</v>
      </c>
      <c r="C17" s="27">
        <v>0.01</v>
      </c>
      <c r="D17" s="27">
        <v>0.01</v>
      </c>
      <c r="E17" s="27">
        <v>0.01</v>
      </c>
      <c r="F17" s="13">
        <f t="shared" si="1"/>
        <v>0.01</v>
      </c>
      <c r="G17" s="13">
        <f t="shared" ref="G17:AG17" si="16">F17+0.02</f>
        <v>0.03</v>
      </c>
      <c r="H17" s="13">
        <f t="shared" si="16"/>
        <v>0.05</v>
      </c>
      <c r="I17" s="13">
        <f t="shared" si="16"/>
        <v>7.0000000000000007E-2</v>
      </c>
      <c r="J17" s="13">
        <f t="shared" si="16"/>
        <v>9.0000000000000011E-2</v>
      </c>
      <c r="K17" s="13">
        <f t="shared" si="16"/>
        <v>0.11000000000000001</v>
      </c>
      <c r="L17" s="13">
        <f t="shared" si="16"/>
        <v>0.13</v>
      </c>
      <c r="M17" s="13">
        <f t="shared" si="16"/>
        <v>0.15</v>
      </c>
      <c r="N17" s="13">
        <f t="shared" si="16"/>
        <v>0.16999999999999998</v>
      </c>
      <c r="O17" s="13">
        <f t="shared" si="16"/>
        <v>0.18999999999999997</v>
      </c>
      <c r="P17" s="13">
        <f t="shared" si="16"/>
        <v>0.20999999999999996</v>
      </c>
      <c r="Q17" s="13">
        <f t="shared" si="16"/>
        <v>0.22999999999999995</v>
      </c>
      <c r="R17" s="13">
        <f t="shared" si="16"/>
        <v>0.24999999999999994</v>
      </c>
      <c r="S17" s="13">
        <f t="shared" si="16"/>
        <v>0.26999999999999996</v>
      </c>
      <c r="T17" s="13">
        <f t="shared" si="16"/>
        <v>0.28999999999999998</v>
      </c>
      <c r="U17" s="13">
        <f t="shared" si="16"/>
        <v>0.31</v>
      </c>
      <c r="V17" s="13">
        <f t="shared" si="16"/>
        <v>0.33</v>
      </c>
      <c r="W17" s="13">
        <f t="shared" si="16"/>
        <v>0.35000000000000003</v>
      </c>
      <c r="X17" s="13">
        <f t="shared" si="16"/>
        <v>0.37000000000000005</v>
      </c>
      <c r="Y17" s="13">
        <f t="shared" si="16"/>
        <v>0.39000000000000007</v>
      </c>
      <c r="Z17" s="13">
        <f t="shared" si="16"/>
        <v>0.41000000000000009</v>
      </c>
      <c r="AA17" s="13">
        <f t="shared" si="16"/>
        <v>0.4300000000000001</v>
      </c>
      <c r="AB17" s="13">
        <f t="shared" si="16"/>
        <v>0.45000000000000012</v>
      </c>
      <c r="AC17" s="13">
        <f t="shared" si="16"/>
        <v>0.47000000000000014</v>
      </c>
      <c r="AD17" s="13">
        <f t="shared" si="16"/>
        <v>0.49000000000000016</v>
      </c>
      <c r="AE17" s="13">
        <f t="shared" si="16"/>
        <v>0.51000000000000012</v>
      </c>
      <c r="AF17" s="13">
        <f t="shared" si="16"/>
        <v>0.53000000000000014</v>
      </c>
      <c r="AG17" s="13">
        <f t="shared" si="16"/>
        <v>0.55000000000000016</v>
      </c>
    </row>
    <row r="18" spans="1:33" x14ac:dyDescent="0.3">
      <c r="A18" s="1" t="s">
        <v>16</v>
      </c>
      <c r="B18" s="12">
        <v>0</v>
      </c>
      <c r="C18" s="13">
        <v>3.3333333333333326E-2</v>
      </c>
      <c r="D18" s="13">
        <v>6.6666666666666666E-2</v>
      </c>
      <c r="E18" s="13">
        <v>0.10000000000000002</v>
      </c>
      <c r="F18" s="13">
        <f t="shared" si="1"/>
        <v>0.10000000000000002</v>
      </c>
      <c r="G18" s="13">
        <f t="shared" ref="G18:AG18" si="17">F18+0.02</f>
        <v>0.12000000000000002</v>
      </c>
      <c r="H18" s="13">
        <f t="shared" si="17"/>
        <v>0.14000000000000001</v>
      </c>
      <c r="I18" s="13">
        <f t="shared" si="17"/>
        <v>0.16</v>
      </c>
      <c r="J18" s="13">
        <f t="shared" si="17"/>
        <v>0.18</v>
      </c>
      <c r="K18" s="13">
        <f t="shared" si="17"/>
        <v>0.19999999999999998</v>
      </c>
      <c r="L18" s="13">
        <f t="shared" si="17"/>
        <v>0.21999999999999997</v>
      </c>
      <c r="M18" s="13">
        <f t="shared" si="17"/>
        <v>0.23999999999999996</v>
      </c>
      <c r="N18" s="13">
        <f t="shared" si="17"/>
        <v>0.25999999999999995</v>
      </c>
      <c r="O18" s="13">
        <f t="shared" si="17"/>
        <v>0.27999999999999997</v>
      </c>
      <c r="P18" s="13">
        <f t="shared" si="17"/>
        <v>0.3</v>
      </c>
      <c r="Q18" s="13">
        <f t="shared" si="17"/>
        <v>0.32</v>
      </c>
      <c r="R18" s="13">
        <f t="shared" si="17"/>
        <v>0.34</v>
      </c>
      <c r="S18" s="13">
        <f t="shared" si="17"/>
        <v>0.36000000000000004</v>
      </c>
      <c r="T18" s="13">
        <f t="shared" si="17"/>
        <v>0.38000000000000006</v>
      </c>
      <c r="U18" s="13">
        <f t="shared" si="17"/>
        <v>0.40000000000000008</v>
      </c>
      <c r="V18" s="13">
        <f t="shared" si="17"/>
        <v>0.4200000000000001</v>
      </c>
      <c r="W18" s="13">
        <f t="shared" si="17"/>
        <v>0.44000000000000011</v>
      </c>
      <c r="X18" s="13">
        <f t="shared" si="17"/>
        <v>0.46000000000000013</v>
      </c>
      <c r="Y18" s="13">
        <f t="shared" si="17"/>
        <v>0.48000000000000015</v>
      </c>
      <c r="Z18" s="13">
        <f t="shared" si="17"/>
        <v>0.50000000000000011</v>
      </c>
      <c r="AA18" s="13">
        <f t="shared" si="17"/>
        <v>0.52000000000000013</v>
      </c>
      <c r="AB18" s="13">
        <f t="shared" si="17"/>
        <v>0.54000000000000015</v>
      </c>
      <c r="AC18" s="13">
        <f t="shared" si="17"/>
        <v>0.56000000000000016</v>
      </c>
      <c r="AD18" s="13">
        <f t="shared" si="17"/>
        <v>0.58000000000000018</v>
      </c>
      <c r="AE18" s="13">
        <f t="shared" si="17"/>
        <v>0.6000000000000002</v>
      </c>
      <c r="AF18" s="13">
        <f t="shared" si="17"/>
        <v>0.62000000000000022</v>
      </c>
      <c r="AG18" s="13">
        <f t="shared" si="17"/>
        <v>0.64000000000000024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6DE7-D39F-483D-A3D2-93FE4B254E46}">
  <dimension ref="A1:AG18"/>
  <sheetViews>
    <sheetView zoomScale="70" zoomScaleNormal="70" workbookViewId="0">
      <selection sqref="A1:AG18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1">
        <v>0</v>
      </c>
      <c r="C2" s="11">
        <v>0</v>
      </c>
      <c r="D2" s="11">
        <v>0</v>
      </c>
      <c r="E2" s="13">
        <v>0.05</v>
      </c>
      <c r="F2" s="13">
        <f>E2+0.05</f>
        <v>0.1</v>
      </c>
      <c r="G2" s="13">
        <f t="shared" ref="G2:AG2" si="0">F2+0.05</f>
        <v>0.15000000000000002</v>
      </c>
      <c r="H2" s="13">
        <f t="shared" si="0"/>
        <v>0.2</v>
      </c>
      <c r="I2" s="13">
        <f t="shared" si="0"/>
        <v>0.25</v>
      </c>
      <c r="J2" s="13">
        <f t="shared" si="0"/>
        <v>0.3</v>
      </c>
      <c r="K2" s="13">
        <f t="shared" si="0"/>
        <v>0.35</v>
      </c>
      <c r="L2" s="13">
        <f t="shared" si="0"/>
        <v>0.39999999999999997</v>
      </c>
      <c r="M2" s="13">
        <f t="shared" si="0"/>
        <v>0.44999999999999996</v>
      </c>
      <c r="N2" s="13">
        <f t="shared" si="0"/>
        <v>0.49999999999999994</v>
      </c>
      <c r="O2" s="13">
        <f t="shared" si="0"/>
        <v>0.54999999999999993</v>
      </c>
      <c r="P2" s="13">
        <f t="shared" si="0"/>
        <v>0.6</v>
      </c>
      <c r="Q2" s="13">
        <f t="shared" si="0"/>
        <v>0.65</v>
      </c>
      <c r="R2" s="13">
        <f t="shared" si="0"/>
        <v>0.70000000000000007</v>
      </c>
      <c r="S2" s="13">
        <f t="shared" si="0"/>
        <v>0.75000000000000011</v>
      </c>
      <c r="T2" s="13">
        <f t="shared" si="0"/>
        <v>0.80000000000000016</v>
      </c>
      <c r="U2" s="13">
        <f t="shared" si="0"/>
        <v>0.8500000000000002</v>
      </c>
      <c r="V2" s="13">
        <f t="shared" si="0"/>
        <v>0.90000000000000024</v>
      </c>
      <c r="W2" s="13">
        <f t="shared" si="0"/>
        <v>0.95000000000000029</v>
      </c>
      <c r="X2" s="13">
        <f t="shared" si="0"/>
        <v>1.0000000000000002</v>
      </c>
      <c r="Y2" s="13">
        <f t="shared" si="0"/>
        <v>1.0500000000000003</v>
      </c>
      <c r="Z2" s="13">
        <f t="shared" si="0"/>
        <v>1.1000000000000003</v>
      </c>
      <c r="AA2" s="13">
        <f t="shared" si="0"/>
        <v>1.1500000000000004</v>
      </c>
      <c r="AB2" s="13">
        <f t="shared" si="0"/>
        <v>1.2000000000000004</v>
      </c>
      <c r="AC2" s="13">
        <f t="shared" si="0"/>
        <v>1.2500000000000004</v>
      </c>
      <c r="AD2" s="13">
        <f t="shared" si="0"/>
        <v>1.3000000000000005</v>
      </c>
      <c r="AE2" s="13">
        <f t="shared" si="0"/>
        <v>1.3500000000000005</v>
      </c>
      <c r="AF2" s="13">
        <f t="shared" si="0"/>
        <v>1.4000000000000006</v>
      </c>
      <c r="AG2" s="13">
        <f t="shared" si="0"/>
        <v>1.4500000000000006</v>
      </c>
    </row>
    <row r="3" spans="1:33" x14ac:dyDescent="0.3">
      <c r="A3" s="1" t="s">
        <v>1</v>
      </c>
      <c r="B3" s="12">
        <v>0</v>
      </c>
      <c r="C3" s="12">
        <v>0</v>
      </c>
      <c r="D3" s="12">
        <v>0</v>
      </c>
      <c r="E3" s="13">
        <v>0.05</v>
      </c>
      <c r="F3" s="13">
        <f t="shared" ref="F3:AG3" si="1">E3+0.05</f>
        <v>0.1</v>
      </c>
      <c r="G3" s="13">
        <f t="shared" si="1"/>
        <v>0.15000000000000002</v>
      </c>
      <c r="H3" s="13">
        <f t="shared" si="1"/>
        <v>0.2</v>
      </c>
      <c r="I3" s="13">
        <f t="shared" si="1"/>
        <v>0.25</v>
      </c>
      <c r="J3" s="13">
        <f t="shared" si="1"/>
        <v>0.3</v>
      </c>
      <c r="K3" s="13">
        <f t="shared" si="1"/>
        <v>0.35</v>
      </c>
      <c r="L3" s="13">
        <f t="shared" si="1"/>
        <v>0.39999999999999997</v>
      </c>
      <c r="M3" s="13">
        <f t="shared" si="1"/>
        <v>0.44999999999999996</v>
      </c>
      <c r="N3" s="13">
        <f t="shared" si="1"/>
        <v>0.49999999999999994</v>
      </c>
      <c r="O3" s="13">
        <f t="shared" si="1"/>
        <v>0.54999999999999993</v>
      </c>
      <c r="P3" s="13">
        <f t="shared" si="1"/>
        <v>0.6</v>
      </c>
      <c r="Q3" s="13">
        <f t="shared" si="1"/>
        <v>0.65</v>
      </c>
      <c r="R3" s="13">
        <f t="shared" si="1"/>
        <v>0.70000000000000007</v>
      </c>
      <c r="S3" s="13">
        <f t="shared" si="1"/>
        <v>0.75000000000000011</v>
      </c>
      <c r="T3" s="13">
        <f t="shared" si="1"/>
        <v>0.80000000000000016</v>
      </c>
      <c r="U3" s="13">
        <f t="shared" si="1"/>
        <v>0.8500000000000002</v>
      </c>
      <c r="V3" s="13">
        <f t="shared" si="1"/>
        <v>0.90000000000000024</v>
      </c>
      <c r="W3" s="13">
        <f t="shared" si="1"/>
        <v>0.95000000000000029</v>
      </c>
      <c r="X3" s="13">
        <f t="shared" si="1"/>
        <v>1.0000000000000002</v>
      </c>
      <c r="Y3" s="13">
        <f t="shared" si="1"/>
        <v>1.0500000000000003</v>
      </c>
      <c r="Z3" s="13">
        <f t="shared" si="1"/>
        <v>1.1000000000000003</v>
      </c>
      <c r="AA3" s="13">
        <f t="shared" si="1"/>
        <v>1.1500000000000004</v>
      </c>
      <c r="AB3" s="13">
        <f t="shared" si="1"/>
        <v>1.2000000000000004</v>
      </c>
      <c r="AC3" s="13">
        <f t="shared" si="1"/>
        <v>1.2500000000000004</v>
      </c>
      <c r="AD3" s="13">
        <f t="shared" si="1"/>
        <v>1.3000000000000005</v>
      </c>
      <c r="AE3" s="13">
        <f t="shared" si="1"/>
        <v>1.3500000000000005</v>
      </c>
      <c r="AF3" s="13">
        <f t="shared" si="1"/>
        <v>1.4000000000000006</v>
      </c>
      <c r="AG3" s="13">
        <f t="shared" si="1"/>
        <v>1.4500000000000006</v>
      </c>
    </row>
    <row r="4" spans="1:33" x14ac:dyDescent="0.3">
      <c r="A4" s="1" t="s">
        <v>2</v>
      </c>
      <c r="B4" s="11">
        <v>0</v>
      </c>
      <c r="C4" s="11">
        <v>0</v>
      </c>
      <c r="D4" s="11">
        <v>0</v>
      </c>
      <c r="E4" s="13">
        <v>0.05</v>
      </c>
      <c r="F4" s="13">
        <f t="shared" ref="F4:AG4" si="2">E4+0.05</f>
        <v>0.1</v>
      </c>
      <c r="G4" s="13">
        <f t="shared" si="2"/>
        <v>0.15000000000000002</v>
      </c>
      <c r="H4" s="13">
        <f t="shared" si="2"/>
        <v>0.2</v>
      </c>
      <c r="I4" s="13">
        <f t="shared" si="2"/>
        <v>0.25</v>
      </c>
      <c r="J4" s="13">
        <f t="shared" si="2"/>
        <v>0.3</v>
      </c>
      <c r="K4" s="13">
        <f t="shared" si="2"/>
        <v>0.35</v>
      </c>
      <c r="L4" s="13">
        <f t="shared" si="2"/>
        <v>0.39999999999999997</v>
      </c>
      <c r="M4" s="13">
        <f t="shared" si="2"/>
        <v>0.44999999999999996</v>
      </c>
      <c r="N4" s="13">
        <f t="shared" si="2"/>
        <v>0.49999999999999994</v>
      </c>
      <c r="O4" s="13">
        <f t="shared" si="2"/>
        <v>0.54999999999999993</v>
      </c>
      <c r="P4" s="13">
        <f t="shared" si="2"/>
        <v>0.6</v>
      </c>
      <c r="Q4" s="13">
        <f t="shared" si="2"/>
        <v>0.65</v>
      </c>
      <c r="R4" s="13">
        <f t="shared" si="2"/>
        <v>0.70000000000000007</v>
      </c>
      <c r="S4" s="13">
        <f t="shared" si="2"/>
        <v>0.75000000000000011</v>
      </c>
      <c r="T4" s="13">
        <f t="shared" si="2"/>
        <v>0.80000000000000016</v>
      </c>
      <c r="U4" s="13">
        <f t="shared" si="2"/>
        <v>0.8500000000000002</v>
      </c>
      <c r="V4" s="13">
        <f t="shared" si="2"/>
        <v>0.90000000000000024</v>
      </c>
      <c r="W4" s="13">
        <f t="shared" si="2"/>
        <v>0.95000000000000029</v>
      </c>
      <c r="X4" s="13">
        <f t="shared" si="2"/>
        <v>1.0000000000000002</v>
      </c>
      <c r="Y4" s="13">
        <f t="shared" si="2"/>
        <v>1.0500000000000003</v>
      </c>
      <c r="Z4" s="13">
        <f t="shared" si="2"/>
        <v>1.1000000000000003</v>
      </c>
      <c r="AA4" s="13">
        <f t="shared" si="2"/>
        <v>1.1500000000000004</v>
      </c>
      <c r="AB4" s="13">
        <f t="shared" si="2"/>
        <v>1.2000000000000004</v>
      </c>
      <c r="AC4" s="13">
        <f t="shared" si="2"/>
        <v>1.2500000000000004</v>
      </c>
      <c r="AD4" s="13">
        <f t="shared" si="2"/>
        <v>1.3000000000000005</v>
      </c>
      <c r="AE4" s="13">
        <f t="shared" si="2"/>
        <v>1.3500000000000005</v>
      </c>
      <c r="AF4" s="13">
        <f t="shared" si="2"/>
        <v>1.4000000000000006</v>
      </c>
      <c r="AG4" s="13">
        <f t="shared" si="2"/>
        <v>1.4500000000000006</v>
      </c>
    </row>
    <row r="5" spans="1:33" x14ac:dyDescent="0.3">
      <c r="A5" s="1" t="s">
        <v>3</v>
      </c>
      <c r="B5" s="12">
        <v>0</v>
      </c>
      <c r="C5" s="12">
        <v>0</v>
      </c>
      <c r="D5" s="12">
        <v>0</v>
      </c>
      <c r="E5" s="13">
        <v>0.05</v>
      </c>
      <c r="F5" s="13">
        <f t="shared" ref="F5:AG5" si="3">E5+0.05</f>
        <v>0.1</v>
      </c>
      <c r="G5" s="13">
        <f t="shared" si="3"/>
        <v>0.15000000000000002</v>
      </c>
      <c r="H5" s="13">
        <f t="shared" si="3"/>
        <v>0.2</v>
      </c>
      <c r="I5" s="13">
        <f t="shared" si="3"/>
        <v>0.25</v>
      </c>
      <c r="J5" s="13">
        <f t="shared" si="3"/>
        <v>0.3</v>
      </c>
      <c r="K5" s="13">
        <f t="shared" si="3"/>
        <v>0.35</v>
      </c>
      <c r="L5" s="13">
        <f t="shared" si="3"/>
        <v>0.39999999999999997</v>
      </c>
      <c r="M5" s="13">
        <f t="shared" si="3"/>
        <v>0.44999999999999996</v>
      </c>
      <c r="N5" s="13">
        <f t="shared" si="3"/>
        <v>0.49999999999999994</v>
      </c>
      <c r="O5" s="13">
        <f t="shared" si="3"/>
        <v>0.54999999999999993</v>
      </c>
      <c r="P5" s="13">
        <f t="shared" si="3"/>
        <v>0.6</v>
      </c>
      <c r="Q5" s="13">
        <f t="shared" si="3"/>
        <v>0.65</v>
      </c>
      <c r="R5" s="13">
        <f t="shared" si="3"/>
        <v>0.70000000000000007</v>
      </c>
      <c r="S5" s="13">
        <f t="shared" si="3"/>
        <v>0.75000000000000011</v>
      </c>
      <c r="T5" s="13">
        <f t="shared" si="3"/>
        <v>0.80000000000000016</v>
      </c>
      <c r="U5" s="13">
        <f t="shared" si="3"/>
        <v>0.8500000000000002</v>
      </c>
      <c r="V5" s="13">
        <f t="shared" si="3"/>
        <v>0.90000000000000024</v>
      </c>
      <c r="W5" s="13">
        <f t="shared" si="3"/>
        <v>0.95000000000000029</v>
      </c>
      <c r="X5" s="13">
        <f t="shared" si="3"/>
        <v>1.0000000000000002</v>
      </c>
      <c r="Y5" s="13">
        <f t="shared" si="3"/>
        <v>1.0500000000000003</v>
      </c>
      <c r="Z5" s="13">
        <f t="shared" si="3"/>
        <v>1.1000000000000003</v>
      </c>
      <c r="AA5" s="13">
        <f t="shared" si="3"/>
        <v>1.1500000000000004</v>
      </c>
      <c r="AB5" s="13">
        <f t="shared" si="3"/>
        <v>1.2000000000000004</v>
      </c>
      <c r="AC5" s="13">
        <f t="shared" si="3"/>
        <v>1.2500000000000004</v>
      </c>
      <c r="AD5" s="13">
        <f t="shared" si="3"/>
        <v>1.3000000000000005</v>
      </c>
      <c r="AE5" s="13">
        <f t="shared" si="3"/>
        <v>1.3500000000000005</v>
      </c>
      <c r="AF5" s="13">
        <f t="shared" si="3"/>
        <v>1.4000000000000006</v>
      </c>
      <c r="AG5" s="13">
        <f t="shared" si="3"/>
        <v>1.4500000000000006</v>
      </c>
    </row>
    <row r="6" spans="1:33" x14ac:dyDescent="0.3">
      <c r="A6" s="1" t="s">
        <v>4</v>
      </c>
      <c r="B6" s="11">
        <v>0</v>
      </c>
      <c r="C6" s="11">
        <v>0</v>
      </c>
      <c r="D6" s="11">
        <v>0</v>
      </c>
      <c r="E6" s="13">
        <v>0.05</v>
      </c>
      <c r="F6" s="13">
        <f t="shared" ref="F6:AG6" si="4">E6+0.05</f>
        <v>0.1</v>
      </c>
      <c r="G6" s="13">
        <f t="shared" si="4"/>
        <v>0.15000000000000002</v>
      </c>
      <c r="H6" s="13">
        <f t="shared" si="4"/>
        <v>0.2</v>
      </c>
      <c r="I6" s="13">
        <f t="shared" si="4"/>
        <v>0.25</v>
      </c>
      <c r="J6" s="13">
        <f t="shared" si="4"/>
        <v>0.3</v>
      </c>
      <c r="K6" s="13">
        <f t="shared" si="4"/>
        <v>0.35</v>
      </c>
      <c r="L6" s="13">
        <f t="shared" si="4"/>
        <v>0.39999999999999997</v>
      </c>
      <c r="M6" s="13">
        <f t="shared" si="4"/>
        <v>0.44999999999999996</v>
      </c>
      <c r="N6" s="13">
        <f t="shared" si="4"/>
        <v>0.49999999999999994</v>
      </c>
      <c r="O6" s="13">
        <f t="shared" si="4"/>
        <v>0.54999999999999993</v>
      </c>
      <c r="P6" s="13">
        <f t="shared" si="4"/>
        <v>0.6</v>
      </c>
      <c r="Q6" s="13">
        <f t="shared" si="4"/>
        <v>0.65</v>
      </c>
      <c r="R6" s="13">
        <f t="shared" si="4"/>
        <v>0.70000000000000007</v>
      </c>
      <c r="S6" s="13">
        <f t="shared" si="4"/>
        <v>0.75000000000000011</v>
      </c>
      <c r="T6" s="13">
        <f t="shared" si="4"/>
        <v>0.80000000000000016</v>
      </c>
      <c r="U6" s="13">
        <f t="shared" si="4"/>
        <v>0.8500000000000002</v>
      </c>
      <c r="V6" s="13">
        <f t="shared" si="4"/>
        <v>0.90000000000000024</v>
      </c>
      <c r="W6" s="13">
        <f t="shared" si="4"/>
        <v>0.95000000000000029</v>
      </c>
      <c r="X6" s="13">
        <f t="shared" si="4"/>
        <v>1.0000000000000002</v>
      </c>
      <c r="Y6" s="13">
        <f t="shared" si="4"/>
        <v>1.0500000000000003</v>
      </c>
      <c r="Z6" s="13">
        <f t="shared" si="4"/>
        <v>1.1000000000000003</v>
      </c>
      <c r="AA6" s="13">
        <f t="shared" si="4"/>
        <v>1.1500000000000004</v>
      </c>
      <c r="AB6" s="13">
        <f t="shared" si="4"/>
        <v>1.2000000000000004</v>
      </c>
      <c r="AC6" s="13">
        <f t="shared" si="4"/>
        <v>1.2500000000000004</v>
      </c>
      <c r="AD6" s="13">
        <f t="shared" si="4"/>
        <v>1.3000000000000005</v>
      </c>
      <c r="AE6" s="13">
        <f t="shared" si="4"/>
        <v>1.3500000000000005</v>
      </c>
      <c r="AF6" s="13">
        <f t="shared" si="4"/>
        <v>1.4000000000000006</v>
      </c>
      <c r="AG6" s="13">
        <f t="shared" si="4"/>
        <v>1.4500000000000006</v>
      </c>
    </row>
    <row r="7" spans="1:33" x14ac:dyDescent="0.3">
      <c r="A7" s="1" t="s">
        <v>5</v>
      </c>
      <c r="B7" s="12">
        <v>0</v>
      </c>
      <c r="C7" s="12">
        <v>0</v>
      </c>
      <c r="D7" s="12">
        <v>0</v>
      </c>
      <c r="E7" s="13">
        <v>0.05</v>
      </c>
      <c r="F7" s="13">
        <f t="shared" ref="F7:AG7" si="5">E7+0.05</f>
        <v>0.1</v>
      </c>
      <c r="G7" s="13">
        <f t="shared" si="5"/>
        <v>0.15000000000000002</v>
      </c>
      <c r="H7" s="13">
        <f t="shared" si="5"/>
        <v>0.2</v>
      </c>
      <c r="I7" s="13">
        <f t="shared" si="5"/>
        <v>0.25</v>
      </c>
      <c r="J7" s="13">
        <f t="shared" si="5"/>
        <v>0.3</v>
      </c>
      <c r="K7" s="13">
        <f t="shared" si="5"/>
        <v>0.35</v>
      </c>
      <c r="L7" s="13">
        <f t="shared" si="5"/>
        <v>0.39999999999999997</v>
      </c>
      <c r="M7" s="13">
        <f t="shared" si="5"/>
        <v>0.44999999999999996</v>
      </c>
      <c r="N7" s="13">
        <f t="shared" si="5"/>
        <v>0.49999999999999994</v>
      </c>
      <c r="O7" s="13">
        <f t="shared" si="5"/>
        <v>0.54999999999999993</v>
      </c>
      <c r="P7" s="13">
        <f t="shared" si="5"/>
        <v>0.6</v>
      </c>
      <c r="Q7" s="13">
        <f t="shared" si="5"/>
        <v>0.65</v>
      </c>
      <c r="R7" s="13">
        <f t="shared" si="5"/>
        <v>0.70000000000000007</v>
      </c>
      <c r="S7" s="13">
        <f t="shared" si="5"/>
        <v>0.75000000000000011</v>
      </c>
      <c r="T7" s="13">
        <f t="shared" si="5"/>
        <v>0.80000000000000016</v>
      </c>
      <c r="U7" s="13">
        <f t="shared" si="5"/>
        <v>0.8500000000000002</v>
      </c>
      <c r="V7" s="13">
        <f t="shared" si="5"/>
        <v>0.90000000000000024</v>
      </c>
      <c r="W7" s="13">
        <f t="shared" si="5"/>
        <v>0.95000000000000029</v>
      </c>
      <c r="X7" s="13">
        <f t="shared" si="5"/>
        <v>1.0000000000000002</v>
      </c>
      <c r="Y7" s="13">
        <f t="shared" si="5"/>
        <v>1.0500000000000003</v>
      </c>
      <c r="Z7" s="13">
        <f t="shared" si="5"/>
        <v>1.1000000000000003</v>
      </c>
      <c r="AA7" s="13">
        <f t="shared" si="5"/>
        <v>1.1500000000000004</v>
      </c>
      <c r="AB7" s="13">
        <f t="shared" si="5"/>
        <v>1.2000000000000004</v>
      </c>
      <c r="AC7" s="13">
        <f t="shared" si="5"/>
        <v>1.2500000000000004</v>
      </c>
      <c r="AD7" s="13">
        <f t="shared" si="5"/>
        <v>1.3000000000000005</v>
      </c>
      <c r="AE7" s="13">
        <f t="shared" si="5"/>
        <v>1.3500000000000005</v>
      </c>
      <c r="AF7" s="13">
        <f t="shared" si="5"/>
        <v>1.4000000000000006</v>
      </c>
      <c r="AG7" s="13">
        <f t="shared" si="5"/>
        <v>1.4500000000000006</v>
      </c>
    </row>
    <row r="8" spans="1:33" x14ac:dyDescent="0.3">
      <c r="A8" s="1" t="s">
        <v>6</v>
      </c>
      <c r="B8" s="11">
        <v>0</v>
      </c>
      <c r="C8" s="11">
        <v>0</v>
      </c>
      <c r="D8" s="11">
        <v>0</v>
      </c>
      <c r="E8" s="13">
        <v>0.05</v>
      </c>
      <c r="F8" s="13">
        <f t="shared" ref="F8:AG8" si="6">E8+0.05</f>
        <v>0.1</v>
      </c>
      <c r="G8" s="13">
        <f t="shared" si="6"/>
        <v>0.15000000000000002</v>
      </c>
      <c r="H8" s="13">
        <f t="shared" si="6"/>
        <v>0.2</v>
      </c>
      <c r="I8" s="13">
        <f t="shared" si="6"/>
        <v>0.25</v>
      </c>
      <c r="J8" s="13">
        <f t="shared" si="6"/>
        <v>0.3</v>
      </c>
      <c r="K8" s="13">
        <f t="shared" si="6"/>
        <v>0.35</v>
      </c>
      <c r="L8" s="13">
        <f t="shared" si="6"/>
        <v>0.39999999999999997</v>
      </c>
      <c r="M8" s="13">
        <f t="shared" si="6"/>
        <v>0.44999999999999996</v>
      </c>
      <c r="N8" s="13">
        <f t="shared" si="6"/>
        <v>0.49999999999999994</v>
      </c>
      <c r="O8" s="13">
        <f t="shared" si="6"/>
        <v>0.54999999999999993</v>
      </c>
      <c r="P8" s="13">
        <f t="shared" si="6"/>
        <v>0.6</v>
      </c>
      <c r="Q8" s="13">
        <f t="shared" si="6"/>
        <v>0.65</v>
      </c>
      <c r="R8" s="13">
        <f t="shared" si="6"/>
        <v>0.70000000000000007</v>
      </c>
      <c r="S8" s="13">
        <f t="shared" si="6"/>
        <v>0.75000000000000011</v>
      </c>
      <c r="T8" s="13">
        <f t="shared" si="6"/>
        <v>0.80000000000000016</v>
      </c>
      <c r="U8" s="13">
        <f t="shared" si="6"/>
        <v>0.8500000000000002</v>
      </c>
      <c r="V8" s="13">
        <f t="shared" si="6"/>
        <v>0.90000000000000024</v>
      </c>
      <c r="W8" s="13">
        <f t="shared" si="6"/>
        <v>0.95000000000000029</v>
      </c>
      <c r="X8" s="13">
        <f t="shared" si="6"/>
        <v>1.0000000000000002</v>
      </c>
      <c r="Y8" s="13">
        <f t="shared" si="6"/>
        <v>1.0500000000000003</v>
      </c>
      <c r="Z8" s="13">
        <f t="shared" si="6"/>
        <v>1.1000000000000003</v>
      </c>
      <c r="AA8" s="13">
        <f t="shared" si="6"/>
        <v>1.1500000000000004</v>
      </c>
      <c r="AB8" s="13">
        <f t="shared" si="6"/>
        <v>1.2000000000000004</v>
      </c>
      <c r="AC8" s="13">
        <f t="shared" si="6"/>
        <v>1.2500000000000004</v>
      </c>
      <c r="AD8" s="13">
        <f t="shared" si="6"/>
        <v>1.3000000000000005</v>
      </c>
      <c r="AE8" s="13">
        <f t="shared" si="6"/>
        <v>1.3500000000000005</v>
      </c>
      <c r="AF8" s="13">
        <f t="shared" si="6"/>
        <v>1.4000000000000006</v>
      </c>
      <c r="AG8" s="13">
        <f t="shared" si="6"/>
        <v>1.4500000000000006</v>
      </c>
    </row>
    <row r="9" spans="1:33" x14ac:dyDescent="0.3">
      <c r="A9" s="1" t="s">
        <v>7</v>
      </c>
      <c r="B9" s="12">
        <v>0</v>
      </c>
      <c r="C9" s="12">
        <v>0</v>
      </c>
      <c r="D9" s="12">
        <v>0</v>
      </c>
      <c r="E9" s="13">
        <v>0.05</v>
      </c>
      <c r="F9" s="13">
        <f t="shared" ref="F9:AG9" si="7">E9+0.05</f>
        <v>0.1</v>
      </c>
      <c r="G9" s="13">
        <f t="shared" si="7"/>
        <v>0.15000000000000002</v>
      </c>
      <c r="H9" s="13">
        <f t="shared" si="7"/>
        <v>0.2</v>
      </c>
      <c r="I9" s="13">
        <f t="shared" si="7"/>
        <v>0.25</v>
      </c>
      <c r="J9" s="13">
        <f t="shared" si="7"/>
        <v>0.3</v>
      </c>
      <c r="K9" s="13">
        <f t="shared" si="7"/>
        <v>0.35</v>
      </c>
      <c r="L9" s="13">
        <f t="shared" si="7"/>
        <v>0.39999999999999997</v>
      </c>
      <c r="M9" s="13">
        <f t="shared" si="7"/>
        <v>0.44999999999999996</v>
      </c>
      <c r="N9" s="13">
        <f t="shared" si="7"/>
        <v>0.49999999999999994</v>
      </c>
      <c r="O9" s="13">
        <f t="shared" si="7"/>
        <v>0.54999999999999993</v>
      </c>
      <c r="P9" s="13">
        <f t="shared" si="7"/>
        <v>0.6</v>
      </c>
      <c r="Q9" s="13">
        <f t="shared" si="7"/>
        <v>0.65</v>
      </c>
      <c r="R9" s="13">
        <f t="shared" si="7"/>
        <v>0.70000000000000007</v>
      </c>
      <c r="S9" s="13">
        <f t="shared" si="7"/>
        <v>0.75000000000000011</v>
      </c>
      <c r="T9" s="13">
        <f t="shared" si="7"/>
        <v>0.80000000000000016</v>
      </c>
      <c r="U9" s="13">
        <f t="shared" si="7"/>
        <v>0.8500000000000002</v>
      </c>
      <c r="V9" s="13">
        <f t="shared" si="7"/>
        <v>0.90000000000000024</v>
      </c>
      <c r="W9" s="13">
        <f t="shared" si="7"/>
        <v>0.95000000000000029</v>
      </c>
      <c r="X9" s="13">
        <f t="shared" si="7"/>
        <v>1.0000000000000002</v>
      </c>
      <c r="Y9" s="13">
        <f t="shared" si="7"/>
        <v>1.0500000000000003</v>
      </c>
      <c r="Z9" s="13">
        <f t="shared" si="7"/>
        <v>1.1000000000000003</v>
      </c>
      <c r="AA9" s="13">
        <f t="shared" si="7"/>
        <v>1.1500000000000004</v>
      </c>
      <c r="AB9" s="13">
        <f t="shared" si="7"/>
        <v>1.2000000000000004</v>
      </c>
      <c r="AC9" s="13">
        <f t="shared" si="7"/>
        <v>1.2500000000000004</v>
      </c>
      <c r="AD9" s="13">
        <f t="shared" si="7"/>
        <v>1.3000000000000005</v>
      </c>
      <c r="AE9" s="13">
        <f t="shared" si="7"/>
        <v>1.3500000000000005</v>
      </c>
      <c r="AF9" s="13">
        <f t="shared" si="7"/>
        <v>1.4000000000000006</v>
      </c>
      <c r="AG9" s="13">
        <f t="shared" si="7"/>
        <v>1.4500000000000006</v>
      </c>
    </row>
    <row r="10" spans="1:33" x14ac:dyDescent="0.3">
      <c r="A10" s="1" t="s">
        <v>8</v>
      </c>
      <c r="B10" s="11">
        <v>0</v>
      </c>
      <c r="C10" s="11">
        <v>0</v>
      </c>
      <c r="D10" s="11">
        <v>0</v>
      </c>
      <c r="E10" s="13">
        <v>0.05</v>
      </c>
      <c r="F10" s="13">
        <f t="shared" ref="F10:AG10" si="8">E10+0.05</f>
        <v>0.1</v>
      </c>
      <c r="G10" s="13">
        <f t="shared" si="8"/>
        <v>0.15000000000000002</v>
      </c>
      <c r="H10" s="13">
        <f t="shared" si="8"/>
        <v>0.2</v>
      </c>
      <c r="I10" s="13">
        <f t="shared" si="8"/>
        <v>0.25</v>
      </c>
      <c r="J10" s="13">
        <f t="shared" si="8"/>
        <v>0.3</v>
      </c>
      <c r="K10" s="13">
        <f t="shared" si="8"/>
        <v>0.35</v>
      </c>
      <c r="L10" s="13">
        <f t="shared" si="8"/>
        <v>0.39999999999999997</v>
      </c>
      <c r="M10" s="13">
        <f t="shared" si="8"/>
        <v>0.44999999999999996</v>
      </c>
      <c r="N10" s="13">
        <f t="shared" si="8"/>
        <v>0.49999999999999994</v>
      </c>
      <c r="O10" s="13">
        <f t="shared" si="8"/>
        <v>0.54999999999999993</v>
      </c>
      <c r="P10" s="13">
        <f t="shared" si="8"/>
        <v>0.6</v>
      </c>
      <c r="Q10" s="13">
        <f t="shared" si="8"/>
        <v>0.65</v>
      </c>
      <c r="R10" s="13">
        <f t="shared" si="8"/>
        <v>0.70000000000000007</v>
      </c>
      <c r="S10" s="13">
        <f t="shared" si="8"/>
        <v>0.75000000000000011</v>
      </c>
      <c r="T10" s="13">
        <f t="shared" si="8"/>
        <v>0.80000000000000016</v>
      </c>
      <c r="U10" s="13">
        <f t="shared" si="8"/>
        <v>0.8500000000000002</v>
      </c>
      <c r="V10" s="13">
        <f t="shared" si="8"/>
        <v>0.90000000000000024</v>
      </c>
      <c r="W10" s="13">
        <f t="shared" si="8"/>
        <v>0.95000000000000029</v>
      </c>
      <c r="X10" s="13">
        <f t="shared" si="8"/>
        <v>1.0000000000000002</v>
      </c>
      <c r="Y10" s="13">
        <f t="shared" si="8"/>
        <v>1.0500000000000003</v>
      </c>
      <c r="Z10" s="13">
        <f t="shared" si="8"/>
        <v>1.1000000000000003</v>
      </c>
      <c r="AA10" s="13">
        <f t="shared" si="8"/>
        <v>1.1500000000000004</v>
      </c>
      <c r="AB10" s="13">
        <f t="shared" si="8"/>
        <v>1.2000000000000004</v>
      </c>
      <c r="AC10" s="13">
        <f t="shared" si="8"/>
        <v>1.2500000000000004</v>
      </c>
      <c r="AD10" s="13">
        <f t="shared" si="8"/>
        <v>1.3000000000000005</v>
      </c>
      <c r="AE10" s="13">
        <f t="shared" si="8"/>
        <v>1.3500000000000005</v>
      </c>
      <c r="AF10" s="13">
        <f t="shared" si="8"/>
        <v>1.4000000000000006</v>
      </c>
      <c r="AG10" s="13">
        <f t="shared" si="8"/>
        <v>1.4500000000000006</v>
      </c>
    </row>
    <row r="11" spans="1:33" x14ac:dyDescent="0.3">
      <c r="A11" s="1" t="s">
        <v>9</v>
      </c>
      <c r="B11" s="12">
        <v>0</v>
      </c>
      <c r="C11" s="12">
        <v>0</v>
      </c>
      <c r="D11" s="12">
        <v>0</v>
      </c>
      <c r="E11" s="13">
        <v>0.05</v>
      </c>
      <c r="F11" s="13">
        <f t="shared" ref="F11:AG11" si="9">E11+0.05</f>
        <v>0.1</v>
      </c>
      <c r="G11" s="13">
        <f t="shared" si="9"/>
        <v>0.15000000000000002</v>
      </c>
      <c r="H11" s="13">
        <f t="shared" si="9"/>
        <v>0.2</v>
      </c>
      <c r="I11" s="13">
        <f t="shared" si="9"/>
        <v>0.25</v>
      </c>
      <c r="J11" s="13">
        <f t="shared" si="9"/>
        <v>0.3</v>
      </c>
      <c r="K11" s="13">
        <f t="shared" si="9"/>
        <v>0.35</v>
      </c>
      <c r="L11" s="13">
        <f t="shared" si="9"/>
        <v>0.39999999999999997</v>
      </c>
      <c r="M11" s="13">
        <f t="shared" si="9"/>
        <v>0.44999999999999996</v>
      </c>
      <c r="N11" s="13">
        <f t="shared" si="9"/>
        <v>0.49999999999999994</v>
      </c>
      <c r="O11" s="13">
        <f t="shared" si="9"/>
        <v>0.54999999999999993</v>
      </c>
      <c r="P11" s="13">
        <f t="shared" si="9"/>
        <v>0.6</v>
      </c>
      <c r="Q11" s="13">
        <f t="shared" si="9"/>
        <v>0.65</v>
      </c>
      <c r="R11" s="13">
        <f t="shared" si="9"/>
        <v>0.70000000000000007</v>
      </c>
      <c r="S11" s="13">
        <f t="shared" si="9"/>
        <v>0.75000000000000011</v>
      </c>
      <c r="T11" s="13">
        <f t="shared" si="9"/>
        <v>0.80000000000000016</v>
      </c>
      <c r="U11" s="13">
        <f t="shared" si="9"/>
        <v>0.8500000000000002</v>
      </c>
      <c r="V11" s="13">
        <f t="shared" si="9"/>
        <v>0.90000000000000024</v>
      </c>
      <c r="W11" s="13">
        <f t="shared" si="9"/>
        <v>0.95000000000000029</v>
      </c>
      <c r="X11" s="13">
        <f t="shared" si="9"/>
        <v>1.0000000000000002</v>
      </c>
      <c r="Y11" s="13">
        <f t="shared" si="9"/>
        <v>1.0500000000000003</v>
      </c>
      <c r="Z11" s="13">
        <f t="shared" si="9"/>
        <v>1.1000000000000003</v>
      </c>
      <c r="AA11" s="13">
        <f t="shared" si="9"/>
        <v>1.1500000000000004</v>
      </c>
      <c r="AB11" s="13">
        <f t="shared" si="9"/>
        <v>1.2000000000000004</v>
      </c>
      <c r="AC11" s="13">
        <f t="shared" si="9"/>
        <v>1.2500000000000004</v>
      </c>
      <c r="AD11" s="13">
        <f t="shared" si="9"/>
        <v>1.3000000000000005</v>
      </c>
      <c r="AE11" s="13">
        <f t="shared" si="9"/>
        <v>1.3500000000000005</v>
      </c>
      <c r="AF11" s="13">
        <f t="shared" si="9"/>
        <v>1.4000000000000006</v>
      </c>
      <c r="AG11" s="13">
        <f t="shared" si="9"/>
        <v>1.4500000000000006</v>
      </c>
    </row>
    <row r="12" spans="1:33" x14ac:dyDescent="0.3">
      <c r="A12" s="1" t="s">
        <v>10</v>
      </c>
      <c r="B12" s="11">
        <v>0</v>
      </c>
      <c r="C12" s="11">
        <v>0</v>
      </c>
      <c r="D12" s="11">
        <v>0</v>
      </c>
      <c r="E12" s="13">
        <v>0.05</v>
      </c>
      <c r="F12" s="13">
        <f t="shared" ref="F12:AG12" si="10">E12+0.05</f>
        <v>0.1</v>
      </c>
      <c r="G12" s="13">
        <f t="shared" si="10"/>
        <v>0.15000000000000002</v>
      </c>
      <c r="H12" s="13">
        <f t="shared" si="10"/>
        <v>0.2</v>
      </c>
      <c r="I12" s="13">
        <f t="shared" si="10"/>
        <v>0.25</v>
      </c>
      <c r="J12" s="13">
        <f t="shared" si="10"/>
        <v>0.3</v>
      </c>
      <c r="K12" s="13">
        <f t="shared" si="10"/>
        <v>0.35</v>
      </c>
      <c r="L12" s="13">
        <f t="shared" si="10"/>
        <v>0.39999999999999997</v>
      </c>
      <c r="M12" s="13">
        <f t="shared" si="10"/>
        <v>0.44999999999999996</v>
      </c>
      <c r="N12" s="13">
        <f t="shared" si="10"/>
        <v>0.49999999999999994</v>
      </c>
      <c r="O12" s="13">
        <f t="shared" si="10"/>
        <v>0.54999999999999993</v>
      </c>
      <c r="P12" s="13">
        <f t="shared" si="10"/>
        <v>0.6</v>
      </c>
      <c r="Q12" s="13">
        <f t="shared" si="10"/>
        <v>0.65</v>
      </c>
      <c r="R12" s="13">
        <f t="shared" si="10"/>
        <v>0.70000000000000007</v>
      </c>
      <c r="S12" s="13">
        <f t="shared" si="10"/>
        <v>0.75000000000000011</v>
      </c>
      <c r="T12" s="13">
        <f t="shared" si="10"/>
        <v>0.80000000000000016</v>
      </c>
      <c r="U12" s="13">
        <f t="shared" si="10"/>
        <v>0.8500000000000002</v>
      </c>
      <c r="V12" s="13">
        <f t="shared" si="10"/>
        <v>0.90000000000000024</v>
      </c>
      <c r="W12" s="13">
        <f t="shared" si="10"/>
        <v>0.95000000000000029</v>
      </c>
      <c r="X12" s="13">
        <f t="shared" si="10"/>
        <v>1.0000000000000002</v>
      </c>
      <c r="Y12" s="13">
        <f t="shared" si="10"/>
        <v>1.0500000000000003</v>
      </c>
      <c r="Z12" s="13">
        <f t="shared" si="10"/>
        <v>1.1000000000000003</v>
      </c>
      <c r="AA12" s="13">
        <f t="shared" si="10"/>
        <v>1.1500000000000004</v>
      </c>
      <c r="AB12" s="13">
        <f t="shared" si="10"/>
        <v>1.2000000000000004</v>
      </c>
      <c r="AC12" s="13">
        <f t="shared" si="10"/>
        <v>1.2500000000000004</v>
      </c>
      <c r="AD12" s="13">
        <f t="shared" si="10"/>
        <v>1.3000000000000005</v>
      </c>
      <c r="AE12" s="13">
        <f t="shared" si="10"/>
        <v>1.3500000000000005</v>
      </c>
      <c r="AF12" s="13">
        <f t="shared" si="10"/>
        <v>1.4000000000000006</v>
      </c>
      <c r="AG12" s="13">
        <f t="shared" si="10"/>
        <v>1.4500000000000006</v>
      </c>
    </row>
    <row r="13" spans="1:33" x14ac:dyDescent="0.3">
      <c r="A13" s="1" t="s">
        <v>11</v>
      </c>
      <c r="B13" s="12">
        <v>0</v>
      </c>
      <c r="C13" s="12">
        <v>0</v>
      </c>
      <c r="D13" s="12">
        <v>0</v>
      </c>
      <c r="E13" s="13">
        <v>0.05</v>
      </c>
      <c r="F13" s="13">
        <f t="shared" ref="F13:AG13" si="11">E13+0.05</f>
        <v>0.1</v>
      </c>
      <c r="G13" s="13">
        <f t="shared" si="11"/>
        <v>0.15000000000000002</v>
      </c>
      <c r="H13" s="13">
        <f t="shared" si="11"/>
        <v>0.2</v>
      </c>
      <c r="I13" s="13">
        <f t="shared" si="11"/>
        <v>0.25</v>
      </c>
      <c r="J13" s="13">
        <f t="shared" si="11"/>
        <v>0.3</v>
      </c>
      <c r="K13" s="13">
        <f t="shared" si="11"/>
        <v>0.35</v>
      </c>
      <c r="L13" s="13">
        <f t="shared" si="11"/>
        <v>0.39999999999999997</v>
      </c>
      <c r="M13" s="13">
        <f t="shared" si="11"/>
        <v>0.44999999999999996</v>
      </c>
      <c r="N13" s="13">
        <f t="shared" si="11"/>
        <v>0.49999999999999994</v>
      </c>
      <c r="O13" s="13">
        <f t="shared" si="11"/>
        <v>0.54999999999999993</v>
      </c>
      <c r="P13" s="13">
        <f t="shared" si="11"/>
        <v>0.6</v>
      </c>
      <c r="Q13" s="13">
        <f t="shared" si="11"/>
        <v>0.65</v>
      </c>
      <c r="R13" s="13">
        <f t="shared" si="11"/>
        <v>0.70000000000000007</v>
      </c>
      <c r="S13" s="13">
        <f t="shared" si="11"/>
        <v>0.75000000000000011</v>
      </c>
      <c r="T13" s="13">
        <f t="shared" si="11"/>
        <v>0.80000000000000016</v>
      </c>
      <c r="U13" s="13">
        <f t="shared" si="11"/>
        <v>0.8500000000000002</v>
      </c>
      <c r="V13" s="13">
        <f t="shared" si="11"/>
        <v>0.90000000000000024</v>
      </c>
      <c r="W13" s="13">
        <f t="shared" si="11"/>
        <v>0.95000000000000029</v>
      </c>
      <c r="X13" s="13">
        <f t="shared" si="11"/>
        <v>1.0000000000000002</v>
      </c>
      <c r="Y13" s="13">
        <f t="shared" si="11"/>
        <v>1.0500000000000003</v>
      </c>
      <c r="Z13" s="13">
        <f t="shared" si="11"/>
        <v>1.1000000000000003</v>
      </c>
      <c r="AA13" s="13">
        <f t="shared" si="11"/>
        <v>1.1500000000000004</v>
      </c>
      <c r="AB13" s="13">
        <f t="shared" si="11"/>
        <v>1.2000000000000004</v>
      </c>
      <c r="AC13" s="13">
        <f t="shared" si="11"/>
        <v>1.2500000000000004</v>
      </c>
      <c r="AD13" s="13">
        <f t="shared" si="11"/>
        <v>1.3000000000000005</v>
      </c>
      <c r="AE13" s="13">
        <f t="shared" si="11"/>
        <v>1.3500000000000005</v>
      </c>
      <c r="AF13" s="13">
        <f t="shared" si="11"/>
        <v>1.4000000000000006</v>
      </c>
      <c r="AG13" s="13">
        <f t="shared" si="11"/>
        <v>1.4500000000000006</v>
      </c>
    </row>
    <row r="14" spans="1:33" x14ac:dyDescent="0.3">
      <c r="A14" s="1" t="s">
        <v>12</v>
      </c>
      <c r="B14" s="11">
        <v>0</v>
      </c>
      <c r="C14" s="11">
        <v>0</v>
      </c>
      <c r="D14" s="11">
        <v>0</v>
      </c>
      <c r="E14" s="13">
        <v>0.05</v>
      </c>
      <c r="F14" s="13">
        <f t="shared" ref="F14:AG14" si="12">E14+0.05</f>
        <v>0.1</v>
      </c>
      <c r="G14" s="13">
        <f t="shared" si="12"/>
        <v>0.15000000000000002</v>
      </c>
      <c r="H14" s="13">
        <f t="shared" si="12"/>
        <v>0.2</v>
      </c>
      <c r="I14" s="13">
        <f t="shared" si="12"/>
        <v>0.25</v>
      </c>
      <c r="J14" s="13">
        <f t="shared" si="12"/>
        <v>0.3</v>
      </c>
      <c r="K14" s="13">
        <f t="shared" si="12"/>
        <v>0.35</v>
      </c>
      <c r="L14" s="13">
        <f t="shared" si="12"/>
        <v>0.39999999999999997</v>
      </c>
      <c r="M14" s="13">
        <f t="shared" si="12"/>
        <v>0.44999999999999996</v>
      </c>
      <c r="N14" s="13">
        <f t="shared" si="12"/>
        <v>0.49999999999999994</v>
      </c>
      <c r="O14" s="13">
        <f t="shared" si="12"/>
        <v>0.54999999999999993</v>
      </c>
      <c r="P14" s="13">
        <f t="shared" si="12"/>
        <v>0.6</v>
      </c>
      <c r="Q14" s="13">
        <f t="shared" si="12"/>
        <v>0.65</v>
      </c>
      <c r="R14" s="13">
        <f t="shared" si="12"/>
        <v>0.70000000000000007</v>
      </c>
      <c r="S14" s="13">
        <f t="shared" si="12"/>
        <v>0.75000000000000011</v>
      </c>
      <c r="T14" s="13">
        <f t="shared" si="12"/>
        <v>0.80000000000000016</v>
      </c>
      <c r="U14" s="13">
        <f t="shared" si="12"/>
        <v>0.8500000000000002</v>
      </c>
      <c r="V14" s="13">
        <f t="shared" si="12"/>
        <v>0.90000000000000024</v>
      </c>
      <c r="W14" s="13">
        <f t="shared" si="12"/>
        <v>0.95000000000000029</v>
      </c>
      <c r="X14" s="13">
        <f t="shared" si="12"/>
        <v>1.0000000000000002</v>
      </c>
      <c r="Y14" s="13">
        <f t="shared" si="12"/>
        <v>1.0500000000000003</v>
      </c>
      <c r="Z14" s="13">
        <f t="shared" si="12"/>
        <v>1.1000000000000003</v>
      </c>
      <c r="AA14" s="13">
        <f t="shared" si="12"/>
        <v>1.1500000000000004</v>
      </c>
      <c r="AB14" s="13">
        <f t="shared" si="12"/>
        <v>1.2000000000000004</v>
      </c>
      <c r="AC14" s="13">
        <f t="shared" si="12"/>
        <v>1.2500000000000004</v>
      </c>
      <c r="AD14" s="13">
        <f t="shared" si="12"/>
        <v>1.3000000000000005</v>
      </c>
      <c r="AE14" s="13">
        <f t="shared" si="12"/>
        <v>1.3500000000000005</v>
      </c>
      <c r="AF14" s="13">
        <f t="shared" si="12"/>
        <v>1.4000000000000006</v>
      </c>
      <c r="AG14" s="13">
        <f t="shared" si="12"/>
        <v>1.4500000000000006</v>
      </c>
    </row>
    <row r="15" spans="1:33" x14ac:dyDescent="0.3">
      <c r="A15" s="1" t="s">
        <v>13</v>
      </c>
      <c r="B15" s="12">
        <v>0</v>
      </c>
      <c r="C15" s="12">
        <v>0</v>
      </c>
      <c r="D15" s="12">
        <v>0</v>
      </c>
      <c r="E15" s="13">
        <v>0.05</v>
      </c>
      <c r="F15" s="13">
        <f t="shared" ref="F15:AG15" si="13">E15+0.05</f>
        <v>0.1</v>
      </c>
      <c r="G15" s="13">
        <f t="shared" si="13"/>
        <v>0.15000000000000002</v>
      </c>
      <c r="H15" s="13">
        <f t="shared" si="13"/>
        <v>0.2</v>
      </c>
      <c r="I15" s="13">
        <f t="shared" si="13"/>
        <v>0.25</v>
      </c>
      <c r="J15" s="13">
        <f t="shared" si="13"/>
        <v>0.3</v>
      </c>
      <c r="K15" s="13">
        <f t="shared" si="13"/>
        <v>0.35</v>
      </c>
      <c r="L15" s="13">
        <f t="shared" si="13"/>
        <v>0.39999999999999997</v>
      </c>
      <c r="M15" s="13">
        <f t="shared" si="13"/>
        <v>0.44999999999999996</v>
      </c>
      <c r="N15" s="13">
        <f t="shared" si="13"/>
        <v>0.49999999999999994</v>
      </c>
      <c r="O15" s="13">
        <f t="shared" si="13"/>
        <v>0.54999999999999993</v>
      </c>
      <c r="P15" s="13">
        <f t="shared" si="13"/>
        <v>0.6</v>
      </c>
      <c r="Q15" s="13">
        <f t="shared" si="13"/>
        <v>0.65</v>
      </c>
      <c r="R15" s="13">
        <f t="shared" si="13"/>
        <v>0.70000000000000007</v>
      </c>
      <c r="S15" s="13">
        <f t="shared" si="13"/>
        <v>0.75000000000000011</v>
      </c>
      <c r="T15" s="13">
        <f t="shared" si="13"/>
        <v>0.80000000000000016</v>
      </c>
      <c r="U15" s="13">
        <f t="shared" si="13"/>
        <v>0.8500000000000002</v>
      </c>
      <c r="V15" s="13">
        <f t="shared" si="13"/>
        <v>0.90000000000000024</v>
      </c>
      <c r="W15" s="13">
        <f t="shared" si="13"/>
        <v>0.95000000000000029</v>
      </c>
      <c r="X15" s="13">
        <f t="shared" si="13"/>
        <v>1.0000000000000002</v>
      </c>
      <c r="Y15" s="13">
        <f t="shared" si="13"/>
        <v>1.0500000000000003</v>
      </c>
      <c r="Z15" s="13">
        <f t="shared" si="13"/>
        <v>1.1000000000000003</v>
      </c>
      <c r="AA15" s="13">
        <f t="shared" si="13"/>
        <v>1.1500000000000004</v>
      </c>
      <c r="AB15" s="13">
        <f t="shared" si="13"/>
        <v>1.2000000000000004</v>
      </c>
      <c r="AC15" s="13">
        <f t="shared" si="13"/>
        <v>1.2500000000000004</v>
      </c>
      <c r="AD15" s="13">
        <f t="shared" si="13"/>
        <v>1.3000000000000005</v>
      </c>
      <c r="AE15" s="13">
        <f t="shared" si="13"/>
        <v>1.3500000000000005</v>
      </c>
      <c r="AF15" s="13">
        <f t="shared" si="13"/>
        <v>1.4000000000000006</v>
      </c>
      <c r="AG15" s="13">
        <f t="shared" si="13"/>
        <v>1.4500000000000006</v>
      </c>
    </row>
    <row r="16" spans="1:33" x14ac:dyDescent="0.3">
      <c r="A16" s="1" t="s">
        <v>14</v>
      </c>
      <c r="B16" s="11">
        <v>0</v>
      </c>
      <c r="C16" s="11">
        <v>0</v>
      </c>
      <c r="D16" s="11">
        <v>0</v>
      </c>
      <c r="E16" s="13">
        <v>0.05</v>
      </c>
      <c r="F16" s="13">
        <f t="shared" ref="F16:AG16" si="14">E16+0.05</f>
        <v>0.1</v>
      </c>
      <c r="G16" s="13">
        <f t="shared" si="14"/>
        <v>0.15000000000000002</v>
      </c>
      <c r="H16" s="13">
        <f t="shared" si="14"/>
        <v>0.2</v>
      </c>
      <c r="I16" s="13">
        <f t="shared" si="14"/>
        <v>0.25</v>
      </c>
      <c r="J16" s="13">
        <f t="shared" si="14"/>
        <v>0.3</v>
      </c>
      <c r="K16" s="13">
        <f t="shared" si="14"/>
        <v>0.35</v>
      </c>
      <c r="L16" s="13">
        <f t="shared" si="14"/>
        <v>0.39999999999999997</v>
      </c>
      <c r="M16" s="13">
        <f t="shared" si="14"/>
        <v>0.44999999999999996</v>
      </c>
      <c r="N16" s="13">
        <f t="shared" si="14"/>
        <v>0.49999999999999994</v>
      </c>
      <c r="O16" s="13">
        <f t="shared" si="14"/>
        <v>0.54999999999999993</v>
      </c>
      <c r="P16" s="13">
        <f t="shared" si="14"/>
        <v>0.6</v>
      </c>
      <c r="Q16" s="13">
        <f t="shared" si="14"/>
        <v>0.65</v>
      </c>
      <c r="R16" s="13">
        <f t="shared" si="14"/>
        <v>0.70000000000000007</v>
      </c>
      <c r="S16" s="13">
        <f t="shared" si="14"/>
        <v>0.75000000000000011</v>
      </c>
      <c r="T16" s="13">
        <f t="shared" si="14"/>
        <v>0.80000000000000016</v>
      </c>
      <c r="U16" s="13">
        <f t="shared" si="14"/>
        <v>0.8500000000000002</v>
      </c>
      <c r="V16" s="13">
        <f t="shared" si="14"/>
        <v>0.90000000000000024</v>
      </c>
      <c r="W16" s="13">
        <f t="shared" si="14"/>
        <v>0.95000000000000029</v>
      </c>
      <c r="X16" s="13">
        <f t="shared" si="14"/>
        <v>1.0000000000000002</v>
      </c>
      <c r="Y16" s="13">
        <f t="shared" si="14"/>
        <v>1.0500000000000003</v>
      </c>
      <c r="Z16" s="13">
        <f t="shared" si="14"/>
        <v>1.1000000000000003</v>
      </c>
      <c r="AA16" s="13">
        <f t="shared" si="14"/>
        <v>1.1500000000000004</v>
      </c>
      <c r="AB16" s="13">
        <f t="shared" si="14"/>
        <v>1.2000000000000004</v>
      </c>
      <c r="AC16" s="13">
        <f t="shared" si="14"/>
        <v>1.2500000000000004</v>
      </c>
      <c r="AD16" s="13">
        <f t="shared" si="14"/>
        <v>1.3000000000000005</v>
      </c>
      <c r="AE16" s="13">
        <f t="shared" si="14"/>
        <v>1.3500000000000005</v>
      </c>
      <c r="AF16" s="13">
        <f t="shared" si="14"/>
        <v>1.4000000000000006</v>
      </c>
      <c r="AG16" s="13">
        <f t="shared" si="14"/>
        <v>1.4500000000000006</v>
      </c>
    </row>
    <row r="17" spans="1:33" x14ac:dyDescent="0.3">
      <c r="A17" s="1" t="s">
        <v>15</v>
      </c>
      <c r="B17" s="12">
        <v>0</v>
      </c>
      <c r="C17" s="12">
        <v>0</v>
      </c>
      <c r="D17" s="12">
        <v>0</v>
      </c>
      <c r="E17" s="13">
        <v>0.05</v>
      </c>
      <c r="F17" s="13">
        <f t="shared" ref="F17:AG17" si="15">E17+0.05</f>
        <v>0.1</v>
      </c>
      <c r="G17" s="13">
        <f t="shared" si="15"/>
        <v>0.15000000000000002</v>
      </c>
      <c r="H17" s="13">
        <f t="shared" si="15"/>
        <v>0.2</v>
      </c>
      <c r="I17" s="13">
        <f t="shared" si="15"/>
        <v>0.25</v>
      </c>
      <c r="J17" s="13">
        <f t="shared" si="15"/>
        <v>0.3</v>
      </c>
      <c r="K17" s="13">
        <f t="shared" si="15"/>
        <v>0.35</v>
      </c>
      <c r="L17" s="13">
        <f t="shared" si="15"/>
        <v>0.39999999999999997</v>
      </c>
      <c r="M17" s="13">
        <f t="shared" si="15"/>
        <v>0.44999999999999996</v>
      </c>
      <c r="N17" s="13">
        <f t="shared" si="15"/>
        <v>0.49999999999999994</v>
      </c>
      <c r="O17" s="13">
        <f t="shared" si="15"/>
        <v>0.54999999999999993</v>
      </c>
      <c r="P17" s="13">
        <f t="shared" si="15"/>
        <v>0.6</v>
      </c>
      <c r="Q17" s="13">
        <f t="shared" si="15"/>
        <v>0.65</v>
      </c>
      <c r="R17" s="13">
        <f t="shared" si="15"/>
        <v>0.70000000000000007</v>
      </c>
      <c r="S17" s="13">
        <f t="shared" si="15"/>
        <v>0.75000000000000011</v>
      </c>
      <c r="T17" s="13">
        <f t="shared" si="15"/>
        <v>0.80000000000000016</v>
      </c>
      <c r="U17" s="13">
        <f t="shared" si="15"/>
        <v>0.8500000000000002</v>
      </c>
      <c r="V17" s="13">
        <f t="shared" si="15"/>
        <v>0.90000000000000024</v>
      </c>
      <c r="W17" s="13">
        <f t="shared" si="15"/>
        <v>0.95000000000000029</v>
      </c>
      <c r="X17" s="13">
        <f t="shared" si="15"/>
        <v>1.0000000000000002</v>
      </c>
      <c r="Y17" s="13">
        <f t="shared" si="15"/>
        <v>1.0500000000000003</v>
      </c>
      <c r="Z17" s="13">
        <f t="shared" si="15"/>
        <v>1.1000000000000003</v>
      </c>
      <c r="AA17" s="13">
        <f t="shared" si="15"/>
        <v>1.1500000000000004</v>
      </c>
      <c r="AB17" s="13">
        <f t="shared" si="15"/>
        <v>1.2000000000000004</v>
      </c>
      <c r="AC17" s="13">
        <f t="shared" si="15"/>
        <v>1.2500000000000004</v>
      </c>
      <c r="AD17" s="13">
        <f t="shared" si="15"/>
        <v>1.3000000000000005</v>
      </c>
      <c r="AE17" s="13">
        <f t="shared" si="15"/>
        <v>1.3500000000000005</v>
      </c>
      <c r="AF17" s="13">
        <f t="shared" si="15"/>
        <v>1.4000000000000006</v>
      </c>
      <c r="AG17" s="13">
        <f t="shared" si="15"/>
        <v>1.4500000000000006</v>
      </c>
    </row>
    <row r="18" spans="1:33" x14ac:dyDescent="0.3">
      <c r="A18" s="1" t="s">
        <v>16</v>
      </c>
      <c r="B18" s="11">
        <v>0</v>
      </c>
      <c r="C18" s="11">
        <v>0</v>
      </c>
      <c r="D18" s="11">
        <v>0</v>
      </c>
      <c r="E18" s="13">
        <v>0.05</v>
      </c>
      <c r="F18" s="13">
        <f t="shared" ref="F18:AG18" si="16">E18+0.05</f>
        <v>0.1</v>
      </c>
      <c r="G18" s="13">
        <f t="shared" si="16"/>
        <v>0.15000000000000002</v>
      </c>
      <c r="H18" s="13">
        <f t="shared" si="16"/>
        <v>0.2</v>
      </c>
      <c r="I18" s="13">
        <f t="shared" si="16"/>
        <v>0.25</v>
      </c>
      <c r="J18" s="13">
        <f t="shared" si="16"/>
        <v>0.3</v>
      </c>
      <c r="K18" s="13">
        <f t="shared" si="16"/>
        <v>0.35</v>
      </c>
      <c r="L18" s="13">
        <f t="shared" si="16"/>
        <v>0.39999999999999997</v>
      </c>
      <c r="M18" s="13">
        <f t="shared" si="16"/>
        <v>0.44999999999999996</v>
      </c>
      <c r="N18" s="13">
        <f t="shared" si="16"/>
        <v>0.49999999999999994</v>
      </c>
      <c r="O18" s="13">
        <f t="shared" si="16"/>
        <v>0.54999999999999993</v>
      </c>
      <c r="P18" s="13">
        <f t="shared" si="16"/>
        <v>0.6</v>
      </c>
      <c r="Q18" s="13">
        <f t="shared" si="16"/>
        <v>0.65</v>
      </c>
      <c r="R18" s="13">
        <f t="shared" si="16"/>
        <v>0.70000000000000007</v>
      </c>
      <c r="S18" s="13">
        <f t="shared" si="16"/>
        <v>0.75000000000000011</v>
      </c>
      <c r="T18" s="13">
        <f t="shared" si="16"/>
        <v>0.80000000000000016</v>
      </c>
      <c r="U18" s="13">
        <f t="shared" si="16"/>
        <v>0.8500000000000002</v>
      </c>
      <c r="V18" s="13">
        <f t="shared" si="16"/>
        <v>0.90000000000000024</v>
      </c>
      <c r="W18" s="13">
        <f t="shared" si="16"/>
        <v>0.95000000000000029</v>
      </c>
      <c r="X18" s="13">
        <f t="shared" si="16"/>
        <v>1.0000000000000002</v>
      </c>
      <c r="Y18" s="13">
        <f t="shared" si="16"/>
        <v>1.0500000000000003</v>
      </c>
      <c r="Z18" s="13">
        <f t="shared" si="16"/>
        <v>1.1000000000000003</v>
      </c>
      <c r="AA18" s="13">
        <f t="shared" si="16"/>
        <v>1.1500000000000004</v>
      </c>
      <c r="AB18" s="13">
        <f t="shared" si="16"/>
        <v>1.2000000000000004</v>
      </c>
      <c r="AC18" s="13">
        <f t="shared" si="16"/>
        <v>1.2500000000000004</v>
      </c>
      <c r="AD18" s="13">
        <f t="shared" si="16"/>
        <v>1.3000000000000005</v>
      </c>
      <c r="AE18" s="13">
        <f t="shared" si="16"/>
        <v>1.3500000000000005</v>
      </c>
      <c r="AF18" s="13">
        <f t="shared" si="16"/>
        <v>1.4000000000000006</v>
      </c>
      <c r="AG18" s="13">
        <f t="shared" si="16"/>
        <v>1.4500000000000006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BF70-BEB3-4C23-BA28-705EDE33B68E}">
  <dimension ref="A1:AG18"/>
  <sheetViews>
    <sheetView workbookViewId="0">
      <selection sqref="A1:A18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1">
        <v>0</v>
      </c>
      <c r="C2" s="11">
        <v>0</v>
      </c>
      <c r="D2" s="11">
        <v>0</v>
      </c>
      <c r="E2" s="13">
        <v>0.05</v>
      </c>
      <c r="F2" s="13">
        <f>E2+0.1</f>
        <v>0.15000000000000002</v>
      </c>
      <c r="G2" s="13">
        <f t="shared" ref="G2:AG2" si="0">F2+0.1</f>
        <v>0.25</v>
      </c>
      <c r="H2" s="13">
        <f t="shared" si="0"/>
        <v>0.35</v>
      </c>
      <c r="I2" s="13">
        <f t="shared" si="0"/>
        <v>0.44999999999999996</v>
      </c>
      <c r="J2" s="13">
        <f t="shared" si="0"/>
        <v>0.54999999999999993</v>
      </c>
      <c r="K2" s="13">
        <f t="shared" si="0"/>
        <v>0.64999999999999991</v>
      </c>
      <c r="L2" s="13">
        <f t="shared" si="0"/>
        <v>0.74999999999999989</v>
      </c>
      <c r="M2" s="13">
        <f t="shared" si="0"/>
        <v>0.84999999999999987</v>
      </c>
      <c r="N2" s="13">
        <f t="shared" si="0"/>
        <v>0.94999999999999984</v>
      </c>
      <c r="O2" s="13">
        <f t="shared" si="0"/>
        <v>1.0499999999999998</v>
      </c>
      <c r="P2" s="13">
        <f t="shared" si="0"/>
        <v>1.1499999999999999</v>
      </c>
      <c r="Q2" s="13">
        <f t="shared" si="0"/>
        <v>1.25</v>
      </c>
      <c r="R2" s="13">
        <f t="shared" si="0"/>
        <v>1.35</v>
      </c>
      <c r="S2" s="13">
        <f t="shared" si="0"/>
        <v>1.4500000000000002</v>
      </c>
      <c r="T2" s="13">
        <f t="shared" si="0"/>
        <v>1.5500000000000003</v>
      </c>
      <c r="U2" s="13">
        <f t="shared" si="0"/>
        <v>1.6500000000000004</v>
      </c>
      <c r="V2" s="13">
        <f t="shared" si="0"/>
        <v>1.7500000000000004</v>
      </c>
      <c r="W2" s="13">
        <f t="shared" si="0"/>
        <v>1.8500000000000005</v>
      </c>
      <c r="X2" s="13">
        <f t="shared" si="0"/>
        <v>1.9500000000000006</v>
      </c>
      <c r="Y2" s="13">
        <f t="shared" si="0"/>
        <v>2.0500000000000007</v>
      </c>
      <c r="Z2" s="13">
        <f t="shared" si="0"/>
        <v>2.1500000000000008</v>
      </c>
      <c r="AA2" s="13">
        <f t="shared" si="0"/>
        <v>2.2500000000000009</v>
      </c>
      <c r="AB2" s="13">
        <f t="shared" si="0"/>
        <v>2.350000000000001</v>
      </c>
      <c r="AC2" s="13">
        <f t="shared" si="0"/>
        <v>2.4500000000000011</v>
      </c>
      <c r="AD2" s="13">
        <f t="shared" si="0"/>
        <v>2.5500000000000012</v>
      </c>
      <c r="AE2" s="13">
        <f t="shared" si="0"/>
        <v>2.6500000000000012</v>
      </c>
      <c r="AF2" s="13">
        <f t="shared" si="0"/>
        <v>2.7500000000000013</v>
      </c>
      <c r="AG2" s="13">
        <f t="shared" si="0"/>
        <v>2.8500000000000014</v>
      </c>
    </row>
    <row r="3" spans="1:33" x14ac:dyDescent="0.3">
      <c r="A3" s="1" t="s">
        <v>1</v>
      </c>
      <c r="B3" s="12">
        <v>0</v>
      </c>
      <c r="C3" s="12">
        <v>0</v>
      </c>
      <c r="D3" s="12">
        <v>0</v>
      </c>
      <c r="E3" s="13">
        <v>0.05</v>
      </c>
      <c r="F3" s="13">
        <f t="shared" ref="F3:AG3" si="1">E3+0.1</f>
        <v>0.15000000000000002</v>
      </c>
      <c r="G3" s="13">
        <f t="shared" si="1"/>
        <v>0.25</v>
      </c>
      <c r="H3" s="13">
        <f t="shared" si="1"/>
        <v>0.35</v>
      </c>
      <c r="I3" s="13">
        <f t="shared" si="1"/>
        <v>0.44999999999999996</v>
      </c>
      <c r="J3" s="13">
        <f t="shared" si="1"/>
        <v>0.54999999999999993</v>
      </c>
      <c r="K3" s="13">
        <f t="shared" si="1"/>
        <v>0.64999999999999991</v>
      </c>
      <c r="L3" s="13">
        <f t="shared" si="1"/>
        <v>0.74999999999999989</v>
      </c>
      <c r="M3" s="13">
        <f t="shared" si="1"/>
        <v>0.84999999999999987</v>
      </c>
      <c r="N3" s="13">
        <f t="shared" si="1"/>
        <v>0.94999999999999984</v>
      </c>
      <c r="O3" s="13">
        <f t="shared" si="1"/>
        <v>1.0499999999999998</v>
      </c>
      <c r="P3" s="13">
        <f t="shared" si="1"/>
        <v>1.1499999999999999</v>
      </c>
      <c r="Q3" s="13">
        <f t="shared" si="1"/>
        <v>1.25</v>
      </c>
      <c r="R3" s="13">
        <f t="shared" si="1"/>
        <v>1.35</v>
      </c>
      <c r="S3" s="13">
        <f t="shared" si="1"/>
        <v>1.4500000000000002</v>
      </c>
      <c r="T3" s="13">
        <f t="shared" si="1"/>
        <v>1.5500000000000003</v>
      </c>
      <c r="U3" s="13">
        <f t="shared" si="1"/>
        <v>1.6500000000000004</v>
      </c>
      <c r="V3" s="13">
        <f t="shared" si="1"/>
        <v>1.7500000000000004</v>
      </c>
      <c r="W3" s="13">
        <f t="shared" si="1"/>
        <v>1.8500000000000005</v>
      </c>
      <c r="X3" s="13">
        <f t="shared" si="1"/>
        <v>1.9500000000000006</v>
      </c>
      <c r="Y3" s="13">
        <f t="shared" si="1"/>
        <v>2.0500000000000007</v>
      </c>
      <c r="Z3" s="13">
        <f t="shared" si="1"/>
        <v>2.1500000000000008</v>
      </c>
      <c r="AA3" s="13">
        <f t="shared" si="1"/>
        <v>2.2500000000000009</v>
      </c>
      <c r="AB3" s="13">
        <f t="shared" si="1"/>
        <v>2.350000000000001</v>
      </c>
      <c r="AC3" s="13">
        <f t="shared" si="1"/>
        <v>2.4500000000000011</v>
      </c>
      <c r="AD3" s="13">
        <f t="shared" si="1"/>
        <v>2.5500000000000012</v>
      </c>
      <c r="AE3" s="13">
        <f t="shared" si="1"/>
        <v>2.6500000000000012</v>
      </c>
      <c r="AF3" s="13">
        <f t="shared" si="1"/>
        <v>2.7500000000000013</v>
      </c>
      <c r="AG3" s="13">
        <f t="shared" si="1"/>
        <v>2.8500000000000014</v>
      </c>
    </row>
    <row r="4" spans="1:33" x14ac:dyDescent="0.3">
      <c r="A4" s="1" t="s">
        <v>2</v>
      </c>
      <c r="B4" s="11">
        <v>0</v>
      </c>
      <c r="C4" s="11">
        <v>0</v>
      </c>
      <c r="D4" s="11">
        <v>0</v>
      </c>
      <c r="E4" s="13">
        <v>0.05</v>
      </c>
      <c r="F4" s="13">
        <f t="shared" ref="F4:AG4" si="2">E4+0.1</f>
        <v>0.15000000000000002</v>
      </c>
      <c r="G4" s="13">
        <f t="shared" si="2"/>
        <v>0.25</v>
      </c>
      <c r="H4" s="13">
        <f t="shared" si="2"/>
        <v>0.35</v>
      </c>
      <c r="I4" s="13">
        <f t="shared" si="2"/>
        <v>0.44999999999999996</v>
      </c>
      <c r="J4" s="13">
        <f t="shared" si="2"/>
        <v>0.54999999999999993</v>
      </c>
      <c r="K4" s="13">
        <f t="shared" si="2"/>
        <v>0.64999999999999991</v>
      </c>
      <c r="L4" s="13">
        <f t="shared" si="2"/>
        <v>0.74999999999999989</v>
      </c>
      <c r="M4" s="13">
        <f t="shared" si="2"/>
        <v>0.84999999999999987</v>
      </c>
      <c r="N4" s="13">
        <f t="shared" si="2"/>
        <v>0.94999999999999984</v>
      </c>
      <c r="O4" s="13">
        <f t="shared" si="2"/>
        <v>1.0499999999999998</v>
      </c>
      <c r="P4" s="13">
        <f t="shared" si="2"/>
        <v>1.1499999999999999</v>
      </c>
      <c r="Q4" s="13">
        <f t="shared" si="2"/>
        <v>1.25</v>
      </c>
      <c r="R4" s="13">
        <f t="shared" si="2"/>
        <v>1.35</v>
      </c>
      <c r="S4" s="13">
        <f t="shared" si="2"/>
        <v>1.4500000000000002</v>
      </c>
      <c r="T4" s="13">
        <f t="shared" si="2"/>
        <v>1.5500000000000003</v>
      </c>
      <c r="U4" s="13">
        <f t="shared" si="2"/>
        <v>1.6500000000000004</v>
      </c>
      <c r="V4" s="13">
        <f t="shared" si="2"/>
        <v>1.7500000000000004</v>
      </c>
      <c r="W4" s="13">
        <f t="shared" si="2"/>
        <v>1.8500000000000005</v>
      </c>
      <c r="X4" s="13">
        <f t="shared" si="2"/>
        <v>1.9500000000000006</v>
      </c>
      <c r="Y4" s="13">
        <f t="shared" si="2"/>
        <v>2.0500000000000007</v>
      </c>
      <c r="Z4" s="13">
        <f t="shared" si="2"/>
        <v>2.1500000000000008</v>
      </c>
      <c r="AA4" s="13">
        <f t="shared" si="2"/>
        <v>2.2500000000000009</v>
      </c>
      <c r="AB4" s="13">
        <f t="shared" si="2"/>
        <v>2.350000000000001</v>
      </c>
      <c r="AC4" s="13">
        <f t="shared" si="2"/>
        <v>2.4500000000000011</v>
      </c>
      <c r="AD4" s="13">
        <f t="shared" si="2"/>
        <v>2.5500000000000012</v>
      </c>
      <c r="AE4" s="13">
        <f t="shared" si="2"/>
        <v>2.6500000000000012</v>
      </c>
      <c r="AF4" s="13">
        <f t="shared" si="2"/>
        <v>2.7500000000000013</v>
      </c>
      <c r="AG4" s="13">
        <f t="shared" si="2"/>
        <v>2.8500000000000014</v>
      </c>
    </row>
    <row r="5" spans="1:33" x14ac:dyDescent="0.3">
      <c r="A5" s="1" t="s">
        <v>3</v>
      </c>
      <c r="B5" s="12">
        <v>0</v>
      </c>
      <c r="C5" s="12">
        <v>0</v>
      </c>
      <c r="D5" s="12">
        <v>0</v>
      </c>
      <c r="E5" s="13">
        <v>0.05</v>
      </c>
      <c r="F5" s="13">
        <f t="shared" ref="F5:AG5" si="3">E5+0.1</f>
        <v>0.15000000000000002</v>
      </c>
      <c r="G5" s="13">
        <f t="shared" si="3"/>
        <v>0.25</v>
      </c>
      <c r="H5" s="13">
        <f t="shared" si="3"/>
        <v>0.35</v>
      </c>
      <c r="I5" s="13">
        <f t="shared" si="3"/>
        <v>0.44999999999999996</v>
      </c>
      <c r="J5" s="13">
        <f t="shared" si="3"/>
        <v>0.54999999999999993</v>
      </c>
      <c r="K5" s="13">
        <f t="shared" si="3"/>
        <v>0.64999999999999991</v>
      </c>
      <c r="L5" s="13">
        <f t="shared" si="3"/>
        <v>0.74999999999999989</v>
      </c>
      <c r="M5" s="13">
        <f t="shared" si="3"/>
        <v>0.84999999999999987</v>
      </c>
      <c r="N5" s="13">
        <f t="shared" si="3"/>
        <v>0.94999999999999984</v>
      </c>
      <c r="O5" s="13">
        <f t="shared" si="3"/>
        <v>1.0499999999999998</v>
      </c>
      <c r="P5" s="13">
        <f t="shared" si="3"/>
        <v>1.1499999999999999</v>
      </c>
      <c r="Q5" s="13">
        <f t="shared" si="3"/>
        <v>1.25</v>
      </c>
      <c r="R5" s="13">
        <f t="shared" si="3"/>
        <v>1.35</v>
      </c>
      <c r="S5" s="13">
        <f t="shared" si="3"/>
        <v>1.4500000000000002</v>
      </c>
      <c r="T5" s="13">
        <f t="shared" si="3"/>
        <v>1.5500000000000003</v>
      </c>
      <c r="U5" s="13">
        <f t="shared" si="3"/>
        <v>1.6500000000000004</v>
      </c>
      <c r="V5" s="13">
        <f t="shared" si="3"/>
        <v>1.7500000000000004</v>
      </c>
      <c r="W5" s="13">
        <f t="shared" si="3"/>
        <v>1.8500000000000005</v>
      </c>
      <c r="X5" s="13">
        <f t="shared" si="3"/>
        <v>1.9500000000000006</v>
      </c>
      <c r="Y5" s="13">
        <f t="shared" si="3"/>
        <v>2.0500000000000007</v>
      </c>
      <c r="Z5" s="13">
        <f t="shared" si="3"/>
        <v>2.1500000000000008</v>
      </c>
      <c r="AA5" s="13">
        <f t="shared" si="3"/>
        <v>2.2500000000000009</v>
      </c>
      <c r="AB5" s="13">
        <f t="shared" si="3"/>
        <v>2.350000000000001</v>
      </c>
      <c r="AC5" s="13">
        <f t="shared" si="3"/>
        <v>2.4500000000000011</v>
      </c>
      <c r="AD5" s="13">
        <f t="shared" si="3"/>
        <v>2.5500000000000012</v>
      </c>
      <c r="AE5" s="13">
        <f t="shared" si="3"/>
        <v>2.6500000000000012</v>
      </c>
      <c r="AF5" s="13">
        <f t="shared" si="3"/>
        <v>2.7500000000000013</v>
      </c>
      <c r="AG5" s="13">
        <f t="shared" si="3"/>
        <v>2.8500000000000014</v>
      </c>
    </row>
    <row r="6" spans="1:33" x14ac:dyDescent="0.3">
      <c r="A6" s="1" t="s">
        <v>4</v>
      </c>
      <c r="B6" s="11">
        <v>0</v>
      </c>
      <c r="C6" s="11">
        <v>0</v>
      </c>
      <c r="D6" s="11">
        <v>0</v>
      </c>
      <c r="E6" s="13">
        <v>0.05</v>
      </c>
      <c r="F6" s="13">
        <f t="shared" ref="F6:AG6" si="4">E6+0.1</f>
        <v>0.15000000000000002</v>
      </c>
      <c r="G6" s="13">
        <f t="shared" si="4"/>
        <v>0.25</v>
      </c>
      <c r="H6" s="13">
        <f t="shared" si="4"/>
        <v>0.35</v>
      </c>
      <c r="I6" s="13">
        <f t="shared" si="4"/>
        <v>0.44999999999999996</v>
      </c>
      <c r="J6" s="13">
        <f t="shared" si="4"/>
        <v>0.54999999999999993</v>
      </c>
      <c r="K6" s="13">
        <f t="shared" si="4"/>
        <v>0.64999999999999991</v>
      </c>
      <c r="L6" s="13">
        <f t="shared" si="4"/>
        <v>0.74999999999999989</v>
      </c>
      <c r="M6" s="13">
        <f t="shared" si="4"/>
        <v>0.84999999999999987</v>
      </c>
      <c r="N6" s="13">
        <f t="shared" si="4"/>
        <v>0.94999999999999984</v>
      </c>
      <c r="O6" s="13">
        <f t="shared" si="4"/>
        <v>1.0499999999999998</v>
      </c>
      <c r="P6" s="13">
        <f t="shared" si="4"/>
        <v>1.1499999999999999</v>
      </c>
      <c r="Q6" s="13">
        <f t="shared" si="4"/>
        <v>1.25</v>
      </c>
      <c r="R6" s="13">
        <f t="shared" si="4"/>
        <v>1.35</v>
      </c>
      <c r="S6" s="13">
        <f t="shared" si="4"/>
        <v>1.4500000000000002</v>
      </c>
      <c r="T6" s="13">
        <f t="shared" si="4"/>
        <v>1.5500000000000003</v>
      </c>
      <c r="U6" s="13">
        <f t="shared" si="4"/>
        <v>1.6500000000000004</v>
      </c>
      <c r="V6" s="13">
        <f t="shared" si="4"/>
        <v>1.7500000000000004</v>
      </c>
      <c r="W6" s="13">
        <f t="shared" si="4"/>
        <v>1.8500000000000005</v>
      </c>
      <c r="X6" s="13">
        <f t="shared" si="4"/>
        <v>1.9500000000000006</v>
      </c>
      <c r="Y6" s="13">
        <f t="shared" si="4"/>
        <v>2.0500000000000007</v>
      </c>
      <c r="Z6" s="13">
        <f t="shared" si="4"/>
        <v>2.1500000000000008</v>
      </c>
      <c r="AA6" s="13">
        <f t="shared" si="4"/>
        <v>2.2500000000000009</v>
      </c>
      <c r="AB6" s="13">
        <f t="shared" si="4"/>
        <v>2.350000000000001</v>
      </c>
      <c r="AC6" s="13">
        <f t="shared" si="4"/>
        <v>2.4500000000000011</v>
      </c>
      <c r="AD6" s="13">
        <f t="shared" si="4"/>
        <v>2.5500000000000012</v>
      </c>
      <c r="AE6" s="13">
        <f t="shared" si="4"/>
        <v>2.6500000000000012</v>
      </c>
      <c r="AF6" s="13">
        <f t="shared" si="4"/>
        <v>2.7500000000000013</v>
      </c>
      <c r="AG6" s="13">
        <f t="shared" si="4"/>
        <v>2.8500000000000014</v>
      </c>
    </row>
    <row r="7" spans="1:33" x14ac:dyDescent="0.3">
      <c r="A7" s="1" t="s">
        <v>5</v>
      </c>
      <c r="B7" s="12">
        <v>0</v>
      </c>
      <c r="C7" s="12">
        <v>0</v>
      </c>
      <c r="D7" s="12">
        <v>0</v>
      </c>
      <c r="E7" s="13">
        <v>0.05</v>
      </c>
      <c r="F7" s="13">
        <f t="shared" ref="F7:AG7" si="5">E7+0.1</f>
        <v>0.15000000000000002</v>
      </c>
      <c r="G7" s="13">
        <f t="shared" si="5"/>
        <v>0.25</v>
      </c>
      <c r="H7" s="13">
        <f t="shared" si="5"/>
        <v>0.35</v>
      </c>
      <c r="I7" s="13">
        <f t="shared" si="5"/>
        <v>0.44999999999999996</v>
      </c>
      <c r="J7" s="13">
        <f t="shared" si="5"/>
        <v>0.54999999999999993</v>
      </c>
      <c r="K7" s="13">
        <f t="shared" si="5"/>
        <v>0.64999999999999991</v>
      </c>
      <c r="L7" s="13">
        <f t="shared" si="5"/>
        <v>0.74999999999999989</v>
      </c>
      <c r="M7" s="13">
        <f t="shared" si="5"/>
        <v>0.84999999999999987</v>
      </c>
      <c r="N7" s="13">
        <f t="shared" si="5"/>
        <v>0.94999999999999984</v>
      </c>
      <c r="O7" s="13">
        <f t="shared" si="5"/>
        <v>1.0499999999999998</v>
      </c>
      <c r="P7" s="13">
        <f t="shared" si="5"/>
        <v>1.1499999999999999</v>
      </c>
      <c r="Q7" s="13">
        <f t="shared" si="5"/>
        <v>1.25</v>
      </c>
      <c r="R7" s="13">
        <f t="shared" si="5"/>
        <v>1.35</v>
      </c>
      <c r="S7" s="13">
        <f t="shared" si="5"/>
        <v>1.4500000000000002</v>
      </c>
      <c r="T7" s="13">
        <f t="shared" si="5"/>
        <v>1.5500000000000003</v>
      </c>
      <c r="U7" s="13">
        <f t="shared" si="5"/>
        <v>1.6500000000000004</v>
      </c>
      <c r="V7" s="13">
        <f t="shared" si="5"/>
        <v>1.7500000000000004</v>
      </c>
      <c r="W7" s="13">
        <f t="shared" si="5"/>
        <v>1.8500000000000005</v>
      </c>
      <c r="X7" s="13">
        <f t="shared" si="5"/>
        <v>1.9500000000000006</v>
      </c>
      <c r="Y7" s="13">
        <f t="shared" si="5"/>
        <v>2.0500000000000007</v>
      </c>
      <c r="Z7" s="13">
        <f t="shared" si="5"/>
        <v>2.1500000000000008</v>
      </c>
      <c r="AA7" s="13">
        <f t="shared" si="5"/>
        <v>2.2500000000000009</v>
      </c>
      <c r="AB7" s="13">
        <f t="shared" si="5"/>
        <v>2.350000000000001</v>
      </c>
      <c r="AC7" s="13">
        <f t="shared" si="5"/>
        <v>2.4500000000000011</v>
      </c>
      <c r="AD7" s="13">
        <f t="shared" si="5"/>
        <v>2.5500000000000012</v>
      </c>
      <c r="AE7" s="13">
        <f t="shared" si="5"/>
        <v>2.6500000000000012</v>
      </c>
      <c r="AF7" s="13">
        <f t="shared" si="5"/>
        <v>2.7500000000000013</v>
      </c>
      <c r="AG7" s="13">
        <f t="shared" si="5"/>
        <v>2.8500000000000014</v>
      </c>
    </row>
    <row r="8" spans="1:33" x14ac:dyDescent="0.3">
      <c r="A8" s="1" t="s">
        <v>6</v>
      </c>
      <c r="B8" s="11">
        <v>0</v>
      </c>
      <c r="C8" s="11">
        <v>0</v>
      </c>
      <c r="D8" s="11">
        <v>0</v>
      </c>
      <c r="E8" s="13">
        <v>0.05</v>
      </c>
      <c r="F8" s="13">
        <f t="shared" ref="F8:AG8" si="6">E8+0.1</f>
        <v>0.15000000000000002</v>
      </c>
      <c r="G8" s="13">
        <f t="shared" si="6"/>
        <v>0.25</v>
      </c>
      <c r="H8" s="13">
        <f t="shared" si="6"/>
        <v>0.35</v>
      </c>
      <c r="I8" s="13">
        <f t="shared" si="6"/>
        <v>0.44999999999999996</v>
      </c>
      <c r="J8" s="13">
        <f t="shared" si="6"/>
        <v>0.54999999999999993</v>
      </c>
      <c r="K8" s="13">
        <f t="shared" si="6"/>
        <v>0.64999999999999991</v>
      </c>
      <c r="L8" s="13">
        <f t="shared" si="6"/>
        <v>0.74999999999999989</v>
      </c>
      <c r="M8" s="13">
        <f t="shared" si="6"/>
        <v>0.84999999999999987</v>
      </c>
      <c r="N8" s="13">
        <f t="shared" si="6"/>
        <v>0.94999999999999984</v>
      </c>
      <c r="O8" s="13">
        <f t="shared" si="6"/>
        <v>1.0499999999999998</v>
      </c>
      <c r="P8" s="13">
        <f t="shared" si="6"/>
        <v>1.1499999999999999</v>
      </c>
      <c r="Q8" s="13">
        <f t="shared" si="6"/>
        <v>1.25</v>
      </c>
      <c r="R8" s="13">
        <f t="shared" si="6"/>
        <v>1.35</v>
      </c>
      <c r="S8" s="13">
        <f t="shared" si="6"/>
        <v>1.4500000000000002</v>
      </c>
      <c r="T8" s="13">
        <f t="shared" si="6"/>
        <v>1.5500000000000003</v>
      </c>
      <c r="U8" s="13">
        <f t="shared" si="6"/>
        <v>1.6500000000000004</v>
      </c>
      <c r="V8" s="13">
        <f t="shared" si="6"/>
        <v>1.7500000000000004</v>
      </c>
      <c r="W8" s="13">
        <f t="shared" si="6"/>
        <v>1.8500000000000005</v>
      </c>
      <c r="X8" s="13">
        <f t="shared" si="6"/>
        <v>1.9500000000000006</v>
      </c>
      <c r="Y8" s="13">
        <f t="shared" si="6"/>
        <v>2.0500000000000007</v>
      </c>
      <c r="Z8" s="13">
        <f t="shared" si="6"/>
        <v>2.1500000000000008</v>
      </c>
      <c r="AA8" s="13">
        <f t="shared" si="6"/>
        <v>2.2500000000000009</v>
      </c>
      <c r="AB8" s="13">
        <f t="shared" si="6"/>
        <v>2.350000000000001</v>
      </c>
      <c r="AC8" s="13">
        <f t="shared" si="6"/>
        <v>2.4500000000000011</v>
      </c>
      <c r="AD8" s="13">
        <f t="shared" si="6"/>
        <v>2.5500000000000012</v>
      </c>
      <c r="AE8" s="13">
        <f t="shared" si="6"/>
        <v>2.6500000000000012</v>
      </c>
      <c r="AF8" s="13">
        <f t="shared" si="6"/>
        <v>2.7500000000000013</v>
      </c>
      <c r="AG8" s="13">
        <f t="shared" si="6"/>
        <v>2.8500000000000014</v>
      </c>
    </row>
    <row r="9" spans="1:33" x14ac:dyDescent="0.3">
      <c r="A9" s="1" t="s">
        <v>7</v>
      </c>
      <c r="B9" s="12">
        <v>0</v>
      </c>
      <c r="C9" s="12">
        <v>0</v>
      </c>
      <c r="D9" s="12">
        <v>0</v>
      </c>
      <c r="E9" s="13">
        <v>0.05</v>
      </c>
      <c r="F9" s="13">
        <f t="shared" ref="F9:AG9" si="7">E9+0.1</f>
        <v>0.15000000000000002</v>
      </c>
      <c r="G9" s="13">
        <f t="shared" si="7"/>
        <v>0.25</v>
      </c>
      <c r="H9" s="13">
        <f t="shared" si="7"/>
        <v>0.35</v>
      </c>
      <c r="I9" s="13">
        <f t="shared" si="7"/>
        <v>0.44999999999999996</v>
      </c>
      <c r="J9" s="13">
        <f t="shared" si="7"/>
        <v>0.54999999999999993</v>
      </c>
      <c r="K9" s="13">
        <f t="shared" si="7"/>
        <v>0.64999999999999991</v>
      </c>
      <c r="L9" s="13">
        <f t="shared" si="7"/>
        <v>0.74999999999999989</v>
      </c>
      <c r="M9" s="13">
        <f t="shared" si="7"/>
        <v>0.84999999999999987</v>
      </c>
      <c r="N9" s="13">
        <f t="shared" si="7"/>
        <v>0.94999999999999984</v>
      </c>
      <c r="O9" s="13">
        <f t="shared" si="7"/>
        <v>1.0499999999999998</v>
      </c>
      <c r="P9" s="13">
        <f t="shared" si="7"/>
        <v>1.1499999999999999</v>
      </c>
      <c r="Q9" s="13">
        <f t="shared" si="7"/>
        <v>1.25</v>
      </c>
      <c r="R9" s="13">
        <f t="shared" si="7"/>
        <v>1.35</v>
      </c>
      <c r="S9" s="13">
        <f t="shared" si="7"/>
        <v>1.4500000000000002</v>
      </c>
      <c r="T9" s="13">
        <f t="shared" si="7"/>
        <v>1.5500000000000003</v>
      </c>
      <c r="U9" s="13">
        <f t="shared" si="7"/>
        <v>1.6500000000000004</v>
      </c>
      <c r="V9" s="13">
        <f t="shared" si="7"/>
        <v>1.7500000000000004</v>
      </c>
      <c r="W9" s="13">
        <f t="shared" si="7"/>
        <v>1.8500000000000005</v>
      </c>
      <c r="X9" s="13">
        <f t="shared" si="7"/>
        <v>1.9500000000000006</v>
      </c>
      <c r="Y9" s="13">
        <f t="shared" si="7"/>
        <v>2.0500000000000007</v>
      </c>
      <c r="Z9" s="13">
        <f t="shared" si="7"/>
        <v>2.1500000000000008</v>
      </c>
      <c r="AA9" s="13">
        <f t="shared" si="7"/>
        <v>2.2500000000000009</v>
      </c>
      <c r="AB9" s="13">
        <f t="shared" si="7"/>
        <v>2.350000000000001</v>
      </c>
      <c r="AC9" s="13">
        <f t="shared" si="7"/>
        <v>2.4500000000000011</v>
      </c>
      <c r="AD9" s="13">
        <f t="shared" si="7"/>
        <v>2.5500000000000012</v>
      </c>
      <c r="AE9" s="13">
        <f t="shared" si="7"/>
        <v>2.6500000000000012</v>
      </c>
      <c r="AF9" s="13">
        <f t="shared" si="7"/>
        <v>2.7500000000000013</v>
      </c>
      <c r="AG9" s="13">
        <f t="shared" si="7"/>
        <v>2.8500000000000014</v>
      </c>
    </row>
    <row r="10" spans="1:33" x14ac:dyDescent="0.3">
      <c r="A10" s="1" t="s">
        <v>8</v>
      </c>
      <c r="B10" s="11">
        <v>0</v>
      </c>
      <c r="C10" s="11">
        <v>0</v>
      </c>
      <c r="D10" s="11">
        <v>0</v>
      </c>
      <c r="E10" s="13">
        <v>0.05</v>
      </c>
      <c r="F10" s="13">
        <f t="shared" ref="F10:AG10" si="8">E10+0.1</f>
        <v>0.15000000000000002</v>
      </c>
      <c r="G10" s="13">
        <f t="shared" si="8"/>
        <v>0.25</v>
      </c>
      <c r="H10" s="13">
        <f t="shared" si="8"/>
        <v>0.35</v>
      </c>
      <c r="I10" s="13">
        <f t="shared" si="8"/>
        <v>0.44999999999999996</v>
      </c>
      <c r="J10" s="13">
        <f t="shared" si="8"/>
        <v>0.54999999999999993</v>
      </c>
      <c r="K10" s="13">
        <f t="shared" si="8"/>
        <v>0.64999999999999991</v>
      </c>
      <c r="L10" s="13">
        <f t="shared" si="8"/>
        <v>0.74999999999999989</v>
      </c>
      <c r="M10" s="13">
        <f t="shared" si="8"/>
        <v>0.84999999999999987</v>
      </c>
      <c r="N10" s="13">
        <f t="shared" si="8"/>
        <v>0.94999999999999984</v>
      </c>
      <c r="O10" s="13">
        <f t="shared" si="8"/>
        <v>1.0499999999999998</v>
      </c>
      <c r="P10" s="13">
        <f t="shared" si="8"/>
        <v>1.1499999999999999</v>
      </c>
      <c r="Q10" s="13">
        <f t="shared" si="8"/>
        <v>1.25</v>
      </c>
      <c r="R10" s="13">
        <f t="shared" si="8"/>
        <v>1.35</v>
      </c>
      <c r="S10" s="13">
        <f t="shared" si="8"/>
        <v>1.4500000000000002</v>
      </c>
      <c r="T10" s="13">
        <f t="shared" si="8"/>
        <v>1.5500000000000003</v>
      </c>
      <c r="U10" s="13">
        <f t="shared" si="8"/>
        <v>1.6500000000000004</v>
      </c>
      <c r="V10" s="13">
        <f t="shared" si="8"/>
        <v>1.7500000000000004</v>
      </c>
      <c r="W10" s="13">
        <f t="shared" si="8"/>
        <v>1.8500000000000005</v>
      </c>
      <c r="X10" s="13">
        <f t="shared" si="8"/>
        <v>1.9500000000000006</v>
      </c>
      <c r="Y10" s="13">
        <f t="shared" si="8"/>
        <v>2.0500000000000007</v>
      </c>
      <c r="Z10" s="13">
        <f t="shared" si="8"/>
        <v>2.1500000000000008</v>
      </c>
      <c r="AA10" s="13">
        <f t="shared" si="8"/>
        <v>2.2500000000000009</v>
      </c>
      <c r="AB10" s="13">
        <f t="shared" si="8"/>
        <v>2.350000000000001</v>
      </c>
      <c r="AC10" s="13">
        <f t="shared" si="8"/>
        <v>2.4500000000000011</v>
      </c>
      <c r="AD10" s="13">
        <f t="shared" si="8"/>
        <v>2.5500000000000012</v>
      </c>
      <c r="AE10" s="13">
        <f t="shared" si="8"/>
        <v>2.6500000000000012</v>
      </c>
      <c r="AF10" s="13">
        <f t="shared" si="8"/>
        <v>2.7500000000000013</v>
      </c>
      <c r="AG10" s="13">
        <f t="shared" si="8"/>
        <v>2.8500000000000014</v>
      </c>
    </row>
    <row r="11" spans="1:33" x14ac:dyDescent="0.3">
      <c r="A11" s="1" t="s">
        <v>9</v>
      </c>
      <c r="B11" s="12">
        <v>0</v>
      </c>
      <c r="C11" s="12">
        <v>0</v>
      </c>
      <c r="D11" s="12">
        <v>0</v>
      </c>
      <c r="E11" s="13">
        <v>0.05</v>
      </c>
      <c r="F11" s="13">
        <f t="shared" ref="F11:AG11" si="9">E11+0.1</f>
        <v>0.15000000000000002</v>
      </c>
      <c r="G11" s="13">
        <f t="shared" si="9"/>
        <v>0.25</v>
      </c>
      <c r="H11" s="13">
        <f t="shared" si="9"/>
        <v>0.35</v>
      </c>
      <c r="I11" s="13">
        <f t="shared" si="9"/>
        <v>0.44999999999999996</v>
      </c>
      <c r="J11" s="13">
        <f t="shared" si="9"/>
        <v>0.54999999999999993</v>
      </c>
      <c r="K11" s="13">
        <f t="shared" si="9"/>
        <v>0.64999999999999991</v>
      </c>
      <c r="L11" s="13">
        <f t="shared" si="9"/>
        <v>0.74999999999999989</v>
      </c>
      <c r="M11" s="13">
        <f t="shared" si="9"/>
        <v>0.84999999999999987</v>
      </c>
      <c r="N11" s="13">
        <f t="shared" si="9"/>
        <v>0.94999999999999984</v>
      </c>
      <c r="O11" s="13">
        <f t="shared" si="9"/>
        <v>1.0499999999999998</v>
      </c>
      <c r="P11" s="13">
        <f t="shared" si="9"/>
        <v>1.1499999999999999</v>
      </c>
      <c r="Q11" s="13">
        <f t="shared" si="9"/>
        <v>1.25</v>
      </c>
      <c r="R11" s="13">
        <f t="shared" si="9"/>
        <v>1.35</v>
      </c>
      <c r="S11" s="13">
        <f t="shared" si="9"/>
        <v>1.4500000000000002</v>
      </c>
      <c r="T11" s="13">
        <f t="shared" si="9"/>
        <v>1.5500000000000003</v>
      </c>
      <c r="U11" s="13">
        <f t="shared" si="9"/>
        <v>1.6500000000000004</v>
      </c>
      <c r="V11" s="13">
        <f t="shared" si="9"/>
        <v>1.7500000000000004</v>
      </c>
      <c r="W11" s="13">
        <f t="shared" si="9"/>
        <v>1.8500000000000005</v>
      </c>
      <c r="X11" s="13">
        <f t="shared" si="9"/>
        <v>1.9500000000000006</v>
      </c>
      <c r="Y11" s="13">
        <f t="shared" si="9"/>
        <v>2.0500000000000007</v>
      </c>
      <c r="Z11" s="13">
        <f t="shared" si="9"/>
        <v>2.1500000000000008</v>
      </c>
      <c r="AA11" s="13">
        <f t="shared" si="9"/>
        <v>2.2500000000000009</v>
      </c>
      <c r="AB11" s="13">
        <f t="shared" si="9"/>
        <v>2.350000000000001</v>
      </c>
      <c r="AC11" s="13">
        <f t="shared" si="9"/>
        <v>2.4500000000000011</v>
      </c>
      <c r="AD11" s="13">
        <f t="shared" si="9"/>
        <v>2.5500000000000012</v>
      </c>
      <c r="AE11" s="13">
        <f t="shared" si="9"/>
        <v>2.6500000000000012</v>
      </c>
      <c r="AF11" s="13">
        <f t="shared" si="9"/>
        <v>2.7500000000000013</v>
      </c>
      <c r="AG11" s="13">
        <f t="shared" si="9"/>
        <v>2.8500000000000014</v>
      </c>
    </row>
    <row r="12" spans="1:33" x14ac:dyDescent="0.3">
      <c r="A12" s="1" t="s">
        <v>10</v>
      </c>
      <c r="B12" s="11">
        <v>0</v>
      </c>
      <c r="C12" s="11">
        <v>0</v>
      </c>
      <c r="D12" s="11">
        <v>0</v>
      </c>
      <c r="E12" s="13">
        <v>0.05</v>
      </c>
      <c r="F12" s="13">
        <f t="shared" ref="F12:AG12" si="10">E12+0.1</f>
        <v>0.15000000000000002</v>
      </c>
      <c r="G12" s="13">
        <f t="shared" si="10"/>
        <v>0.25</v>
      </c>
      <c r="H12" s="13">
        <f t="shared" si="10"/>
        <v>0.35</v>
      </c>
      <c r="I12" s="13">
        <f t="shared" si="10"/>
        <v>0.44999999999999996</v>
      </c>
      <c r="J12" s="13">
        <f t="shared" si="10"/>
        <v>0.54999999999999993</v>
      </c>
      <c r="K12" s="13">
        <f t="shared" si="10"/>
        <v>0.64999999999999991</v>
      </c>
      <c r="L12" s="13">
        <f t="shared" si="10"/>
        <v>0.74999999999999989</v>
      </c>
      <c r="M12" s="13">
        <f t="shared" si="10"/>
        <v>0.84999999999999987</v>
      </c>
      <c r="N12" s="13">
        <f t="shared" si="10"/>
        <v>0.94999999999999984</v>
      </c>
      <c r="O12" s="13">
        <f t="shared" si="10"/>
        <v>1.0499999999999998</v>
      </c>
      <c r="P12" s="13">
        <f t="shared" si="10"/>
        <v>1.1499999999999999</v>
      </c>
      <c r="Q12" s="13">
        <f t="shared" si="10"/>
        <v>1.25</v>
      </c>
      <c r="R12" s="13">
        <f t="shared" si="10"/>
        <v>1.35</v>
      </c>
      <c r="S12" s="13">
        <f t="shared" si="10"/>
        <v>1.4500000000000002</v>
      </c>
      <c r="T12" s="13">
        <f t="shared" si="10"/>
        <v>1.5500000000000003</v>
      </c>
      <c r="U12" s="13">
        <f t="shared" si="10"/>
        <v>1.6500000000000004</v>
      </c>
      <c r="V12" s="13">
        <f t="shared" si="10"/>
        <v>1.7500000000000004</v>
      </c>
      <c r="W12" s="13">
        <f t="shared" si="10"/>
        <v>1.8500000000000005</v>
      </c>
      <c r="X12" s="13">
        <f t="shared" si="10"/>
        <v>1.9500000000000006</v>
      </c>
      <c r="Y12" s="13">
        <f t="shared" si="10"/>
        <v>2.0500000000000007</v>
      </c>
      <c r="Z12" s="13">
        <f t="shared" si="10"/>
        <v>2.1500000000000008</v>
      </c>
      <c r="AA12" s="13">
        <f t="shared" si="10"/>
        <v>2.2500000000000009</v>
      </c>
      <c r="AB12" s="13">
        <f t="shared" si="10"/>
        <v>2.350000000000001</v>
      </c>
      <c r="AC12" s="13">
        <f t="shared" si="10"/>
        <v>2.4500000000000011</v>
      </c>
      <c r="AD12" s="13">
        <f t="shared" si="10"/>
        <v>2.5500000000000012</v>
      </c>
      <c r="AE12" s="13">
        <f t="shared" si="10"/>
        <v>2.6500000000000012</v>
      </c>
      <c r="AF12" s="13">
        <f t="shared" si="10"/>
        <v>2.7500000000000013</v>
      </c>
      <c r="AG12" s="13">
        <f t="shared" si="10"/>
        <v>2.8500000000000014</v>
      </c>
    </row>
    <row r="13" spans="1:33" x14ac:dyDescent="0.3">
      <c r="A13" s="1" t="s">
        <v>11</v>
      </c>
      <c r="B13" s="12">
        <v>0</v>
      </c>
      <c r="C13" s="12">
        <v>0</v>
      </c>
      <c r="D13" s="12">
        <v>0</v>
      </c>
      <c r="E13" s="13">
        <v>0.05</v>
      </c>
      <c r="F13" s="13">
        <f t="shared" ref="F13:AG13" si="11">E13+0.1</f>
        <v>0.15000000000000002</v>
      </c>
      <c r="G13" s="13">
        <f t="shared" si="11"/>
        <v>0.25</v>
      </c>
      <c r="H13" s="13">
        <f t="shared" si="11"/>
        <v>0.35</v>
      </c>
      <c r="I13" s="13">
        <f t="shared" si="11"/>
        <v>0.44999999999999996</v>
      </c>
      <c r="J13" s="13">
        <f t="shared" si="11"/>
        <v>0.54999999999999993</v>
      </c>
      <c r="K13" s="13">
        <f t="shared" si="11"/>
        <v>0.64999999999999991</v>
      </c>
      <c r="L13" s="13">
        <f t="shared" si="11"/>
        <v>0.74999999999999989</v>
      </c>
      <c r="M13" s="13">
        <f t="shared" si="11"/>
        <v>0.84999999999999987</v>
      </c>
      <c r="N13" s="13">
        <f t="shared" si="11"/>
        <v>0.94999999999999984</v>
      </c>
      <c r="O13" s="13">
        <f t="shared" si="11"/>
        <v>1.0499999999999998</v>
      </c>
      <c r="P13" s="13">
        <f t="shared" si="11"/>
        <v>1.1499999999999999</v>
      </c>
      <c r="Q13" s="13">
        <f t="shared" si="11"/>
        <v>1.25</v>
      </c>
      <c r="R13" s="13">
        <f t="shared" si="11"/>
        <v>1.35</v>
      </c>
      <c r="S13" s="13">
        <f t="shared" si="11"/>
        <v>1.4500000000000002</v>
      </c>
      <c r="T13" s="13">
        <f t="shared" si="11"/>
        <v>1.5500000000000003</v>
      </c>
      <c r="U13" s="13">
        <f t="shared" si="11"/>
        <v>1.6500000000000004</v>
      </c>
      <c r="V13" s="13">
        <f t="shared" si="11"/>
        <v>1.7500000000000004</v>
      </c>
      <c r="W13" s="13">
        <f t="shared" si="11"/>
        <v>1.8500000000000005</v>
      </c>
      <c r="X13" s="13">
        <f t="shared" si="11"/>
        <v>1.9500000000000006</v>
      </c>
      <c r="Y13" s="13">
        <f t="shared" si="11"/>
        <v>2.0500000000000007</v>
      </c>
      <c r="Z13" s="13">
        <f t="shared" si="11"/>
        <v>2.1500000000000008</v>
      </c>
      <c r="AA13" s="13">
        <f t="shared" si="11"/>
        <v>2.2500000000000009</v>
      </c>
      <c r="AB13" s="13">
        <f t="shared" si="11"/>
        <v>2.350000000000001</v>
      </c>
      <c r="AC13" s="13">
        <f t="shared" si="11"/>
        <v>2.4500000000000011</v>
      </c>
      <c r="AD13" s="13">
        <f t="shared" si="11"/>
        <v>2.5500000000000012</v>
      </c>
      <c r="AE13" s="13">
        <f t="shared" si="11"/>
        <v>2.6500000000000012</v>
      </c>
      <c r="AF13" s="13">
        <f t="shared" si="11"/>
        <v>2.7500000000000013</v>
      </c>
      <c r="AG13" s="13">
        <f t="shared" si="11"/>
        <v>2.8500000000000014</v>
      </c>
    </row>
    <row r="14" spans="1:33" x14ac:dyDescent="0.3">
      <c r="A14" s="1" t="s">
        <v>12</v>
      </c>
      <c r="B14" s="11">
        <v>0</v>
      </c>
      <c r="C14" s="11">
        <v>0</v>
      </c>
      <c r="D14" s="11">
        <v>0</v>
      </c>
      <c r="E14" s="13">
        <v>0.05</v>
      </c>
      <c r="F14" s="13">
        <f t="shared" ref="F14:AG14" si="12">E14+0.1</f>
        <v>0.15000000000000002</v>
      </c>
      <c r="G14" s="13">
        <f t="shared" si="12"/>
        <v>0.25</v>
      </c>
      <c r="H14" s="13">
        <f t="shared" si="12"/>
        <v>0.35</v>
      </c>
      <c r="I14" s="13">
        <f t="shared" si="12"/>
        <v>0.44999999999999996</v>
      </c>
      <c r="J14" s="13">
        <f t="shared" si="12"/>
        <v>0.54999999999999993</v>
      </c>
      <c r="K14" s="13">
        <f t="shared" si="12"/>
        <v>0.64999999999999991</v>
      </c>
      <c r="L14" s="13">
        <f t="shared" si="12"/>
        <v>0.74999999999999989</v>
      </c>
      <c r="M14" s="13">
        <f t="shared" si="12"/>
        <v>0.84999999999999987</v>
      </c>
      <c r="N14" s="13">
        <f t="shared" si="12"/>
        <v>0.94999999999999984</v>
      </c>
      <c r="O14" s="13">
        <f t="shared" si="12"/>
        <v>1.0499999999999998</v>
      </c>
      <c r="P14" s="13">
        <f t="shared" si="12"/>
        <v>1.1499999999999999</v>
      </c>
      <c r="Q14" s="13">
        <f t="shared" si="12"/>
        <v>1.25</v>
      </c>
      <c r="R14" s="13">
        <f t="shared" si="12"/>
        <v>1.35</v>
      </c>
      <c r="S14" s="13">
        <f t="shared" si="12"/>
        <v>1.4500000000000002</v>
      </c>
      <c r="T14" s="13">
        <f t="shared" si="12"/>
        <v>1.5500000000000003</v>
      </c>
      <c r="U14" s="13">
        <f t="shared" si="12"/>
        <v>1.6500000000000004</v>
      </c>
      <c r="V14" s="13">
        <f t="shared" si="12"/>
        <v>1.7500000000000004</v>
      </c>
      <c r="W14" s="13">
        <f t="shared" si="12"/>
        <v>1.8500000000000005</v>
      </c>
      <c r="X14" s="13">
        <f t="shared" si="12"/>
        <v>1.9500000000000006</v>
      </c>
      <c r="Y14" s="13">
        <f t="shared" si="12"/>
        <v>2.0500000000000007</v>
      </c>
      <c r="Z14" s="13">
        <f t="shared" si="12"/>
        <v>2.1500000000000008</v>
      </c>
      <c r="AA14" s="13">
        <f t="shared" si="12"/>
        <v>2.2500000000000009</v>
      </c>
      <c r="AB14" s="13">
        <f t="shared" si="12"/>
        <v>2.350000000000001</v>
      </c>
      <c r="AC14" s="13">
        <f t="shared" si="12"/>
        <v>2.4500000000000011</v>
      </c>
      <c r="AD14" s="13">
        <f t="shared" si="12"/>
        <v>2.5500000000000012</v>
      </c>
      <c r="AE14" s="13">
        <f t="shared" si="12"/>
        <v>2.6500000000000012</v>
      </c>
      <c r="AF14" s="13">
        <f t="shared" si="12"/>
        <v>2.7500000000000013</v>
      </c>
      <c r="AG14" s="13">
        <f t="shared" si="12"/>
        <v>2.8500000000000014</v>
      </c>
    </row>
    <row r="15" spans="1:33" x14ac:dyDescent="0.3">
      <c r="A15" s="1" t="s">
        <v>13</v>
      </c>
      <c r="B15" s="12">
        <v>0</v>
      </c>
      <c r="C15" s="12">
        <v>0</v>
      </c>
      <c r="D15" s="12">
        <v>0</v>
      </c>
      <c r="E15" s="13">
        <v>0.05</v>
      </c>
      <c r="F15" s="13">
        <f t="shared" ref="F15:AG15" si="13">E15+0.1</f>
        <v>0.15000000000000002</v>
      </c>
      <c r="G15" s="13">
        <f t="shared" si="13"/>
        <v>0.25</v>
      </c>
      <c r="H15" s="13">
        <f t="shared" si="13"/>
        <v>0.35</v>
      </c>
      <c r="I15" s="13">
        <f t="shared" si="13"/>
        <v>0.44999999999999996</v>
      </c>
      <c r="J15" s="13">
        <f t="shared" si="13"/>
        <v>0.54999999999999993</v>
      </c>
      <c r="K15" s="13">
        <f t="shared" si="13"/>
        <v>0.64999999999999991</v>
      </c>
      <c r="L15" s="13">
        <f t="shared" si="13"/>
        <v>0.74999999999999989</v>
      </c>
      <c r="M15" s="13">
        <f t="shared" si="13"/>
        <v>0.84999999999999987</v>
      </c>
      <c r="N15" s="13">
        <f t="shared" si="13"/>
        <v>0.94999999999999984</v>
      </c>
      <c r="O15" s="13">
        <f t="shared" si="13"/>
        <v>1.0499999999999998</v>
      </c>
      <c r="P15" s="13">
        <f t="shared" si="13"/>
        <v>1.1499999999999999</v>
      </c>
      <c r="Q15" s="13">
        <f t="shared" si="13"/>
        <v>1.25</v>
      </c>
      <c r="R15" s="13">
        <f t="shared" si="13"/>
        <v>1.35</v>
      </c>
      <c r="S15" s="13">
        <f t="shared" si="13"/>
        <v>1.4500000000000002</v>
      </c>
      <c r="T15" s="13">
        <f t="shared" si="13"/>
        <v>1.5500000000000003</v>
      </c>
      <c r="U15" s="13">
        <f t="shared" si="13"/>
        <v>1.6500000000000004</v>
      </c>
      <c r="V15" s="13">
        <f t="shared" si="13"/>
        <v>1.7500000000000004</v>
      </c>
      <c r="W15" s="13">
        <f t="shared" si="13"/>
        <v>1.8500000000000005</v>
      </c>
      <c r="X15" s="13">
        <f t="shared" si="13"/>
        <v>1.9500000000000006</v>
      </c>
      <c r="Y15" s="13">
        <f t="shared" si="13"/>
        <v>2.0500000000000007</v>
      </c>
      <c r="Z15" s="13">
        <f t="shared" si="13"/>
        <v>2.1500000000000008</v>
      </c>
      <c r="AA15" s="13">
        <f t="shared" si="13"/>
        <v>2.2500000000000009</v>
      </c>
      <c r="AB15" s="13">
        <f t="shared" si="13"/>
        <v>2.350000000000001</v>
      </c>
      <c r="AC15" s="13">
        <f t="shared" si="13"/>
        <v>2.4500000000000011</v>
      </c>
      <c r="AD15" s="13">
        <f t="shared" si="13"/>
        <v>2.5500000000000012</v>
      </c>
      <c r="AE15" s="13">
        <f t="shared" si="13"/>
        <v>2.6500000000000012</v>
      </c>
      <c r="AF15" s="13">
        <f t="shared" si="13"/>
        <v>2.7500000000000013</v>
      </c>
      <c r="AG15" s="13">
        <f t="shared" si="13"/>
        <v>2.8500000000000014</v>
      </c>
    </row>
    <row r="16" spans="1:33" x14ac:dyDescent="0.3">
      <c r="A16" s="1" t="s">
        <v>14</v>
      </c>
      <c r="B16" s="11">
        <v>0</v>
      </c>
      <c r="C16" s="11">
        <v>0</v>
      </c>
      <c r="D16" s="11">
        <v>0</v>
      </c>
      <c r="E16" s="13">
        <v>0.05</v>
      </c>
      <c r="F16" s="13">
        <f t="shared" ref="F16:AG16" si="14">E16+0.1</f>
        <v>0.15000000000000002</v>
      </c>
      <c r="G16" s="13">
        <f t="shared" si="14"/>
        <v>0.25</v>
      </c>
      <c r="H16" s="13">
        <f t="shared" si="14"/>
        <v>0.35</v>
      </c>
      <c r="I16" s="13">
        <f t="shared" si="14"/>
        <v>0.44999999999999996</v>
      </c>
      <c r="J16" s="13">
        <f t="shared" si="14"/>
        <v>0.54999999999999993</v>
      </c>
      <c r="K16" s="13">
        <f t="shared" si="14"/>
        <v>0.64999999999999991</v>
      </c>
      <c r="L16" s="13">
        <f t="shared" si="14"/>
        <v>0.74999999999999989</v>
      </c>
      <c r="M16" s="13">
        <f t="shared" si="14"/>
        <v>0.84999999999999987</v>
      </c>
      <c r="N16" s="13">
        <f t="shared" si="14"/>
        <v>0.94999999999999984</v>
      </c>
      <c r="O16" s="13">
        <f t="shared" si="14"/>
        <v>1.0499999999999998</v>
      </c>
      <c r="P16" s="13">
        <f t="shared" si="14"/>
        <v>1.1499999999999999</v>
      </c>
      <c r="Q16" s="13">
        <f t="shared" si="14"/>
        <v>1.25</v>
      </c>
      <c r="R16" s="13">
        <f t="shared" si="14"/>
        <v>1.35</v>
      </c>
      <c r="S16" s="13">
        <f t="shared" si="14"/>
        <v>1.4500000000000002</v>
      </c>
      <c r="T16" s="13">
        <f t="shared" si="14"/>
        <v>1.5500000000000003</v>
      </c>
      <c r="U16" s="13">
        <f t="shared" si="14"/>
        <v>1.6500000000000004</v>
      </c>
      <c r="V16" s="13">
        <f t="shared" si="14"/>
        <v>1.7500000000000004</v>
      </c>
      <c r="W16" s="13">
        <f t="shared" si="14"/>
        <v>1.8500000000000005</v>
      </c>
      <c r="X16" s="13">
        <f t="shared" si="14"/>
        <v>1.9500000000000006</v>
      </c>
      <c r="Y16" s="13">
        <f t="shared" si="14"/>
        <v>2.0500000000000007</v>
      </c>
      <c r="Z16" s="13">
        <f t="shared" si="14"/>
        <v>2.1500000000000008</v>
      </c>
      <c r="AA16" s="13">
        <f t="shared" si="14"/>
        <v>2.2500000000000009</v>
      </c>
      <c r="AB16" s="13">
        <f t="shared" si="14"/>
        <v>2.350000000000001</v>
      </c>
      <c r="AC16" s="13">
        <f t="shared" si="14"/>
        <v>2.4500000000000011</v>
      </c>
      <c r="AD16" s="13">
        <f t="shared" si="14"/>
        <v>2.5500000000000012</v>
      </c>
      <c r="AE16" s="13">
        <f t="shared" si="14"/>
        <v>2.6500000000000012</v>
      </c>
      <c r="AF16" s="13">
        <f t="shared" si="14"/>
        <v>2.7500000000000013</v>
      </c>
      <c r="AG16" s="13">
        <f t="shared" si="14"/>
        <v>2.8500000000000014</v>
      </c>
    </row>
    <row r="17" spans="1:33" x14ac:dyDescent="0.3">
      <c r="A17" s="1" t="s">
        <v>15</v>
      </c>
      <c r="B17" s="12">
        <v>0</v>
      </c>
      <c r="C17" s="12">
        <v>0</v>
      </c>
      <c r="D17" s="12">
        <v>0</v>
      </c>
      <c r="E17" s="13">
        <v>0.05</v>
      </c>
      <c r="F17" s="13">
        <f t="shared" ref="F17:AG17" si="15">E17+0.1</f>
        <v>0.15000000000000002</v>
      </c>
      <c r="G17" s="13">
        <f t="shared" si="15"/>
        <v>0.25</v>
      </c>
      <c r="H17" s="13">
        <f t="shared" si="15"/>
        <v>0.35</v>
      </c>
      <c r="I17" s="13">
        <f t="shared" si="15"/>
        <v>0.44999999999999996</v>
      </c>
      <c r="J17" s="13">
        <f t="shared" si="15"/>
        <v>0.54999999999999993</v>
      </c>
      <c r="K17" s="13">
        <f t="shared" si="15"/>
        <v>0.64999999999999991</v>
      </c>
      <c r="L17" s="13">
        <f t="shared" si="15"/>
        <v>0.74999999999999989</v>
      </c>
      <c r="M17" s="13">
        <f t="shared" si="15"/>
        <v>0.84999999999999987</v>
      </c>
      <c r="N17" s="13">
        <f t="shared" si="15"/>
        <v>0.94999999999999984</v>
      </c>
      <c r="O17" s="13">
        <f t="shared" si="15"/>
        <v>1.0499999999999998</v>
      </c>
      <c r="P17" s="13">
        <f t="shared" si="15"/>
        <v>1.1499999999999999</v>
      </c>
      <c r="Q17" s="13">
        <f t="shared" si="15"/>
        <v>1.25</v>
      </c>
      <c r="R17" s="13">
        <f t="shared" si="15"/>
        <v>1.35</v>
      </c>
      <c r="S17" s="13">
        <f t="shared" si="15"/>
        <v>1.4500000000000002</v>
      </c>
      <c r="T17" s="13">
        <f t="shared" si="15"/>
        <v>1.5500000000000003</v>
      </c>
      <c r="U17" s="13">
        <f t="shared" si="15"/>
        <v>1.6500000000000004</v>
      </c>
      <c r="V17" s="13">
        <f t="shared" si="15"/>
        <v>1.7500000000000004</v>
      </c>
      <c r="W17" s="13">
        <f t="shared" si="15"/>
        <v>1.8500000000000005</v>
      </c>
      <c r="X17" s="13">
        <f t="shared" si="15"/>
        <v>1.9500000000000006</v>
      </c>
      <c r="Y17" s="13">
        <f t="shared" si="15"/>
        <v>2.0500000000000007</v>
      </c>
      <c r="Z17" s="13">
        <f t="shared" si="15"/>
        <v>2.1500000000000008</v>
      </c>
      <c r="AA17" s="13">
        <f t="shared" si="15"/>
        <v>2.2500000000000009</v>
      </c>
      <c r="AB17" s="13">
        <f t="shared" si="15"/>
        <v>2.350000000000001</v>
      </c>
      <c r="AC17" s="13">
        <f t="shared" si="15"/>
        <v>2.4500000000000011</v>
      </c>
      <c r="AD17" s="13">
        <f t="shared" si="15"/>
        <v>2.5500000000000012</v>
      </c>
      <c r="AE17" s="13">
        <f t="shared" si="15"/>
        <v>2.6500000000000012</v>
      </c>
      <c r="AF17" s="13">
        <f t="shared" si="15"/>
        <v>2.7500000000000013</v>
      </c>
      <c r="AG17" s="13">
        <f t="shared" si="15"/>
        <v>2.8500000000000014</v>
      </c>
    </row>
    <row r="18" spans="1:33" x14ac:dyDescent="0.3">
      <c r="A18" s="1" t="s">
        <v>16</v>
      </c>
      <c r="B18" s="11">
        <v>0</v>
      </c>
      <c r="C18" s="11">
        <v>0</v>
      </c>
      <c r="D18" s="11">
        <v>0</v>
      </c>
      <c r="E18" s="13">
        <v>0.05</v>
      </c>
      <c r="F18" s="13">
        <f t="shared" ref="F18:AG18" si="16">E18+0.1</f>
        <v>0.15000000000000002</v>
      </c>
      <c r="G18" s="13">
        <f t="shared" si="16"/>
        <v>0.25</v>
      </c>
      <c r="H18" s="13">
        <f t="shared" si="16"/>
        <v>0.35</v>
      </c>
      <c r="I18" s="13">
        <f t="shared" si="16"/>
        <v>0.44999999999999996</v>
      </c>
      <c r="J18" s="13">
        <f t="shared" si="16"/>
        <v>0.54999999999999993</v>
      </c>
      <c r="K18" s="13">
        <f t="shared" si="16"/>
        <v>0.64999999999999991</v>
      </c>
      <c r="L18" s="13">
        <f t="shared" si="16"/>
        <v>0.74999999999999989</v>
      </c>
      <c r="M18" s="13">
        <f t="shared" si="16"/>
        <v>0.84999999999999987</v>
      </c>
      <c r="N18" s="13">
        <f t="shared" si="16"/>
        <v>0.94999999999999984</v>
      </c>
      <c r="O18" s="13">
        <f t="shared" si="16"/>
        <v>1.0499999999999998</v>
      </c>
      <c r="P18" s="13">
        <f t="shared" si="16"/>
        <v>1.1499999999999999</v>
      </c>
      <c r="Q18" s="13">
        <f t="shared" si="16"/>
        <v>1.25</v>
      </c>
      <c r="R18" s="13">
        <f t="shared" si="16"/>
        <v>1.35</v>
      </c>
      <c r="S18" s="13">
        <f t="shared" si="16"/>
        <v>1.4500000000000002</v>
      </c>
      <c r="T18" s="13">
        <f t="shared" si="16"/>
        <v>1.5500000000000003</v>
      </c>
      <c r="U18" s="13">
        <f t="shared" si="16"/>
        <v>1.6500000000000004</v>
      </c>
      <c r="V18" s="13">
        <f t="shared" si="16"/>
        <v>1.7500000000000004</v>
      </c>
      <c r="W18" s="13">
        <f t="shared" si="16"/>
        <v>1.8500000000000005</v>
      </c>
      <c r="X18" s="13">
        <f t="shared" si="16"/>
        <v>1.9500000000000006</v>
      </c>
      <c r="Y18" s="13">
        <f t="shared" si="16"/>
        <v>2.0500000000000007</v>
      </c>
      <c r="Z18" s="13">
        <f t="shared" si="16"/>
        <v>2.1500000000000008</v>
      </c>
      <c r="AA18" s="13">
        <f t="shared" si="16"/>
        <v>2.2500000000000009</v>
      </c>
      <c r="AB18" s="13">
        <f t="shared" si="16"/>
        <v>2.350000000000001</v>
      </c>
      <c r="AC18" s="13">
        <f t="shared" si="16"/>
        <v>2.4500000000000011</v>
      </c>
      <c r="AD18" s="13">
        <f t="shared" si="16"/>
        <v>2.5500000000000012</v>
      </c>
      <c r="AE18" s="13">
        <f t="shared" si="16"/>
        <v>2.6500000000000012</v>
      </c>
      <c r="AF18" s="13">
        <f t="shared" si="16"/>
        <v>2.7500000000000013</v>
      </c>
      <c r="AG18" s="13">
        <f t="shared" si="16"/>
        <v>2.8500000000000014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736F-CC09-489B-B698-2F45B1A52627}">
  <dimension ref="A1:AG18"/>
  <sheetViews>
    <sheetView topLeftCell="K1" workbookViewId="0">
      <selection sqref="A1:AG18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1">
        <v>0</v>
      </c>
      <c r="C2" s="11">
        <v>0</v>
      </c>
      <c r="D2" s="11">
        <v>0</v>
      </c>
      <c r="E2" s="13">
        <v>0.05</v>
      </c>
      <c r="F2" s="13">
        <f>E2+0.15</f>
        <v>0.2</v>
      </c>
      <c r="G2" s="13">
        <f t="shared" ref="G2:AG11" si="0">F2+0.15</f>
        <v>0.35</v>
      </c>
      <c r="H2" s="13">
        <f t="shared" si="0"/>
        <v>0.5</v>
      </c>
      <c r="I2" s="13">
        <f t="shared" si="0"/>
        <v>0.65</v>
      </c>
      <c r="J2" s="13">
        <f t="shared" si="0"/>
        <v>0.8</v>
      </c>
      <c r="K2" s="13">
        <f t="shared" si="0"/>
        <v>0.95000000000000007</v>
      </c>
      <c r="L2" s="13">
        <f t="shared" si="0"/>
        <v>1.1000000000000001</v>
      </c>
      <c r="M2" s="13">
        <f t="shared" si="0"/>
        <v>1.25</v>
      </c>
      <c r="N2" s="13">
        <f t="shared" si="0"/>
        <v>1.4</v>
      </c>
      <c r="O2" s="13">
        <f t="shared" si="0"/>
        <v>1.5499999999999998</v>
      </c>
      <c r="P2" s="13">
        <f t="shared" si="0"/>
        <v>1.6999999999999997</v>
      </c>
      <c r="Q2" s="13">
        <f t="shared" si="0"/>
        <v>1.8499999999999996</v>
      </c>
      <c r="R2" s="13">
        <f t="shared" si="0"/>
        <v>1.9999999999999996</v>
      </c>
      <c r="S2" s="13">
        <f t="shared" si="0"/>
        <v>2.1499999999999995</v>
      </c>
      <c r="T2" s="13">
        <f t="shared" si="0"/>
        <v>2.2999999999999994</v>
      </c>
      <c r="U2" s="13">
        <f t="shared" si="0"/>
        <v>2.4499999999999993</v>
      </c>
      <c r="V2" s="13">
        <f t="shared" si="0"/>
        <v>2.5999999999999992</v>
      </c>
      <c r="W2" s="13">
        <f t="shared" si="0"/>
        <v>2.7499999999999991</v>
      </c>
      <c r="X2" s="13">
        <f t="shared" si="0"/>
        <v>2.899999999999999</v>
      </c>
      <c r="Y2" s="13">
        <f t="shared" si="0"/>
        <v>3.0499999999999989</v>
      </c>
      <c r="Z2" s="13">
        <f t="shared" si="0"/>
        <v>3.1999999999999988</v>
      </c>
      <c r="AA2" s="13">
        <f t="shared" si="0"/>
        <v>3.3499999999999988</v>
      </c>
      <c r="AB2" s="13">
        <f t="shared" si="0"/>
        <v>3.4999999999999987</v>
      </c>
      <c r="AC2" s="13">
        <f t="shared" si="0"/>
        <v>3.6499999999999986</v>
      </c>
      <c r="AD2" s="13">
        <f t="shared" si="0"/>
        <v>3.7999999999999985</v>
      </c>
      <c r="AE2" s="13">
        <f t="shared" si="0"/>
        <v>3.9499999999999984</v>
      </c>
      <c r="AF2" s="13">
        <f t="shared" si="0"/>
        <v>4.0999999999999988</v>
      </c>
      <c r="AG2" s="13">
        <f t="shared" si="0"/>
        <v>4.2499999999999991</v>
      </c>
    </row>
    <row r="3" spans="1:33" x14ac:dyDescent="0.3">
      <c r="A3" s="1" t="s">
        <v>1</v>
      </c>
      <c r="B3" s="12">
        <v>0</v>
      </c>
      <c r="C3" s="12">
        <v>0</v>
      </c>
      <c r="D3" s="12">
        <v>0</v>
      </c>
      <c r="E3" s="13">
        <v>0.05</v>
      </c>
      <c r="F3" s="13">
        <f t="shared" ref="F3:U18" si="1">E3+0.15</f>
        <v>0.2</v>
      </c>
      <c r="G3" s="13">
        <f t="shared" si="1"/>
        <v>0.35</v>
      </c>
      <c r="H3" s="13">
        <f t="shared" si="1"/>
        <v>0.5</v>
      </c>
      <c r="I3" s="13">
        <f t="shared" si="1"/>
        <v>0.65</v>
      </c>
      <c r="J3" s="13">
        <f t="shared" si="1"/>
        <v>0.8</v>
      </c>
      <c r="K3" s="13">
        <f t="shared" si="1"/>
        <v>0.95000000000000007</v>
      </c>
      <c r="L3" s="13">
        <f t="shared" si="1"/>
        <v>1.1000000000000001</v>
      </c>
      <c r="M3" s="13">
        <f t="shared" si="1"/>
        <v>1.25</v>
      </c>
      <c r="N3" s="13">
        <f t="shared" si="1"/>
        <v>1.4</v>
      </c>
      <c r="O3" s="13">
        <f t="shared" si="1"/>
        <v>1.5499999999999998</v>
      </c>
      <c r="P3" s="13">
        <f t="shared" si="1"/>
        <v>1.6999999999999997</v>
      </c>
      <c r="Q3" s="13">
        <f t="shared" si="1"/>
        <v>1.8499999999999996</v>
      </c>
      <c r="R3" s="13">
        <f t="shared" si="1"/>
        <v>1.9999999999999996</v>
      </c>
      <c r="S3" s="13">
        <f t="shared" si="1"/>
        <v>2.1499999999999995</v>
      </c>
      <c r="T3" s="13">
        <f t="shared" si="1"/>
        <v>2.2999999999999994</v>
      </c>
      <c r="U3" s="13">
        <f t="shared" si="1"/>
        <v>2.4499999999999993</v>
      </c>
      <c r="V3" s="13">
        <f t="shared" si="0"/>
        <v>2.5999999999999992</v>
      </c>
      <c r="W3" s="13">
        <f t="shared" si="0"/>
        <v>2.7499999999999991</v>
      </c>
      <c r="X3" s="13">
        <f t="shared" si="0"/>
        <v>2.899999999999999</v>
      </c>
      <c r="Y3" s="13">
        <f t="shared" si="0"/>
        <v>3.0499999999999989</v>
      </c>
      <c r="Z3" s="13">
        <f t="shared" si="0"/>
        <v>3.1999999999999988</v>
      </c>
      <c r="AA3" s="13">
        <f t="shared" si="0"/>
        <v>3.3499999999999988</v>
      </c>
      <c r="AB3" s="13">
        <f t="shared" si="0"/>
        <v>3.4999999999999987</v>
      </c>
      <c r="AC3" s="13">
        <f t="shared" si="0"/>
        <v>3.6499999999999986</v>
      </c>
      <c r="AD3" s="13">
        <f t="shared" si="0"/>
        <v>3.7999999999999985</v>
      </c>
      <c r="AE3" s="13">
        <f t="shared" si="0"/>
        <v>3.9499999999999984</v>
      </c>
      <c r="AF3" s="13">
        <f t="shared" si="0"/>
        <v>4.0999999999999988</v>
      </c>
      <c r="AG3" s="13">
        <f t="shared" si="0"/>
        <v>4.2499999999999991</v>
      </c>
    </row>
    <row r="4" spans="1:33" x14ac:dyDescent="0.3">
      <c r="A4" s="1" t="s">
        <v>2</v>
      </c>
      <c r="B4" s="11">
        <v>0</v>
      </c>
      <c r="C4" s="11">
        <v>0</v>
      </c>
      <c r="D4" s="11">
        <v>0</v>
      </c>
      <c r="E4" s="13">
        <v>0.05</v>
      </c>
      <c r="F4" s="13">
        <f t="shared" si="1"/>
        <v>0.2</v>
      </c>
      <c r="G4" s="13">
        <f t="shared" si="0"/>
        <v>0.35</v>
      </c>
      <c r="H4" s="13">
        <f t="shared" si="0"/>
        <v>0.5</v>
      </c>
      <c r="I4" s="13">
        <f t="shared" si="0"/>
        <v>0.65</v>
      </c>
      <c r="J4" s="13">
        <f t="shared" si="0"/>
        <v>0.8</v>
      </c>
      <c r="K4" s="13">
        <f t="shared" si="0"/>
        <v>0.95000000000000007</v>
      </c>
      <c r="L4" s="13">
        <f t="shared" si="0"/>
        <v>1.1000000000000001</v>
      </c>
      <c r="M4" s="13">
        <f t="shared" si="0"/>
        <v>1.25</v>
      </c>
      <c r="N4" s="13">
        <f t="shared" si="0"/>
        <v>1.4</v>
      </c>
      <c r="O4" s="13">
        <f t="shared" si="0"/>
        <v>1.5499999999999998</v>
      </c>
      <c r="P4" s="13">
        <f t="shared" si="0"/>
        <v>1.6999999999999997</v>
      </c>
      <c r="Q4" s="13">
        <f t="shared" si="0"/>
        <v>1.8499999999999996</v>
      </c>
      <c r="R4" s="13">
        <f t="shared" si="0"/>
        <v>1.9999999999999996</v>
      </c>
      <c r="S4" s="13">
        <f t="shared" si="0"/>
        <v>2.1499999999999995</v>
      </c>
      <c r="T4" s="13">
        <f t="shared" si="0"/>
        <v>2.2999999999999994</v>
      </c>
      <c r="U4" s="13">
        <f t="shared" si="0"/>
        <v>2.4499999999999993</v>
      </c>
      <c r="V4" s="13">
        <f t="shared" si="0"/>
        <v>2.5999999999999992</v>
      </c>
      <c r="W4" s="13">
        <f t="shared" si="0"/>
        <v>2.7499999999999991</v>
      </c>
      <c r="X4" s="13">
        <f t="shared" si="0"/>
        <v>2.899999999999999</v>
      </c>
      <c r="Y4" s="13">
        <f t="shared" si="0"/>
        <v>3.0499999999999989</v>
      </c>
      <c r="Z4" s="13">
        <f t="shared" si="0"/>
        <v>3.1999999999999988</v>
      </c>
      <c r="AA4" s="13">
        <f t="shared" si="0"/>
        <v>3.3499999999999988</v>
      </c>
      <c r="AB4" s="13">
        <f t="shared" si="0"/>
        <v>3.4999999999999987</v>
      </c>
      <c r="AC4" s="13">
        <f t="shared" si="0"/>
        <v>3.6499999999999986</v>
      </c>
      <c r="AD4" s="13">
        <f t="shared" si="0"/>
        <v>3.7999999999999985</v>
      </c>
      <c r="AE4" s="13">
        <f t="shared" si="0"/>
        <v>3.9499999999999984</v>
      </c>
      <c r="AF4" s="13">
        <f t="shared" si="0"/>
        <v>4.0999999999999988</v>
      </c>
      <c r="AG4" s="13">
        <f t="shared" si="0"/>
        <v>4.2499999999999991</v>
      </c>
    </row>
    <row r="5" spans="1:33" x14ac:dyDescent="0.3">
      <c r="A5" s="1" t="s">
        <v>3</v>
      </c>
      <c r="B5" s="12">
        <v>0</v>
      </c>
      <c r="C5" s="12">
        <v>0</v>
      </c>
      <c r="D5" s="12">
        <v>0</v>
      </c>
      <c r="E5" s="13">
        <v>0.05</v>
      </c>
      <c r="F5" s="13">
        <f t="shared" si="1"/>
        <v>0.2</v>
      </c>
      <c r="G5" s="13">
        <f t="shared" si="0"/>
        <v>0.35</v>
      </c>
      <c r="H5" s="13">
        <f t="shared" si="0"/>
        <v>0.5</v>
      </c>
      <c r="I5" s="13">
        <f t="shared" si="0"/>
        <v>0.65</v>
      </c>
      <c r="J5" s="13">
        <f t="shared" si="0"/>
        <v>0.8</v>
      </c>
      <c r="K5" s="13">
        <f t="shared" si="0"/>
        <v>0.95000000000000007</v>
      </c>
      <c r="L5" s="13">
        <f t="shared" si="0"/>
        <v>1.1000000000000001</v>
      </c>
      <c r="M5" s="13">
        <f t="shared" si="0"/>
        <v>1.25</v>
      </c>
      <c r="N5" s="13">
        <f t="shared" si="0"/>
        <v>1.4</v>
      </c>
      <c r="O5" s="13">
        <f t="shared" si="0"/>
        <v>1.5499999999999998</v>
      </c>
      <c r="P5" s="13">
        <f t="shared" si="0"/>
        <v>1.6999999999999997</v>
      </c>
      <c r="Q5" s="13">
        <f t="shared" si="0"/>
        <v>1.8499999999999996</v>
      </c>
      <c r="R5" s="13">
        <f t="shared" si="0"/>
        <v>1.9999999999999996</v>
      </c>
      <c r="S5" s="13">
        <f t="shared" si="0"/>
        <v>2.1499999999999995</v>
      </c>
      <c r="T5" s="13">
        <f t="shared" si="0"/>
        <v>2.2999999999999994</v>
      </c>
      <c r="U5" s="13">
        <f t="shared" si="0"/>
        <v>2.4499999999999993</v>
      </c>
      <c r="V5" s="13">
        <f t="shared" si="0"/>
        <v>2.5999999999999992</v>
      </c>
      <c r="W5" s="13">
        <f t="shared" si="0"/>
        <v>2.7499999999999991</v>
      </c>
      <c r="X5" s="13">
        <f t="shared" si="0"/>
        <v>2.899999999999999</v>
      </c>
      <c r="Y5" s="13">
        <f t="shared" si="0"/>
        <v>3.0499999999999989</v>
      </c>
      <c r="Z5" s="13">
        <f t="shared" si="0"/>
        <v>3.1999999999999988</v>
      </c>
      <c r="AA5" s="13">
        <f t="shared" si="0"/>
        <v>3.3499999999999988</v>
      </c>
      <c r="AB5" s="13">
        <f t="shared" si="0"/>
        <v>3.4999999999999987</v>
      </c>
      <c r="AC5" s="13">
        <f t="shared" si="0"/>
        <v>3.6499999999999986</v>
      </c>
      <c r="AD5" s="13">
        <f t="shared" si="0"/>
        <v>3.7999999999999985</v>
      </c>
      <c r="AE5" s="13">
        <f t="shared" si="0"/>
        <v>3.9499999999999984</v>
      </c>
      <c r="AF5" s="13">
        <f t="shared" si="0"/>
        <v>4.0999999999999988</v>
      </c>
      <c r="AG5" s="13">
        <f t="shared" si="0"/>
        <v>4.2499999999999991</v>
      </c>
    </row>
    <row r="6" spans="1:33" x14ac:dyDescent="0.3">
      <c r="A6" s="1" t="s">
        <v>4</v>
      </c>
      <c r="B6" s="11">
        <v>0</v>
      </c>
      <c r="C6" s="11">
        <v>0</v>
      </c>
      <c r="D6" s="11">
        <v>0</v>
      </c>
      <c r="E6" s="13">
        <v>0.05</v>
      </c>
      <c r="F6" s="13">
        <f t="shared" si="1"/>
        <v>0.2</v>
      </c>
      <c r="G6" s="13">
        <f t="shared" si="0"/>
        <v>0.35</v>
      </c>
      <c r="H6" s="13">
        <f t="shared" si="0"/>
        <v>0.5</v>
      </c>
      <c r="I6" s="13">
        <f t="shared" si="0"/>
        <v>0.65</v>
      </c>
      <c r="J6" s="13">
        <f t="shared" si="0"/>
        <v>0.8</v>
      </c>
      <c r="K6" s="13">
        <f t="shared" si="0"/>
        <v>0.95000000000000007</v>
      </c>
      <c r="L6" s="13">
        <f t="shared" si="0"/>
        <v>1.1000000000000001</v>
      </c>
      <c r="M6" s="13">
        <f t="shared" si="0"/>
        <v>1.25</v>
      </c>
      <c r="N6" s="13">
        <f t="shared" si="0"/>
        <v>1.4</v>
      </c>
      <c r="O6" s="13">
        <f t="shared" si="0"/>
        <v>1.5499999999999998</v>
      </c>
      <c r="P6" s="13">
        <f t="shared" si="0"/>
        <v>1.6999999999999997</v>
      </c>
      <c r="Q6" s="13">
        <f t="shared" si="0"/>
        <v>1.8499999999999996</v>
      </c>
      <c r="R6" s="13">
        <f t="shared" si="0"/>
        <v>1.9999999999999996</v>
      </c>
      <c r="S6" s="13">
        <f t="shared" si="0"/>
        <v>2.1499999999999995</v>
      </c>
      <c r="T6" s="13">
        <f t="shared" si="0"/>
        <v>2.2999999999999994</v>
      </c>
      <c r="U6" s="13">
        <f t="shared" si="0"/>
        <v>2.4499999999999993</v>
      </c>
      <c r="V6" s="13">
        <f t="shared" si="0"/>
        <v>2.5999999999999992</v>
      </c>
      <c r="W6" s="13">
        <f t="shared" si="0"/>
        <v>2.7499999999999991</v>
      </c>
      <c r="X6" s="13">
        <f t="shared" si="0"/>
        <v>2.899999999999999</v>
      </c>
      <c r="Y6" s="13">
        <f t="shared" si="0"/>
        <v>3.0499999999999989</v>
      </c>
      <c r="Z6" s="13">
        <f t="shared" si="0"/>
        <v>3.1999999999999988</v>
      </c>
      <c r="AA6" s="13">
        <f t="shared" si="0"/>
        <v>3.3499999999999988</v>
      </c>
      <c r="AB6" s="13">
        <f t="shared" si="0"/>
        <v>3.4999999999999987</v>
      </c>
      <c r="AC6" s="13">
        <f t="shared" si="0"/>
        <v>3.6499999999999986</v>
      </c>
      <c r="AD6" s="13">
        <f t="shared" si="0"/>
        <v>3.7999999999999985</v>
      </c>
      <c r="AE6" s="13">
        <f t="shared" si="0"/>
        <v>3.9499999999999984</v>
      </c>
      <c r="AF6" s="13">
        <f t="shared" si="0"/>
        <v>4.0999999999999988</v>
      </c>
      <c r="AG6" s="13">
        <f t="shared" si="0"/>
        <v>4.2499999999999991</v>
      </c>
    </row>
    <row r="7" spans="1:33" x14ac:dyDescent="0.3">
      <c r="A7" s="1" t="s">
        <v>5</v>
      </c>
      <c r="B7" s="12">
        <v>0</v>
      </c>
      <c r="C7" s="12">
        <v>0</v>
      </c>
      <c r="D7" s="12">
        <v>0</v>
      </c>
      <c r="E7" s="13">
        <v>0.05</v>
      </c>
      <c r="F7" s="13">
        <f t="shared" si="1"/>
        <v>0.2</v>
      </c>
      <c r="G7" s="13">
        <f t="shared" si="0"/>
        <v>0.35</v>
      </c>
      <c r="H7" s="13">
        <f t="shared" si="0"/>
        <v>0.5</v>
      </c>
      <c r="I7" s="13">
        <f t="shared" si="0"/>
        <v>0.65</v>
      </c>
      <c r="J7" s="13">
        <f t="shared" si="0"/>
        <v>0.8</v>
      </c>
      <c r="K7" s="13">
        <f t="shared" si="0"/>
        <v>0.95000000000000007</v>
      </c>
      <c r="L7" s="13">
        <f t="shared" si="0"/>
        <v>1.1000000000000001</v>
      </c>
      <c r="M7" s="13">
        <f t="shared" si="0"/>
        <v>1.25</v>
      </c>
      <c r="N7" s="13">
        <f t="shared" si="0"/>
        <v>1.4</v>
      </c>
      <c r="O7" s="13">
        <f t="shared" si="0"/>
        <v>1.5499999999999998</v>
      </c>
      <c r="P7" s="13">
        <f t="shared" si="0"/>
        <v>1.6999999999999997</v>
      </c>
      <c r="Q7" s="13">
        <f t="shared" si="0"/>
        <v>1.8499999999999996</v>
      </c>
      <c r="R7" s="13">
        <f t="shared" si="0"/>
        <v>1.9999999999999996</v>
      </c>
      <c r="S7" s="13">
        <f t="shared" si="0"/>
        <v>2.1499999999999995</v>
      </c>
      <c r="T7" s="13">
        <f t="shared" si="0"/>
        <v>2.2999999999999994</v>
      </c>
      <c r="U7" s="13">
        <f t="shared" si="0"/>
        <v>2.4499999999999993</v>
      </c>
      <c r="V7" s="13">
        <f t="shared" si="0"/>
        <v>2.5999999999999992</v>
      </c>
      <c r="W7" s="13">
        <f t="shared" si="0"/>
        <v>2.7499999999999991</v>
      </c>
      <c r="X7" s="13">
        <f t="shared" si="0"/>
        <v>2.899999999999999</v>
      </c>
      <c r="Y7" s="13">
        <f t="shared" si="0"/>
        <v>3.0499999999999989</v>
      </c>
      <c r="Z7" s="13">
        <f t="shared" si="0"/>
        <v>3.1999999999999988</v>
      </c>
      <c r="AA7" s="13">
        <f t="shared" si="0"/>
        <v>3.3499999999999988</v>
      </c>
      <c r="AB7" s="13">
        <f t="shared" si="0"/>
        <v>3.4999999999999987</v>
      </c>
      <c r="AC7" s="13">
        <f t="shared" si="0"/>
        <v>3.6499999999999986</v>
      </c>
      <c r="AD7" s="13">
        <f t="shared" si="0"/>
        <v>3.7999999999999985</v>
      </c>
      <c r="AE7" s="13">
        <f t="shared" si="0"/>
        <v>3.9499999999999984</v>
      </c>
      <c r="AF7" s="13">
        <f t="shared" si="0"/>
        <v>4.0999999999999988</v>
      </c>
      <c r="AG7" s="13">
        <f t="shared" si="0"/>
        <v>4.2499999999999991</v>
      </c>
    </row>
    <row r="8" spans="1:33" x14ac:dyDescent="0.3">
      <c r="A8" s="1" t="s">
        <v>6</v>
      </c>
      <c r="B8" s="11">
        <v>0</v>
      </c>
      <c r="C8" s="11">
        <v>0</v>
      </c>
      <c r="D8" s="11">
        <v>0</v>
      </c>
      <c r="E8" s="13">
        <v>0.05</v>
      </c>
      <c r="F8" s="13">
        <f t="shared" si="1"/>
        <v>0.2</v>
      </c>
      <c r="G8" s="13">
        <f t="shared" si="0"/>
        <v>0.35</v>
      </c>
      <c r="H8" s="13">
        <f t="shared" si="0"/>
        <v>0.5</v>
      </c>
      <c r="I8" s="13">
        <f t="shared" si="0"/>
        <v>0.65</v>
      </c>
      <c r="J8" s="13">
        <f t="shared" si="0"/>
        <v>0.8</v>
      </c>
      <c r="K8" s="13">
        <f t="shared" si="0"/>
        <v>0.95000000000000007</v>
      </c>
      <c r="L8" s="13">
        <f t="shared" si="0"/>
        <v>1.1000000000000001</v>
      </c>
      <c r="M8" s="13">
        <f t="shared" si="0"/>
        <v>1.25</v>
      </c>
      <c r="N8" s="13">
        <f t="shared" si="0"/>
        <v>1.4</v>
      </c>
      <c r="O8" s="13">
        <f t="shared" si="0"/>
        <v>1.5499999999999998</v>
      </c>
      <c r="P8" s="13">
        <f t="shared" si="0"/>
        <v>1.6999999999999997</v>
      </c>
      <c r="Q8" s="13">
        <f t="shared" si="0"/>
        <v>1.8499999999999996</v>
      </c>
      <c r="R8" s="13">
        <f t="shared" si="0"/>
        <v>1.9999999999999996</v>
      </c>
      <c r="S8" s="13">
        <f t="shared" si="0"/>
        <v>2.1499999999999995</v>
      </c>
      <c r="T8" s="13">
        <f t="shared" si="0"/>
        <v>2.2999999999999994</v>
      </c>
      <c r="U8" s="13">
        <f t="shared" si="0"/>
        <v>2.4499999999999993</v>
      </c>
      <c r="V8" s="13">
        <f t="shared" si="0"/>
        <v>2.5999999999999992</v>
      </c>
      <c r="W8" s="13">
        <f t="shared" si="0"/>
        <v>2.7499999999999991</v>
      </c>
      <c r="X8" s="13">
        <f t="shared" si="0"/>
        <v>2.899999999999999</v>
      </c>
      <c r="Y8" s="13">
        <f t="shared" si="0"/>
        <v>3.0499999999999989</v>
      </c>
      <c r="Z8" s="13">
        <f t="shared" si="0"/>
        <v>3.1999999999999988</v>
      </c>
      <c r="AA8" s="13">
        <f t="shared" si="0"/>
        <v>3.3499999999999988</v>
      </c>
      <c r="AB8" s="13">
        <f t="shared" si="0"/>
        <v>3.4999999999999987</v>
      </c>
      <c r="AC8" s="13">
        <f t="shared" si="0"/>
        <v>3.6499999999999986</v>
      </c>
      <c r="AD8" s="13">
        <f t="shared" si="0"/>
        <v>3.7999999999999985</v>
      </c>
      <c r="AE8" s="13">
        <f t="shared" si="0"/>
        <v>3.9499999999999984</v>
      </c>
      <c r="AF8" s="13">
        <f t="shared" si="0"/>
        <v>4.0999999999999988</v>
      </c>
      <c r="AG8" s="13">
        <f t="shared" si="0"/>
        <v>4.2499999999999991</v>
      </c>
    </row>
    <row r="9" spans="1:33" x14ac:dyDescent="0.3">
      <c r="A9" s="1" t="s">
        <v>7</v>
      </c>
      <c r="B9" s="12">
        <v>0</v>
      </c>
      <c r="C9" s="12">
        <v>0</v>
      </c>
      <c r="D9" s="12">
        <v>0</v>
      </c>
      <c r="E9" s="13">
        <v>0.05</v>
      </c>
      <c r="F9" s="13">
        <f t="shared" si="1"/>
        <v>0.2</v>
      </c>
      <c r="G9" s="13">
        <f t="shared" si="0"/>
        <v>0.35</v>
      </c>
      <c r="H9" s="13">
        <f t="shared" si="0"/>
        <v>0.5</v>
      </c>
      <c r="I9" s="13">
        <f t="shared" si="0"/>
        <v>0.65</v>
      </c>
      <c r="J9" s="13">
        <f t="shared" si="0"/>
        <v>0.8</v>
      </c>
      <c r="K9" s="13">
        <f t="shared" si="0"/>
        <v>0.95000000000000007</v>
      </c>
      <c r="L9" s="13">
        <f t="shared" si="0"/>
        <v>1.1000000000000001</v>
      </c>
      <c r="M9" s="13">
        <f t="shared" si="0"/>
        <v>1.25</v>
      </c>
      <c r="N9" s="13">
        <f t="shared" si="0"/>
        <v>1.4</v>
      </c>
      <c r="O9" s="13">
        <f t="shared" si="0"/>
        <v>1.5499999999999998</v>
      </c>
      <c r="P9" s="13">
        <f t="shared" si="0"/>
        <v>1.6999999999999997</v>
      </c>
      <c r="Q9" s="13">
        <f t="shared" si="0"/>
        <v>1.8499999999999996</v>
      </c>
      <c r="R9" s="13">
        <f t="shared" si="0"/>
        <v>1.9999999999999996</v>
      </c>
      <c r="S9" s="13">
        <f t="shared" si="0"/>
        <v>2.1499999999999995</v>
      </c>
      <c r="T9" s="13">
        <f t="shared" si="0"/>
        <v>2.2999999999999994</v>
      </c>
      <c r="U9" s="13">
        <f t="shared" si="0"/>
        <v>2.4499999999999993</v>
      </c>
      <c r="V9" s="13">
        <f t="shared" si="0"/>
        <v>2.5999999999999992</v>
      </c>
      <c r="W9" s="13">
        <f t="shared" si="0"/>
        <v>2.7499999999999991</v>
      </c>
      <c r="X9" s="13">
        <f t="shared" si="0"/>
        <v>2.899999999999999</v>
      </c>
      <c r="Y9" s="13">
        <f t="shared" si="0"/>
        <v>3.0499999999999989</v>
      </c>
      <c r="Z9" s="13">
        <f t="shared" si="0"/>
        <v>3.1999999999999988</v>
      </c>
      <c r="AA9" s="13">
        <f t="shared" si="0"/>
        <v>3.3499999999999988</v>
      </c>
      <c r="AB9" s="13">
        <f t="shared" si="0"/>
        <v>3.4999999999999987</v>
      </c>
      <c r="AC9" s="13">
        <f t="shared" si="0"/>
        <v>3.6499999999999986</v>
      </c>
      <c r="AD9" s="13">
        <f t="shared" si="0"/>
        <v>3.7999999999999985</v>
      </c>
      <c r="AE9" s="13">
        <f t="shared" si="0"/>
        <v>3.9499999999999984</v>
      </c>
      <c r="AF9" s="13">
        <f t="shared" si="0"/>
        <v>4.0999999999999988</v>
      </c>
      <c r="AG9" s="13">
        <f t="shared" si="0"/>
        <v>4.2499999999999991</v>
      </c>
    </row>
    <row r="10" spans="1:33" x14ac:dyDescent="0.3">
      <c r="A10" s="1" t="s">
        <v>8</v>
      </c>
      <c r="B10" s="11">
        <v>0</v>
      </c>
      <c r="C10" s="11">
        <v>0</v>
      </c>
      <c r="D10" s="11">
        <v>0</v>
      </c>
      <c r="E10" s="13">
        <v>0.05</v>
      </c>
      <c r="F10" s="13">
        <f t="shared" si="1"/>
        <v>0.2</v>
      </c>
      <c r="G10" s="13">
        <f t="shared" si="0"/>
        <v>0.35</v>
      </c>
      <c r="H10" s="13">
        <f t="shared" si="0"/>
        <v>0.5</v>
      </c>
      <c r="I10" s="13">
        <f t="shared" si="0"/>
        <v>0.65</v>
      </c>
      <c r="J10" s="13">
        <f t="shared" si="0"/>
        <v>0.8</v>
      </c>
      <c r="K10" s="13">
        <f t="shared" si="0"/>
        <v>0.95000000000000007</v>
      </c>
      <c r="L10" s="13">
        <f t="shared" si="0"/>
        <v>1.1000000000000001</v>
      </c>
      <c r="M10" s="13">
        <f t="shared" si="0"/>
        <v>1.25</v>
      </c>
      <c r="N10" s="13">
        <f t="shared" si="0"/>
        <v>1.4</v>
      </c>
      <c r="O10" s="13">
        <f t="shared" si="0"/>
        <v>1.5499999999999998</v>
      </c>
      <c r="P10" s="13">
        <f t="shared" si="0"/>
        <v>1.6999999999999997</v>
      </c>
      <c r="Q10" s="13">
        <f t="shared" si="0"/>
        <v>1.8499999999999996</v>
      </c>
      <c r="R10" s="13">
        <f t="shared" si="0"/>
        <v>1.9999999999999996</v>
      </c>
      <c r="S10" s="13">
        <f t="shared" si="0"/>
        <v>2.1499999999999995</v>
      </c>
      <c r="T10" s="13">
        <f t="shared" si="0"/>
        <v>2.2999999999999994</v>
      </c>
      <c r="U10" s="13">
        <f t="shared" si="0"/>
        <v>2.4499999999999993</v>
      </c>
      <c r="V10" s="13">
        <f t="shared" si="0"/>
        <v>2.5999999999999992</v>
      </c>
      <c r="W10" s="13">
        <f t="shared" si="0"/>
        <v>2.7499999999999991</v>
      </c>
      <c r="X10" s="13">
        <f t="shared" si="0"/>
        <v>2.899999999999999</v>
      </c>
      <c r="Y10" s="13">
        <f t="shared" si="0"/>
        <v>3.0499999999999989</v>
      </c>
      <c r="Z10" s="13">
        <f t="shared" si="0"/>
        <v>3.1999999999999988</v>
      </c>
      <c r="AA10" s="13">
        <f t="shared" si="0"/>
        <v>3.3499999999999988</v>
      </c>
      <c r="AB10" s="13">
        <f t="shared" si="0"/>
        <v>3.4999999999999987</v>
      </c>
      <c r="AC10" s="13">
        <f t="shared" si="0"/>
        <v>3.6499999999999986</v>
      </c>
      <c r="AD10" s="13">
        <f t="shared" si="0"/>
        <v>3.7999999999999985</v>
      </c>
      <c r="AE10" s="13">
        <f t="shared" si="0"/>
        <v>3.9499999999999984</v>
      </c>
      <c r="AF10" s="13">
        <f t="shared" si="0"/>
        <v>4.0999999999999988</v>
      </c>
      <c r="AG10" s="13">
        <f t="shared" si="0"/>
        <v>4.2499999999999991</v>
      </c>
    </row>
    <row r="11" spans="1:33" x14ac:dyDescent="0.3">
      <c r="A11" s="1" t="s">
        <v>9</v>
      </c>
      <c r="B11" s="12">
        <v>0</v>
      </c>
      <c r="C11" s="12">
        <v>0</v>
      </c>
      <c r="D11" s="12">
        <v>0</v>
      </c>
      <c r="E11" s="13">
        <v>0.05</v>
      </c>
      <c r="F11" s="13">
        <f t="shared" si="1"/>
        <v>0.2</v>
      </c>
      <c r="G11" s="13">
        <f t="shared" si="0"/>
        <v>0.35</v>
      </c>
      <c r="H11" s="13">
        <f t="shared" si="0"/>
        <v>0.5</v>
      </c>
      <c r="I11" s="13">
        <f t="shared" si="0"/>
        <v>0.65</v>
      </c>
      <c r="J11" s="13">
        <f t="shared" si="0"/>
        <v>0.8</v>
      </c>
      <c r="K11" s="13">
        <f t="shared" si="0"/>
        <v>0.95000000000000007</v>
      </c>
      <c r="L11" s="13">
        <f t="shared" si="0"/>
        <v>1.1000000000000001</v>
      </c>
      <c r="M11" s="13">
        <f t="shared" si="0"/>
        <v>1.25</v>
      </c>
      <c r="N11" s="13">
        <f t="shared" si="0"/>
        <v>1.4</v>
      </c>
      <c r="O11" s="13">
        <f t="shared" si="0"/>
        <v>1.5499999999999998</v>
      </c>
      <c r="P11" s="13">
        <f t="shared" si="0"/>
        <v>1.6999999999999997</v>
      </c>
      <c r="Q11" s="13">
        <f t="shared" si="0"/>
        <v>1.8499999999999996</v>
      </c>
      <c r="R11" s="13">
        <f t="shared" si="0"/>
        <v>1.9999999999999996</v>
      </c>
      <c r="S11" s="13">
        <f t="shared" si="0"/>
        <v>2.1499999999999995</v>
      </c>
      <c r="T11" s="13">
        <f t="shared" si="0"/>
        <v>2.2999999999999994</v>
      </c>
      <c r="U11" s="13">
        <f t="shared" si="0"/>
        <v>2.4499999999999993</v>
      </c>
      <c r="V11" s="13">
        <f t="shared" si="0"/>
        <v>2.5999999999999992</v>
      </c>
      <c r="W11" s="13">
        <f t="shared" si="0"/>
        <v>2.7499999999999991</v>
      </c>
      <c r="X11" s="13">
        <f t="shared" si="0"/>
        <v>2.899999999999999</v>
      </c>
      <c r="Y11" s="13">
        <f t="shared" si="0"/>
        <v>3.0499999999999989</v>
      </c>
      <c r="Z11" s="13">
        <f t="shared" si="0"/>
        <v>3.1999999999999988</v>
      </c>
      <c r="AA11" s="13">
        <f t="shared" si="0"/>
        <v>3.3499999999999988</v>
      </c>
      <c r="AB11" s="13">
        <f t="shared" si="0"/>
        <v>3.4999999999999987</v>
      </c>
      <c r="AC11" s="13">
        <f t="shared" si="0"/>
        <v>3.6499999999999986</v>
      </c>
      <c r="AD11" s="13">
        <f t="shared" si="0"/>
        <v>3.7999999999999985</v>
      </c>
      <c r="AE11" s="13">
        <f t="shared" si="0"/>
        <v>3.9499999999999984</v>
      </c>
      <c r="AF11" s="13">
        <f t="shared" si="0"/>
        <v>4.0999999999999988</v>
      </c>
      <c r="AG11" s="13">
        <f t="shared" si="0"/>
        <v>4.2499999999999991</v>
      </c>
    </row>
    <row r="12" spans="1:33" x14ac:dyDescent="0.3">
      <c r="A12" s="1" t="s">
        <v>10</v>
      </c>
      <c r="B12" s="11">
        <v>0</v>
      </c>
      <c r="C12" s="11">
        <v>0</v>
      </c>
      <c r="D12" s="11">
        <v>0</v>
      </c>
      <c r="E12" s="13">
        <v>0.05</v>
      </c>
      <c r="F12" s="13">
        <f t="shared" si="1"/>
        <v>0.2</v>
      </c>
      <c r="G12" s="13">
        <f t="shared" ref="G12:AG18" si="2">F12+0.15</f>
        <v>0.35</v>
      </c>
      <c r="H12" s="13">
        <f t="shared" si="2"/>
        <v>0.5</v>
      </c>
      <c r="I12" s="13">
        <f t="shared" si="2"/>
        <v>0.65</v>
      </c>
      <c r="J12" s="13">
        <f t="shared" si="2"/>
        <v>0.8</v>
      </c>
      <c r="K12" s="13">
        <f t="shared" si="2"/>
        <v>0.95000000000000007</v>
      </c>
      <c r="L12" s="13">
        <f t="shared" si="2"/>
        <v>1.1000000000000001</v>
      </c>
      <c r="M12" s="13">
        <f t="shared" si="2"/>
        <v>1.25</v>
      </c>
      <c r="N12" s="13">
        <f t="shared" si="2"/>
        <v>1.4</v>
      </c>
      <c r="O12" s="13">
        <f t="shared" si="2"/>
        <v>1.5499999999999998</v>
      </c>
      <c r="P12" s="13">
        <f t="shared" si="2"/>
        <v>1.6999999999999997</v>
      </c>
      <c r="Q12" s="13">
        <f t="shared" si="2"/>
        <v>1.8499999999999996</v>
      </c>
      <c r="R12" s="13">
        <f t="shared" si="2"/>
        <v>1.9999999999999996</v>
      </c>
      <c r="S12" s="13">
        <f t="shared" si="2"/>
        <v>2.1499999999999995</v>
      </c>
      <c r="T12" s="13">
        <f t="shared" si="2"/>
        <v>2.2999999999999994</v>
      </c>
      <c r="U12" s="13">
        <f t="shared" si="2"/>
        <v>2.4499999999999993</v>
      </c>
      <c r="V12" s="13">
        <f t="shared" si="2"/>
        <v>2.5999999999999992</v>
      </c>
      <c r="W12" s="13">
        <f t="shared" si="2"/>
        <v>2.7499999999999991</v>
      </c>
      <c r="X12" s="13">
        <f t="shared" si="2"/>
        <v>2.899999999999999</v>
      </c>
      <c r="Y12" s="13">
        <f t="shared" si="2"/>
        <v>3.0499999999999989</v>
      </c>
      <c r="Z12" s="13">
        <f t="shared" si="2"/>
        <v>3.1999999999999988</v>
      </c>
      <c r="AA12" s="13">
        <f t="shared" si="2"/>
        <v>3.3499999999999988</v>
      </c>
      <c r="AB12" s="13">
        <f t="shared" si="2"/>
        <v>3.4999999999999987</v>
      </c>
      <c r="AC12" s="13">
        <f t="shared" si="2"/>
        <v>3.6499999999999986</v>
      </c>
      <c r="AD12" s="13">
        <f t="shared" si="2"/>
        <v>3.7999999999999985</v>
      </c>
      <c r="AE12" s="13">
        <f t="shared" si="2"/>
        <v>3.9499999999999984</v>
      </c>
      <c r="AF12" s="13">
        <f t="shared" si="2"/>
        <v>4.0999999999999988</v>
      </c>
      <c r="AG12" s="13">
        <f t="shared" si="2"/>
        <v>4.2499999999999991</v>
      </c>
    </row>
    <row r="13" spans="1:33" x14ac:dyDescent="0.3">
      <c r="A13" s="1" t="s">
        <v>11</v>
      </c>
      <c r="B13" s="12">
        <v>0</v>
      </c>
      <c r="C13" s="12">
        <v>0</v>
      </c>
      <c r="D13" s="12">
        <v>0</v>
      </c>
      <c r="E13" s="13">
        <v>0.05</v>
      </c>
      <c r="F13" s="13">
        <f t="shared" si="1"/>
        <v>0.2</v>
      </c>
      <c r="G13" s="13">
        <f t="shared" si="2"/>
        <v>0.35</v>
      </c>
      <c r="H13" s="13">
        <f t="shared" si="2"/>
        <v>0.5</v>
      </c>
      <c r="I13" s="13">
        <f t="shared" si="2"/>
        <v>0.65</v>
      </c>
      <c r="J13" s="13">
        <f t="shared" si="2"/>
        <v>0.8</v>
      </c>
      <c r="K13" s="13">
        <f t="shared" si="2"/>
        <v>0.95000000000000007</v>
      </c>
      <c r="L13" s="13">
        <f t="shared" si="2"/>
        <v>1.1000000000000001</v>
      </c>
      <c r="M13" s="13">
        <f t="shared" si="2"/>
        <v>1.25</v>
      </c>
      <c r="N13" s="13">
        <f t="shared" si="2"/>
        <v>1.4</v>
      </c>
      <c r="O13" s="13">
        <f t="shared" si="2"/>
        <v>1.5499999999999998</v>
      </c>
      <c r="P13" s="13">
        <f t="shared" si="2"/>
        <v>1.6999999999999997</v>
      </c>
      <c r="Q13" s="13">
        <f t="shared" si="2"/>
        <v>1.8499999999999996</v>
      </c>
      <c r="R13" s="13">
        <f t="shared" si="2"/>
        <v>1.9999999999999996</v>
      </c>
      <c r="S13" s="13">
        <f t="shared" si="2"/>
        <v>2.1499999999999995</v>
      </c>
      <c r="T13" s="13">
        <f t="shared" si="2"/>
        <v>2.2999999999999994</v>
      </c>
      <c r="U13" s="13">
        <f t="shared" si="2"/>
        <v>2.4499999999999993</v>
      </c>
      <c r="V13" s="13">
        <f t="shared" si="2"/>
        <v>2.5999999999999992</v>
      </c>
      <c r="W13" s="13">
        <f t="shared" si="2"/>
        <v>2.7499999999999991</v>
      </c>
      <c r="X13" s="13">
        <f t="shared" si="2"/>
        <v>2.899999999999999</v>
      </c>
      <c r="Y13" s="13">
        <f t="shared" si="2"/>
        <v>3.0499999999999989</v>
      </c>
      <c r="Z13" s="13">
        <f t="shared" si="2"/>
        <v>3.1999999999999988</v>
      </c>
      <c r="AA13" s="13">
        <f t="shared" si="2"/>
        <v>3.3499999999999988</v>
      </c>
      <c r="AB13" s="13">
        <f t="shared" si="2"/>
        <v>3.4999999999999987</v>
      </c>
      <c r="AC13" s="13">
        <f t="shared" si="2"/>
        <v>3.6499999999999986</v>
      </c>
      <c r="AD13" s="13">
        <f t="shared" si="2"/>
        <v>3.7999999999999985</v>
      </c>
      <c r="AE13" s="13">
        <f t="shared" si="2"/>
        <v>3.9499999999999984</v>
      </c>
      <c r="AF13" s="13">
        <f t="shared" si="2"/>
        <v>4.0999999999999988</v>
      </c>
      <c r="AG13" s="13">
        <f t="shared" si="2"/>
        <v>4.2499999999999991</v>
      </c>
    </row>
    <row r="14" spans="1:33" x14ac:dyDescent="0.3">
      <c r="A14" s="1" t="s">
        <v>12</v>
      </c>
      <c r="B14" s="11">
        <v>0</v>
      </c>
      <c r="C14" s="11">
        <v>0</v>
      </c>
      <c r="D14" s="11">
        <v>0</v>
      </c>
      <c r="E14" s="13">
        <v>0.05</v>
      </c>
      <c r="F14" s="13">
        <f t="shared" si="1"/>
        <v>0.2</v>
      </c>
      <c r="G14" s="13">
        <f t="shared" si="2"/>
        <v>0.35</v>
      </c>
      <c r="H14" s="13">
        <f t="shared" si="2"/>
        <v>0.5</v>
      </c>
      <c r="I14" s="13">
        <f t="shared" si="2"/>
        <v>0.65</v>
      </c>
      <c r="J14" s="13">
        <f t="shared" si="2"/>
        <v>0.8</v>
      </c>
      <c r="K14" s="13">
        <f t="shared" si="2"/>
        <v>0.95000000000000007</v>
      </c>
      <c r="L14" s="13">
        <f t="shared" si="2"/>
        <v>1.1000000000000001</v>
      </c>
      <c r="M14" s="13">
        <f t="shared" si="2"/>
        <v>1.25</v>
      </c>
      <c r="N14" s="13">
        <f t="shared" si="2"/>
        <v>1.4</v>
      </c>
      <c r="O14" s="13">
        <f t="shared" si="2"/>
        <v>1.5499999999999998</v>
      </c>
      <c r="P14" s="13">
        <f t="shared" si="2"/>
        <v>1.6999999999999997</v>
      </c>
      <c r="Q14" s="13">
        <f t="shared" si="2"/>
        <v>1.8499999999999996</v>
      </c>
      <c r="R14" s="13">
        <f t="shared" si="2"/>
        <v>1.9999999999999996</v>
      </c>
      <c r="S14" s="13">
        <f t="shared" si="2"/>
        <v>2.1499999999999995</v>
      </c>
      <c r="T14" s="13">
        <f t="shared" si="2"/>
        <v>2.2999999999999994</v>
      </c>
      <c r="U14" s="13">
        <f t="shared" si="2"/>
        <v>2.4499999999999993</v>
      </c>
      <c r="V14" s="13">
        <f t="shared" si="2"/>
        <v>2.5999999999999992</v>
      </c>
      <c r="W14" s="13">
        <f t="shared" si="2"/>
        <v>2.7499999999999991</v>
      </c>
      <c r="X14" s="13">
        <f t="shared" si="2"/>
        <v>2.899999999999999</v>
      </c>
      <c r="Y14" s="13">
        <f t="shared" si="2"/>
        <v>3.0499999999999989</v>
      </c>
      <c r="Z14" s="13">
        <f t="shared" si="2"/>
        <v>3.1999999999999988</v>
      </c>
      <c r="AA14" s="13">
        <f t="shared" si="2"/>
        <v>3.3499999999999988</v>
      </c>
      <c r="AB14" s="13">
        <f t="shared" si="2"/>
        <v>3.4999999999999987</v>
      </c>
      <c r="AC14" s="13">
        <f t="shared" si="2"/>
        <v>3.6499999999999986</v>
      </c>
      <c r="AD14" s="13">
        <f t="shared" si="2"/>
        <v>3.7999999999999985</v>
      </c>
      <c r="AE14" s="13">
        <f t="shared" si="2"/>
        <v>3.9499999999999984</v>
      </c>
      <c r="AF14" s="13">
        <f t="shared" si="2"/>
        <v>4.0999999999999988</v>
      </c>
      <c r="AG14" s="13">
        <f t="shared" si="2"/>
        <v>4.2499999999999991</v>
      </c>
    </row>
    <row r="15" spans="1:33" x14ac:dyDescent="0.3">
      <c r="A15" s="1" t="s">
        <v>13</v>
      </c>
      <c r="B15" s="12">
        <v>0</v>
      </c>
      <c r="C15" s="12">
        <v>0</v>
      </c>
      <c r="D15" s="12">
        <v>0</v>
      </c>
      <c r="E15" s="13">
        <v>0.05</v>
      </c>
      <c r="F15" s="13">
        <f t="shared" si="1"/>
        <v>0.2</v>
      </c>
      <c r="G15" s="13">
        <f t="shared" si="2"/>
        <v>0.35</v>
      </c>
      <c r="H15" s="13">
        <f t="shared" si="2"/>
        <v>0.5</v>
      </c>
      <c r="I15" s="13">
        <f t="shared" si="2"/>
        <v>0.65</v>
      </c>
      <c r="J15" s="13">
        <f t="shared" si="2"/>
        <v>0.8</v>
      </c>
      <c r="K15" s="13">
        <f t="shared" si="2"/>
        <v>0.95000000000000007</v>
      </c>
      <c r="L15" s="13">
        <f t="shared" si="2"/>
        <v>1.1000000000000001</v>
      </c>
      <c r="M15" s="13">
        <f t="shared" si="2"/>
        <v>1.25</v>
      </c>
      <c r="N15" s="13">
        <f t="shared" si="2"/>
        <v>1.4</v>
      </c>
      <c r="O15" s="13">
        <f t="shared" si="2"/>
        <v>1.5499999999999998</v>
      </c>
      <c r="P15" s="13">
        <f t="shared" si="2"/>
        <v>1.6999999999999997</v>
      </c>
      <c r="Q15" s="13">
        <f t="shared" si="2"/>
        <v>1.8499999999999996</v>
      </c>
      <c r="R15" s="13">
        <f t="shared" si="2"/>
        <v>1.9999999999999996</v>
      </c>
      <c r="S15" s="13">
        <f t="shared" si="2"/>
        <v>2.1499999999999995</v>
      </c>
      <c r="T15" s="13">
        <f t="shared" si="2"/>
        <v>2.2999999999999994</v>
      </c>
      <c r="U15" s="13">
        <f t="shared" si="2"/>
        <v>2.4499999999999993</v>
      </c>
      <c r="V15" s="13">
        <f t="shared" si="2"/>
        <v>2.5999999999999992</v>
      </c>
      <c r="W15" s="13">
        <f t="shared" si="2"/>
        <v>2.7499999999999991</v>
      </c>
      <c r="X15" s="13">
        <f t="shared" si="2"/>
        <v>2.899999999999999</v>
      </c>
      <c r="Y15" s="13">
        <f t="shared" si="2"/>
        <v>3.0499999999999989</v>
      </c>
      <c r="Z15" s="13">
        <f t="shared" si="2"/>
        <v>3.1999999999999988</v>
      </c>
      <c r="AA15" s="13">
        <f t="shared" si="2"/>
        <v>3.3499999999999988</v>
      </c>
      <c r="AB15" s="13">
        <f t="shared" si="2"/>
        <v>3.4999999999999987</v>
      </c>
      <c r="AC15" s="13">
        <f t="shared" si="2"/>
        <v>3.6499999999999986</v>
      </c>
      <c r="AD15" s="13">
        <f t="shared" si="2"/>
        <v>3.7999999999999985</v>
      </c>
      <c r="AE15" s="13">
        <f t="shared" si="2"/>
        <v>3.9499999999999984</v>
      </c>
      <c r="AF15" s="13">
        <f t="shared" si="2"/>
        <v>4.0999999999999988</v>
      </c>
      <c r="AG15" s="13">
        <f t="shared" si="2"/>
        <v>4.2499999999999991</v>
      </c>
    </row>
    <row r="16" spans="1:33" x14ac:dyDescent="0.3">
      <c r="A16" s="1" t="s">
        <v>14</v>
      </c>
      <c r="B16" s="11">
        <v>0</v>
      </c>
      <c r="C16" s="11">
        <v>0</v>
      </c>
      <c r="D16" s="11">
        <v>0</v>
      </c>
      <c r="E16" s="13">
        <v>0.05</v>
      </c>
      <c r="F16" s="13">
        <f t="shared" si="1"/>
        <v>0.2</v>
      </c>
      <c r="G16" s="13">
        <f t="shared" si="2"/>
        <v>0.35</v>
      </c>
      <c r="H16" s="13">
        <f t="shared" si="2"/>
        <v>0.5</v>
      </c>
      <c r="I16" s="13">
        <f t="shared" si="2"/>
        <v>0.65</v>
      </c>
      <c r="J16" s="13">
        <f t="shared" si="2"/>
        <v>0.8</v>
      </c>
      <c r="K16" s="13">
        <f t="shared" si="2"/>
        <v>0.95000000000000007</v>
      </c>
      <c r="L16" s="13">
        <f t="shared" si="2"/>
        <v>1.1000000000000001</v>
      </c>
      <c r="M16" s="13">
        <f t="shared" si="2"/>
        <v>1.25</v>
      </c>
      <c r="N16" s="13">
        <f t="shared" si="2"/>
        <v>1.4</v>
      </c>
      <c r="O16" s="13">
        <f t="shared" si="2"/>
        <v>1.5499999999999998</v>
      </c>
      <c r="P16" s="13">
        <f t="shared" si="2"/>
        <v>1.6999999999999997</v>
      </c>
      <c r="Q16" s="13">
        <f t="shared" si="2"/>
        <v>1.8499999999999996</v>
      </c>
      <c r="R16" s="13">
        <f t="shared" si="2"/>
        <v>1.9999999999999996</v>
      </c>
      <c r="S16" s="13">
        <f t="shared" si="2"/>
        <v>2.1499999999999995</v>
      </c>
      <c r="T16" s="13">
        <f t="shared" si="2"/>
        <v>2.2999999999999994</v>
      </c>
      <c r="U16" s="13">
        <f t="shared" si="2"/>
        <v>2.4499999999999993</v>
      </c>
      <c r="V16" s="13">
        <f t="shared" si="2"/>
        <v>2.5999999999999992</v>
      </c>
      <c r="W16" s="13">
        <f t="shared" si="2"/>
        <v>2.7499999999999991</v>
      </c>
      <c r="X16" s="13">
        <f t="shared" si="2"/>
        <v>2.899999999999999</v>
      </c>
      <c r="Y16" s="13">
        <f t="shared" si="2"/>
        <v>3.0499999999999989</v>
      </c>
      <c r="Z16" s="13">
        <f t="shared" si="2"/>
        <v>3.1999999999999988</v>
      </c>
      <c r="AA16" s="13">
        <f t="shared" si="2"/>
        <v>3.3499999999999988</v>
      </c>
      <c r="AB16" s="13">
        <f t="shared" si="2"/>
        <v>3.4999999999999987</v>
      </c>
      <c r="AC16" s="13">
        <f t="shared" si="2"/>
        <v>3.6499999999999986</v>
      </c>
      <c r="AD16" s="13">
        <f t="shared" si="2"/>
        <v>3.7999999999999985</v>
      </c>
      <c r="AE16" s="13">
        <f t="shared" si="2"/>
        <v>3.9499999999999984</v>
      </c>
      <c r="AF16" s="13">
        <f t="shared" si="2"/>
        <v>4.0999999999999988</v>
      </c>
      <c r="AG16" s="13">
        <f t="shared" si="2"/>
        <v>4.2499999999999991</v>
      </c>
    </row>
    <row r="17" spans="1:33" x14ac:dyDescent="0.3">
      <c r="A17" s="1" t="s">
        <v>15</v>
      </c>
      <c r="B17" s="12">
        <v>0</v>
      </c>
      <c r="C17" s="12">
        <v>0</v>
      </c>
      <c r="D17" s="12">
        <v>0</v>
      </c>
      <c r="E17" s="13">
        <v>0.05</v>
      </c>
      <c r="F17" s="13">
        <f t="shared" si="1"/>
        <v>0.2</v>
      </c>
      <c r="G17" s="13">
        <f t="shared" si="2"/>
        <v>0.35</v>
      </c>
      <c r="H17" s="13">
        <f t="shared" si="2"/>
        <v>0.5</v>
      </c>
      <c r="I17" s="13">
        <f t="shared" si="2"/>
        <v>0.65</v>
      </c>
      <c r="J17" s="13">
        <f t="shared" si="2"/>
        <v>0.8</v>
      </c>
      <c r="K17" s="13">
        <f t="shared" si="2"/>
        <v>0.95000000000000007</v>
      </c>
      <c r="L17" s="13">
        <f t="shared" si="2"/>
        <v>1.1000000000000001</v>
      </c>
      <c r="M17" s="13">
        <f t="shared" si="2"/>
        <v>1.25</v>
      </c>
      <c r="N17" s="13">
        <f t="shared" si="2"/>
        <v>1.4</v>
      </c>
      <c r="O17" s="13">
        <f t="shared" si="2"/>
        <v>1.5499999999999998</v>
      </c>
      <c r="P17" s="13">
        <f t="shared" si="2"/>
        <v>1.6999999999999997</v>
      </c>
      <c r="Q17" s="13">
        <f t="shared" si="2"/>
        <v>1.8499999999999996</v>
      </c>
      <c r="R17" s="13">
        <f t="shared" si="2"/>
        <v>1.9999999999999996</v>
      </c>
      <c r="S17" s="13">
        <f t="shared" si="2"/>
        <v>2.1499999999999995</v>
      </c>
      <c r="T17" s="13">
        <f t="shared" si="2"/>
        <v>2.2999999999999994</v>
      </c>
      <c r="U17" s="13">
        <f t="shared" si="2"/>
        <v>2.4499999999999993</v>
      </c>
      <c r="V17" s="13">
        <f t="shared" si="2"/>
        <v>2.5999999999999992</v>
      </c>
      <c r="W17" s="13">
        <f t="shared" si="2"/>
        <v>2.7499999999999991</v>
      </c>
      <c r="X17" s="13">
        <f t="shared" si="2"/>
        <v>2.899999999999999</v>
      </c>
      <c r="Y17" s="13">
        <f t="shared" si="2"/>
        <v>3.0499999999999989</v>
      </c>
      <c r="Z17" s="13">
        <f t="shared" si="2"/>
        <v>3.1999999999999988</v>
      </c>
      <c r="AA17" s="13">
        <f t="shared" si="2"/>
        <v>3.3499999999999988</v>
      </c>
      <c r="AB17" s="13">
        <f t="shared" si="2"/>
        <v>3.4999999999999987</v>
      </c>
      <c r="AC17" s="13">
        <f t="shared" si="2"/>
        <v>3.6499999999999986</v>
      </c>
      <c r="AD17" s="13">
        <f t="shared" si="2"/>
        <v>3.7999999999999985</v>
      </c>
      <c r="AE17" s="13">
        <f t="shared" si="2"/>
        <v>3.9499999999999984</v>
      </c>
      <c r="AF17" s="13">
        <f t="shared" si="2"/>
        <v>4.0999999999999988</v>
      </c>
      <c r="AG17" s="13">
        <f t="shared" si="2"/>
        <v>4.2499999999999991</v>
      </c>
    </row>
    <row r="18" spans="1:33" x14ac:dyDescent="0.3">
      <c r="A18" s="1" t="s">
        <v>16</v>
      </c>
      <c r="B18" s="11">
        <v>0</v>
      </c>
      <c r="C18" s="11">
        <v>0</v>
      </c>
      <c r="D18" s="11">
        <v>0</v>
      </c>
      <c r="E18" s="13">
        <v>0.05</v>
      </c>
      <c r="F18" s="13">
        <f t="shared" si="1"/>
        <v>0.2</v>
      </c>
      <c r="G18" s="13">
        <f t="shared" si="2"/>
        <v>0.35</v>
      </c>
      <c r="H18" s="13">
        <f t="shared" si="2"/>
        <v>0.5</v>
      </c>
      <c r="I18" s="13">
        <f t="shared" si="2"/>
        <v>0.65</v>
      </c>
      <c r="J18" s="13">
        <f t="shared" si="2"/>
        <v>0.8</v>
      </c>
      <c r="K18" s="13">
        <f t="shared" si="2"/>
        <v>0.95000000000000007</v>
      </c>
      <c r="L18" s="13">
        <f t="shared" si="2"/>
        <v>1.1000000000000001</v>
      </c>
      <c r="M18" s="13">
        <f t="shared" si="2"/>
        <v>1.25</v>
      </c>
      <c r="N18" s="13">
        <f t="shared" si="2"/>
        <v>1.4</v>
      </c>
      <c r="O18" s="13">
        <f t="shared" si="2"/>
        <v>1.5499999999999998</v>
      </c>
      <c r="P18" s="13">
        <f t="shared" si="2"/>
        <v>1.6999999999999997</v>
      </c>
      <c r="Q18" s="13">
        <f t="shared" si="2"/>
        <v>1.8499999999999996</v>
      </c>
      <c r="R18" s="13">
        <f t="shared" si="2"/>
        <v>1.9999999999999996</v>
      </c>
      <c r="S18" s="13">
        <f t="shared" si="2"/>
        <v>2.1499999999999995</v>
      </c>
      <c r="T18" s="13">
        <f t="shared" si="2"/>
        <v>2.2999999999999994</v>
      </c>
      <c r="U18" s="13">
        <f t="shared" si="2"/>
        <v>2.4499999999999993</v>
      </c>
      <c r="V18" s="13">
        <f t="shared" si="2"/>
        <v>2.5999999999999992</v>
      </c>
      <c r="W18" s="13">
        <f t="shared" si="2"/>
        <v>2.7499999999999991</v>
      </c>
      <c r="X18" s="13">
        <f t="shared" si="2"/>
        <v>2.899999999999999</v>
      </c>
      <c r="Y18" s="13">
        <f t="shared" si="2"/>
        <v>3.0499999999999989</v>
      </c>
      <c r="Z18" s="13">
        <f t="shared" si="2"/>
        <v>3.1999999999999988</v>
      </c>
      <c r="AA18" s="13">
        <f t="shared" si="2"/>
        <v>3.3499999999999988</v>
      </c>
      <c r="AB18" s="13">
        <f t="shared" si="2"/>
        <v>3.4999999999999987</v>
      </c>
      <c r="AC18" s="13">
        <f t="shared" si="2"/>
        <v>3.6499999999999986</v>
      </c>
      <c r="AD18" s="13">
        <f t="shared" si="2"/>
        <v>3.7999999999999985</v>
      </c>
      <c r="AE18" s="13">
        <f t="shared" si="2"/>
        <v>3.9499999999999984</v>
      </c>
      <c r="AF18" s="13">
        <f t="shared" si="2"/>
        <v>4.0999999999999988</v>
      </c>
      <c r="AG18" s="13">
        <f t="shared" si="2"/>
        <v>4.2499999999999991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2D2D-5736-4639-9315-A9C245758862}">
  <dimension ref="A1:AG18"/>
  <sheetViews>
    <sheetView topLeftCell="L1" workbookViewId="0">
      <selection activeCell="X21" sqref="X21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1">
        <v>0</v>
      </c>
      <c r="C2" s="11">
        <v>0</v>
      </c>
      <c r="D2" s="11">
        <v>0</v>
      </c>
      <c r="E2" s="13">
        <v>0.05</v>
      </c>
      <c r="F2" s="13">
        <f>E2+0.2</f>
        <v>0.25</v>
      </c>
      <c r="G2" s="13">
        <f t="shared" ref="G2:AG2" si="0">F2+0.2</f>
        <v>0.45</v>
      </c>
      <c r="H2" s="13">
        <f t="shared" si="0"/>
        <v>0.65</v>
      </c>
      <c r="I2" s="13">
        <f t="shared" si="0"/>
        <v>0.85000000000000009</v>
      </c>
      <c r="J2" s="13">
        <f t="shared" si="0"/>
        <v>1.05</v>
      </c>
      <c r="K2" s="13">
        <f t="shared" si="0"/>
        <v>1.25</v>
      </c>
      <c r="L2" s="13">
        <f t="shared" si="0"/>
        <v>1.45</v>
      </c>
      <c r="M2" s="13">
        <f t="shared" si="0"/>
        <v>1.65</v>
      </c>
      <c r="N2" s="13">
        <f t="shared" si="0"/>
        <v>1.8499999999999999</v>
      </c>
      <c r="O2" s="13">
        <f t="shared" si="0"/>
        <v>2.0499999999999998</v>
      </c>
      <c r="P2" s="13">
        <f t="shared" si="0"/>
        <v>2.25</v>
      </c>
      <c r="Q2" s="13">
        <f t="shared" si="0"/>
        <v>2.4500000000000002</v>
      </c>
      <c r="R2" s="13">
        <f t="shared" si="0"/>
        <v>2.6500000000000004</v>
      </c>
      <c r="S2" s="13">
        <f t="shared" si="0"/>
        <v>2.8500000000000005</v>
      </c>
      <c r="T2" s="13">
        <f t="shared" si="0"/>
        <v>3.0500000000000007</v>
      </c>
      <c r="U2" s="13">
        <f t="shared" si="0"/>
        <v>3.2500000000000009</v>
      </c>
      <c r="V2" s="13">
        <f t="shared" si="0"/>
        <v>3.4500000000000011</v>
      </c>
      <c r="W2" s="13">
        <f t="shared" si="0"/>
        <v>3.6500000000000012</v>
      </c>
      <c r="X2" s="13">
        <f t="shared" si="0"/>
        <v>3.8500000000000014</v>
      </c>
      <c r="Y2" s="13">
        <f t="shared" si="0"/>
        <v>4.0500000000000016</v>
      </c>
      <c r="Z2" s="13">
        <f t="shared" si="0"/>
        <v>4.2500000000000018</v>
      </c>
      <c r="AA2" s="13">
        <f t="shared" si="0"/>
        <v>4.450000000000002</v>
      </c>
      <c r="AB2" s="13">
        <f t="shared" si="0"/>
        <v>4.6500000000000021</v>
      </c>
      <c r="AC2" s="13">
        <f t="shared" si="0"/>
        <v>4.8500000000000023</v>
      </c>
      <c r="AD2" s="13">
        <f t="shared" si="0"/>
        <v>5.0500000000000025</v>
      </c>
      <c r="AE2" s="13">
        <f t="shared" si="0"/>
        <v>5.2500000000000027</v>
      </c>
      <c r="AF2" s="13">
        <f t="shared" si="0"/>
        <v>5.4500000000000028</v>
      </c>
      <c r="AG2" s="13">
        <f t="shared" si="0"/>
        <v>5.650000000000003</v>
      </c>
    </row>
    <row r="3" spans="1:33" x14ac:dyDescent="0.3">
      <c r="A3" s="1" t="s">
        <v>1</v>
      </c>
      <c r="B3" s="12">
        <v>0</v>
      </c>
      <c r="C3" s="12">
        <v>0</v>
      </c>
      <c r="D3" s="12">
        <v>0</v>
      </c>
      <c r="E3" s="13">
        <v>0.05</v>
      </c>
      <c r="F3" s="13">
        <f t="shared" ref="F3:AG3" si="1">E3+0.2</f>
        <v>0.25</v>
      </c>
      <c r="G3" s="13">
        <f t="shared" si="1"/>
        <v>0.45</v>
      </c>
      <c r="H3" s="13">
        <f t="shared" si="1"/>
        <v>0.65</v>
      </c>
      <c r="I3" s="13">
        <f t="shared" si="1"/>
        <v>0.85000000000000009</v>
      </c>
      <c r="J3" s="13">
        <f t="shared" si="1"/>
        <v>1.05</v>
      </c>
      <c r="K3" s="13">
        <f t="shared" si="1"/>
        <v>1.25</v>
      </c>
      <c r="L3" s="13">
        <f t="shared" si="1"/>
        <v>1.45</v>
      </c>
      <c r="M3" s="13">
        <f t="shared" si="1"/>
        <v>1.65</v>
      </c>
      <c r="N3" s="13">
        <f t="shared" si="1"/>
        <v>1.8499999999999999</v>
      </c>
      <c r="O3" s="13">
        <f t="shared" si="1"/>
        <v>2.0499999999999998</v>
      </c>
      <c r="P3" s="13">
        <f t="shared" si="1"/>
        <v>2.25</v>
      </c>
      <c r="Q3" s="13">
        <f t="shared" si="1"/>
        <v>2.4500000000000002</v>
      </c>
      <c r="R3" s="13">
        <f t="shared" si="1"/>
        <v>2.6500000000000004</v>
      </c>
      <c r="S3" s="13">
        <f t="shared" si="1"/>
        <v>2.8500000000000005</v>
      </c>
      <c r="T3" s="13">
        <f t="shared" si="1"/>
        <v>3.0500000000000007</v>
      </c>
      <c r="U3" s="13">
        <f t="shared" si="1"/>
        <v>3.2500000000000009</v>
      </c>
      <c r="V3" s="13">
        <f t="shared" si="1"/>
        <v>3.4500000000000011</v>
      </c>
      <c r="W3" s="13">
        <f t="shared" si="1"/>
        <v>3.6500000000000012</v>
      </c>
      <c r="X3" s="13">
        <f t="shared" si="1"/>
        <v>3.8500000000000014</v>
      </c>
      <c r="Y3" s="13">
        <f t="shared" si="1"/>
        <v>4.0500000000000016</v>
      </c>
      <c r="Z3" s="13">
        <f t="shared" si="1"/>
        <v>4.2500000000000018</v>
      </c>
      <c r="AA3" s="13">
        <f t="shared" si="1"/>
        <v>4.450000000000002</v>
      </c>
      <c r="AB3" s="13">
        <f t="shared" si="1"/>
        <v>4.6500000000000021</v>
      </c>
      <c r="AC3" s="13">
        <f t="shared" si="1"/>
        <v>4.8500000000000023</v>
      </c>
      <c r="AD3" s="13">
        <f t="shared" si="1"/>
        <v>5.0500000000000025</v>
      </c>
      <c r="AE3" s="13">
        <f t="shared" si="1"/>
        <v>5.2500000000000027</v>
      </c>
      <c r="AF3" s="13">
        <f t="shared" si="1"/>
        <v>5.4500000000000028</v>
      </c>
      <c r="AG3" s="13">
        <f t="shared" si="1"/>
        <v>5.650000000000003</v>
      </c>
    </row>
    <row r="4" spans="1:33" x14ac:dyDescent="0.3">
      <c r="A4" s="1" t="s">
        <v>2</v>
      </c>
      <c r="B4" s="11">
        <v>0</v>
      </c>
      <c r="C4" s="11">
        <v>0</v>
      </c>
      <c r="D4" s="11">
        <v>0</v>
      </c>
      <c r="E4" s="13">
        <v>0.05</v>
      </c>
      <c r="F4" s="13">
        <f t="shared" ref="F4:AG4" si="2">E4+0.2</f>
        <v>0.25</v>
      </c>
      <c r="G4" s="13">
        <f t="shared" si="2"/>
        <v>0.45</v>
      </c>
      <c r="H4" s="13">
        <f t="shared" si="2"/>
        <v>0.65</v>
      </c>
      <c r="I4" s="13">
        <f t="shared" si="2"/>
        <v>0.85000000000000009</v>
      </c>
      <c r="J4" s="13">
        <f t="shared" si="2"/>
        <v>1.05</v>
      </c>
      <c r="K4" s="13">
        <f t="shared" si="2"/>
        <v>1.25</v>
      </c>
      <c r="L4" s="13">
        <f t="shared" si="2"/>
        <v>1.45</v>
      </c>
      <c r="M4" s="13">
        <f t="shared" si="2"/>
        <v>1.65</v>
      </c>
      <c r="N4" s="13">
        <f t="shared" si="2"/>
        <v>1.8499999999999999</v>
      </c>
      <c r="O4" s="13">
        <f t="shared" si="2"/>
        <v>2.0499999999999998</v>
      </c>
      <c r="P4" s="13">
        <f t="shared" si="2"/>
        <v>2.25</v>
      </c>
      <c r="Q4" s="13">
        <f t="shared" si="2"/>
        <v>2.4500000000000002</v>
      </c>
      <c r="R4" s="13">
        <f t="shared" si="2"/>
        <v>2.6500000000000004</v>
      </c>
      <c r="S4" s="13">
        <f t="shared" si="2"/>
        <v>2.8500000000000005</v>
      </c>
      <c r="T4" s="13">
        <f t="shared" si="2"/>
        <v>3.0500000000000007</v>
      </c>
      <c r="U4" s="13">
        <f t="shared" si="2"/>
        <v>3.2500000000000009</v>
      </c>
      <c r="V4" s="13">
        <f t="shared" si="2"/>
        <v>3.4500000000000011</v>
      </c>
      <c r="W4" s="13">
        <f t="shared" si="2"/>
        <v>3.6500000000000012</v>
      </c>
      <c r="X4" s="13">
        <f t="shared" si="2"/>
        <v>3.8500000000000014</v>
      </c>
      <c r="Y4" s="13">
        <f t="shared" si="2"/>
        <v>4.0500000000000016</v>
      </c>
      <c r="Z4" s="13">
        <f t="shared" si="2"/>
        <v>4.2500000000000018</v>
      </c>
      <c r="AA4" s="13">
        <f t="shared" si="2"/>
        <v>4.450000000000002</v>
      </c>
      <c r="AB4" s="13">
        <f t="shared" si="2"/>
        <v>4.6500000000000021</v>
      </c>
      <c r="AC4" s="13">
        <f t="shared" si="2"/>
        <v>4.8500000000000023</v>
      </c>
      <c r="AD4" s="13">
        <f t="shared" si="2"/>
        <v>5.0500000000000025</v>
      </c>
      <c r="AE4" s="13">
        <f t="shared" si="2"/>
        <v>5.2500000000000027</v>
      </c>
      <c r="AF4" s="13">
        <f t="shared" si="2"/>
        <v>5.4500000000000028</v>
      </c>
      <c r="AG4" s="13">
        <f t="shared" si="2"/>
        <v>5.650000000000003</v>
      </c>
    </row>
    <row r="5" spans="1:33" x14ac:dyDescent="0.3">
      <c r="A5" s="1" t="s">
        <v>3</v>
      </c>
      <c r="B5" s="12">
        <v>0</v>
      </c>
      <c r="C5" s="12">
        <v>0</v>
      </c>
      <c r="D5" s="12">
        <v>0</v>
      </c>
      <c r="E5" s="13">
        <v>0.05</v>
      </c>
      <c r="F5" s="13">
        <f t="shared" ref="F5:AG5" si="3">E5+0.2</f>
        <v>0.25</v>
      </c>
      <c r="G5" s="13">
        <f t="shared" si="3"/>
        <v>0.45</v>
      </c>
      <c r="H5" s="13">
        <f t="shared" si="3"/>
        <v>0.65</v>
      </c>
      <c r="I5" s="13">
        <f t="shared" si="3"/>
        <v>0.85000000000000009</v>
      </c>
      <c r="J5" s="13">
        <f t="shared" si="3"/>
        <v>1.05</v>
      </c>
      <c r="K5" s="13">
        <f t="shared" si="3"/>
        <v>1.25</v>
      </c>
      <c r="L5" s="13">
        <f t="shared" si="3"/>
        <v>1.45</v>
      </c>
      <c r="M5" s="13">
        <f t="shared" si="3"/>
        <v>1.65</v>
      </c>
      <c r="N5" s="13">
        <f t="shared" si="3"/>
        <v>1.8499999999999999</v>
      </c>
      <c r="O5" s="13">
        <f t="shared" si="3"/>
        <v>2.0499999999999998</v>
      </c>
      <c r="P5" s="13">
        <f t="shared" si="3"/>
        <v>2.25</v>
      </c>
      <c r="Q5" s="13">
        <f t="shared" si="3"/>
        <v>2.4500000000000002</v>
      </c>
      <c r="R5" s="13">
        <f t="shared" si="3"/>
        <v>2.6500000000000004</v>
      </c>
      <c r="S5" s="13">
        <f t="shared" si="3"/>
        <v>2.8500000000000005</v>
      </c>
      <c r="T5" s="13">
        <f t="shared" si="3"/>
        <v>3.0500000000000007</v>
      </c>
      <c r="U5" s="13">
        <f t="shared" si="3"/>
        <v>3.2500000000000009</v>
      </c>
      <c r="V5" s="13">
        <f t="shared" si="3"/>
        <v>3.4500000000000011</v>
      </c>
      <c r="W5" s="13">
        <f t="shared" si="3"/>
        <v>3.6500000000000012</v>
      </c>
      <c r="X5" s="13">
        <f t="shared" si="3"/>
        <v>3.8500000000000014</v>
      </c>
      <c r="Y5" s="13">
        <f t="shared" si="3"/>
        <v>4.0500000000000016</v>
      </c>
      <c r="Z5" s="13">
        <f t="shared" si="3"/>
        <v>4.2500000000000018</v>
      </c>
      <c r="AA5" s="13">
        <f t="shared" si="3"/>
        <v>4.450000000000002</v>
      </c>
      <c r="AB5" s="13">
        <f t="shared" si="3"/>
        <v>4.6500000000000021</v>
      </c>
      <c r="AC5" s="13">
        <f t="shared" si="3"/>
        <v>4.8500000000000023</v>
      </c>
      <c r="AD5" s="13">
        <f t="shared" si="3"/>
        <v>5.0500000000000025</v>
      </c>
      <c r="AE5" s="13">
        <f t="shared" si="3"/>
        <v>5.2500000000000027</v>
      </c>
      <c r="AF5" s="13">
        <f t="shared" si="3"/>
        <v>5.4500000000000028</v>
      </c>
      <c r="AG5" s="13">
        <f t="shared" si="3"/>
        <v>5.650000000000003</v>
      </c>
    </row>
    <row r="6" spans="1:33" x14ac:dyDescent="0.3">
      <c r="A6" s="1" t="s">
        <v>4</v>
      </c>
      <c r="B6" s="11">
        <v>0</v>
      </c>
      <c r="C6" s="11">
        <v>0</v>
      </c>
      <c r="D6" s="11">
        <v>0</v>
      </c>
      <c r="E6" s="13">
        <v>0.05</v>
      </c>
      <c r="F6" s="13">
        <f t="shared" ref="F6:AG6" si="4">E6+0.2</f>
        <v>0.25</v>
      </c>
      <c r="G6" s="13">
        <f t="shared" si="4"/>
        <v>0.45</v>
      </c>
      <c r="H6" s="13">
        <f t="shared" si="4"/>
        <v>0.65</v>
      </c>
      <c r="I6" s="13">
        <f t="shared" si="4"/>
        <v>0.85000000000000009</v>
      </c>
      <c r="J6" s="13">
        <f t="shared" si="4"/>
        <v>1.05</v>
      </c>
      <c r="K6" s="13">
        <f t="shared" si="4"/>
        <v>1.25</v>
      </c>
      <c r="L6" s="13">
        <f t="shared" si="4"/>
        <v>1.45</v>
      </c>
      <c r="M6" s="13">
        <f t="shared" si="4"/>
        <v>1.65</v>
      </c>
      <c r="N6" s="13">
        <f t="shared" si="4"/>
        <v>1.8499999999999999</v>
      </c>
      <c r="O6" s="13">
        <f t="shared" si="4"/>
        <v>2.0499999999999998</v>
      </c>
      <c r="P6" s="13">
        <f t="shared" si="4"/>
        <v>2.25</v>
      </c>
      <c r="Q6" s="13">
        <f t="shared" si="4"/>
        <v>2.4500000000000002</v>
      </c>
      <c r="R6" s="13">
        <f t="shared" si="4"/>
        <v>2.6500000000000004</v>
      </c>
      <c r="S6" s="13">
        <f t="shared" si="4"/>
        <v>2.8500000000000005</v>
      </c>
      <c r="T6" s="13">
        <f t="shared" si="4"/>
        <v>3.0500000000000007</v>
      </c>
      <c r="U6" s="13">
        <f t="shared" si="4"/>
        <v>3.2500000000000009</v>
      </c>
      <c r="V6" s="13">
        <f t="shared" si="4"/>
        <v>3.4500000000000011</v>
      </c>
      <c r="W6" s="13">
        <f t="shared" si="4"/>
        <v>3.6500000000000012</v>
      </c>
      <c r="X6" s="13">
        <f t="shared" si="4"/>
        <v>3.8500000000000014</v>
      </c>
      <c r="Y6" s="13">
        <f t="shared" si="4"/>
        <v>4.0500000000000016</v>
      </c>
      <c r="Z6" s="13">
        <f t="shared" si="4"/>
        <v>4.2500000000000018</v>
      </c>
      <c r="AA6" s="13">
        <f t="shared" si="4"/>
        <v>4.450000000000002</v>
      </c>
      <c r="AB6" s="13">
        <f t="shared" si="4"/>
        <v>4.6500000000000021</v>
      </c>
      <c r="AC6" s="13">
        <f t="shared" si="4"/>
        <v>4.8500000000000023</v>
      </c>
      <c r="AD6" s="13">
        <f t="shared" si="4"/>
        <v>5.0500000000000025</v>
      </c>
      <c r="AE6" s="13">
        <f t="shared" si="4"/>
        <v>5.2500000000000027</v>
      </c>
      <c r="AF6" s="13">
        <f t="shared" si="4"/>
        <v>5.4500000000000028</v>
      </c>
      <c r="AG6" s="13">
        <f t="shared" si="4"/>
        <v>5.650000000000003</v>
      </c>
    </row>
    <row r="7" spans="1:33" x14ac:dyDescent="0.3">
      <c r="A7" s="1" t="s">
        <v>5</v>
      </c>
      <c r="B7" s="12">
        <v>0</v>
      </c>
      <c r="C7" s="12">
        <v>0</v>
      </c>
      <c r="D7" s="12">
        <v>0</v>
      </c>
      <c r="E7" s="13">
        <v>0.05</v>
      </c>
      <c r="F7" s="13">
        <f t="shared" ref="F7:AG7" si="5">E7+0.2</f>
        <v>0.25</v>
      </c>
      <c r="G7" s="13">
        <f t="shared" si="5"/>
        <v>0.45</v>
      </c>
      <c r="H7" s="13">
        <f t="shared" si="5"/>
        <v>0.65</v>
      </c>
      <c r="I7" s="13">
        <f t="shared" si="5"/>
        <v>0.85000000000000009</v>
      </c>
      <c r="J7" s="13">
        <f t="shared" si="5"/>
        <v>1.05</v>
      </c>
      <c r="K7" s="13">
        <f t="shared" si="5"/>
        <v>1.25</v>
      </c>
      <c r="L7" s="13">
        <f t="shared" si="5"/>
        <v>1.45</v>
      </c>
      <c r="M7" s="13">
        <f t="shared" si="5"/>
        <v>1.65</v>
      </c>
      <c r="N7" s="13">
        <f t="shared" si="5"/>
        <v>1.8499999999999999</v>
      </c>
      <c r="O7" s="13">
        <f t="shared" si="5"/>
        <v>2.0499999999999998</v>
      </c>
      <c r="P7" s="13">
        <f t="shared" si="5"/>
        <v>2.25</v>
      </c>
      <c r="Q7" s="13">
        <f t="shared" si="5"/>
        <v>2.4500000000000002</v>
      </c>
      <c r="R7" s="13">
        <f t="shared" si="5"/>
        <v>2.6500000000000004</v>
      </c>
      <c r="S7" s="13">
        <f t="shared" si="5"/>
        <v>2.8500000000000005</v>
      </c>
      <c r="T7" s="13">
        <f t="shared" si="5"/>
        <v>3.0500000000000007</v>
      </c>
      <c r="U7" s="13">
        <f t="shared" si="5"/>
        <v>3.2500000000000009</v>
      </c>
      <c r="V7" s="13">
        <f t="shared" si="5"/>
        <v>3.4500000000000011</v>
      </c>
      <c r="W7" s="13">
        <f t="shared" si="5"/>
        <v>3.6500000000000012</v>
      </c>
      <c r="X7" s="13">
        <f t="shared" si="5"/>
        <v>3.8500000000000014</v>
      </c>
      <c r="Y7" s="13">
        <f t="shared" si="5"/>
        <v>4.0500000000000016</v>
      </c>
      <c r="Z7" s="13">
        <f t="shared" si="5"/>
        <v>4.2500000000000018</v>
      </c>
      <c r="AA7" s="13">
        <f t="shared" si="5"/>
        <v>4.450000000000002</v>
      </c>
      <c r="AB7" s="13">
        <f t="shared" si="5"/>
        <v>4.6500000000000021</v>
      </c>
      <c r="AC7" s="13">
        <f t="shared" si="5"/>
        <v>4.8500000000000023</v>
      </c>
      <c r="AD7" s="13">
        <f t="shared" si="5"/>
        <v>5.0500000000000025</v>
      </c>
      <c r="AE7" s="13">
        <f t="shared" si="5"/>
        <v>5.2500000000000027</v>
      </c>
      <c r="AF7" s="13">
        <f t="shared" si="5"/>
        <v>5.4500000000000028</v>
      </c>
      <c r="AG7" s="13">
        <f t="shared" si="5"/>
        <v>5.650000000000003</v>
      </c>
    </row>
    <row r="8" spans="1:33" x14ac:dyDescent="0.3">
      <c r="A8" s="1" t="s">
        <v>6</v>
      </c>
      <c r="B8" s="11">
        <v>0</v>
      </c>
      <c r="C8" s="11">
        <v>0</v>
      </c>
      <c r="D8" s="11">
        <v>0</v>
      </c>
      <c r="E8" s="13">
        <v>0.05</v>
      </c>
      <c r="F8" s="13">
        <f t="shared" ref="F8:AG8" si="6">E8+0.2</f>
        <v>0.25</v>
      </c>
      <c r="G8" s="13">
        <f t="shared" si="6"/>
        <v>0.45</v>
      </c>
      <c r="H8" s="13">
        <f t="shared" si="6"/>
        <v>0.65</v>
      </c>
      <c r="I8" s="13">
        <f t="shared" si="6"/>
        <v>0.85000000000000009</v>
      </c>
      <c r="J8" s="13">
        <f t="shared" si="6"/>
        <v>1.05</v>
      </c>
      <c r="K8" s="13">
        <f t="shared" si="6"/>
        <v>1.25</v>
      </c>
      <c r="L8" s="13">
        <f t="shared" si="6"/>
        <v>1.45</v>
      </c>
      <c r="M8" s="13">
        <f t="shared" si="6"/>
        <v>1.65</v>
      </c>
      <c r="N8" s="13">
        <f t="shared" si="6"/>
        <v>1.8499999999999999</v>
      </c>
      <c r="O8" s="13">
        <f t="shared" si="6"/>
        <v>2.0499999999999998</v>
      </c>
      <c r="P8" s="13">
        <f t="shared" si="6"/>
        <v>2.25</v>
      </c>
      <c r="Q8" s="13">
        <f t="shared" si="6"/>
        <v>2.4500000000000002</v>
      </c>
      <c r="R8" s="13">
        <f t="shared" si="6"/>
        <v>2.6500000000000004</v>
      </c>
      <c r="S8" s="13">
        <f t="shared" si="6"/>
        <v>2.8500000000000005</v>
      </c>
      <c r="T8" s="13">
        <f t="shared" si="6"/>
        <v>3.0500000000000007</v>
      </c>
      <c r="U8" s="13">
        <f t="shared" si="6"/>
        <v>3.2500000000000009</v>
      </c>
      <c r="V8" s="13">
        <f t="shared" si="6"/>
        <v>3.4500000000000011</v>
      </c>
      <c r="W8" s="13">
        <f t="shared" si="6"/>
        <v>3.6500000000000012</v>
      </c>
      <c r="X8" s="13">
        <f t="shared" si="6"/>
        <v>3.8500000000000014</v>
      </c>
      <c r="Y8" s="13">
        <f t="shared" si="6"/>
        <v>4.0500000000000016</v>
      </c>
      <c r="Z8" s="13">
        <f t="shared" si="6"/>
        <v>4.2500000000000018</v>
      </c>
      <c r="AA8" s="13">
        <f t="shared" si="6"/>
        <v>4.450000000000002</v>
      </c>
      <c r="AB8" s="13">
        <f t="shared" si="6"/>
        <v>4.6500000000000021</v>
      </c>
      <c r="AC8" s="13">
        <f t="shared" si="6"/>
        <v>4.8500000000000023</v>
      </c>
      <c r="AD8" s="13">
        <f t="shared" si="6"/>
        <v>5.0500000000000025</v>
      </c>
      <c r="AE8" s="13">
        <f t="shared" si="6"/>
        <v>5.2500000000000027</v>
      </c>
      <c r="AF8" s="13">
        <f t="shared" si="6"/>
        <v>5.4500000000000028</v>
      </c>
      <c r="AG8" s="13">
        <f t="shared" si="6"/>
        <v>5.650000000000003</v>
      </c>
    </row>
    <row r="9" spans="1:33" x14ac:dyDescent="0.3">
      <c r="A9" s="1" t="s">
        <v>7</v>
      </c>
      <c r="B9" s="12">
        <v>0</v>
      </c>
      <c r="C9" s="12">
        <v>0</v>
      </c>
      <c r="D9" s="12">
        <v>0</v>
      </c>
      <c r="E9" s="13">
        <v>0.05</v>
      </c>
      <c r="F9" s="13">
        <f t="shared" ref="F9:AG9" si="7">E9+0.2</f>
        <v>0.25</v>
      </c>
      <c r="G9" s="13">
        <f t="shared" si="7"/>
        <v>0.45</v>
      </c>
      <c r="H9" s="13">
        <f t="shared" si="7"/>
        <v>0.65</v>
      </c>
      <c r="I9" s="13">
        <f t="shared" si="7"/>
        <v>0.85000000000000009</v>
      </c>
      <c r="J9" s="13">
        <f t="shared" si="7"/>
        <v>1.05</v>
      </c>
      <c r="K9" s="13">
        <f t="shared" si="7"/>
        <v>1.25</v>
      </c>
      <c r="L9" s="13">
        <f t="shared" si="7"/>
        <v>1.45</v>
      </c>
      <c r="M9" s="13">
        <f t="shared" si="7"/>
        <v>1.65</v>
      </c>
      <c r="N9" s="13">
        <f t="shared" si="7"/>
        <v>1.8499999999999999</v>
      </c>
      <c r="O9" s="13">
        <f t="shared" si="7"/>
        <v>2.0499999999999998</v>
      </c>
      <c r="P9" s="13">
        <f t="shared" si="7"/>
        <v>2.25</v>
      </c>
      <c r="Q9" s="13">
        <f t="shared" si="7"/>
        <v>2.4500000000000002</v>
      </c>
      <c r="R9" s="13">
        <f t="shared" si="7"/>
        <v>2.6500000000000004</v>
      </c>
      <c r="S9" s="13">
        <f t="shared" si="7"/>
        <v>2.8500000000000005</v>
      </c>
      <c r="T9" s="13">
        <f t="shared" si="7"/>
        <v>3.0500000000000007</v>
      </c>
      <c r="U9" s="13">
        <f t="shared" si="7"/>
        <v>3.2500000000000009</v>
      </c>
      <c r="V9" s="13">
        <f t="shared" si="7"/>
        <v>3.4500000000000011</v>
      </c>
      <c r="W9" s="13">
        <f t="shared" si="7"/>
        <v>3.6500000000000012</v>
      </c>
      <c r="X9" s="13">
        <f t="shared" si="7"/>
        <v>3.8500000000000014</v>
      </c>
      <c r="Y9" s="13">
        <f t="shared" si="7"/>
        <v>4.0500000000000016</v>
      </c>
      <c r="Z9" s="13">
        <f t="shared" si="7"/>
        <v>4.2500000000000018</v>
      </c>
      <c r="AA9" s="13">
        <f t="shared" si="7"/>
        <v>4.450000000000002</v>
      </c>
      <c r="AB9" s="13">
        <f t="shared" si="7"/>
        <v>4.6500000000000021</v>
      </c>
      <c r="AC9" s="13">
        <f t="shared" si="7"/>
        <v>4.8500000000000023</v>
      </c>
      <c r="AD9" s="13">
        <f t="shared" si="7"/>
        <v>5.0500000000000025</v>
      </c>
      <c r="AE9" s="13">
        <f t="shared" si="7"/>
        <v>5.2500000000000027</v>
      </c>
      <c r="AF9" s="13">
        <f t="shared" si="7"/>
        <v>5.4500000000000028</v>
      </c>
      <c r="AG9" s="13">
        <f t="shared" si="7"/>
        <v>5.650000000000003</v>
      </c>
    </row>
    <row r="10" spans="1:33" x14ac:dyDescent="0.3">
      <c r="A10" s="1" t="s">
        <v>8</v>
      </c>
      <c r="B10" s="11">
        <v>0</v>
      </c>
      <c r="C10" s="11">
        <v>0</v>
      </c>
      <c r="D10" s="11">
        <v>0</v>
      </c>
      <c r="E10" s="13">
        <v>0.05</v>
      </c>
      <c r="F10" s="13">
        <f t="shared" ref="F10:AG10" si="8">E10+0.2</f>
        <v>0.25</v>
      </c>
      <c r="G10" s="13">
        <f t="shared" si="8"/>
        <v>0.45</v>
      </c>
      <c r="H10" s="13">
        <f t="shared" si="8"/>
        <v>0.65</v>
      </c>
      <c r="I10" s="13">
        <f t="shared" si="8"/>
        <v>0.85000000000000009</v>
      </c>
      <c r="J10" s="13">
        <f t="shared" si="8"/>
        <v>1.05</v>
      </c>
      <c r="K10" s="13">
        <f t="shared" si="8"/>
        <v>1.25</v>
      </c>
      <c r="L10" s="13">
        <f t="shared" si="8"/>
        <v>1.45</v>
      </c>
      <c r="M10" s="13">
        <f t="shared" si="8"/>
        <v>1.65</v>
      </c>
      <c r="N10" s="13">
        <f t="shared" si="8"/>
        <v>1.8499999999999999</v>
      </c>
      <c r="O10" s="13">
        <f t="shared" si="8"/>
        <v>2.0499999999999998</v>
      </c>
      <c r="P10" s="13">
        <f t="shared" si="8"/>
        <v>2.25</v>
      </c>
      <c r="Q10" s="13">
        <f t="shared" si="8"/>
        <v>2.4500000000000002</v>
      </c>
      <c r="R10" s="13">
        <f t="shared" si="8"/>
        <v>2.6500000000000004</v>
      </c>
      <c r="S10" s="13">
        <f t="shared" si="8"/>
        <v>2.8500000000000005</v>
      </c>
      <c r="T10" s="13">
        <f t="shared" si="8"/>
        <v>3.0500000000000007</v>
      </c>
      <c r="U10" s="13">
        <f t="shared" si="8"/>
        <v>3.2500000000000009</v>
      </c>
      <c r="V10" s="13">
        <f t="shared" si="8"/>
        <v>3.4500000000000011</v>
      </c>
      <c r="W10" s="13">
        <f t="shared" si="8"/>
        <v>3.6500000000000012</v>
      </c>
      <c r="X10" s="13">
        <f t="shared" si="8"/>
        <v>3.8500000000000014</v>
      </c>
      <c r="Y10" s="13">
        <f t="shared" si="8"/>
        <v>4.0500000000000016</v>
      </c>
      <c r="Z10" s="13">
        <f t="shared" si="8"/>
        <v>4.2500000000000018</v>
      </c>
      <c r="AA10" s="13">
        <f t="shared" si="8"/>
        <v>4.450000000000002</v>
      </c>
      <c r="AB10" s="13">
        <f t="shared" si="8"/>
        <v>4.6500000000000021</v>
      </c>
      <c r="AC10" s="13">
        <f t="shared" si="8"/>
        <v>4.8500000000000023</v>
      </c>
      <c r="AD10" s="13">
        <f t="shared" si="8"/>
        <v>5.0500000000000025</v>
      </c>
      <c r="AE10" s="13">
        <f t="shared" si="8"/>
        <v>5.2500000000000027</v>
      </c>
      <c r="AF10" s="13">
        <f t="shared" si="8"/>
        <v>5.4500000000000028</v>
      </c>
      <c r="AG10" s="13">
        <f t="shared" si="8"/>
        <v>5.650000000000003</v>
      </c>
    </row>
    <row r="11" spans="1:33" x14ac:dyDescent="0.3">
      <c r="A11" s="1" t="s">
        <v>9</v>
      </c>
      <c r="B11" s="12">
        <v>0</v>
      </c>
      <c r="C11" s="12">
        <v>0</v>
      </c>
      <c r="D11" s="12">
        <v>0</v>
      </c>
      <c r="E11" s="13">
        <v>0.05</v>
      </c>
      <c r="F11" s="13">
        <f t="shared" ref="F11:AG11" si="9">E11+0.2</f>
        <v>0.25</v>
      </c>
      <c r="G11" s="13">
        <f t="shared" si="9"/>
        <v>0.45</v>
      </c>
      <c r="H11" s="13">
        <f t="shared" si="9"/>
        <v>0.65</v>
      </c>
      <c r="I11" s="13">
        <f t="shared" si="9"/>
        <v>0.85000000000000009</v>
      </c>
      <c r="J11" s="13">
        <f t="shared" si="9"/>
        <v>1.05</v>
      </c>
      <c r="K11" s="13">
        <f t="shared" si="9"/>
        <v>1.25</v>
      </c>
      <c r="L11" s="13">
        <f t="shared" si="9"/>
        <v>1.45</v>
      </c>
      <c r="M11" s="13">
        <f t="shared" si="9"/>
        <v>1.65</v>
      </c>
      <c r="N11" s="13">
        <f t="shared" si="9"/>
        <v>1.8499999999999999</v>
      </c>
      <c r="O11" s="13">
        <f t="shared" si="9"/>
        <v>2.0499999999999998</v>
      </c>
      <c r="P11" s="13">
        <f t="shared" si="9"/>
        <v>2.25</v>
      </c>
      <c r="Q11" s="13">
        <f t="shared" si="9"/>
        <v>2.4500000000000002</v>
      </c>
      <c r="R11" s="13">
        <f t="shared" si="9"/>
        <v>2.6500000000000004</v>
      </c>
      <c r="S11" s="13">
        <f t="shared" si="9"/>
        <v>2.8500000000000005</v>
      </c>
      <c r="T11" s="13">
        <f t="shared" si="9"/>
        <v>3.0500000000000007</v>
      </c>
      <c r="U11" s="13">
        <f t="shared" si="9"/>
        <v>3.2500000000000009</v>
      </c>
      <c r="V11" s="13">
        <f t="shared" si="9"/>
        <v>3.4500000000000011</v>
      </c>
      <c r="W11" s="13">
        <f t="shared" si="9"/>
        <v>3.6500000000000012</v>
      </c>
      <c r="X11" s="13">
        <f t="shared" si="9"/>
        <v>3.8500000000000014</v>
      </c>
      <c r="Y11" s="13">
        <f t="shared" si="9"/>
        <v>4.0500000000000016</v>
      </c>
      <c r="Z11" s="13">
        <f t="shared" si="9"/>
        <v>4.2500000000000018</v>
      </c>
      <c r="AA11" s="13">
        <f t="shared" si="9"/>
        <v>4.450000000000002</v>
      </c>
      <c r="AB11" s="13">
        <f t="shared" si="9"/>
        <v>4.6500000000000021</v>
      </c>
      <c r="AC11" s="13">
        <f t="shared" si="9"/>
        <v>4.8500000000000023</v>
      </c>
      <c r="AD11" s="13">
        <f t="shared" si="9"/>
        <v>5.0500000000000025</v>
      </c>
      <c r="AE11" s="13">
        <f t="shared" si="9"/>
        <v>5.2500000000000027</v>
      </c>
      <c r="AF11" s="13">
        <f t="shared" si="9"/>
        <v>5.4500000000000028</v>
      </c>
      <c r="AG11" s="13">
        <f t="shared" si="9"/>
        <v>5.650000000000003</v>
      </c>
    </row>
    <row r="12" spans="1:33" x14ac:dyDescent="0.3">
      <c r="A12" s="1" t="s">
        <v>10</v>
      </c>
      <c r="B12" s="11">
        <v>0</v>
      </c>
      <c r="C12" s="11">
        <v>0</v>
      </c>
      <c r="D12" s="11">
        <v>0</v>
      </c>
      <c r="E12" s="13">
        <v>0.05</v>
      </c>
      <c r="F12" s="13">
        <f t="shared" ref="F12:AG12" si="10">E12+0.2</f>
        <v>0.25</v>
      </c>
      <c r="G12" s="13">
        <f t="shared" si="10"/>
        <v>0.45</v>
      </c>
      <c r="H12" s="13">
        <f t="shared" si="10"/>
        <v>0.65</v>
      </c>
      <c r="I12" s="13">
        <f t="shared" si="10"/>
        <v>0.85000000000000009</v>
      </c>
      <c r="J12" s="13">
        <f t="shared" si="10"/>
        <v>1.05</v>
      </c>
      <c r="K12" s="13">
        <f t="shared" si="10"/>
        <v>1.25</v>
      </c>
      <c r="L12" s="13">
        <f t="shared" si="10"/>
        <v>1.45</v>
      </c>
      <c r="M12" s="13">
        <f t="shared" si="10"/>
        <v>1.65</v>
      </c>
      <c r="N12" s="13">
        <f t="shared" si="10"/>
        <v>1.8499999999999999</v>
      </c>
      <c r="O12" s="13">
        <f t="shared" si="10"/>
        <v>2.0499999999999998</v>
      </c>
      <c r="P12" s="13">
        <f t="shared" si="10"/>
        <v>2.25</v>
      </c>
      <c r="Q12" s="13">
        <f t="shared" si="10"/>
        <v>2.4500000000000002</v>
      </c>
      <c r="R12" s="13">
        <f t="shared" si="10"/>
        <v>2.6500000000000004</v>
      </c>
      <c r="S12" s="13">
        <f t="shared" si="10"/>
        <v>2.8500000000000005</v>
      </c>
      <c r="T12" s="13">
        <f t="shared" si="10"/>
        <v>3.0500000000000007</v>
      </c>
      <c r="U12" s="13">
        <f t="shared" si="10"/>
        <v>3.2500000000000009</v>
      </c>
      <c r="V12" s="13">
        <f t="shared" si="10"/>
        <v>3.4500000000000011</v>
      </c>
      <c r="W12" s="13">
        <f t="shared" si="10"/>
        <v>3.6500000000000012</v>
      </c>
      <c r="X12" s="13">
        <f t="shared" si="10"/>
        <v>3.8500000000000014</v>
      </c>
      <c r="Y12" s="13">
        <f t="shared" si="10"/>
        <v>4.0500000000000016</v>
      </c>
      <c r="Z12" s="13">
        <f t="shared" si="10"/>
        <v>4.2500000000000018</v>
      </c>
      <c r="AA12" s="13">
        <f t="shared" si="10"/>
        <v>4.450000000000002</v>
      </c>
      <c r="AB12" s="13">
        <f t="shared" si="10"/>
        <v>4.6500000000000021</v>
      </c>
      <c r="AC12" s="13">
        <f t="shared" si="10"/>
        <v>4.8500000000000023</v>
      </c>
      <c r="AD12" s="13">
        <f t="shared" si="10"/>
        <v>5.0500000000000025</v>
      </c>
      <c r="AE12" s="13">
        <f t="shared" si="10"/>
        <v>5.2500000000000027</v>
      </c>
      <c r="AF12" s="13">
        <f t="shared" si="10"/>
        <v>5.4500000000000028</v>
      </c>
      <c r="AG12" s="13">
        <f t="shared" si="10"/>
        <v>5.650000000000003</v>
      </c>
    </row>
    <row r="13" spans="1:33" x14ac:dyDescent="0.3">
      <c r="A13" s="1" t="s">
        <v>11</v>
      </c>
      <c r="B13" s="12">
        <v>0</v>
      </c>
      <c r="C13" s="12">
        <v>0</v>
      </c>
      <c r="D13" s="12">
        <v>0</v>
      </c>
      <c r="E13" s="13">
        <v>0.05</v>
      </c>
      <c r="F13" s="13">
        <f t="shared" ref="F13:AG13" si="11">E13+0.2</f>
        <v>0.25</v>
      </c>
      <c r="G13" s="13">
        <f t="shared" si="11"/>
        <v>0.45</v>
      </c>
      <c r="H13" s="13">
        <f t="shared" si="11"/>
        <v>0.65</v>
      </c>
      <c r="I13" s="13">
        <f t="shared" si="11"/>
        <v>0.85000000000000009</v>
      </c>
      <c r="J13" s="13">
        <f t="shared" si="11"/>
        <v>1.05</v>
      </c>
      <c r="K13" s="13">
        <f t="shared" si="11"/>
        <v>1.25</v>
      </c>
      <c r="L13" s="13">
        <f t="shared" si="11"/>
        <v>1.45</v>
      </c>
      <c r="M13" s="13">
        <f t="shared" si="11"/>
        <v>1.65</v>
      </c>
      <c r="N13" s="13">
        <f t="shared" si="11"/>
        <v>1.8499999999999999</v>
      </c>
      <c r="O13" s="13">
        <f t="shared" si="11"/>
        <v>2.0499999999999998</v>
      </c>
      <c r="P13" s="13">
        <f t="shared" si="11"/>
        <v>2.25</v>
      </c>
      <c r="Q13" s="13">
        <f t="shared" si="11"/>
        <v>2.4500000000000002</v>
      </c>
      <c r="R13" s="13">
        <f t="shared" si="11"/>
        <v>2.6500000000000004</v>
      </c>
      <c r="S13" s="13">
        <f t="shared" si="11"/>
        <v>2.8500000000000005</v>
      </c>
      <c r="T13" s="13">
        <f t="shared" si="11"/>
        <v>3.0500000000000007</v>
      </c>
      <c r="U13" s="13">
        <f t="shared" si="11"/>
        <v>3.2500000000000009</v>
      </c>
      <c r="V13" s="13">
        <f t="shared" si="11"/>
        <v>3.4500000000000011</v>
      </c>
      <c r="W13" s="13">
        <f t="shared" si="11"/>
        <v>3.6500000000000012</v>
      </c>
      <c r="X13" s="13">
        <f t="shared" si="11"/>
        <v>3.8500000000000014</v>
      </c>
      <c r="Y13" s="13">
        <f t="shared" si="11"/>
        <v>4.0500000000000016</v>
      </c>
      <c r="Z13" s="13">
        <f t="shared" si="11"/>
        <v>4.2500000000000018</v>
      </c>
      <c r="AA13" s="13">
        <f t="shared" si="11"/>
        <v>4.450000000000002</v>
      </c>
      <c r="AB13" s="13">
        <f t="shared" si="11"/>
        <v>4.6500000000000021</v>
      </c>
      <c r="AC13" s="13">
        <f t="shared" si="11"/>
        <v>4.8500000000000023</v>
      </c>
      <c r="AD13" s="13">
        <f t="shared" si="11"/>
        <v>5.0500000000000025</v>
      </c>
      <c r="AE13" s="13">
        <f t="shared" si="11"/>
        <v>5.2500000000000027</v>
      </c>
      <c r="AF13" s="13">
        <f t="shared" si="11"/>
        <v>5.4500000000000028</v>
      </c>
      <c r="AG13" s="13">
        <f t="shared" si="11"/>
        <v>5.650000000000003</v>
      </c>
    </row>
    <row r="14" spans="1:33" x14ac:dyDescent="0.3">
      <c r="A14" s="1" t="s">
        <v>12</v>
      </c>
      <c r="B14" s="11">
        <v>0</v>
      </c>
      <c r="C14" s="11">
        <v>0</v>
      </c>
      <c r="D14" s="11">
        <v>0</v>
      </c>
      <c r="E14" s="13">
        <v>0.05</v>
      </c>
      <c r="F14" s="13">
        <f t="shared" ref="F14:AG14" si="12">E14+0.2</f>
        <v>0.25</v>
      </c>
      <c r="G14" s="13">
        <f t="shared" si="12"/>
        <v>0.45</v>
      </c>
      <c r="H14" s="13">
        <f t="shared" si="12"/>
        <v>0.65</v>
      </c>
      <c r="I14" s="13">
        <f t="shared" si="12"/>
        <v>0.85000000000000009</v>
      </c>
      <c r="J14" s="13">
        <f t="shared" si="12"/>
        <v>1.05</v>
      </c>
      <c r="K14" s="13">
        <f t="shared" si="12"/>
        <v>1.25</v>
      </c>
      <c r="L14" s="13">
        <f t="shared" si="12"/>
        <v>1.45</v>
      </c>
      <c r="M14" s="13">
        <f t="shared" si="12"/>
        <v>1.65</v>
      </c>
      <c r="N14" s="13">
        <f t="shared" si="12"/>
        <v>1.8499999999999999</v>
      </c>
      <c r="O14" s="13">
        <f t="shared" si="12"/>
        <v>2.0499999999999998</v>
      </c>
      <c r="P14" s="13">
        <f t="shared" si="12"/>
        <v>2.25</v>
      </c>
      <c r="Q14" s="13">
        <f t="shared" si="12"/>
        <v>2.4500000000000002</v>
      </c>
      <c r="R14" s="13">
        <f t="shared" si="12"/>
        <v>2.6500000000000004</v>
      </c>
      <c r="S14" s="13">
        <f t="shared" si="12"/>
        <v>2.8500000000000005</v>
      </c>
      <c r="T14" s="13">
        <f t="shared" si="12"/>
        <v>3.0500000000000007</v>
      </c>
      <c r="U14" s="13">
        <f t="shared" si="12"/>
        <v>3.2500000000000009</v>
      </c>
      <c r="V14" s="13">
        <f t="shared" si="12"/>
        <v>3.4500000000000011</v>
      </c>
      <c r="W14" s="13">
        <f t="shared" si="12"/>
        <v>3.6500000000000012</v>
      </c>
      <c r="X14" s="13">
        <f t="shared" si="12"/>
        <v>3.8500000000000014</v>
      </c>
      <c r="Y14" s="13">
        <f t="shared" si="12"/>
        <v>4.0500000000000016</v>
      </c>
      <c r="Z14" s="13">
        <f t="shared" si="12"/>
        <v>4.2500000000000018</v>
      </c>
      <c r="AA14" s="13">
        <f t="shared" si="12"/>
        <v>4.450000000000002</v>
      </c>
      <c r="AB14" s="13">
        <f t="shared" si="12"/>
        <v>4.6500000000000021</v>
      </c>
      <c r="AC14" s="13">
        <f t="shared" si="12"/>
        <v>4.8500000000000023</v>
      </c>
      <c r="AD14" s="13">
        <f t="shared" si="12"/>
        <v>5.0500000000000025</v>
      </c>
      <c r="AE14" s="13">
        <f t="shared" si="12"/>
        <v>5.2500000000000027</v>
      </c>
      <c r="AF14" s="13">
        <f t="shared" si="12"/>
        <v>5.4500000000000028</v>
      </c>
      <c r="AG14" s="13">
        <f t="shared" si="12"/>
        <v>5.650000000000003</v>
      </c>
    </row>
    <row r="15" spans="1:33" x14ac:dyDescent="0.3">
      <c r="A15" s="1" t="s">
        <v>13</v>
      </c>
      <c r="B15" s="12">
        <v>0</v>
      </c>
      <c r="C15" s="12">
        <v>0</v>
      </c>
      <c r="D15" s="12">
        <v>0</v>
      </c>
      <c r="E15" s="13">
        <v>0.05</v>
      </c>
      <c r="F15" s="13">
        <f t="shared" ref="F15:AG15" si="13">E15+0.2</f>
        <v>0.25</v>
      </c>
      <c r="G15" s="13">
        <f t="shared" si="13"/>
        <v>0.45</v>
      </c>
      <c r="H15" s="13">
        <f t="shared" si="13"/>
        <v>0.65</v>
      </c>
      <c r="I15" s="13">
        <f t="shared" si="13"/>
        <v>0.85000000000000009</v>
      </c>
      <c r="J15" s="13">
        <f t="shared" si="13"/>
        <v>1.05</v>
      </c>
      <c r="K15" s="13">
        <f t="shared" si="13"/>
        <v>1.25</v>
      </c>
      <c r="L15" s="13">
        <f t="shared" si="13"/>
        <v>1.45</v>
      </c>
      <c r="M15" s="13">
        <f t="shared" si="13"/>
        <v>1.65</v>
      </c>
      <c r="N15" s="13">
        <f t="shared" si="13"/>
        <v>1.8499999999999999</v>
      </c>
      <c r="O15" s="13">
        <f t="shared" si="13"/>
        <v>2.0499999999999998</v>
      </c>
      <c r="P15" s="13">
        <f t="shared" si="13"/>
        <v>2.25</v>
      </c>
      <c r="Q15" s="13">
        <f t="shared" si="13"/>
        <v>2.4500000000000002</v>
      </c>
      <c r="R15" s="13">
        <f t="shared" si="13"/>
        <v>2.6500000000000004</v>
      </c>
      <c r="S15" s="13">
        <f t="shared" si="13"/>
        <v>2.8500000000000005</v>
      </c>
      <c r="T15" s="13">
        <f t="shared" si="13"/>
        <v>3.0500000000000007</v>
      </c>
      <c r="U15" s="13">
        <f t="shared" si="13"/>
        <v>3.2500000000000009</v>
      </c>
      <c r="V15" s="13">
        <f t="shared" si="13"/>
        <v>3.4500000000000011</v>
      </c>
      <c r="W15" s="13">
        <f t="shared" si="13"/>
        <v>3.6500000000000012</v>
      </c>
      <c r="X15" s="13">
        <f t="shared" si="13"/>
        <v>3.8500000000000014</v>
      </c>
      <c r="Y15" s="13">
        <f t="shared" si="13"/>
        <v>4.0500000000000016</v>
      </c>
      <c r="Z15" s="13">
        <f t="shared" si="13"/>
        <v>4.2500000000000018</v>
      </c>
      <c r="AA15" s="13">
        <f t="shared" si="13"/>
        <v>4.450000000000002</v>
      </c>
      <c r="AB15" s="13">
        <f t="shared" si="13"/>
        <v>4.6500000000000021</v>
      </c>
      <c r="AC15" s="13">
        <f t="shared" si="13"/>
        <v>4.8500000000000023</v>
      </c>
      <c r="AD15" s="13">
        <f t="shared" si="13"/>
        <v>5.0500000000000025</v>
      </c>
      <c r="AE15" s="13">
        <f t="shared" si="13"/>
        <v>5.2500000000000027</v>
      </c>
      <c r="AF15" s="13">
        <f t="shared" si="13"/>
        <v>5.4500000000000028</v>
      </c>
      <c r="AG15" s="13">
        <f t="shared" si="13"/>
        <v>5.650000000000003</v>
      </c>
    </row>
    <row r="16" spans="1:33" x14ac:dyDescent="0.3">
      <c r="A16" s="1" t="s">
        <v>14</v>
      </c>
      <c r="B16" s="11">
        <v>0</v>
      </c>
      <c r="C16" s="11">
        <v>0</v>
      </c>
      <c r="D16" s="11">
        <v>0</v>
      </c>
      <c r="E16" s="13">
        <v>0.05</v>
      </c>
      <c r="F16" s="13">
        <f t="shared" ref="F16:AG16" si="14">E16+0.2</f>
        <v>0.25</v>
      </c>
      <c r="G16" s="13">
        <f t="shared" si="14"/>
        <v>0.45</v>
      </c>
      <c r="H16" s="13">
        <f t="shared" si="14"/>
        <v>0.65</v>
      </c>
      <c r="I16" s="13">
        <f t="shared" si="14"/>
        <v>0.85000000000000009</v>
      </c>
      <c r="J16" s="13">
        <f t="shared" si="14"/>
        <v>1.05</v>
      </c>
      <c r="K16" s="13">
        <f t="shared" si="14"/>
        <v>1.25</v>
      </c>
      <c r="L16" s="13">
        <f t="shared" si="14"/>
        <v>1.45</v>
      </c>
      <c r="M16" s="13">
        <f t="shared" si="14"/>
        <v>1.65</v>
      </c>
      <c r="N16" s="13">
        <f t="shared" si="14"/>
        <v>1.8499999999999999</v>
      </c>
      <c r="O16" s="13">
        <f t="shared" si="14"/>
        <v>2.0499999999999998</v>
      </c>
      <c r="P16" s="13">
        <f t="shared" si="14"/>
        <v>2.25</v>
      </c>
      <c r="Q16" s="13">
        <f t="shared" si="14"/>
        <v>2.4500000000000002</v>
      </c>
      <c r="R16" s="13">
        <f t="shared" si="14"/>
        <v>2.6500000000000004</v>
      </c>
      <c r="S16" s="13">
        <f t="shared" si="14"/>
        <v>2.8500000000000005</v>
      </c>
      <c r="T16" s="13">
        <f t="shared" si="14"/>
        <v>3.0500000000000007</v>
      </c>
      <c r="U16" s="13">
        <f t="shared" si="14"/>
        <v>3.2500000000000009</v>
      </c>
      <c r="V16" s="13">
        <f t="shared" si="14"/>
        <v>3.4500000000000011</v>
      </c>
      <c r="W16" s="13">
        <f t="shared" si="14"/>
        <v>3.6500000000000012</v>
      </c>
      <c r="X16" s="13">
        <f t="shared" si="14"/>
        <v>3.8500000000000014</v>
      </c>
      <c r="Y16" s="13">
        <f t="shared" si="14"/>
        <v>4.0500000000000016</v>
      </c>
      <c r="Z16" s="13">
        <f t="shared" si="14"/>
        <v>4.2500000000000018</v>
      </c>
      <c r="AA16" s="13">
        <f t="shared" si="14"/>
        <v>4.450000000000002</v>
      </c>
      <c r="AB16" s="13">
        <f t="shared" si="14"/>
        <v>4.6500000000000021</v>
      </c>
      <c r="AC16" s="13">
        <f t="shared" si="14"/>
        <v>4.8500000000000023</v>
      </c>
      <c r="AD16" s="13">
        <f t="shared" si="14"/>
        <v>5.0500000000000025</v>
      </c>
      <c r="AE16" s="13">
        <f t="shared" si="14"/>
        <v>5.2500000000000027</v>
      </c>
      <c r="AF16" s="13">
        <f t="shared" si="14"/>
        <v>5.4500000000000028</v>
      </c>
      <c r="AG16" s="13">
        <f t="shared" si="14"/>
        <v>5.650000000000003</v>
      </c>
    </row>
    <row r="17" spans="1:33" x14ac:dyDescent="0.3">
      <c r="A17" s="1" t="s">
        <v>15</v>
      </c>
      <c r="B17" s="12">
        <v>0</v>
      </c>
      <c r="C17" s="12">
        <v>0</v>
      </c>
      <c r="D17" s="12">
        <v>0</v>
      </c>
      <c r="E17" s="13">
        <v>0.05</v>
      </c>
      <c r="F17" s="13">
        <f t="shared" ref="F17:AG17" si="15">E17+0.2</f>
        <v>0.25</v>
      </c>
      <c r="G17" s="13">
        <f t="shared" si="15"/>
        <v>0.45</v>
      </c>
      <c r="H17" s="13">
        <f t="shared" si="15"/>
        <v>0.65</v>
      </c>
      <c r="I17" s="13">
        <f t="shared" si="15"/>
        <v>0.85000000000000009</v>
      </c>
      <c r="J17" s="13">
        <f t="shared" si="15"/>
        <v>1.05</v>
      </c>
      <c r="K17" s="13">
        <f t="shared" si="15"/>
        <v>1.25</v>
      </c>
      <c r="L17" s="13">
        <f t="shared" si="15"/>
        <v>1.45</v>
      </c>
      <c r="M17" s="13">
        <f t="shared" si="15"/>
        <v>1.65</v>
      </c>
      <c r="N17" s="13">
        <f t="shared" si="15"/>
        <v>1.8499999999999999</v>
      </c>
      <c r="O17" s="13">
        <f t="shared" si="15"/>
        <v>2.0499999999999998</v>
      </c>
      <c r="P17" s="13">
        <f t="shared" si="15"/>
        <v>2.25</v>
      </c>
      <c r="Q17" s="13">
        <f t="shared" si="15"/>
        <v>2.4500000000000002</v>
      </c>
      <c r="R17" s="13">
        <f t="shared" si="15"/>
        <v>2.6500000000000004</v>
      </c>
      <c r="S17" s="13">
        <f t="shared" si="15"/>
        <v>2.8500000000000005</v>
      </c>
      <c r="T17" s="13">
        <f t="shared" si="15"/>
        <v>3.0500000000000007</v>
      </c>
      <c r="U17" s="13">
        <f t="shared" si="15"/>
        <v>3.2500000000000009</v>
      </c>
      <c r="V17" s="13">
        <f t="shared" si="15"/>
        <v>3.4500000000000011</v>
      </c>
      <c r="W17" s="13">
        <f t="shared" si="15"/>
        <v>3.6500000000000012</v>
      </c>
      <c r="X17" s="13">
        <f t="shared" si="15"/>
        <v>3.8500000000000014</v>
      </c>
      <c r="Y17" s="13">
        <f t="shared" si="15"/>
        <v>4.0500000000000016</v>
      </c>
      <c r="Z17" s="13">
        <f t="shared" si="15"/>
        <v>4.2500000000000018</v>
      </c>
      <c r="AA17" s="13">
        <f t="shared" si="15"/>
        <v>4.450000000000002</v>
      </c>
      <c r="AB17" s="13">
        <f t="shared" si="15"/>
        <v>4.6500000000000021</v>
      </c>
      <c r="AC17" s="13">
        <f t="shared" si="15"/>
        <v>4.8500000000000023</v>
      </c>
      <c r="AD17" s="13">
        <f t="shared" si="15"/>
        <v>5.0500000000000025</v>
      </c>
      <c r="AE17" s="13">
        <f t="shared" si="15"/>
        <v>5.2500000000000027</v>
      </c>
      <c r="AF17" s="13">
        <f t="shared" si="15"/>
        <v>5.4500000000000028</v>
      </c>
      <c r="AG17" s="13">
        <f t="shared" si="15"/>
        <v>5.650000000000003</v>
      </c>
    </row>
    <row r="18" spans="1:33" x14ac:dyDescent="0.3">
      <c r="A18" s="1" t="s">
        <v>16</v>
      </c>
      <c r="B18" s="11">
        <v>0</v>
      </c>
      <c r="C18" s="11">
        <v>0</v>
      </c>
      <c r="D18" s="11">
        <v>0</v>
      </c>
      <c r="E18" s="13">
        <v>0.05</v>
      </c>
      <c r="F18" s="13">
        <f t="shared" ref="F18:AG18" si="16">E18+0.2</f>
        <v>0.25</v>
      </c>
      <c r="G18" s="13">
        <f t="shared" si="16"/>
        <v>0.45</v>
      </c>
      <c r="H18" s="13">
        <f t="shared" si="16"/>
        <v>0.65</v>
      </c>
      <c r="I18" s="13">
        <f t="shared" si="16"/>
        <v>0.85000000000000009</v>
      </c>
      <c r="J18" s="13">
        <f t="shared" si="16"/>
        <v>1.05</v>
      </c>
      <c r="K18" s="13">
        <f t="shared" si="16"/>
        <v>1.25</v>
      </c>
      <c r="L18" s="13">
        <f t="shared" si="16"/>
        <v>1.45</v>
      </c>
      <c r="M18" s="13">
        <f t="shared" si="16"/>
        <v>1.65</v>
      </c>
      <c r="N18" s="13">
        <f t="shared" si="16"/>
        <v>1.8499999999999999</v>
      </c>
      <c r="O18" s="13">
        <f t="shared" si="16"/>
        <v>2.0499999999999998</v>
      </c>
      <c r="P18" s="13">
        <f t="shared" si="16"/>
        <v>2.25</v>
      </c>
      <c r="Q18" s="13">
        <f t="shared" si="16"/>
        <v>2.4500000000000002</v>
      </c>
      <c r="R18" s="13">
        <f t="shared" si="16"/>
        <v>2.6500000000000004</v>
      </c>
      <c r="S18" s="13">
        <f t="shared" si="16"/>
        <v>2.8500000000000005</v>
      </c>
      <c r="T18" s="13">
        <f t="shared" si="16"/>
        <v>3.0500000000000007</v>
      </c>
      <c r="U18" s="13">
        <f t="shared" si="16"/>
        <v>3.2500000000000009</v>
      </c>
      <c r="V18" s="13">
        <f t="shared" si="16"/>
        <v>3.4500000000000011</v>
      </c>
      <c r="W18" s="13">
        <f t="shared" si="16"/>
        <v>3.6500000000000012</v>
      </c>
      <c r="X18" s="13">
        <f t="shared" si="16"/>
        <v>3.8500000000000014</v>
      </c>
      <c r="Y18" s="13">
        <f t="shared" si="16"/>
        <v>4.0500000000000016</v>
      </c>
      <c r="Z18" s="13">
        <f t="shared" si="16"/>
        <v>4.2500000000000018</v>
      </c>
      <c r="AA18" s="13">
        <f t="shared" si="16"/>
        <v>4.450000000000002</v>
      </c>
      <c r="AB18" s="13">
        <f t="shared" si="16"/>
        <v>4.6500000000000021</v>
      </c>
      <c r="AC18" s="13">
        <f t="shared" si="16"/>
        <v>4.8500000000000023</v>
      </c>
      <c r="AD18" s="13">
        <f t="shared" si="16"/>
        <v>5.0500000000000025</v>
      </c>
      <c r="AE18" s="13">
        <f t="shared" si="16"/>
        <v>5.2500000000000027</v>
      </c>
      <c r="AF18" s="13">
        <f t="shared" si="16"/>
        <v>5.4500000000000028</v>
      </c>
      <c r="AG18" s="13">
        <f t="shared" si="16"/>
        <v>5.650000000000003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Baseyear</vt:lpstr>
      <vt:lpstr>GDP</vt:lpstr>
      <vt:lpstr>TOT_POP</vt:lpstr>
      <vt:lpstr>Saving rate</vt:lpstr>
      <vt:lpstr>GDP_Projection</vt:lpstr>
      <vt:lpstr>TOT_POP_Projection</vt:lpstr>
      <vt:lpstr>g_SDR</vt:lpstr>
      <vt:lpstr>AEEI_low</vt:lpstr>
      <vt:lpstr>AEEI_high</vt:lpstr>
      <vt:lpstr>TREND</vt:lpstr>
      <vt:lpstr>TREND2</vt:lpstr>
      <vt:lpstr>CTAX_Cal</vt:lpstr>
      <vt:lpstr>CTAX_CPS</vt:lpstr>
      <vt:lpstr>CTAX_NZS</vt:lpstr>
      <vt:lpstr>CTAX_61</vt:lpstr>
      <vt:lpstr>CTAX_145</vt:lpstr>
      <vt:lpstr>CTAX_285</vt:lpstr>
      <vt:lpstr>CTAX_425</vt:lpstr>
      <vt:lpstr>CTAX_565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2024-08-14T06:04:26Z</dcterms:modified>
</cp:coreProperties>
</file>