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13_ncr:1_{331E7770-88CE-4830-969B-CD3249D0D521}" xr6:coauthVersionLast="36" xr6:coauthVersionMax="36" xr10:uidLastSave="{00000000-0000-0000-0000-000000000000}"/>
  <bookViews>
    <workbookView xWindow="0" yWindow="0" windowWidth="23040" windowHeight="9684" activeTab="1" xr2:uid="{1A5628A2-AAC4-463D-8F3E-B37E5F1562FD}"/>
  </bookViews>
  <sheets>
    <sheet name="AQ_Linkage_Format" sheetId="1" r:id="rId1"/>
    <sheet name="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F13" i="2" s="1"/>
  <c r="G13" i="2" s="1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F37" i="2" s="1"/>
  <c r="G37" i="2" s="1"/>
  <c r="E38" i="2"/>
  <c r="E39" i="2"/>
  <c r="E40" i="2"/>
  <c r="E41" i="2"/>
  <c r="E42" i="2"/>
  <c r="E43" i="2"/>
  <c r="E44" i="2"/>
  <c r="E45" i="2"/>
  <c r="E46" i="2"/>
  <c r="E47" i="2"/>
  <c r="E48" i="2"/>
  <c r="E49" i="2"/>
  <c r="F49" i="2" s="1"/>
  <c r="G49" i="2" s="1"/>
  <c r="E50" i="2"/>
  <c r="E51" i="2"/>
  <c r="E52" i="2"/>
  <c r="E53" i="2"/>
  <c r="E54" i="2"/>
  <c r="E55" i="2"/>
  <c r="E56" i="2"/>
  <c r="E57" i="2"/>
  <c r="E58" i="2"/>
  <c r="E59" i="2"/>
  <c r="E60" i="2"/>
  <c r="E61" i="2"/>
  <c r="F61" i="2" s="1"/>
  <c r="G61" i="2" s="1"/>
  <c r="E62" i="2"/>
  <c r="E63" i="2"/>
  <c r="E64" i="2"/>
  <c r="E65" i="2"/>
  <c r="E66" i="2"/>
  <c r="E67" i="2"/>
  <c r="E68" i="2"/>
  <c r="E69" i="2"/>
  <c r="E70" i="2"/>
  <c r="E71" i="2"/>
  <c r="E72" i="2"/>
  <c r="E73" i="2"/>
  <c r="F73" i="2" s="1"/>
  <c r="G73" i="2" s="1"/>
  <c r="E74" i="2"/>
  <c r="E75" i="2"/>
  <c r="E76" i="2"/>
  <c r="E77" i="2"/>
  <c r="E78" i="2"/>
  <c r="E79" i="2"/>
  <c r="E80" i="2"/>
  <c r="E81" i="2"/>
  <c r="E82" i="2"/>
  <c r="E83" i="2"/>
  <c r="E84" i="2"/>
  <c r="E85" i="2"/>
  <c r="F85" i="2" s="1"/>
  <c r="G85" i="2" s="1"/>
  <c r="E86" i="2"/>
  <c r="E87" i="2"/>
  <c r="E88" i="2"/>
  <c r="E89" i="2"/>
  <c r="E90" i="2"/>
  <c r="E91" i="2"/>
  <c r="E92" i="2"/>
  <c r="E93" i="2"/>
  <c r="E94" i="2"/>
  <c r="E95" i="2"/>
  <c r="E96" i="2"/>
  <c r="E97" i="2"/>
  <c r="F97" i="2" s="1"/>
  <c r="G97" i="2" s="1"/>
  <c r="E98" i="2"/>
  <c r="E99" i="2"/>
  <c r="E100" i="2"/>
  <c r="E101" i="2"/>
  <c r="E102" i="2"/>
  <c r="E103" i="2"/>
  <c r="E104" i="2"/>
  <c r="E105" i="2"/>
  <c r="E106" i="2"/>
  <c r="E107" i="2"/>
  <c r="E108" i="2"/>
  <c r="E109" i="2"/>
  <c r="F109" i="2" s="1"/>
  <c r="G109" i="2" s="1"/>
  <c r="E110" i="2"/>
  <c r="E111" i="2"/>
  <c r="E112" i="2"/>
  <c r="E113" i="2"/>
  <c r="E114" i="2"/>
  <c r="E115" i="2"/>
  <c r="E116" i="2"/>
  <c r="E117" i="2"/>
  <c r="E118" i="2"/>
  <c r="E119" i="2"/>
  <c r="E120" i="2"/>
  <c r="E121" i="2"/>
  <c r="F121" i="2" s="1"/>
  <c r="G121" i="2" s="1"/>
  <c r="E122" i="2"/>
  <c r="E123" i="2"/>
  <c r="E124" i="2"/>
  <c r="E125" i="2"/>
  <c r="E126" i="2"/>
  <c r="E127" i="2"/>
  <c r="E128" i="2"/>
  <c r="E129" i="2"/>
  <c r="E130" i="2"/>
  <c r="E131" i="2"/>
  <c r="E132" i="2"/>
  <c r="E133" i="2"/>
  <c r="F133" i="2" s="1"/>
  <c r="G133" i="2" s="1"/>
  <c r="E134" i="2"/>
  <c r="E135" i="2"/>
  <c r="E136" i="2"/>
  <c r="E137" i="2"/>
  <c r="E138" i="2"/>
  <c r="E139" i="2"/>
  <c r="E140" i="2"/>
  <c r="E141" i="2"/>
  <c r="E142" i="2"/>
  <c r="E143" i="2"/>
  <c r="E144" i="2"/>
  <c r="E145" i="2"/>
  <c r="F145" i="2" s="1"/>
  <c r="G145" i="2" s="1"/>
  <c r="E146" i="2"/>
  <c r="E147" i="2"/>
  <c r="E148" i="2"/>
  <c r="E149" i="2"/>
  <c r="E150" i="2"/>
  <c r="E151" i="2"/>
  <c r="E152" i="2"/>
  <c r="E153" i="2"/>
  <c r="E154" i="2"/>
  <c r="E155" i="2"/>
  <c r="E156" i="2"/>
  <c r="E157" i="2"/>
  <c r="F157" i="2" s="1"/>
  <c r="G157" i="2" s="1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F181" i="2" s="1"/>
  <c r="G181" i="2" s="1"/>
  <c r="E182" i="2"/>
  <c r="E183" i="2"/>
  <c r="E184" i="2"/>
  <c r="E185" i="2"/>
  <c r="E186" i="2"/>
  <c r="E187" i="2"/>
  <c r="E188" i="2"/>
  <c r="E189" i="2"/>
  <c r="E190" i="2"/>
  <c r="E191" i="2"/>
  <c r="E192" i="2"/>
  <c r="E193" i="2"/>
  <c r="F193" i="2" s="1"/>
  <c r="G193" i="2" s="1"/>
  <c r="E194" i="2"/>
  <c r="E195" i="2"/>
  <c r="E196" i="2"/>
  <c r="E197" i="2"/>
  <c r="E198" i="2"/>
  <c r="E199" i="2"/>
  <c r="E200" i="2"/>
  <c r="E201" i="2"/>
  <c r="E202" i="2"/>
  <c r="E203" i="2"/>
  <c r="E204" i="2"/>
  <c r="E205" i="2"/>
  <c r="F205" i="2" s="1"/>
  <c r="G205" i="2" s="1"/>
  <c r="E206" i="2"/>
  <c r="E207" i="2"/>
  <c r="E208" i="2"/>
  <c r="E209" i="2"/>
  <c r="E210" i="2"/>
  <c r="E211" i="2"/>
  <c r="E212" i="2"/>
  <c r="E213" i="2"/>
  <c r="E214" i="2"/>
  <c r="E215" i="2"/>
  <c r="E216" i="2"/>
  <c r="E217" i="2"/>
  <c r="F217" i="2" s="1"/>
  <c r="G217" i="2" s="1"/>
  <c r="E218" i="2"/>
  <c r="E219" i="2"/>
  <c r="E220" i="2"/>
  <c r="E221" i="2"/>
  <c r="E222" i="2"/>
  <c r="E223" i="2"/>
  <c r="E224" i="2"/>
  <c r="E225" i="2"/>
  <c r="E226" i="2"/>
  <c r="E227" i="2"/>
  <c r="E228" i="2"/>
  <c r="E229" i="2"/>
  <c r="F229" i="2" s="1"/>
  <c r="G229" i="2" s="1"/>
  <c r="E230" i="2"/>
  <c r="E231" i="2"/>
  <c r="E232" i="2"/>
  <c r="E233" i="2"/>
  <c r="E234" i="2"/>
  <c r="E235" i="2"/>
  <c r="E236" i="2"/>
  <c r="E237" i="2"/>
  <c r="E238" i="2"/>
  <c r="E239" i="2"/>
  <c r="E240" i="2"/>
  <c r="E241" i="2"/>
  <c r="F241" i="2" s="1"/>
  <c r="G241" i="2" s="1"/>
  <c r="E242" i="2"/>
  <c r="E243" i="2"/>
  <c r="E244" i="2"/>
  <c r="E245" i="2"/>
  <c r="E246" i="2"/>
  <c r="E247" i="2"/>
  <c r="E248" i="2"/>
  <c r="E249" i="2"/>
  <c r="E250" i="2"/>
  <c r="E251" i="2"/>
  <c r="E252" i="2"/>
  <c r="E253" i="2"/>
  <c r="F253" i="2" s="1"/>
  <c r="G253" i="2" s="1"/>
  <c r="E254" i="2"/>
  <c r="E255" i="2"/>
  <c r="E256" i="2"/>
  <c r="E257" i="2"/>
  <c r="E258" i="2"/>
  <c r="E259" i="2"/>
  <c r="E260" i="2"/>
  <c r="E261" i="2"/>
  <c r="E262" i="2"/>
  <c r="E263" i="2"/>
  <c r="E264" i="2"/>
  <c r="E265" i="2"/>
  <c r="F265" i="2" s="1"/>
  <c r="G265" i="2" s="1"/>
  <c r="E266" i="2"/>
  <c r="E267" i="2"/>
  <c r="E268" i="2"/>
  <c r="E269" i="2"/>
  <c r="E270" i="2"/>
  <c r="E271" i="2"/>
  <c r="E272" i="2"/>
  <c r="E273" i="2"/>
  <c r="E274" i="2"/>
  <c r="E275" i="2"/>
  <c r="E276" i="2"/>
  <c r="E277" i="2"/>
  <c r="F277" i="2" s="1"/>
  <c r="G277" i="2" s="1"/>
  <c r="E278" i="2"/>
  <c r="E279" i="2"/>
  <c r="E280" i="2"/>
  <c r="E281" i="2"/>
  <c r="E282" i="2"/>
  <c r="E283" i="2"/>
  <c r="E284" i="2"/>
  <c r="E285" i="2"/>
  <c r="E286" i="2"/>
  <c r="E287" i="2"/>
  <c r="E288" i="2"/>
  <c r="E289" i="2"/>
  <c r="F289" i="2" s="1"/>
  <c r="G289" i="2" s="1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F313" i="2" s="1"/>
  <c r="G313" i="2" s="1"/>
  <c r="E314" i="2"/>
  <c r="E315" i="2"/>
  <c r="E316" i="2"/>
  <c r="E317" i="2"/>
  <c r="E318" i="2"/>
  <c r="E319" i="2"/>
  <c r="E320" i="2"/>
  <c r="E321" i="2"/>
  <c r="E322" i="2"/>
  <c r="E323" i="2"/>
  <c r="E324" i="2"/>
  <c r="E325" i="2"/>
  <c r="F325" i="2" s="1"/>
  <c r="G325" i="2" s="1"/>
  <c r="E326" i="2"/>
  <c r="E327" i="2"/>
  <c r="E328" i="2"/>
  <c r="E329" i="2"/>
  <c r="E330" i="2"/>
  <c r="E331" i="2"/>
  <c r="E332" i="2"/>
  <c r="E333" i="2"/>
  <c r="E334" i="2"/>
  <c r="E335" i="2"/>
  <c r="E336" i="2"/>
  <c r="E337" i="2"/>
  <c r="F337" i="2" s="1"/>
  <c r="G337" i="2" s="1"/>
  <c r="E338" i="2"/>
  <c r="E339" i="2"/>
  <c r="E340" i="2"/>
  <c r="E341" i="2"/>
  <c r="E342" i="2"/>
  <c r="E343" i="2"/>
  <c r="E344" i="2"/>
  <c r="E345" i="2"/>
  <c r="E346" i="2"/>
  <c r="E347" i="2"/>
  <c r="E348" i="2"/>
  <c r="E349" i="2"/>
  <c r="F349" i="2" s="1"/>
  <c r="G349" i="2" s="1"/>
  <c r="E350" i="2"/>
  <c r="E351" i="2"/>
  <c r="E352" i="2"/>
  <c r="E353" i="2"/>
  <c r="E354" i="2"/>
  <c r="E355" i="2"/>
  <c r="E356" i="2"/>
  <c r="E357" i="2"/>
  <c r="E358" i="2"/>
  <c r="E359" i="2"/>
  <c r="E360" i="2"/>
  <c r="E361" i="2"/>
  <c r="F361" i="2" s="1"/>
  <c r="G361" i="2" s="1"/>
  <c r="E362" i="2"/>
  <c r="E363" i="2"/>
  <c r="E364" i="2"/>
  <c r="E365" i="2"/>
  <c r="E366" i="2"/>
  <c r="E367" i="2"/>
  <c r="E368" i="2"/>
  <c r="E369" i="2"/>
  <c r="E370" i="2"/>
  <c r="E371" i="2"/>
  <c r="E372" i="2"/>
  <c r="E373" i="2"/>
  <c r="F373" i="2" s="1"/>
  <c r="G373" i="2" s="1"/>
  <c r="E374" i="2"/>
  <c r="E375" i="2"/>
  <c r="E376" i="2"/>
  <c r="E377" i="2"/>
  <c r="E378" i="2"/>
  <c r="E379" i="2"/>
  <c r="E380" i="2"/>
  <c r="E381" i="2"/>
  <c r="E382" i="2"/>
  <c r="E383" i="2"/>
  <c r="E384" i="2"/>
  <c r="E385" i="2"/>
  <c r="F385" i="2" s="1"/>
  <c r="G385" i="2" s="1"/>
  <c r="E386" i="2"/>
  <c r="E387" i="2"/>
  <c r="E388" i="2"/>
  <c r="E389" i="2"/>
  <c r="E390" i="2"/>
  <c r="E391" i="2"/>
  <c r="E392" i="2"/>
  <c r="E393" i="2"/>
  <c r="E394" i="2"/>
  <c r="E395" i="2"/>
  <c r="E396" i="2"/>
  <c r="E397" i="2"/>
  <c r="F397" i="2" s="1"/>
  <c r="G397" i="2" s="1"/>
  <c r="E398" i="2"/>
  <c r="E399" i="2"/>
  <c r="E400" i="2"/>
  <c r="E401" i="2"/>
  <c r="E402" i="2"/>
  <c r="E403" i="2"/>
  <c r="E404" i="2"/>
  <c r="E405" i="2"/>
  <c r="E406" i="2"/>
  <c r="E407" i="2"/>
  <c r="E408" i="2"/>
  <c r="E409" i="2"/>
  <c r="F409" i="2" s="1"/>
  <c r="G409" i="2" s="1"/>
  <c r="E410" i="2"/>
  <c r="E411" i="2"/>
  <c r="E412" i="2"/>
  <c r="E413" i="2"/>
  <c r="E414" i="2"/>
  <c r="E415" i="2"/>
  <c r="E416" i="2"/>
  <c r="E417" i="2"/>
  <c r="E418" i="2"/>
  <c r="E419" i="2"/>
  <c r="E420" i="2"/>
  <c r="E421" i="2"/>
  <c r="F421" i="2" s="1"/>
  <c r="G421" i="2" s="1"/>
  <c r="E422" i="2"/>
  <c r="E423" i="2"/>
  <c r="E424" i="2"/>
  <c r="E425" i="2"/>
  <c r="E426" i="2"/>
  <c r="E427" i="2"/>
  <c r="E428" i="2"/>
  <c r="E429" i="2"/>
  <c r="E430" i="2"/>
  <c r="E431" i="2"/>
  <c r="E432" i="2"/>
  <c r="E433" i="2"/>
  <c r="F433" i="2" s="1"/>
  <c r="G433" i="2" s="1"/>
  <c r="E434" i="2"/>
  <c r="E435" i="2"/>
  <c r="E436" i="2"/>
  <c r="E437" i="2"/>
  <c r="E438" i="2"/>
  <c r="E439" i="2"/>
  <c r="E440" i="2"/>
  <c r="E441" i="2"/>
  <c r="E442" i="2"/>
  <c r="E443" i="2"/>
  <c r="E444" i="2"/>
  <c r="E445" i="2"/>
  <c r="F445" i="2" s="1"/>
  <c r="G445" i="2" s="1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F469" i="2" s="1"/>
  <c r="G469" i="2" s="1"/>
  <c r="E470" i="2"/>
  <c r="E471" i="2"/>
  <c r="E472" i="2"/>
  <c r="E473" i="2"/>
  <c r="E474" i="2"/>
  <c r="E475" i="2"/>
  <c r="E476" i="2"/>
  <c r="E477" i="2"/>
  <c r="E478" i="2"/>
  <c r="E479" i="2"/>
  <c r="E480" i="2"/>
  <c r="E481" i="2"/>
  <c r="F481" i="2" s="1"/>
  <c r="G481" i="2" s="1"/>
  <c r="E482" i="2"/>
  <c r="E483" i="2"/>
  <c r="E484" i="2"/>
  <c r="E485" i="2"/>
  <c r="E486" i="2"/>
  <c r="E487" i="2"/>
  <c r="E488" i="2"/>
  <c r="E489" i="2"/>
  <c r="E490" i="2"/>
  <c r="E491" i="2"/>
  <c r="E492" i="2"/>
  <c r="E493" i="2"/>
  <c r="F493" i="2" s="1"/>
  <c r="G493" i="2" s="1"/>
  <c r="E494" i="2"/>
  <c r="E495" i="2"/>
  <c r="E496" i="2"/>
  <c r="E497" i="2"/>
  <c r="E498" i="2"/>
  <c r="E499" i="2"/>
  <c r="E500" i="2"/>
  <c r="E501" i="2"/>
  <c r="E502" i="2"/>
  <c r="E503" i="2"/>
  <c r="E504" i="2"/>
  <c r="E505" i="2"/>
  <c r="F505" i="2" s="1"/>
  <c r="G505" i="2" s="1"/>
  <c r="E506" i="2"/>
  <c r="E507" i="2"/>
  <c r="E508" i="2"/>
  <c r="E509" i="2"/>
  <c r="E510" i="2"/>
  <c r="E511" i="2"/>
  <c r="E512" i="2"/>
  <c r="E513" i="2"/>
  <c r="E514" i="2"/>
  <c r="E515" i="2"/>
  <c r="E516" i="2"/>
  <c r="E517" i="2"/>
  <c r="F517" i="2" s="1"/>
  <c r="G517" i="2" s="1"/>
  <c r="E518" i="2"/>
  <c r="E519" i="2"/>
  <c r="E520" i="2"/>
  <c r="E521" i="2"/>
  <c r="E522" i="2"/>
  <c r="E523" i="2"/>
  <c r="E524" i="2"/>
  <c r="E525" i="2"/>
  <c r="E526" i="2"/>
  <c r="E527" i="2"/>
  <c r="E528" i="2"/>
  <c r="E529" i="2"/>
  <c r="F529" i="2" s="1"/>
  <c r="G529" i="2" s="1"/>
  <c r="E530" i="2"/>
  <c r="E531" i="2"/>
  <c r="E532" i="2"/>
  <c r="E533" i="2"/>
  <c r="E534" i="2"/>
  <c r="E2" i="2"/>
  <c r="G8" i="2"/>
  <c r="G20" i="2"/>
  <c r="G32" i="2"/>
  <c r="G44" i="2"/>
  <c r="G56" i="2"/>
  <c r="G62" i="2"/>
  <c r="G68" i="2"/>
  <c r="G74" i="2"/>
  <c r="G80" i="2"/>
  <c r="G86" i="2"/>
  <c r="G92" i="2"/>
  <c r="G116" i="2"/>
  <c r="G122" i="2"/>
  <c r="G128" i="2"/>
  <c r="G134" i="2"/>
  <c r="G140" i="2"/>
  <c r="G146" i="2"/>
  <c r="G152" i="2"/>
  <c r="G158" i="2"/>
  <c r="G164" i="2"/>
  <c r="G176" i="2"/>
  <c r="G182" i="2"/>
  <c r="G188" i="2"/>
  <c r="G200" i="2"/>
  <c r="G206" i="2"/>
  <c r="G212" i="2"/>
  <c r="G218" i="2"/>
  <c r="G224" i="2"/>
  <c r="G230" i="2"/>
  <c r="G236" i="2"/>
  <c r="G260" i="2"/>
  <c r="G266" i="2"/>
  <c r="G272" i="2"/>
  <c r="G278" i="2"/>
  <c r="G284" i="2"/>
  <c r="G290" i="2"/>
  <c r="G296" i="2"/>
  <c r="G308" i="2"/>
  <c r="G320" i="2"/>
  <c r="G326" i="2"/>
  <c r="G332" i="2"/>
  <c r="G356" i="2"/>
  <c r="G362" i="2"/>
  <c r="G368" i="2"/>
  <c r="G374" i="2"/>
  <c r="G380" i="2"/>
  <c r="G392" i="2"/>
  <c r="G398" i="2"/>
  <c r="G404" i="2"/>
  <c r="G416" i="2"/>
  <c r="G428" i="2"/>
  <c r="G434" i="2"/>
  <c r="G440" i="2"/>
  <c r="G446" i="2"/>
  <c r="G452" i="2"/>
  <c r="G458" i="2"/>
  <c r="G464" i="2"/>
  <c r="G476" i="2"/>
  <c r="G488" i="2"/>
  <c r="G500" i="2"/>
  <c r="G512" i="2"/>
  <c r="G518" i="2"/>
  <c r="G524" i="2"/>
  <c r="G530" i="2"/>
  <c r="F25" i="2"/>
  <c r="G25" i="2" s="1"/>
  <c r="F169" i="2"/>
  <c r="G169" i="2" s="1"/>
  <c r="F276" i="2"/>
  <c r="G276" i="2" s="1"/>
  <c r="F301" i="2"/>
  <c r="G301" i="2" s="1"/>
  <c r="F457" i="2"/>
  <c r="G457" i="2" s="1"/>
  <c r="D418" i="2"/>
  <c r="D417" i="2"/>
  <c r="D415" i="2"/>
  <c r="D414" i="2"/>
  <c r="D412" i="2"/>
  <c r="D411" i="2"/>
  <c r="D410" i="2"/>
  <c r="D406" i="2"/>
  <c r="D407" i="2"/>
  <c r="D408" i="2"/>
  <c r="D405" i="2"/>
  <c r="D401" i="2"/>
  <c r="D402" i="2"/>
  <c r="D403" i="2"/>
  <c r="D400" i="2"/>
  <c r="D398" i="2"/>
  <c r="D397" i="2"/>
  <c r="D396" i="2"/>
  <c r="D394" i="2"/>
  <c r="D393" i="2"/>
  <c r="D392" i="2"/>
  <c r="D391" i="2"/>
  <c r="D390" i="2"/>
  <c r="D389" i="2"/>
  <c r="D387" i="2"/>
  <c r="D386" i="2"/>
  <c r="D384" i="2"/>
  <c r="D383" i="2"/>
  <c r="D382" i="2"/>
  <c r="D381" i="2"/>
  <c r="D379" i="2"/>
  <c r="D378" i="2"/>
  <c r="D377" i="2"/>
  <c r="D376" i="2"/>
  <c r="D374" i="2"/>
  <c r="D373" i="2"/>
  <c r="D372" i="2"/>
  <c r="D371" i="2"/>
  <c r="D370" i="2"/>
  <c r="D369" i="2"/>
  <c r="D367" i="2"/>
  <c r="D366" i="2"/>
  <c r="D365" i="2"/>
  <c r="D364" i="2"/>
  <c r="D362" i="2"/>
  <c r="D361" i="2"/>
  <c r="D360" i="2"/>
  <c r="D359" i="2"/>
  <c r="D358" i="2"/>
  <c r="D357" i="2"/>
  <c r="D356" i="2"/>
  <c r="D355" i="2"/>
  <c r="D353" i="2"/>
  <c r="D352" i="2"/>
  <c r="D351" i="2"/>
  <c r="D350" i="2"/>
  <c r="D348" i="2"/>
  <c r="D347" i="2"/>
  <c r="D346" i="2"/>
  <c r="D345" i="2"/>
  <c r="D344" i="2"/>
  <c r="D343" i="2"/>
  <c r="D342" i="2"/>
  <c r="D340" i="2"/>
  <c r="D339" i="2"/>
  <c r="D338" i="2"/>
  <c r="D337" i="2"/>
  <c r="D336" i="2"/>
  <c r="D334" i="2"/>
  <c r="D333" i="2"/>
  <c r="D332" i="2"/>
  <c r="D331" i="2"/>
  <c r="D329" i="2"/>
  <c r="D328" i="2"/>
  <c r="D327" i="2"/>
  <c r="D326" i="2"/>
  <c r="D325" i="2"/>
  <c r="D324" i="2"/>
  <c r="D323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420" i="2"/>
  <c r="D319" i="2"/>
  <c r="D320" i="2"/>
  <c r="D321" i="2"/>
  <c r="D318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2" i="2"/>
  <c r="F3" i="2"/>
  <c r="G3" i="2" s="1"/>
  <c r="F4" i="2"/>
  <c r="G4" i="2" s="1"/>
  <c r="F5" i="2"/>
  <c r="G5" i="2" s="1"/>
  <c r="F6" i="2"/>
  <c r="G6" i="2" s="1"/>
  <c r="F7" i="2"/>
  <c r="G7" i="2" s="1"/>
  <c r="F8" i="2"/>
  <c r="F9" i="2"/>
  <c r="G9" i="2" s="1"/>
  <c r="F10" i="2"/>
  <c r="G10" i="2" s="1"/>
  <c r="F11" i="2"/>
  <c r="G11" i="2" s="1"/>
  <c r="F12" i="2"/>
  <c r="G12" i="2" s="1"/>
  <c r="F14" i="2"/>
  <c r="G14" i="2" s="1"/>
  <c r="F15" i="2"/>
  <c r="G15" i="2" s="1"/>
  <c r="F16" i="2"/>
  <c r="G16" i="2" s="1"/>
  <c r="F17" i="2"/>
  <c r="G17" i="2" s="1"/>
  <c r="F18" i="2"/>
  <c r="G18" i="2" s="1"/>
  <c r="F19" i="2"/>
  <c r="G19" i="2" s="1"/>
  <c r="F20" i="2"/>
  <c r="F21" i="2"/>
  <c r="G21" i="2" s="1"/>
  <c r="F22" i="2"/>
  <c r="G22" i="2" s="1"/>
  <c r="F23" i="2"/>
  <c r="G23" i="2" s="1"/>
  <c r="F24" i="2"/>
  <c r="G24" i="2" s="1"/>
  <c r="F26" i="2"/>
  <c r="G26" i="2" s="1"/>
  <c r="F27" i="2"/>
  <c r="G27" i="2" s="1"/>
  <c r="F28" i="2"/>
  <c r="G28" i="2" s="1"/>
  <c r="F29" i="2"/>
  <c r="G29" i="2" s="1"/>
  <c r="F30" i="2"/>
  <c r="G30" i="2" s="1"/>
  <c r="F31" i="2"/>
  <c r="G31" i="2" s="1"/>
  <c r="F32" i="2"/>
  <c r="F33" i="2"/>
  <c r="G33" i="2" s="1"/>
  <c r="F34" i="2"/>
  <c r="G34" i="2" s="1"/>
  <c r="F35" i="2"/>
  <c r="G35" i="2" s="1"/>
  <c r="F36" i="2"/>
  <c r="G36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F45" i="2"/>
  <c r="G45" i="2" s="1"/>
  <c r="F46" i="2"/>
  <c r="G46" i="2" s="1"/>
  <c r="F47" i="2"/>
  <c r="G47" i="2" s="1"/>
  <c r="F48" i="2"/>
  <c r="G48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F57" i="2"/>
  <c r="G57" i="2" s="1"/>
  <c r="F58" i="2"/>
  <c r="G58" i="2" s="1"/>
  <c r="F59" i="2"/>
  <c r="G59" i="2" s="1"/>
  <c r="F60" i="2"/>
  <c r="G60" i="2" s="1"/>
  <c r="F62" i="2"/>
  <c r="F63" i="2"/>
  <c r="G63" i="2" s="1"/>
  <c r="F64" i="2"/>
  <c r="G64" i="2" s="1"/>
  <c r="F65" i="2"/>
  <c r="G65" i="2" s="1"/>
  <c r="F66" i="2"/>
  <c r="G66" i="2" s="1"/>
  <c r="F67" i="2"/>
  <c r="G67" i="2" s="1"/>
  <c r="F68" i="2"/>
  <c r="F69" i="2"/>
  <c r="G69" i="2" s="1"/>
  <c r="F70" i="2"/>
  <c r="G70" i="2" s="1"/>
  <c r="F71" i="2"/>
  <c r="G71" i="2" s="1"/>
  <c r="F72" i="2"/>
  <c r="G72" i="2" s="1"/>
  <c r="F74" i="2"/>
  <c r="F75" i="2"/>
  <c r="G75" i="2" s="1"/>
  <c r="F76" i="2"/>
  <c r="G76" i="2" s="1"/>
  <c r="F77" i="2"/>
  <c r="G77" i="2" s="1"/>
  <c r="F78" i="2"/>
  <c r="G78" i="2" s="1"/>
  <c r="F79" i="2"/>
  <c r="G79" i="2" s="1"/>
  <c r="F80" i="2"/>
  <c r="F81" i="2"/>
  <c r="G81" i="2" s="1"/>
  <c r="F82" i="2"/>
  <c r="G82" i="2" s="1"/>
  <c r="F83" i="2"/>
  <c r="G83" i="2" s="1"/>
  <c r="F84" i="2"/>
  <c r="G84" i="2" s="1"/>
  <c r="F86" i="2"/>
  <c r="F87" i="2"/>
  <c r="G87" i="2" s="1"/>
  <c r="F88" i="2"/>
  <c r="G88" i="2" s="1"/>
  <c r="F89" i="2"/>
  <c r="G89" i="2" s="1"/>
  <c r="F90" i="2"/>
  <c r="G90" i="2" s="1"/>
  <c r="F91" i="2"/>
  <c r="G91" i="2" s="1"/>
  <c r="F92" i="2"/>
  <c r="F93" i="2"/>
  <c r="G93" i="2" s="1"/>
  <c r="F94" i="2"/>
  <c r="G94" i="2" s="1"/>
  <c r="F95" i="2"/>
  <c r="G95" i="2" s="1"/>
  <c r="F96" i="2"/>
  <c r="G96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10" i="2"/>
  <c r="G110" i="2" s="1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F117" i="2"/>
  <c r="G117" i="2" s="1"/>
  <c r="F118" i="2"/>
  <c r="G118" i="2" s="1"/>
  <c r="F119" i="2"/>
  <c r="G119" i="2" s="1"/>
  <c r="F120" i="2"/>
  <c r="G120" i="2" s="1"/>
  <c r="F122" i="2"/>
  <c r="F123" i="2"/>
  <c r="G123" i="2" s="1"/>
  <c r="F124" i="2"/>
  <c r="G124" i="2" s="1"/>
  <c r="F125" i="2"/>
  <c r="G125" i="2" s="1"/>
  <c r="F126" i="2"/>
  <c r="G126" i="2" s="1"/>
  <c r="F127" i="2"/>
  <c r="G127" i="2" s="1"/>
  <c r="F128" i="2"/>
  <c r="F129" i="2"/>
  <c r="G129" i="2" s="1"/>
  <c r="F130" i="2"/>
  <c r="G130" i="2" s="1"/>
  <c r="F131" i="2"/>
  <c r="G131" i="2" s="1"/>
  <c r="F132" i="2"/>
  <c r="G132" i="2" s="1"/>
  <c r="F134" i="2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F141" i="2"/>
  <c r="G141" i="2" s="1"/>
  <c r="F142" i="2"/>
  <c r="G142" i="2" s="1"/>
  <c r="F143" i="2"/>
  <c r="G143" i="2" s="1"/>
  <c r="F144" i="2"/>
  <c r="G144" i="2" s="1"/>
  <c r="F146" i="2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F153" i="2"/>
  <c r="G153" i="2" s="1"/>
  <c r="F154" i="2"/>
  <c r="G154" i="2" s="1"/>
  <c r="F155" i="2"/>
  <c r="G155" i="2" s="1"/>
  <c r="F156" i="2"/>
  <c r="G156" i="2" s="1"/>
  <c r="F158" i="2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F165" i="2"/>
  <c r="G165" i="2" s="1"/>
  <c r="F166" i="2"/>
  <c r="G166" i="2" s="1"/>
  <c r="F167" i="2"/>
  <c r="G167" i="2" s="1"/>
  <c r="F168" i="2"/>
  <c r="G168" i="2" s="1"/>
  <c r="F170" i="2"/>
  <c r="G170" i="2" s="1"/>
  <c r="F171" i="2"/>
  <c r="G171" i="2" s="1"/>
  <c r="F172" i="2"/>
  <c r="G172" i="2" s="1"/>
  <c r="F173" i="2"/>
  <c r="G173" i="2" s="1"/>
  <c r="F174" i="2"/>
  <c r="G174" i="2" s="1"/>
  <c r="F175" i="2"/>
  <c r="G175" i="2" s="1"/>
  <c r="F176" i="2"/>
  <c r="F177" i="2"/>
  <c r="G177" i="2" s="1"/>
  <c r="F178" i="2"/>
  <c r="G178" i="2" s="1"/>
  <c r="F179" i="2"/>
  <c r="G179" i="2" s="1"/>
  <c r="F180" i="2"/>
  <c r="G180" i="2" s="1"/>
  <c r="F182" i="2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F189" i="2"/>
  <c r="G189" i="2" s="1"/>
  <c r="F190" i="2"/>
  <c r="G190" i="2" s="1"/>
  <c r="F191" i="2"/>
  <c r="G191" i="2" s="1"/>
  <c r="F192" i="2"/>
  <c r="G192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F201" i="2"/>
  <c r="G201" i="2" s="1"/>
  <c r="F202" i="2"/>
  <c r="G202" i="2" s="1"/>
  <c r="F203" i="2"/>
  <c r="G203" i="2" s="1"/>
  <c r="F204" i="2"/>
  <c r="G204" i="2" s="1"/>
  <c r="F206" i="2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F213" i="2"/>
  <c r="G213" i="2" s="1"/>
  <c r="F214" i="2"/>
  <c r="G214" i="2" s="1"/>
  <c r="F215" i="2"/>
  <c r="G215" i="2" s="1"/>
  <c r="F216" i="2"/>
  <c r="G216" i="2" s="1"/>
  <c r="F218" i="2"/>
  <c r="F219" i="2"/>
  <c r="G219" i="2" s="1"/>
  <c r="F220" i="2"/>
  <c r="G220" i="2" s="1"/>
  <c r="F221" i="2"/>
  <c r="G221" i="2" s="1"/>
  <c r="F222" i="2"/>
  <c r="G222" i="2" s="1"/>
  <c r="F223" i="2"/>
  <c r="G223" i="2" s="1"/>
  <c r="F224" i="2"/>
  <c r="F225" i="2"/>
  <c r="G225" i="2" s="1"/>
  <c r="F226" i="2"/>
  <c r="G226" i="2" s="1"/>
  <c r="F227" i="2"/>
  <c r="G227" i="2" s="1"/>
  <c r="F228" i="2"/>
  <c r="G228" i="2" s="1"/>
  <c r="F230" i="2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F237" i="2"/>
  <c r="G237" i="2" s="1"/>
  <c r="F238" i="2"/>
  <c r="G238" i="2" s="1"/>
  <c r="F239" i="2"/>
  <c r="G239" i="2" s="1"/>
  <c r="F240" i="2"/>
  <c r="G240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4" i="2"/>
  <c r="G254" i="2" s="1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F261" i="2"/>
  <c r="G261" i="2" s="1"/>
  <c r="F262" i="2"/>
  <c r="G262" i="2" s="1"/>
  <c r="F263" i="2"/>
  <c r="G263" i="2" s="1"/>
  <c r="F264" i="2"/>
  <c r="G264" i="2" s="1"/>
  <c r="F266" i="2"/>
  <c r="F267" i="2"/>
  <c r="G267" i="2" s="1"/>
  <c r="F268" i="2"/>
  <c r="G268" i="2" s="1"/>
  <c r="F269" i="2"/>
  <c r="G269" i="2" s="1"/>
  <c r="F270" i="2"/>
  <c r="G270" i="2" s="1"/>
  <c r="F271" i="2"/>
  <c r="G271" i="2" s="1"/>
  <c r="F272" i="2"/>
  <c r="F273" i="2"/>
  <c r="G273" i="2" s="1"/>
  <c r="F274" i="2"/>
  <c r="G274" i="2" s="1"/>
  <c r="F275" i="2"/>
  <c r="G275" i="2" s="1"/>
  <c r="F278" i="2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F285" i="2"/>
  <c r="G285" i="2" s="1"/>
  <c r="F286" i="2"/>
  <c r="G286" i="2" s="1"/>
  <c r="F287" i="2"/>
  <c r="G287" i="2" s="1"/>
  <c r="F288" i="2"/>
  <c r="G288" i="2" s="1"/>
  <c r="F290" i="2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F297" i="2"/>
  <c r="G297" i="2" s="1"/>
  <c r="F298" i="2"/>
  <c r="G298" i="2" s="1"/>
  <c r="F299" i="2"/>
  <c r="G299" i="2" s="1"/>
  <c r="F300" i="2"/>
  <c r="G300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F309" i="2"/>
  <c r="G309" i="2" s="1"/>
  <c r="F310" i="2"/>
  <c r="G310" i="2" s="1"/>
  <c r="F311" i="2"/>
  <c r="G311" i="2" s="1"/>
  <c r="F312" i="2"/>
  <c r="G312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F321" i="2"/>
  <c r="G321" i="2" s="1"/>
  <c r="F323" i="2"/>
  <c r="G323" i="2" s="1"/>
  <c r="F324" i="2"/>
  <c r="G324" i="2" s="1"/>
  <c r="F326" i="2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F333" i="2"/>
  <c r="G333" i="2" s="1"/>
  <c r="F334" i="2"/>
  <c r="G334" i="2" s="1"/>
  <c r="F336" i="2"/>
  <c r="G336" i="2" s="1"/>
  <c r="F338" i="2"/>
  <c r="G338" i="2" s="1"/>
  <c r="F339" i="2"/>
  <c r="G339" i="2" s="1"/>
  <c r="F340" i="2"/>
  <c r="G340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50" i="2"/>
  <c r="G350" i="2" s="1"/>
  <c r="F351" i="2"/>
  <c r="G351" i="2" s="1"/>
  <c r="F352" i="2"/>
  <c r="G352" i="2" s="1"/>
  <c r="F353" i="2"/>
  <c r="G353" i="2" s="1"/>
  <c r="F355" i="2"/>
  <c r="G355" i="2" s="1"/>
  <c r="F356" i="2"/>
  <c r="F357" i="2"/>
  <c r="G357" i="2" s="1"/>
  <c r="F358" i="2"/>
  <c r="G358" i="2" s="1"/>
  <c r="F359" i="2"/>
  <c r="G359" i="2" s="1"/>
  <c r="F360" i="2"/>
  <c r="G360" i="2" s="1"/>
  <c r="F362" i="2"/>
  <c r="F363" i="2"/>
  <c r="G363" i="2" s="1"/>
  <c r="F364" i="2"/>
  <c r="G364" i="2" s="1"/>
  <c r="F365" i="2"/>
  <c r="G365" i="2" s="1"/>
  <c r="F366" i="2"/>
  <c r="G366" i="2" s="1"/>
  <c r="F367" i="2"/>
  <c r="G367" i="2" s="1"/>
  <c r="F369" i="2"/>
  <c r="G369" i="2" s="1"/>
  <c r="F370" i="2"/>
  <c r="G370" i="2" s="1"/>
  <c r="F371" i="2"/>
  <c r="G371" i="2" s="1"/>
  <c r="F372" i="2"/>
  <c r="G372" i="2" s="1"/>
  <c r="F374" i="2"/>
  <c r="F376" i="2"/>
  <c r="G376" i="2" s="1"/>
  <c r="F377" i="2"/>
  <c r="G377" i="2" s="1"/>
  <c r="F378" i="2"/>
  <c r="G378" i="2" s="1"/>
  <c r="F379" i="2"/>
  <c r="G379" i="2" s="1"/>
  <c r="F380" i="2"/>
  <c r="F381" i="2"/>
  <c r="G381" i="2" s="1"/>
  <c r="F382" i="2"/>
  <c r="G382" i="2" s="1"/>
  <c r="F383" i="2"/>
  <c r="G383" i="2" s="1"/>
  <c r="F384" i="2"/>
  <c r="G384" i="2" s="1"/>
  <c r="F386" i="2"/>
  <c r="G386" i="2" s="1"/>
  <c r="F387" i="2"/>
  <c r="G387" i="2" s="1"/>
  <c r="F389" i="2"/>
  <c r="G389" i="2" s="1"/>
  <c r="F390" i="2"/>
  <c r="G390" i="2" s="1"/>
  <c r="F391" i="2"/>
  <c r="G391" i="2" s="1"/>
  <c r="F392" i="2"/>
  <c r="F393" i="2"/>
  <c r="G393" i="2" s="1"/>
  <c r="F394" i="2"/>
  <c r="G394" i="2" s="1"/>
  <c r="F396" i="2"/>
  <c r="G396" i="2" s="1"/>
  <c r="F398" i="2"/>
  <c r="F400" i="2"/>
  <c r="G400" i="2" s="1"/>
  <c r="F401" i="2"/>
  <c r="G401" i="2" s="1"/>
  <c r="F402" i="2"/>
  <c r="G402" i="2" s="1"/>
  <c r="F403" i="2"/>
  <c r="G403" i="2" s="1"/>
  <c r="F404" i="2"/>
  <c r="F405" i="2"/>
  <c r="G405" i="2" s="1"/>
  <c r="F406" i="2"/>
  <c r="G406" i="2" s="1"/>
  <c r="F407" i="2"/>
  <c r="G407" i="2" s="1"/>
  <c r="F408" i="2"/>
  <c r="G408" i="2" s="1"/>
  <c r="F410" i="2"/>
  <c r="G410" i="2" s="1"/>
  <c r="F411" i="2"/>
  <c r="G411" i="2" s="1"/>
  <c r="F412" i="2"/>
  <c r="G412" i="2" s="1"/>
  <c r="F413" i="2"/>
  <c r="G413" i="2" s="1"/>
  <c r="F414" i="2"/>
  <c r="G414" i="2" s="1"/>
  <c r="F415" i="2"/>
  <c r="G415" i="2" s="1"/>
  <c r="F417" i="2"/>
  <c r="G417" i="2" s="1"/>
  <c r="F418" i="2"/>
  <c r="G418" i="2" s="1"/>
  <c r="F419" i="2"/>
  <c r="G419" i="2" s="1"/>
  <c r="F420" i="2"/>
  <c r="G420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F429" i="2"/>
  <c r="G429" i="2" s="1"/>
  <c r="F430" i="2"/>
  <c r="G430" i="2" s="1"/>
  <c r="F431" i="2"/>
  <c r="G431" i="2" s="1"/>
  <c r="F432" i="2"/>
  <c r="G432" i="2" s="1"/>
  <c r="F434" i="2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F441" i="2"/>
  <c r="G441" i="2" s="1"/>
  <c r="F442" i="2"/>
  <c r="G442" i="2" s="1"/>
  <c r="F443" i="2"/>
  <c r="G443" i="2" s="1"/>
  <c r="F444" i="2"/>
  <c r="G444" i="2" s="1"/>
  <c r="F446" i="2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F453" i="2"/>
  <c r="G453" i="2" s="1"/>
  <c r="F454" i="2"/>
  <c r="G454" i="2" s="1"/>
  <c r="F455" i="2"/>
  <c r="G455" i="2" s="1"/>
  <c r="F456" i="2"/>
  <c r="G456" i="2" s="1"/>
  <c r="F458" i="2"/>
  <c r="F459" i="2"/>
  <c r="G459" i="2" s="1"/>
  <c r="F460" i="2"/>
  <c r="G460" i="2" s="1"/>
  <c r="F461" i="2"/>
  <c r="G461" i="2" s="1"/>
  <c r="F462" i="2"/>
  <c r="G462" i="2" s="1"/>
  <c r="F463" i="2"/>
  <c r="G463" i="2" s="1"/>
  <c r="F464" i="2"/>
  <c r="F465" i="2"/>
  <c r="G465" i="2" s="1"/>
  <c r="F466" i="2"/>
  <c r="G466" i="2" s="1"/>
  <c r="F467" i="2"/>
  <c r="G467" i="2" s="1"/>
  <c r="F468" i="2"/>
  <c r="G468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F477" i="2"/>
  <c r="G477" i="2" s="1"/>
  <c r="F478" i="2"/>
  <c r="G478" i="2" s="1"/>
  <c r="F479" i="2"/>
  <c r="G479" i="2" s="1"/>
  <c r="F480" i="2"/>
  <c r="G480" i="2" s="1"/>
  <c r="F482" i="2"/>
  <c r="G482" i="2" s="1"/>
  <c r="F483" i="2"/>
  <c r="G483" i="2" s="1"/>
  <c r="F484" i="2"/>
  <c r="G484" i="2" s="1"/>
  <c r="F485" i="2"/>
  <c r="G485" i="2" s="1"/>
  <c r="F486" i="2"/>
  <c r="G486" i="2" s="1"/>
  <c r="F487" i="2"/>
  <c r="G487" i="2" s="1"/>
  <c r="F488" i="2"/>
  <c r="F489" i="2"/>
  <c r="G489" i="2" s="1"/>
  <c r="F490" i="2"/>
  <c r="G490" i="2" s="1"/>
  <c r="F491" i="2"/>
  <c r="G491" i="2" s="1"/>
  <c r="F492" i="2"/>
  <c r="G492" i="2" s="1"/>
  <c r="F494" i="2"/>
  <c r="G494" i="2" s="1"/>
  <c r="F495" i="2"/>
  <c r="G495" i="2" s="1"/>
  <c r="F496" i="2"/>
  <c r="G496" i="2" s="1"/>
  <c r="F497" i="2"/>
  <c r="G497" i="2" s="1"/>
  <c r="F498" i="2"/>
  <c r="G498" i="2" s="1"/>
  <c r="F499" i="2"/>
  <c r="G499" i="2" s="1"/>
  <c r="F500" i="2"/>
  <c r="F501" i="2"/>
  <c r="G501" i="2" s="1"/>
  <c r="F502" i="2"/>
  <c r="G502" i="2" s="1"/>
  <c r="F503" i="2"/>
  <c r="G503" i="2" s="1"/>
  <c r="F504" i="2"/>
  <c r="G504" i="2" s="1"/>
  <c r="F506" i="2"/>
  <c r="G506" i="2" s="1"/>
  <c r="F507" i="2"/>
  <c r="G507" i="2" s="1"/>
  <c r="F508" i="2"/>
  <c r="G508" i="2" s="1"/>
  <c r="F509" i="2"/>
  <c r="G509" i="2" s="1"/>
  <c r="F510" i="2"/>
  <c r="G510" i="2" s="1"/>
  <c r="F511" i="2"/>
  <c r="G511" i="2" s="1"/>
  <c r="F512" i="2"/>
  <c r="F513" i="2"/>
  <c r="G513" i="2" s="1"/>
  <c r="F514" i="2"/>
  <c r="G514" i="2" s="1"/>
  <c r="F515" i="2"/>
  <c r="G515" i="2" s="1"/>
  <c r="F516" i="2"/>
  <c r="G516" i="2" s="1"/>
  <c r="F518" i="2"/>
  <c r="F519" i="2"/>
  <c r="G519" i="2" s="1"/>
  <c r="F520" i="2"/>
  <c r="G520" i="2" s="1"/>
  <c r="F521" i="2"/>
  <c r="G521" i="2" s="1"/>
  <c r="F522" i="2"/>
  <c r="G522" i="2" s="1"/>
  <c r="F523" i="2"/>
  <c r="G523" i="2" s="1"/>
  <c r="F524" i="2"/>
  <c r="F525" i="2"/>
  <c r="G525" i="2" s="1"/>
  <c r="F526" i="2"/>
  <c r="G526" i="2" s="1"/>
  <c r="F527" i="2"/>
  <c r="G527" i="2" s="1"/>
  <c r="F528" i="2"/>
  <c r="G528" i="2" s="1"/>
  <c r="F530" i="2"/>
  <c r="F531" i="2"/>
  <c r="G531" i="2" s="1"/>
  <c r="F532" i="2"/>
  <c r="G532" i="2" s="1"/>
  <c r="F533" i="2"/>
  <c r="G533" i="2" s="1"/>
  <c r="F534" i="2"/>
  <c r="G534" i="2" s="1"/>
  <c r="F2" i="2"/>
  <c r="G2" i="2" s="1"/>
  <c r="F322" i="2"/>
  <c r="G322" i="2" s="1"/>
  <c r="F335" i="2"/>
  <c r="G335" i="2" s="1"/>
  <c r="F341" i="2"/>
  <c r="G341" i="2" s="1"/>
  <c r="F354" i="2"/>
  <c r="G354" i="2" s="1"/>
  <c r="F368" i="2"/>
  <c r="F375" i="2"/>
  <c r="G375" i="2" s="1"/>
  <c r="F388" i="2"/>
  <c r="G388" i="2" s="1"/>
  <c r="F395" i="2"/>
  <c r="G395" i="2" s="1"/>
  <c r="F399" i="2"/>
  <c r="G399" i="2" s="1"/>
  <c r="F416" i="2"/>
</calcChain>
</file>

<file path=xl/sharedStrings.xml><?xml version="1.0" encoding="utf-8"?>
<sst xmlns="http://schemas.openxmlformats.org/spreadsheetml/2006/main" count="1639" uniqueCount="377">
  <si>
    <t>Unit</t>
  </si>
  <si>
    <t>Model_AQ</t>
  </si>
  <si>
    <t>GUIDE-GLOBAL-CGE 1</t>
  </si>
  <si>
    <t>Scenario_Name</t>
  </si>
  <si>
    <t>BAU</t>
  </si>
  <si>
    <t>Country</t>
  </si>
  <si>
    <t>01_KOR</t>
  </si>
  <si>
    <t>01|CON_COMBPJsector|BC1ENEPJactivity</t>
  </si>
  <si>
    <t>Variable_AQ</t>
  </si>
  <si>
    <t>PJ</t>
  </si>
  <si>
    <t>XXXX</t>
  </si>
  <si>
    <t>….</t>
  </si>
  <si>
    <t>IDSNAP_CODES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</si>
  <si>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</si>
  <si>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</si>
  <si>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</si>
  <si>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</si>
  <si>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</si>
  <si>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</si>
  <si>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</si>
  <si>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</si>
  <si>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</si>
  <si>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</si>
  <si>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</si>
  <si>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SEC_id</t>
  </si>
  <si>
    <t>CON_COMBPJsector</t>
  </si>
  <si>
    <t>CON_COMB1PJsector</t>
  </si>
  <si>
    <t>CON_COMB2PJsector</t>
  </si>
  <si>
    <t>CON_COMB3PJsector</t>
  </si>
  <si>
    <t>PP_ENGPJsector</t>
  </si>
  <si>
    <t>PP_EX_LPJsector</t>
  </si>
  <si>
    <t>PP_EX_OTHPJsector</t>
  </si>
  <si>
    <t>PP_EX_SPJsector</t>
  </si>
  <si>
    <t>PP_IGCCPJsector</t>
  </si>
  <si>
    <t>PP_MODPJsector</t>
  </si>
  <si>
    <t>PP_NEWPJsector</t>
  </si>
  <si>
    <t>PP_NEW_LPJsector</t>
  </si>
  <si>
    <t>DOMPJsector</t>
  </si>
  <si>
    <t>DOM_FPLACEPJsector</t>
  </si>
  <si>
    <t>DOM_MB_APJsector</t>
  </si>
  <si>
    <t>DOM_MB_MPJsector</t>
  </si>
  <si>
    <t>DOM_PITPJsector</t>
  </si>
  <si>
    <t>DOM_SHB_APJsector</t>
  </si>
  <si>
    <t>DOM_SHB_MPJsector</t>
  </si>
  <si>
    <t>DOM_STOVE_CPJsector</t>
  </si>
  <si>
    <t>DOM_STOVE_HPJsector</t>
  </si>
  <si>
    <t>IN_BO_CHEMPJsector</t>
  </si>
  <si>
    <t>IN_BO_CONPJsector</t>
  </si>
  <si>
    <t>IN_BO_OTHPJsector</t>
  </si>
  <si>
    <t>IN_BO_OTH_LPJsector</t>
  </si>
  <si>
    <t>IN_BO_OTH_SPJsector</t>
  </si>
  <si>
    <t>IN_BO_PAPPJsector</t>
  </si>
  <si>
    <t>IN_OCPJsector</t>
  </si>
  <si>
    <t>IN_OC3PJsector</t>
  </si>
  <si>
    <t>IN_OCTOTPJsector</t>
  </si>
  <si>
    <t>NONENPJsector</t>
  </si>
  <si>
    <t>OTHER_N2Okt N2Osector</t>
  </si>
  <si>
    <t>OTHER_NOXkt NOxsector</t>
  </si>
  <si>
    <t>OTHER_SO2kt SO2sector</t>
  </si>
  <si>
    <t>PR_ALSECMtsector</t>
  </si>
  <si>
    <t>PR_BRICKMtsector</t>
  </si>
  <si>
    <t>PR_CASTMtsector</t>
  </si>
  <si>
    <t>PR_CEMMtsector</t>
  </si>
  <si>
    <t>PR_GLASSMtsector</t>
  </si>
  <si>
    <t>PR_LIMEMtsector</t>
  </si>
  <si>
    <t>PR_SINTMtsector</t>
  </si>
  <si>
    <t>CONSTRUCTM m2sector</t>
  </si>
  <si>
    <t>FERTPROkt Nsector</t>
  </si>
  <si>
    <t>INORGkt VOCsector</t>
  </si>
  <si>
    <t>IO_NH3_EMISSkt NH3sector</t>
  </si>
  <si>
    <t>MINE_OTHMtsector</t>
  </si>
  <si>
    <t>ORG_STOREkt VOCsector</t>
  </si>
  <si>
    <t>OTH_ORG_PRkt VOCsector</t>
  </si>
  <si>
    <t>PR_ADIPMtsector</t>
  </si>
  <si>
    <t>PR_ALPRIMMtsector</t>
  </si>
  <si>
    <t>PR_BAOXMtsector</t>
  </si>
  <si>
    <t>PR_BRIQMtsector</t>
  </si>
  <si>
    <t>PR_CAST_FMtsector</t>
  </si>
  <si>
    <t>PR_CBLACKMtsector</t>
  </si>
  <si>
    <t>PR_COKEMtsector</t>
  </si>
  <si>
    <t>PR_EARCMtsector</t>
  </si>
  <si>
    <t>PR_FERTMtsector</t>
  </si>
  <si>
    <t>PR_NIACMtsector</t>
  </si>
  <si>
    <t>PR_OT_NFMEMtsector</t>
  </si>
  <si>
    <t>PR_OTHERMtsector</t>
  </si>
  <si>
    <t>PR_PELLMtsector</t>
  </si>
  <si>
    <t>PR_PIGIMtsector</t>
  </si>
  <si>
    <t>PR_PIGI_FMtsector</t>
  </si>
  <si>
    <t>PR_PULPMtsector</t>
  </si>
  <si>
    <t>PR_REFMtsector</t>
  </si>
  <si>
    <t>PR_SINT_FMtsector</t>
  </si>
  <si>
    <t>PR_SMIND_FM peoplesector</t>
  </si>
  <si>
    <t>PR_SUACMtsector</t>
  </si>
  <si>
    <t>STCRACK_PRktsector</t>
  </si>
  <si>
    <t>STH_FEOREMtsector</t>
  </si>
  <si>
    <t>STH_NPKMtsector</t>
  </si>
  <si>
    <t>STH_OTH_INMtsector</t>
  </si>
  <si>
    <t>FOODM peoplesector</t>
  </si>
  <si>
    <t>OTHER_VOCkt VOCsector</t>
  </si>
  <si>
    <t>COAL_ABANDkt CH4sector</t>
  </si>
  <si>
    <t>CON_LOSSPJsector</t>
  </si>
  <si>
    <t>D_GASSTPJsector</t>
  </si>
  <si>
    <t>D_REFDEPPJsector</t>
  </si>
  <si>
    <t>D_REFDEP_SPJsector</t>
  </si>
  <si>
    <t>EXD_LQkt VOCsector</t>
  </si>
  <si>
    <t>MINE_BCMtsector</t>
  </si>
  <si>
    <t>MINE_BC_POSTMtsector</t>
  </si>
  <si>
    <t>MINE_BC_PREMtsector</t>
  </si>
  <si>
    <t>MINE_BC_VAMMtsector</t>
  </si>
  <si>
    <t>MINE_HCMtsector</t>
  </si>
  <si>
    <t>MINE_HC_POSTMtsector</t>
  </si>
  <si>
    <t>MINE_HC_PREMtsector</t>
  </si>
  <si>
    <t>MINE_HC_VAMMtsector</t>
  </si>
  <si>
    <t>PROD_AGASPJsector</t>
  </si>
  <si>
    <t>PROD_LEAKPJsector</t>
  </si>
  <si>
    <t>STH_COALMtsector</t>
  </si>
  <si>
    <t>TRA_F_CH4PJsector</t>
  </si>
  <si>
    <t>TRANSPJ gas transmittedsector</t>
  </si>
  <si>
    <t>AUTO_Pkvehsector</t>
  </si>
  <si>
    <t>COILmln m2sector</t>
  </si>
  <si>
    <t>DECO_Pktsector</t>
  </si>
  <si>
    <t>DEGRkt SLVsector</t>
  </si>
  <si>
    <t>DOM_OSM peoplesector</t>
  </si>
  <si>
    <t>DRYkt TEXsector</t>
  </si>
  <si>
    <t>FATOILktsector</t>
  </si>
  <si>
    <t>GLUE_INTktsector</t>
  </si>
  <si>
    <t>IND_OSkt VOCsector</t>
  </si>
  <si>
    <t>IND_P_CNTktsector</t>
  </si>
  <si>
    <t>IND_P_OTktsector</t>
  </si>
  <si>
    <t>LEATHERktsector</t>
  </si>
  <si>
    <t>N2O_USEM peoplesector</t>
  </si>
  <si>
    <t>PHARMAkt SLVsector</t>
  </si>
  <si>
    <t>PISkt PGsector</t>
  </si>
  <si>
    <t>PLSTYR_PRktsector</t>
  </si>
  <si>
    <t>PRT_OFFSkt INKsector</t>
  </si>
  <si>
    <t>PRT_PACKkt INKsector</t>
  </si>
  <si>
    <t>PRT_PUBkt INKsector</t>
  </si>
  <si>
    <t>PRT_SCRkt INKsector</t>
  </si>
  <si>
    <t>PVC_PRktsector</t>
  </si>
  <si>
    <t>RES_BBQM peoplesector</t>
  </si>
  <si>
    <t>RES_CIGARM peoplesector</t>
  </si>
  <si>
    <t>RES_FIREWM peoplesector</t>
  </si>
  <si>
    <t>SHOEmln pairssector</t>
  </si>
  <si>
    <t>SYNTH_RUBktsector</t>
  </si>
  <si>
    <t>TYRESktsector</t>
  </si>
  <si>
    <t>VEHR_Pktsector</t>
  </si>
  <si>
    <t>VEHTRM peoplesector</t>
  </si>
  <si>
    <t>WIREktsector</t>
  </si>
  <si>
    <t>WOODmln m3sector</t>
  </si>
  <si>
    <t>WOOD_Pmln m2sector</t>
  </si>
  <si>
    <t>LEAD_GASOLPJsector</t>
  </si>
  <si>
    <t>TRA_RD_EVPJsector</t>
  </si>
  <si>
    <t>TRA_RD_HDBGvkmsector</t>
  </si>
  <si>
    <t>TRA_RD_HDBPJsector</t>
  </si>
  <si>
    <t>TRA_RD_HDBthousand of vehiclessector</t>
  </si>
  <si>
    <t>TRA_RD_HDTGvkmsector</t>
  </si>
  <si>
    <t>TRA_RD_HDTPJsector</t>
  </si>
  <si>
    <t>TRA_RD_HDTthousand of vehiclessector</t>
  </si>
  <si>
    <t>TRA_RD_LD2Gvkmsector</t>
  </si>
  <si>
    <t>TRA_RD_LD2PJsector</t>
  </si>
  <si>
    <t>TRA_RD_LD2thousand of vehiclessector</t>
  </si>
  <si>
    <t>TRA_RD_LD4CGvkmsector</t>
  </si>
  <si>
    <t>TRA_RD_LD4CPJsector</t>
  </si>
  <si>
    <t>TRA_RD_LD4Cthousand of vehiclessector</t>
  </si>
  <si>
    <t>TRA_RD_LD4C_EVPJsector</t>
  </si>
  <si>
    <t>TRA_RD_LD4TGvkmsector</t>
  </si>
  <si>
    <t>TRA_RD_LD4TPJsector</t>
  </si>
  <si>
    <t>TRA_RD_LD4Tthousand of vehiclessector</t>
  </si>
  <si>
    <t>TRA_RD_LD4T_EVPJsector</t>
  </si>
  <si>
    <t>TRA_RD_M4Gvkmsector</t>
  </si>
  <si>
    <t>TRA_RD_M4PJsector</t>
  </si>
  <si>
    <t>TRA_RD_M4thousand of vehiclessector</t>
  </si>
  <si>
    <t>TRA_RD_OTHGvkmsector</t>
  </si>
  <si>
    <t>TRA_RD_OTHPJsector</t>
  </si>
  <si>
    <t>TRA_RD_OTHthousand of vehiclessector</t>
  </si>
  <si>
    <t>TRA_OTPJsector</t>
  </si>
  <si>
    <t>TRA_OT_AGRPJsector</t>
  </si>
  <si>
    <t>TRA_OT_AGRthousand of vehiclessector</t>
  </si>
  <si>
    <t>TRA_OT_AIRPJsector</t>
  </si>
  <si>
    <t>TRA_OT_AIR_DOMPJsector</t>
  </si>
  <si>
    <t>TRA_OT_CNSPJsector</t>
  </si>
  <si>
    <t>TRA_OT_CNSthousand of vehiclessector</t>
  </si>
  <si>
    <t>TRA_OT_EVPJsector</t>
  </si>
  <si>
    <t>TRA_OT_INWPJsector</t>
  </si>
  <si>
    <t>TRA_OT_INWthousand of vehiclessector</t>
  </si>
  <si>
    <t>TRA_OT_LBPJsector</t>
  </si>
  <si>
    <t>TRA_OT_LBthousand of vehiclessector</t>
  </si>
  <si>
    <t>TRA_OT_LD2PJsector</t>
  </si>
  <si>
    <t>TRA_OT_LD2thousand of vehiclessector</t>
  </si>
  <si>
    <t>TRA_OT_RAIPJsector</t>
  </si>
  <si>
    <t>TRA_OT_RAIthousand of vehiclessector</t>
  </si>
  <si>
    <t>TRA_OTS_LPJsector</t>
  </si>
  <si>
    <t>IND_FOOD_NOCkt CODsector</t>
  </si>
  <si>
    <t>IND_FOOD_TRMkt CODsector</t>
  </si>
  <si>
    <t>IND_OTH_NOCkt CODsector</t>
  </si>
  <si>
    <t>IND_OTH_TRMkt CODsector</t>
  </si>
  <si>
    <t>IND_PAP_NOCkt CODsector</t>
  </si>
  <si>
    <t>IND_PAP_TRMkt CODsector</t>
  </si>
  <si>
    <t>INW_FOODMt wastesector</t>
  </si>
  <si>
    <t>INW_OTHMt wastesector</t>
  </si>
  <si>
    <t>INW_PAPMt wastesector</t>
  </si>
  <si>
    <t>INW_RUBMt wastesector</t>
  </si>
  <si>
    <t>INW_TEXMt wastesector</t>
  </si>
  <si>
    <t>INW_WOODMt wastesector</t>
  </si>
  <si>
    <t>MSW_RUR_FOODMt wastesector</t>
  </si>
  <si>
    <t>MSW_RUR_GLAMt wastesector</t>
  </si>
  <si>
    <t>MSW_RUR_METMt wastesector</t>
  </si>
  <si>
    <t>MSW_RUR_OTHMt wastesector</t>
  </si>
  <si>
    <t>MSW_RUR_PAPMt wastesector</t>
  </si>
  <si>
    <t>MSW_RUR_PLAMt wastesector</t>
  </si>
  <si>
    <t>MSW_RUR_TEXMt wastesector</t>
  </si>
  <si>
    <t>MSW_RUR_WOODMt wastesector</t>
  </si>
  <si>
    <t>MSW_URB_FOODMt wastesector</t>
  </si>
  <si>
    <t>MSW_URB_GLAMt wastesector</t>
  </si>
  <si>
    <t>MSW_URB_METMt wastesector</t>
  </si>
  <si>
    <t>MSW_URB_OTHMt wastesector</t>
  </si>
  <si>
    <t>MSW_URB_PAPMt wastesector</t>
  </si>
  <si>
    <t>MSW_URB_PLAMt wastesector</t>
  </si>
  <si>
    <t>MSW_URB_TEXMt wastesector</t>
  </si>
  <si>
    <t>MSW_URB_WOODMt wastesector</t>
  </si>
  <si>
    <t>RES_CREMM peoplesector</t>
  </si>
  <si>
    <t>WASTE_FLRPJsector</t>
  </si>
  <si>
    <t>WASTE_VOCkt VOCsector</t>
  </si>
  <si>
    <t>WW_DOMM peoplesector</t>
  </si>
  <si>
    <t>WW_DOM_CC_NOCM peoplesector</t>
  </si>
  <si>
    <t>WW_DOM_CC_TRMM peoplesector</t>
  </si>
  <si>
    <t>WW_DOM_DC_NOCM peoplesector</t>
  </si>
  <si>
    <t>WW_DOM_DC_TRMM peoplesector</t>
  </si>
  <si>
    <t>AGR_ARABLEM hasector</t>
  </si>
  <si>
    <t>AGR_BEEFM animalssector</t>
  </si>
  <si>
    <t>AGR_COWSM animalssector</t>
  </si>
  <si>
    <t>AGR_OTANIM animalssector</t>
  </si>
  <si>
    <t>AGR_PIGM animalssector</t>
  </si>
  <si>
    <t>AGR_POULTM animalssector</t>
  </si>
  <si>
    <t>APPLIC_Lkt Nsector</t>
  </si>
  <si>
    <t>APPLIC_Mkt Nsector</t>
  </si>
  <si>
    <t>APPLIC_Skt Nsector</t>
  </si>
  <si>
    <t>COWS_3000_MILKkt milksector</t>
  </si>
  <si>
    <t>FCON_OTHNkt Nsector</t>
  </si>
  <si>
    <t>FCON_UREAkt Nsector</t>
  </si>
  <si>
    <t>GRASSLANDM hasector</t>
  </si>
  <si>
    <t>GRASSLANDMt biomasssector</t>
  </si>
  <si>
    <t>GRAZE_Lkt Nsector</t>
  </si>
  <si>
    <t>GRAZE_Mkt Nsector</t>
  </si>
  <si>
    <t>GRAZE_Skt Nsector</t>
  </si>
  <si>
    <t>HISTOSOLSM hasector</t>
  </si>
  <si>
    <t>MANUREkt Nsector</t>
  </si>
  <si>
    <t>RICE_FLOODM hasector</t>
  </si>
  <si>
    <t>RICE_INTERM hasector</t>
  </si>
  <si>
    <t>STH_AGRMtsector</t>
  </si>
  <si>
    <t>WASTE_AGRMtsector</t>
  </si>
  <si>
    <t>FORESTMt biomasssector</t>
  </si>
  <si>
    <t>OTH_NH3_EMISSkt NH3sector</t>
  </si>
  <si>
    <t>ACT_id</t>
  </si>
  <si>
    <t>BC1ENEPJactivity</t>
  </si>
  <si>
    <t>BC2ENEPJactivity</t>
  </si>
  <si>
    <t>DCENEPJactivity</t>
  </si>
  <si>
    <t>GASENEPJactivity</t>
  </si>
  <si>
    <t>GSLENEPJactivity</t>
  </si>
  <si>
    <t>HC1ENEPJactivity</t>
  </si>
  <si>
    <t>HC2ENEPJactivity</t>
  </si>
  <si>
    <t>HC3ENEPJactivity</t>
  </si>
  <si>
    <t>HFENEPJactivity</t>
  </si>
  <si>
    <t>LPGENEPJactivity</t>
  </si>
  <si>
    <t>MDENEPJactivity</t>
  </si>
  <si>
    <t>GAS_MENEPJactivity</t>
  </si>
  <si>
    <t>MD_MENEPJactivity</t>
  </si>
  <si>
    <t>OS1ENEPJactivity</t>
  </si>
  <si>
    <t>OS2ENEPJactivity</t>
  </si>
  <si>
    <t>WSFNRENEPJactivity</t>
  </si>
  <si>
    <t>FWDENEPJactivity</t>
  </si>
  <si>
    <t>WSFRENEPJactivity</t>
  </si>
  <si>
    <t>BIOGENEPJactivity</t>
  </si>
  <si>
    <t>CHCOAENEPJactivity</t>
  </si>
  <si>
    <t>ARDENEPJactivity</t>
  </si>
  <si>
    <t>NOFPROCkt N2Oactivity</t>
  </si>
  <si>
    <t>NOFPROCkt NOxactivity</t>
  </si>
  <si>
    <t>NOFPROCkt SO2activity</t>
  </si>
  <si>
    <t>NOFPROCMtactivity</t>
  </si>
  <si>
    <t>NOFPROCM m2activity</t>
  </si>
  <si>
    <t>NOFAGRkt Nactivity</t>
  </si>
  <si>
    <t>EMIVOCPkt VOCactivity</t>
  </si>
  <si>
    <t>NOFAGRkt NH3activity</t>
  </si>
  <si>
    <t>NOFAGRMtactivity</t>
  </si>
  <si>
    <t>CRUPROCMtactivity</t>
  </si>
  <si>
    <t>NOFPROCM peopleactivity</t>
  </si>
  <si>
    <t>EPVOCPktactivity</t>
  </si>
  <si>
    <t>POPVOCPM peopleactivity</t>
  </si>
  <si>
    <t>NOFPROCkt CH4activity</t>
  </si>
  <si>
    <t>GSLMOBPJactivity</t>
  </si>
  <si>
    <t>MDMOBPJactivity</t>
  </si>
  <si>
    <t>CRUPROCPJactivity</t>
  </si>
  <si>
    <t>GASPROCPJactivity</t>
  </si>
  <si>
    <t>CB_GASPROCPJactivity</t>
  </si>
  <si>
    <t>S_GASPROCPJactivity</t>
  </si>
  <si>
    <t>T_GASPROCPJactivity</t>
  </si>
  <si>
    <t>GASMOBPJactivity</t>
  </si>
  <si>
    <t>GASPROCPJ gas transmittedactivity</t>
  </si>
  <si>
    <t>VEHVOCPkvehactivity</t>
  </si>
  <si>
    <t>SCVOCPmln m2activity</t>
  </si>
  <si>
    <t>PNTVOCPktactivity</t>
  </si>
  <si>
    <t>SLVVOCPkt SLVactivity</t>
  </si>
  <si>
    <t>TEXVOCPkt TEXactivity</t>
  </si>
  <si>
    <t>SDVOCPktactivity</t>
  </si>
  <si>
    <t>ADHVOCPktactivity</t>
  </si>
  <si>
    <t>CTGVOCPktactivity</t>
  </si>
  <si>
    <t>POPPROCM peopleactivity</t>
  </si>
  <si>
    <t>PGVOCPkt PGactivity</t>
  </si>
  <si>
    <t>EPSVOCPktactivity</t>
  </si>
  <si>
    <t>INKVOCPkt INKactivity</t>
  </si>
  <si>
    <t>PVCVOCPktactivity</t>
  </si>
  <si>
    <t>SHOVOCPmln pairsactivity</t>
  </si>
  <si>
    <t>RUBVOCPktactivity</t>
  </si>
  <si>
    <t>TYRVOCPktactivity</t>
  </si>
  <si>
    <t>ENWVOCPktactivity</t>
  </si>
  <si>
    <t>TIMVOCPmln m3activity</t>
  </si>
  <si>
    <t>LFLMOBPJactivity</t>
  </si>
  <si>
    <t>ABRASIONMOBGvkmactivity</t>
  </si>
  <si>
    <t>BRAKEMOBGvkmactivity</t>
  </si>
  <si>
    <t>GAS_MMOBPJactivity</t>
  </si>
  <si>
    <t>GSL_MMOBPJactivity</t>
  </si>
  <si>
    <t>GSL_NV_HEMOBthousand of vehiclesactivity</t>
  </si>
  <si>
    <t>H2MOBPJactivity</t>
  </si>
  <si>
    <t>LPGMOBPJactivity</t>
  </si>
  <si>
    <t>MD_MMOBPJactivity</t>
  </si>
  <si>
    <t>MD_NV_HEMOBthousand of vehiclesactivity</t>
  </si>
  <si>
    <t>TYREMOBGvkmactivity</t>
  </si>
  <si>
    <t>HC1MOBPJactivity</t>
  </si>
  <si>
    <t>HFMOBPJactivity</t>
  </si>
  <si>
    <t>NOFPROCkt CODactivity</t>
  </si>
  <si>
    <t>10YR_BPPROCMt wasteactivity</t>
  </si>
  <si>
    <t>NOFPROCMt wasteactivity</t>
  </si>
  <si>
    <t>20YR_BPPROCMt wasteactivity</t>
  </si>
  <si>
    <t>NOFPROCPJactivity</t>
  </si>
  <si>
    <t>NOFAGRM haactivity</t>
  </si>
  <si>
    <t>NOFAGRM animalsactivity</t>
  </si>
  <si>
    <t>OLAGRM animalsactivity</t>
  </si>
  <si>
    <t>OL_FAGRM animalsactivity</t>
  </si>
  <si>
    <t>OSAGRM animalsactivity</t>
  </si>
  <si>
    <t>DLAGRM animalsactivity</t>
  </si>
  <si>
    <t>DL_FAGRM animalsactivity</t>
  </si>
  <si>
    <t>DSAGRM animalsactivity</t>
  </si>
  <si>
    <t>BSAGRM animalsactivity</t>
  </si>
  <si>
    <t>CMAGRM animalsactivity</t>
  </si>
  <si>
    <t>HOAGRM animalsactivity</t>
  </si>
  <si>
    <t>SHAGRM animalsactivity</t>
  </si>
  <si>
    <t>PLAGRM animalsactivity</t>
  </si>
  <si>
    <t>PSAGRM animalsactivity</t>
  </si>
  <si>
    <t>LHAGRM animalsactivity</t>
  </si>
  <si>
    <t>OPAGRM animalsactivity</t>
  </si>
  <si>
    <t>MANURE_NAGRkt Nactivity</t>
  </si>
  <si>
    <t>RICE_NAGRkt Nactivity</t>
  </si>
  <si>
    <t>SOIL_NAGRkt Nactivity</t>
  </si>
  <si>
    <t>DLAGRkt milkactivity</t>
  </si>
  <si>
    <t>DL_FAGRkt milkactivity</t>
  </si>
  <si>
    <t>DSAGRkt milkactivity</t>
  </si>
  <si>
    <t>AREAAGRM haactivity</t>
  </si>
  <si>
    <t>FIRE_MASSAGRMt biomassactivity</t>
  </si>
  <si>
    <t>EX_CTTLAGRkt Nactivity</t>
  </si>
  <si>
    <t>EX_SHAGRkt Nactivity</t>
  </si>
  <si>
    <t>BSAGRkt Nactivity</t>
  </si>
  <si>
    <t>CMAGRkt Nactivity</t>
  </si>
  <si>
    <t>DLAGRkt Nactivity</t>
  </si>
  <si>
    <t>DSAGRkt Nactivity</t>
  </si>
  <si>
    <t>HOAGRkt Nactivity</t>
  </si>
  <si>
    <t>LHAGRkt Nactivity</t>
  </si>
  <si>
    <t>OLAGRkt Nactivity</t>
  </si>
  <si>
    <t>OPAGRkt Nactivity</t>
  </si>
  <si>
    <t>OSAGRkt Nactivity</t>
  </si>
  <si>
    <t>PLAGRkt Nactivity</t>
  </si>
  <si>
    <t>PSAGRkt Nactivity</t>
  </si>
  <si>
    <t>SHAGRkt Nactivity</t>
  </si>
  <si>
    <t>AQ_variable</t>
  </si>
  <si>
    <t>ACT_id(수정)</t>
  </si>
  <si>
    <t>GSL_NV_HEMOB</t>
  </si>
  <si>
    <t>MD_NV_HEMOB</t>
  </si>
  <si>
    <t>GASPROCPJ gas transmitted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</si>
</sst>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7357-0528-4E6D-829C-5D771500DB35}">
  <dimension ref="A1:H2"/>
  <sheetViews>
    <sheetView workbookViewId="0">
      <selection activeCell="B27" sqref="B27"/>
    </sheetView>
  </sheetViews>
  <sheetFormatPr defaultRowHeight="14.4" x14ac:dyDescent="0.3"/>
  <cols>
    <col min="1" max="1" width="19.21875" bestFit="1" customWidth="1"/>
    <col min="2" max="2" width="14" bestFit="1" customWidth="1"/>
    <col min="4" max="4" width="36.33203125" bestFit="1" customWidth="1"/>
    <col min="5" max="5" width="4.44140625" bestFit="1" customWidth="1"/>
    <col min="6" max="6" width="18.44140625" bestFit="1" customWidth="1"/>
    <col min="8" max="8" width="15.6640625" bestFit="1" customWidth="1"/>
    <col min="10" max="10" width="13.77734375" bestFit="1" customWidth="1"/>
    <col min="11" max="11" width="6.44140625" bestFit="1" customWidth="1"/>
    <col min="12" max="12" width="6.6640625" bestFit="1" customWidth="1"/>
  </cols>
  <sheetData>
    <row r="1" spans="1:8" x14ac:dyDescent="0.3">
      <c r="A1" s="4" t="s">
        <v>1</v>
      </c>
      <c r="B1" s="4" t="s">
        <v>3</v>
      </c>
      <c r="C1" s="4" t="s">
        <v>5</v>
      </c>
      <c r="D1" s="4" t="s">
        <v>8</v>
      </c>
      <c r="E1" s="4" t="s">
        <v>0</v>
      </c>
      <c r="F1" s="4">
        <v>2019</v>
      </c>
      <c r="G1" s="4" t="s">
        <v>11</v>
      </c>
      <c r="H1" s="4">
        <v>2050</v>
      </c>
    </row>
    <row r="2" spans="1:8" x14ac:dyDescent="0.3">
      <c r="A2" s="1" t="s">
        <v>2</v>
      </c>
      <c r="B2" s="1" t="s">
        <v>4</v>
      </c>
      <c r="C2" s="1" t="s">
        <v>6</v>
      </c>
      <c r="D2" s="2" t="s">
        <v>7</v>
      </c>
      <c r="E2" s="2" t="s">
        <v>9</v>
      </c>
      <c r="F2" s="1" t="s">
        <v>10</v>
      </c>
      <c r="G2" s="3" t="s">
        <v>11</v>
      </c>
      <c r="H2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9F891-FF02-411E-92F0-70E423D6A2C3}">
  <dimension ref="A1:G534"/>
  <sheetViews>
    <sheetView tabSelected="1" workbookViewId="0">
      <selection activeCell="E2" sqref="E2:E534"/>
    </sheetView>
  </sheetViews>
  <sheetFormatPr defaultRowHeight="14.4" x14ac:dyDescent="0.3"/>
  <cols>
    <col min="1" max="1" width="20.109375" bestFit="1" customWidth="1"/>
    <col min="2" max="2" width="41.33203125" customWidth="1"/>
    <col min="3" max="3" width="44.109375" customWidth="1"/>
    <col min="4" max="4" width="31.6640625" bestFit="1" customWidth="1"/>
    <col min="5" max="5" width="77.77734375" bestFit="1" customWidth="1"/>
    <col min="7" max="7" width="6" bestFit="1" customWidth="1"/>
  </cols>
  <sheetData>
    <row r="1" spans="1:7" x14ac:dyDescent="0.3">
      <c r="A1" t="s">
        <v>12</v>
      </c>
      <c r="B1" t="s">
        <v>24</v>
      </c>
      <c r="C1" t="s">
        <v>253</v>
      </c>
      <c r="D1" t="s">
        <v>373</v>
      </c>
      <c r="E1" t="s">
        <v>372</v>
      </c>
    </row>
    <row r="2" spans="1:7" x14ac:dyDescent="0.3">
      <c r="A2" s="5" t="s">
        <v>13</v>
      </c>
      <c r="B2" t="s">
        <v>25</v>
      </c>
      <c r="C2" t="s">
        <v>254</v>
      </c>
      <c r="D2" t="str">
        <f>C2</f>
        <v>BC1ENEPJactivity</v>
      </c>
      <c r="E2" t="str">
        <f>"'"&amp;A2&amp;"|"&amp;B2&amp;"|"&amp;D2&amp;"'"&amp;","</f>
        <v>'01|CON_COMBPJsector|BC1ENEPJactivity',</v>
      </c>
      <c r="F2">
        <f>LEN(E2)</f>
        <v>39</v>
      </c>
      <c r="G2">
        <f>IF(F2&lt;63,,10)</f>
        <v>0</v>
      </c>
    </row>
    <row r="3" spans="1:7" x14ac:dyDescent="0.3">
      <c r="A3" s="5" t="s">
        <v>13</v>
      </c>
      <c r="B3" t="s">
        <v>25</v>
      </c>
      <c r="C3" t="s">
        <v>255</v>
      </c>
      <c r="D3" t="str">
        <f t="shared" ref="D3:D66" si="0">C3</f>
        <v>BC2ENEPJactivity</v>
      </c>
      <c r="E3" t="str">
        <f t="shared" ref="E3:E66" si="1">"'"&amp;A3&amp;"|"&amp;B3&amp;"|"&amp;D3&amp;"'"&amp;","</f>
        <v>'01|CON_COMBPJsector|BC2ENEPJactivity',</v>
      </c>
      <c r="F3">
        <f t="shared" ref="F3:F66" si="2">LEN(E3)</f>
        <v>39</v>
      </c>
      <c r="G3">
        <f t="shared" ref="G3:G66" si="3">IF(F3&lt;63,,10)</f>
        <v>0</v>
      </c>
    </row>
    <row r="4" spans="1:7" x14ac:dyDescent="0.3">
      <c r="A4" s="5" t="s">
        <v>13</v>
      </c>
      <c r="B4" t="s">
        <v>25</v>
      </c>
      <c r="C4" t="s">
        <v>256</v>
      </c>
      <c r="D4" t="str">
        <f t="shared" si="0"/>
        <v>DCENEPJactivity</v>
      </c>
      <c r="E4" t="str">
        <f t="shared" si="1"/>
        <v>'01|CON_COMBPJsector|DCENEPJactivity',</v>
      </c>
      <c r="F4">
        <f t="shared" si="2"/>
        <v>38</v>
      </c>
      <c r="G4">
        <f t="shared" si="3"/>
        <v>0</v>
      </c>
    </row>
    <row r="5" spans="1:7" x14ac:dyDescent="0.3">
      <c r="A5" s="5" t="s">
        <v>13</v>
      </c>
      <c r="B5" t="s">
        <v>25</v>
      </c>
      <c r="C5" t="s">
        <v>257</v>
      </c>
      <c r="D5" t="str">
        <f t="shared" si="0"/>
        <v>GASENEPJactivity</v>
      </c>
      <c r="E5" t="str">
        <f t="shared" si="1"/>
        <v>'01|CON_COMBPJsector|GASENEPJactivity',</v>
      </c>
      <c r="F5">
        <f t="shared" si="2"/>
        <v>39</v>
      </c>
      <c r="G5">
        <f t="shared" si="3"/>
        <v>0</v>
      </c>
    </row>
    <row r="6" spans="1:7" x14ac:dyDescent="0.3">
      <c r="A6" s="5" t="s">
        <v>13</v>
      </c>
      <c r="B6" t="s">
        <v>25</v>
      </c>
      <c r="C6" t="s">
        <v>258</v>
      </c>
      <c r="D6" t="str">
        <f t="shared" si="0"/>
        <v>GSLENEPJactivity</v>
      </c>
      <c r="E6" t="str">
        <f t="shared" si="1"/>
        <v>'01|CON_COMBPJsector|GSLENEPJactivity',</v>
      </c>
      <c r="F6">
        <f t="shared" si="2"/>
        <v>39</v>
      </c>
      <c r="G6">
        <f t="shared" si="3"/>
        <v>0</v>
      </c>
    </row>
    <row r="7" spans="1:7" x14ac:dyDescent="0.3">
      <c r="A7" s="5" t="s">
        <v>13</v>
      </c>
      <c r="B7" t="s">
        <v>25</v>
      </c>
      <c r="C7" t="s">
        <v>259</v>
      </c>
      <c r="D7" t="str">
        <f t="shared" si="0"/>
        <v>HC1ENEPJactivity</v>
      </c>
      <c r="E7" t="str">
        <f t="shared" si="1"/>
        <v>'01|CON_COMBPJsector|HC1ENEPJactivity',</v>
      </c>
      <c r="F7">
        <f t="shared" si="2"/>
        <v>39</v>
      </c>
      <c r="G7">
        <f t="shared" si="3"/>
        <v>0</v>
      </c>
    </row>
    <row r="8" spans="1:7" x14ac:dyDescent="0.3">
      <c r="A8" s="5" t="s">
        <v>13</v>
      </c>
      <c r="B8" t="s">
        <v>25</v>
      </c>
      <c r="C8" t="s">
        <v>260</v>
      </c>
      <c r="D8" t="str">
        <f t="shared" si="0"/>
        <v>HC2ENEPJactivity</v>
      </c>
      <c r="E8" t="str">
        <f t="shared" si="1"/>
        <v>'01|CON_COMBPJsector|HC2ENEPJactivity',</v>
      </c>
      <c r="F8">
        <f t="shared" si="2"/>
        <v>39</v>
      </c>
      <c r="G8">
        <f t="shared" si="3"/>
        <v>0</v>
      </c>
    </row>
    <row r="9" spans="1:7" x14ac:dyDescent="0.3">
      <c r="A9" s="5" t="s">
        <v>13</v>
      </c>
      <c r="B9" t="s">
        <v>25</v>
      </c>
      <c r="C9" t="s">
        <v>261</v>
      </c>
      <c r="D9" t="str">
        <f t="shared" si="0"/>
        <v>HC3ENEPJactivity</v>
      </c>
      <c r="E9" t="str">
        <f t="shared" si="1"/>
        <v>'01|CON_COMBPJsector|HC3ENEPJactivity',</v>
      </c>
      <c r="F9">
        <f t="shared" si="2"/>
        <v>39</v>
      </c>
      <c r="G9">
        <f t="shared" si="3"/>
        <v>0</v>
      </c>
    </row>
    <row r="10" spans="1:7" x14ac:dyDescent="0.3">
      <c r="A10" s="5" t="s">
        <v>13</v>
      </c>
      <c r="B10" t="s">
        <v>25</v>
      </c>
      <c r="C10" t="s">
        <v>262</v>
      </c>
      <c r="D10" t="str">
        <f t="shared" si="0"/>
        <v>HFENEPJactivity</v>
      </c>
      <c r="E10" t="str">
        <f t="shared" si="1"/>
        <v>'01|CON_COMBPJsector|HFENEPJactivity',</v>
      </c>
      <c r="F10">
        <f t="shared" si="2"/>
        <v>38</v>
      </c>
      <c r="G10">
        <f t="shared" si="3"/>
        <v>0</v>
      </c>
    </row>
    <row r="11" spans="1:7" x14ac:dyDescent="0.3">
      <c r="A11" s="5" t="s">
        <v>13</v>
      </c>
      <c r="B11" t="s">
        <v>25</v>
      </c>
      <c r="C11" t="s">
        <v>263</v>
      </c>
      <c r="D11" t="str">
        <f t="shared" si="0"/>
        <v>LPGENEPJactivity</v>
      </c>
      <c r="E11" t="str">
        <f t="shared" si="1"/>
        <v>'01|CON_COMBPJsector|LPGENEPJactivity',</v>
      </c>
      <c r="F11">
        <f t="shared" si="2"/>
        <v>39</v>
      </c>
      <c r="G11">
        <f t="shared" si="3"/>
        <v>0</v>
      </c>
    </row>
    <row r="12" spans="1:7" x14ac:dyDescent="0.3">
      <c r="A12" s="5" t="s">
        <v>13</v>
      </c>
      <c r="B12" t="s">
        <v>25</v>
      </c>
      <c r="C12" t="s">
        <v>264</v>
      </c>
      <c r="D12" t="str">
        <f t="shared" si="0"/>
        <v>MDENEPJactivity</v>
      </c>
      <c r="E12" t="str">
        <f t="shared" si="1"/>
        <v>'01|CON_COMBPJsector|MDENEPJactivity',</v>
      </c>
      <c r="F12">
        <f t="shared" si="2"/>
        <v>38</v>
      </c>
      <c r="G12">
        <f t="shared" si="3"/>
        <v>0</v>
      </c>
    </row>
    <row r="13" spans="1:7" x14ac:dyDescent="0.3">
      <c r="A13" s="5" t="s">
        <v>13</v>
      </c>
      <c r="B13" t="s">
        <v>26</v>
      </c>
      <c r="C13" t="s">
        <v>254</v>
      </c>
      <c r="D13" t="str">
        <f t="shared" si="0"/>
        <v>BC1ENEPJactivity</v>
      </c>
      <c r="E13" t="str">
        <f t="shared" si="1"/>
        <v>'01|CON_COMB1PJsector|BC1ENEPJactivity',</v>
      </c>
      <c r="F13">
        <f t="shared" si="2"/>
        <v>40</v>
      </c>
      <c r="G13">
        <f t="shared" si="3"/>
        <v>0</v>
      </c>
    </row>
    <row r="14" spans="1:7" x14ac:dyDescent="0.3">
      <c r="A14" s="5" t="s">
        <v>13</v>
      </c>
      <c r="B14" t="s">
        <v>26</v>
      </c>
      <c r="C14" t="s">
        <v>255</v>
      </c>
      <c r="D14" t="str">
        <f t="shared" si="0"/>
        <v>BC2ENEPJactivity</v>
      </c>
      <c r="E14" t="str">
        <f t="shared" si="1"/>
        <v>'01|CON_COMB1PJsector|BC2ENEPJactivity',</v>
      </c>
      <c r="F14">
        <f t="shared" si="2"/>
        <v>40</v>
      </c>
      <c r="G14">
        <f t="shared" si="3"/>
        <v>0</v>
      </c>
    </row>
    <row r="15" spans="1:7" x14ac:dyDescent="0.3">
      <c r="A15" s="5" t="s">
        <v>13</v>
      </c>
      <c r="B15" t="s">
        <v>26</v>
      </c>
      <c r="C15" t="s">
        <v>259</v>
      </c>
      <c r="D15" t="str">
        <f t="shared" si="0"/>
        <v>HC1ENEPJactivity</v>
      </c>
      <c r="E15" t="str">
        <f t="shared" si="1"/>
        <v>'01|CON_COMB1PJsector|HC1ENEPJactivity',</v>
      </c>
      <c r="F15">
        <f t="shared" si="2"/>
        <v>40</v>
      </c>
      <c r="G15">
        <f t="shared" si="3"/>
        <v>0</v>
      </c>
    </row>
    <row r="16" spans="1:7" x14ac:dyDescent="0.3">
      <c r="A16" s="5" t="s">
        <v>13</v>
      </c>
      <c r="B16" t="s">
        <v>26</v>
      </c>
      <c r="C16" t="s">
        <v>260</v>
      </c>
      <c r="D16" t="str">
        <f t="shared" si="0"/>
        <v>HC2ENEPJactivity</v>
      </c>
      <c r="E16" t="str">
        <f t="shared" si="1"/>
        <v>'01|CON_COMB1PJsector|HC2ENEPJactivity',</v>
      </c>
      <c r="F16">
        <f t="shared" si="2"/>
        <v>40</v>
      </c>
      <c r="G16">
        <f t="shared" si="3"/>
        <v>0</v>
      </c>
    </row>
    <row r="17" spans="1:7" x14ac:dyDescent="0.3">
      <c r="A17" s="5" t="s">
        <v>13</v>
      </c>
      <c r="B17" t="s">
        <v>26</v>
      </c>
      <c r="C17" t="s">
        <v>261</v>
      </c>
      <c r="D17" t="str">
        <f t="shared" si="0"/>
        <v>HC3ENEPJactivity</v>
      </c>
      <c r="E17" t="str">
        <f t="shared" si="1"/>
        <v>'01|CON_COMB1PJsector|HC3ENEPJactivity',</v>
      </c>
      <c r="F17">
        <f t="shared" si="2"/>
        <v>40</v>
      </c>
      <c r="G17">
        <f t="shared" si="3"/>
        <v>0</v>
      </c>
    </row>
    <row r="18" spans="1:7" x14ac:dyDescent="0.3">
      <c r="A18" s="5" t="s">
        <v>13</v>
      </c>
      <c r="B18" t="s">
        <v>27</v>
      </c>
      <c r="C18" t="s">
        <v>254</v>
      </c>
      <c r="D18" t="str">
        <f t="shared" si="0"/>
        <v>BC1ENEPJactivity</v>
      </c>
      <c r="E18" t="str">
        <f t="shared" si="1"/>
        <v>'01|CON_COMB2PJsector|BC1ENEPJactivity',</v>
      </c>
      <c r="F18">
        <f t="shared" si="2"/>
        <v>40</v>
      </c>
      <c r="G18">
        <f t="shared" si="3"/>
        <v>0</v>
      </c>
    </row>
    <row r="19" spans="1:7" x14ac:dyDescent="0.3">
      <c r="A19" s="5" t="s">
        <v>13</v>
      </c>
      <c r="B19" t="s">
        <v>27</v>
      </c>
      <c r="C19" t="s">
        <v>255</v>
      </c>
      <c r="D19" t="str">
        <f t="shared" si="0"/>
        <v>BC2ENEPJactivity</v>
      </c>
      <c r="E19" t="str">
        <f t="shared" si="1"/>
        <v>'01|CON_COMB2PJsector|BC2ENEPJactivity',</v>
      </c>
      <c r="F19">
        <f t="shared" si="2"/>
        <v>40</v>
      </c>
      <c r="G19">
        <f t="shared" si="3"/>
        <v>0</v>
      </c>
    </row>
    <row r="20" spans="1:7" x14ac:dyDescent="0.3">
      <c r="A20" s="5" t="s">
        <v>13</v>
      </c>
      <c r="B20" t="s">
        <v>27</v>
      </c>
      <c r="C20" t="s">
        <v>259</v>
      </c>
      <c r="D20" t="str">
        <f t="shared" si="0"/>
        <v>HC1ENEPJactivity</v>
      </c>
      <c r="E20" t="str">
        <f t="shared" si="1"/>
        <v>'01|CON_COMB2PJsector|HC1ENEPJactivity',</v>
      </c>
      <c r="F20">
        <f t="shared" si="2"/>
        <v>40</v>
      </c>
      <c r="G20">
        <f t="shared" si="3"/>
        <v>0</v>
      </c>
    </row>
    <row r="21" spans="1:7" x14ac:dyDescent="0.3">
      <c r="A21" s="5" t="s">
        <v>13</v>
      </c>
      <c r="B21" t="s">
        <v>27</v>
      </c>
      <c r="C21" t="s">
        <v>260</v>
      </c>
      <c r="D21" t="str">
        <f t="shared" si="0"/>
        <v>HC2ENEPJactivity</v>
      </c>
      <c r="E21" t="str">
        <f t="shared" si="1"/>
        <v>'01|CON_COMB2PJsector|HC2ENEPJactivity',</v>
      </c>
      <c r="F21">
        <f t="shared" si="2"/>
        <v>40</v>
      </c>
      <c r="G21">
        <f t="shared" si="3"/>
        <v>0</v>
      </c>
    </row>
    <row r="22" spans="1:7" x14ac:dyDescent="0.3">
      <c r="A22" s="5" t="s">
        <v>13</v>
      </c>
      <c r="B22" t="s">
        <v>27</v>
      </c>
      <c r="C22" t="s">
        <v>261</v>
      </c>
      <c r="D22" t="str">
        <f t="shared" si="0"/>
        <v>HC3ENEPJactivity</v>
      </c>
      <c r="E22" t="str">
        <f t="shared" si="1"/>
        <v>'01|CON_COMB2PJsector|HC3ENEPJactivity',</v>
      </c>
      <c r="F22">
        <f t="shared" si="2"/>
        <v>40</v>
      </c>
      <c r="G22">
        <f t="shared" si="3"/>
        <v>0</v>
      </c>
    </row>
    <row r="23" spans="1:7" x14ac:dyDescent="0.3">
      <c r="A23" s="5" t="s">
        <v>13</v>
      </c>
      <c r="B23" t="s">
        <v>28</v>
      </c>
      <c r="C23" t="s">
        <v>254</v>
      </c>
      <c r="D23" t="str">
        <f t="shared" si="0"/>
        <v>BC1ENEPJactivity</v>
      </c>
      <c r="E23" t="str">
        <f t="shared" si="1"/>
        <v>'01|CON_COMB3PJsector|BC1ENEPJactivity',</v>
      </c>
      <c r="F23">
        <f t="shared" si="2"/>
        <v>40</v>
      </c>
      <c r="G23">
        <f t="shared" si="3"/>
        <v>0</v>
      </c>
    </row>
    <row r="24" spans="1:7" x14ac:dyDescent="0.3">
      <c r="A24" s="5" t="s">
        <v>13</v>
      </c>
      <c r="B24" t="s">
        <v>28</v>
      </c>
      <c r="C24" t="s">
        <v>255</v>
      </c>
      <c r="D24" t="str">
        <f t="shared" si="0"/>
        <v>BC2ENEPJactivity</v>
      </c>
      <c r="E24" t="str">
        <f t="shared" si="1"/>
        <v>'01|CON_COMB3PJsector|BC2ENEPJactivity',</v>
      </c>
      <c r="F24">
        <f t="shared" si="2"/>
        <v>40</v>
      </c>
      <c r="G24">
        <f t="shared" si="3"/>
        <v>0</v>
      </c>
    </row>
    <row r="25" spans="1:7" x14ac:dyDescent="0.3">
      <c r="A25" s="5" t="s">
        <v>13</v>
      </c>
      <c r="B25" t="s">
        <v>28</v>
      </c>
      <c r="C25" t="s">
        <v>259</v>
      </c>
      <c r="D25" t="str">
        <f t="shared" si="0"/>
        <v>HC1ENEPJactivity</v>
      </c>
      <c r="E25" t="str">
        <f t="shared" si="1"/>
        <v>'01|CON_COMB3PJsector|HC1ENEPJactivity',</v>
      </c>
      <c r="F25">
        <f t="shared" si="2"/>
        <v>40</v>
      </c>
      <c r="G25">
        <f t="shared" si="3"/>
        <v>0</v>
      </c>
    </row>
    <row r="26" spans="1:7" x14ac:dyDescent="0.3">
      <c r="A26" s="5" t="s">
        <v>13</v>
      </c>
      <c r="B26" t="s">
        <v>28</v>
      </c>
      <c r="C26" t="s">
        <v>260</v>
      </c>
      <c r="D26" t="str">
        <f t="shared" si="0"/>
        <v>HC2ENEPJactivity</v>
      </c>
      <c r="E26" t="str">
        <f t="shared" si="1"/>
        <v>'01|CON_COMB3PJsector|HC2ENEPJactivity',</v>
      </c>
      <c r="F26">
        <f t="shared" si="2"/>
        <v>40</v>
      </c>
      <c r="G26">
        <f t="shared" si="3"/>
        <v>0</v>
      </c>
    </row>
    <row r="27" spans="1:7" x14ac:dyDescent="0.3">
      <c r="A27" s="5" t="s">
        <v>13</v>
      </c>
      <c r="B27" t="s">
        <v>28</v>
      </c>
      <c r="C27" t="s">
        <v>261</v>
      </c>
      <c r="D27" t="str">
        <f t="shared" si="0"/>
        <v>HC3ENEPJactivity</v>
      </c>
      <c r="E27" t="str">
        <f t="shared" si="1"/>
        <v>'01|CON_COMB3PJsector|HC3ENEPJactivity',</v>
      </c>
      <c r="F27">
        <f t="shared" si="2"/>
        <v>40</v>
      </c>
      <c r="G27">
        <f t="shared" si="3"/>
        <v>0</v>
      </c>
    </row>
    <row r="28" spans="1:7" x14ac:dyDescent="0.3">
      <c r="A28" s="5" t="s">
        <v>13</v>
      </c>
      <c r="B28" t="s">
        <v>29</v>
      </c>
      <c r="C28" t="s">
        <v>257</v>
      </c>
      <c r="D28" t="str">
        <f t="shared" si="0"/>
        <v>GASENEPJactivity</v>
      </c>
      <c r="E28" t="str">
        <f t="shared" si="1"/>
        <v>'01|PP_ENGPJsector|GASENEPJactivity',</v>
      </c>
      <c r="F28">
        <f t="shared" si="2"/>
        <v>37</v>
      </c>
      <c r="G28">
        <f t="shared" si="3"/>
        <v>0</v>
      </c>
    </row>
    <row r="29" spans="1:7" x14ac:dyDescent="0.3">
      <c r="A29" s="5" t="s">
        <v>13</v>
      </c>
      <c r="B29" t="s">
        <v>29</v>
      </c>
      <c r="C29" t="s">
        <v>265</v>
      </c>
      <c r="D29" t="str">
        <f t="shared" si="0"/>
        <v>GAS_MENEPJactivity</v>
      </c>
      <c r="E29" t="str">
        <f t="shared" si="1"/>
        <v>'01|PP_ENGPJsector|GAS_MENEPJactivity',</v>
      </c>
      <c r="F29">
        <f t="shared" si="2"/>
        <v>39</v>
      </c>
      <c r="G29">
        <f t="shared" si="3"/>
        <v>0</v>
      </c>
    </row>
    <row r="30" spans="1:7" x14ac:dyDescent="0.3">
      <c r="A30" s="5" t="s">
        <v>13</v>
      </c>
      <c r="B30" t="s">
        <v>29</v>
      </c>
      <c r="C30" t="s">
        <v>262</v>
      </c>
      <c r="D30" t="str">
        <f t="shared" si="0"/>
        <v>HFENEPJactivity</v>
      </c>
      <c r="E30" t="str">
        <f t="shared" si="1"/>
        <v>'01|PP_ENGPJsector|HFENEPJactivity',</v>
      </c>
      <c r="F30">
        <f t="shared" si="2"/>
        <v>36</v>
      </c>
      <c r="G30">
        <f t="shared" si="3"/>
        <v>0</v>
      </c>
    </row>
    <row r="31" spans="1:7" x14ac:dyDescent="0.3">
      <c r="A31" s="5" t="s">
        <v>13</v>
      </c>
      <c r="B31" t="s">
        <v>29</v>
      </c>
      <c r="C31" t="s">
        <v>264</v>
      </c>
      <c r="D31" t="str">
        <f t="shared" si="0"/>
        <v>MDENEPJactivity</v>
      </c>
      <c r="E31" t="str">
        <f t="shared" si="1"/>
        <v>'01|PP_ENGPJsector|MDENEPJactivity',</v>
      </c>
      <c r="F31">
        <f t="shared" si="2"/>
        <v>36</v>
      </c>
      <c r="G31">
        <f t="shared" si="3"/>
        <v>0</v>
      </c>
    </row>
    <row r="32" spans="1:7" x14ac:dyDescent="0.3">
      <c r="A32" s="5" t="s">
        <v>13</v>
      </c>
      <c r="B32" t="s">
        <v>29</v>
      </c>
      <c r="C32" t="s">
        <v>266</v>
      </c>
      <c r="D32" t="str">
        <f t="shared" si="0"/>
        <v>MD_MENEPJactivity</v>
      </c>
      <c r="E32" t="str">
        <f t="shared" si="1"/>
        <v>'01|PP_ENGPJsector|MD_MENEPJactivity',</v>
      </c>
      <c r="F32">
        <f t="shared" si="2"/>
        <v>38</v>
      </c>
      <c r="G32">
        <f t="shared" si="3"/>
        <v>0</v>
      </c>
    </row>
    <row r="33" spans="1:7" x14ac:dyDescent="0.3">
      <c r="A33" s="5" t="s">
        <v>13</v>
      </c>
      <c r="B33" t="s">
        <v>30</v>
      </c>
      <c r="C33" t="s">
        <v>254</v>
      </c>
      <c r="D33" t="str">
        <f t="shared" si="0"/>
        <v>BC1ENEPJactivity</v>
      </c>
      <c r="E33" t="str">
        <f t="shared" si="1"/>
        <v>'01|PP_EX_LPJsector|BC1ENEPJactivity',</v>
      </c>
      <c r="F33">
        <f t="shared" si="2"/>
        <v>38</v>
      </c>
      <c r="G33">
        <f t="shared" si="3"/>
        <v>0</v>
      </c>
    </row>
    <row r="34" spans="1:7" x14ac:dyDescent="0.3">
      <c r="A34" s="5" t="s">
        <v>13</v>
      </c>
      <c r="B34" t="s">
        <v>30</v>
      </c>
      <c r="C34" t="s">
        <v>259</v>
      </c>
      <c r="D34" t="str">
        <f t="shared" si="0"/>
        <v>HC1ENEPJactivity</v>
      </c>
      <c r="E34" t="str">
        <f t="shared" si="1"/>
        <v>'01|PP_EX_LPJsector|HC1ENEPJactivity',</v>
      </c>
      <c r="F34">
        <f t="shared" si="2"/>
        <v>38</v>
      </c>
      <c r="G34">
        <f t="shared" si="3"/>
        <v>0</v>
      </c>
    </row>
    <row r="35" spans="1:7" x14ac:dyDescent="0.3">
      <c r="A35" s="5" t="s">
        <v>13</v>
      </c>
      <c r="B35" t="s">
        <v>30</v>
      </c>
      <c r="C35" t="s">
        <v>260</v>
      </c>
      <c r="D35" t="str">
        <f t="shared" si="0"/>
        <v>HC2ENEPJactivity</v>
      </c>
      <c r="E35" t="str">
        <f t="shared" si="1"/>
        <v>'01|PP_EX_LPJsector|HC2ENEPJactivity',</v>
      </c>
      <c r="F35">
        <f t="shared" si="2"/>
        <v>38</v>
      </c>
      <c r="G35">
        <f t="shared" si="3"/>
        <v>0</v>
      </c>
    </row>
    <row r="36" spans="1:7" x14ac:dyDescent="0.3">
      <c r="A36" s="5" t="s">
        <v>13</v>
      </c>
      <c r="B36" t="s">
        <v>30</v>
      </c>
      <c r="C36" t="s">
        <v>261</v>
      </c>
      <c r="D36" t="str">
        <f t="shared" si="0"/>
        <v>HC3ENEPJactivity</v>
      </c>
      <c r="E36" t="str">
        <f t="shared" si="1"/>
        <v>'01|PP_EX_LPJsector|HC3ENEPJactivity',</v>
      </c>
      <c r="F36">
        <f t="shared" si="2"/>
        <v>38</v>
      </c>
      <c r="G36">
        <f t="shared" si="3"/>
        <v>0</v>
      </c>
    </row>
    <row r="37" spans="1:7" x14ac:dyDescent="0.3">
      <c r="A37" s="5" t="s">
        <v>13</v>
      </c>
      <c r="B37" t="s">
        <v>31</v>
      </c>
      <c r="C37" t="s">
        <v>256</v>
      </c>
      <c r="D37" t="str">
        <f t="shared" si="0"/>
        <v>DCENEPJactivity</v>
      </c>
      <c r="E37" t="str">
        <f t="shared" si="1"/>
        <v>'01|PP_EX_OTHPJsector|DCENEPJactivity',</v>
      </c>
      <c r="F37">
        <f t="shared" si="2"/>
        <v>39</v>
      </c>
      <c r="G37">
        <f t="shared" si="3"/>
        <v>0</v>
      </c>
    </row>
    <row r="38" spans="1:7" x14ac:dyDescent="0.3">
      <c r="A38" s="5" t="s">
        <v>13</v>
      </c>
      <c r="B38" t="s">
        <v>31</v>
      </c>
      <c r="C38" t="s">
        <v>257</v>
      </c>
      <c r="D38" t="str">
        <f t="shared" si="0"/>
        <v>GASENEPJactivity</v>
      </c>
      <c r="E38" t="str">
        <f t="shared" si="1"/>
        <v>'01|PP_EX_OTHPJsector|GASENEPJactivity',</v>
      </c>
      <c r="F38">
        <f t="shared" si="2"/>
        <v>40</v>
      </c>
      <c r="G38">
        <f t="shared" si="3"/>
        <v>0</v>
      </c>
    </row>
    <row r="39" spans="1:7" x14ac:dyDescent="0.3">
      <c r="A39" s="5" t="s">
        <v>13</v>
      </c>
      <c r="B39" t="s">
        <v>31</v>
      </c>
      <c r="C39" t="s">
        <v>258</v>
      </c>
      <c r="D39" t="str">
        <f t="shared" si="0"/>
        <v>GSLENEPJactivity</v>
      </c>
      <c r="E39" t="str">
        <f t="shared" si="1"/>
        <v>'01|PP_EX_OTHPJsector|GSLENEPJactivity',</v>
      </c>
      <c r="F39">
        <f t="shared" si="2"/>
        <v>40</v>
      </c>
      <c r="G39">
        <f t="shared" si="3"/>
        <v>0</v>
      </c>
    </row>
    <row r="40" spans="1:7" x14ac:dyDescent="0.3">
      <c r="A40" s="5" t="s">
        <v>13</v>
      </c>
      <c r="B40" t="s">
        <v>31</v>
      </c>
      <c r="C40" t="s">
        <v>262</v>
      </c>
      <c r="D40" t="str">
        <f t="shared" si="0"/>
        <v>HFENEPJactivity</v>
      </c>
      <c r="E40" t="str">
        <f t="shared" si="1"/>
        <v>'01|PP_EX_OTHPJsector|HFENEPJactivity',</v>
      </c>
      <c r="F40">
        <f t="shared" si="2"/>
        <v>39</v>
      </c>
      <c r="G40">
        <f t="shared" si="3"/>
        <v>0</v>
      </c>
    </row>
    <row r="41" spans="1:7" x14ac:dyDescent="0.3">
      <c r="A41" s="5" t="s">
        <v>13</v>
      </c>
      <c r="B41" t="s">
        <v>31</v>
      </c>
      <c r="C41" t="s">
        <v>264</v>
      </c>
      <c r="D41" t="str">
        <f t="shared" si="0"/>
        <v>MDENEPJactivity</v>
      </c>
      <c r="E41" t="str">
        <f t="shared" si="1"/>
        <v>'01|PP_EX_OTHPJsector|MDENEPJactivity',</v>
      </c>
      <c r="F41">
        <f t="shared" si="2"/>
        <v>39</v>
      </c>
      <c r="G41">
        <f t="shared" si="3"/>
        <v>0</v>
      </c>
    </row>
    <row r="42" spans="1:7" x14ac:dyDescent="0.3">
      <c r="A42" s="5" t="s">
        <v>13</v>
      </c>
      <c r="B42" t="s">
        <v>31</v>
      </c>
      <c r="C42" t="s">
        <v>267</v>
      </c>
      <c r="D42" t="str">
        <f t="shared" si="0"/>
        <v>OS1ENEPJactivity</v>
      </c>
      <c r="E42" t="str">
        <f t="shared" si="1"/>
        <v>'01|PP_EX_OTHPJsector|OS1ENEPJactivity',</v>
      </c>
      <c r="F42">
        <f t="shared" si="2"/>
        <v>40</v>
      </c>
      <c r="G42">
        <f t="shared" si="3"/>
        <v>0</v>
      </c>
    </row>
    <row r="43" spans="1:7" x14ac:dyDescent="0.3">
      <c r="A43" s="5" t="s">
        <v>13</v>
      </c>
      <c r="B43" t="s">
        <v>31</v>
      </c>
      <c r="C43" t="s">
        <v>268</v>
      </c>
      <c r="D43" t="str">
        <f t="shared" si="0"/>
        <v>OS2ENEPJactivity</v>
      </c>
      <c r="E43" t="str">
        <f t="shared" si="1"/>
        <v>'01|PP_EX_OTHPJsector|OS2ENEPJactivity',</v>
      </c>
      <c r="F43">
        <f t="shared" si="2"/>
        <v>40</v>
      </c>
      <c r="G43">
        <f t="shared" si="3"/>
        <v>0</v>
      </c>
    </row>
    <row r="44" spans="1:7" x14ac:dyDescent="0.3">
      <c r="A44" s="5" t="s">
        <v>13</v>
      </c>
      <c r="B44" t="s">
        <v>31</v>
      </c>
      <c r="C44" t="s">
        <v>269</v>
      </c>
      <c r="D44" t="str">
        <f t="shared" si="0"/>
        <v>WSFNRENEPJactivity</v>
      </c>
      <c r="E44" t="str">
        <f t="shared" si="1"/>
        <v>'01|PP_EX_OTHPJsector|WSFNRENEPJactivity',</v>
      </c>
      <c r="F44">
        <f t="shared" si="2"/>
        <v>42</v>
      </c>
      <c r="G44">
        <f t="shared" si="3"/>
        <v>0</v>
      </c>
    </row>
    <row r="45" spans="1:7" x14ac:dyDescent="0.3">
      <c r="A45" s="5" t="s">
        <v>13</v>
      </c>
      <c r="B45" t="s">
        <v>32</v>
      </c>
      <c r="C45" t="s">
        <v>254</v>
      </c>
      <c r="D45" t="str">
        <f t="shared" si="0"/>
        <v>BC1ENEPJactivity</v>
      </c>
      <c r="E45" t="str">
        <f t="shared" si="1"/>
        <v>'01|PP_EX_SPJsector|BC1ENEPJactivity',</v>
      </c>
      <c r="F45">
        <f t="shared" si="2"/>
        <v>38</v>
      </c>
      <c r="G45">
        <f t="shared" si="3"/>
        <v>0</v>
      </c>
    </row>
    <row r="46" spans="1:7" x14ac:dyDescent="0.3">
      <c r="A46" s="5" t="s">
        <v>13</v>
      </c>
      <c r="B46" t="s">
        <v>32</v>
      </c>
      <c r="C46" t="s">
        <v>259</v>
      </c>
      <c r="D46" t="str">
        <f t="shared" si="0"/>
        <v>HC1ENEPJactivity</v>
      </c>
      <c r="E46" t="str">
        <f t="shared" si="1"/>
        <v>'01|PP_EX_SPJsector|HC1ENEPJactivity',</v>
      </c>
      <c r="F46">
        <f t="shared" si="2"/>
        <v>38</v>
      </c>
      <c r="G46">
        <f t="shared" si="3"/>
        <v>0</v>
      </c>
    </row>
    <row r="47" spans="1:7" x14ac:dyDescent="0.3">
      <c r="A47" s="5" t="s">
        <v>13</v>
      </c>
      <c r="B47" t="s">
        <v>33</v>
      </c>
      <c r="C47" t="s">
        <v>259</v>
      </c>
      <c r="D47" t="str">
        <f t="shared" si="0"/>
        <v>HC1ENEPJactivity</v>
      </c>
      <c r="E47" t="str">
        <f t="shared" si="1"/>
        <v>'01|PP_IGCCPJsector|HC1ENEPJactivity',</v>
      </c>
      <c r="F47">
        <f t="shared" si="2"/>
        <v>38</v>
      </c>
      <c r="G47">
        <f t="shared" si="3"/>
        <v>0</v>
      </c>
    </row>
    <row r="48" spans="1:7" x14ac:dyDescent="0.3">
      <c r="A48" s="5" t="s">
        <v>13</v>
      </c>
      <c r="B48" t="s">
        <v>33</v>
      </c>
      <c r="C48" t="s">
        <v>260</v>
      </c>
      <c r="D48" t="str">
        <f t="shared" si="0"/>
        <v>HC2ENEPJactivity</v>
      </c>
      <c r="E48" t="str">
        <f t="shared" si="1"/>
        <v>'01|PP_IGCCPJsector|HC2ENEPJactivity',</v>
      </c>
      <c r="F48">
        <f t="shared" si="2"/>
        <v>38</v>
      </c>
      <c r="G48">
        <f t="shared" si="3"/>
        <v>0</v>
      </c>
    </row>
    <row r="49" spans="1:7" x14ac:dyDescent="0.3">
      <c r="A49" s="5" t="s">
        <v>13</v>
      </c>
      <c r="B49" t="s">
        <v>33</v>
      </c>
      <c r="C49" t="s">
        <v>261</v>
      </c>
      <c r="D49" t="str">
        <f t="shared" si="0"/>
        <v>HC3ENEPJactivity</v>
      </c>
      <c r="E49" t="str">
        <f t="shared" si="1"/>
        <v>'01|PP_IGCCPJsector|HC3ENEPJactivity',</v>
      </c>
      <c r="F49">
        <f t="shared" si="2"/>
        <v>38</v>
      </c>
      <c r="G49">
        <f t="shared" si="3"/>
        <v>0</v>
      </c>
    </row>
    <row r="50" spans="1:7" x14ac:dyDescent="0.3">
      <c r="A50" s="5" t="s">
        <v>13</v>
      </c>
      <c r="B50" t="s">
        <v>34</v>
      </c>
      <c r="C50" t="s">
        <v>254</v>
      </c>
      <c r="D50" t="str">
        <f t="shared" si="0"/>
        <v>BC1ENEPJactivity</v>
      </c>
      <c r="E50" t="str">
        <f t="shared" si="1"/>
        <v>'01|PP_MODPJsector|BC1ENEPJactivity',</v>
      </c>
      <c r="F50">
        <f t="shared" si="2"/>
        <v>37</v>
      </c>
      <c r="G50">
        <f t="shared" si="3"/>
        <v>0</v>
      </c>
    </row>
    <row r="51" spans="1:7" x14ac:dyDescent="0.3">
      <c r="A51" s="5" t="s">
        <v>13</v>
      </c>
      <c r="B51" t="s">
        <v>34</v>
      </c>
      <c r="C51" t="s">
        <v>257</v>
      </c>
      <c r="D51" t="str">
        <f t="shared" si="0"/>
        <v>GASENEPJactivity</v>
      </c>
      <c r="E51" t="str">
        <f t="shared" si="1"/>
        <v>'01|PP_MODPJsector|GASENEPJactivity',</v>
      </c>
      <c r="F51">
        <f t="shared" si="2"/>
        <v>37</v>
      </c>
      <c r="G51">
        <f t="shared" si="3"/>
        <v>0</v>
      </c>
    </row>
    <row r="52" spans="1:7" x14ac:dyDescent="0.3">
      <c r="A52" s="5" t="s">
        <v>13</v>
      </c>
      <c r="B52" t="s">
        <v>34</v>
      </c>
      <c r="C52" t="s">
        <v>259</v>
      </c>
      <c r="D52" t="str">
        <f t="shared" si="0"/>
        <v>HC1ENEPJactivity</v>
      </c>
      <c r="E52" t="str">
        <f t="shared" si="1"/>
        <v>'01|PP_MODPJsector|HC1ENEPJactivity',</v>
      </c>
      <c r="F52">
        <f t="shared" si="2"/>
        <v>37</v>
      </c>
      <c r="G52">
        <f t="shared" si="3"/>
        <v>0</v>
      </c>
    </row>
    <row r="53" spans="1:7" x14ac:dyDescent="0.3">
      <c r="A53" s="5" t="s">
        <v>13</v>
      </c>
      <c r="B53" t="s">
        <v>34</v>
      </c>
      <c r="C53" t="s">
        <v>260</v>
      </c>
      <c r="D53" t="str">
        <f t="shared" si="0"/>
        <v>HC2ENEPJactivity</v>
      </c>
      <c r="E53" t="str">
        <f t="shared" si="1"/>
        <v>'01|PP_MODPJsector|HC2ENEPJactivity',</v>
      </c>
      <c r="F53">
        <f t="shared" si="2"/>
        <v>37</v>
      </c>
      <c r="G53">
        <f t="shared" si="3"/>
        <v>0</v>
      </c>
    </row>
    <row r="54" spans="1:7" x14ac:dyDescent="0.3">
      <c r="A54" s="5" t="s">
        <v>13</v>
      </c>
      <c r="B54" t="s">
        <v>34</v>
      </c>
      <c r="C54" t="s">
        <v>261</v>
      </c>
      <c r="D54" t="str">
        <f t="shared" si="0"/>
        <v>HC3ENEPJactivity</v>
      </c>
      <c r="E54" t="str">
        <f t="shared" si="1"/>
        <v>'01|PP_MODPJsector|HC3ENEPJactivity',</v>
      </c>
      <c r="F54">
        <f t="shared" si="2"/>
        <v>37</v>
      </c>
      <c r="G54">
        <f t="shared" si="3"/>
        <v>0</v>
      </c>
    </row>
    <row r="55" spans="1:7" x14ac:dyDescent="0.3">
      <c r="A55" s="5" t="s">
        <v>13</v>
      </c>
      <c r="B55" t="s">
        <v>35</v>
      </c>
      <c r="C55" t="s">
        <v>256</v>
      </c>
      <c r="D55" t="str">
        <f t="shared" si="0"/>
        <v>DCENEPJactivity</v>
      </c>
      <c r="E55" t="str">
        <f t="shared" si="1"/>
        <v>'01|PP_NEWPJsector|DCENEPJactivity',</v>
      </c>
      <c r="F55">
        <f t="shared" si="2"/>
        <v>36</v>
      </c>
      <c r="G55">
        <f t="shared" si="3"/>
        <v>0</v>
      </c>
    </row>
    <row r="56" spans="1:7" x14ac:dyDescent="0.3">
      <c r="A56" s="5" t="s">
        <v>13</v>
      </c>
      <c r="B56" t="s">
        <v>35</v>
      </c>
      <c r="C56" t="s">
        <v>270</v>
      </c>
      <c r="D56" t="str">
        <f t="shared" si="0"/>
        <v>FWDENEPJactivity</v>
      </c>
      <c r="E56" t="str">
        <f t="shared" si="1"/>
        <v>'01|PP_NEWPJsector|FWDENEPJactivity',</v>
      </c>
      <c r="F56">
        <f t="shared" si="2"/>
        <v>37</v>
      </c>
      <c r="G56">
        <f t="shared" si="3"/>
        <v>0</v>
      </c>
    </row>
    <row r="57" spans="1:7" x14ac:dyDescent="0.3">
      <c r="A57" s="5" t="s">
        <v>13</v>
      </c>
      <c r="B57" t="s">
        <v>35</v>
      </c>
      <c r="C57" t="s">
        <v>257</v>
      </c>
      <c r="D57" t="str">
        <f t="shared" si="0"/>
        <v>GASENEPJactivity</v>
      </c>
      <c r="E57" t="str">
        <f t="shared" si="1"/>
        <v>'01|PP_NEWPJsector|GASENEPJactivity',</v>
      </c>
      <c r="F57">
        <f t="shared" si="2"/>
        <v>37</v>
      </c>
      <c r="G57">
        <f t="shared" si="3"/>
        <v>0</v>
      </c>
    </row>
    <row r="58" spans="1:7" x14ac:dyDescent="0.3">
      <c r="A58" s="5" t="s">
        <v>13</v>
      </c>
      <c r="B58" t="s">
        <v>35</v>
      </c>
      <c r="C58" t="s">
        <v>258</v>
      </c>
      <c r="D58" t="str">
        <f t="shared" si="0"/>
        <v>GSLENEPJactivity</v>
      </c>
      <c r="E58" t="str">
        <f t="shared" si="1"/>
        <v>'01|PP_NEWPJsector|GSLENEPJactivity',</v>
      </c>
      <c r="F58">
        <f t="shared" si="2"/>
        <v>37</v>
      </c>
      <c r="G58">
        <f t="shared" si="3"/>
        <v>0</v>
      </c>
    </row>
    <row r="59" spans="1:7" x14ac:dyDescent="0.3">
      <c r="A59" s="5" t="s">
        <v>13</v>
      </c>
      <c r="B59" t="s">
        <v>35</v>
      </c>
      <c r="C59" t="s">
        <v>262</v>
      </c>
      <c r="D59" t="str">
        <f t="shared" si="0"/>
        <v>HFENEPJactivity</v>
      </c>
      <c r="E59" t="str">
        <f t="shared" si="1"/>
        <v>'01|PP_NEWPJsector|HFENEPJactivity',</v>
      </c>
      <c r="F59">
        <f t="shared" si="2"/>
        <v>36</v>
      </c>
      <c r="G59">
        <f t="shared" si="3"/>
        <v>0</v>
      </c>
    </row>
    <row r="60" spans="1:7" x14ac:dyDescent="0.3">
      <c r="A60" s="5" t="s">
        <v>13</v>
      </c>
      <c r="B60" t="s">
        <v>35</v>
      </c>
      <c r="C60" t="s">
        <v>264</v>
      </c>
      <c r="D60" t="str">
        <f t="shared" si="0"/>
        <v>MDENEPJactivity</v>
      </c>
      <c r="E60" t="str">
        <f t="shared" si="1"/>
        <v>'01|PP_NEWPJsector|MDENEPJactivity',</v>
      </c>
      <c r="F60">
        <f t="shared" si="2"/>
        <v>36</v>
      </c>
      <c r="G60">
        <f t="shared" si="3"/>
        <v>0</v>
      </c>
    </row>
    <row r="61" spans="1:7" x14ac:dyDescent="0.3">
      <c r="A61" s="5" t="s">
        <v>13</v>
      </c>
      <c r="B61" t="s">
        <v>35</v>
      </c>
      <c r="C61" t="s">
        <v>267</v>
      </c>
      <c r="D61" t="str">
        <f t="shared" si="0"/>
        <v>OS1ENEPJactivity</v>
      </c>
      <c r="E61" t="str">
        <f t="shared" si="1"/>
        <v>'01|PP_NEWPJsector|OS1ENEPJactivity',</v>
      </c>
      <c r="F61">
        <f t="shared" si="2"/>
        <v>37</v>
      </c>
      <c r="G61">
        <f t="shared" si="3"/>
        <v>0</v>
      </c>
    </row>
    <row r="62" spans="1:7" x14ac:dyDescent="0.3">
      <c r="A62" s="5" t="s">
        <v>13</v>
      </c>
      <c r="B62" t="s">
        <v>35</v>
      </c>
      <c r="C62" t="s">
        <v>268</v>
      </c>
      <c r="D62" t="str">
        <f t="shared" si="0"/>
        <v>OS2ENEPJactivity</v>
      </c>
      <c r="E62" t="str">
        <f t="shared" si="1"/>
        <v>'01|PP_NEWPJsector|OS2ENEPJactivity',</v>
      </c>
      <c r="F62">
        <f t="shared" si="2"/>
        <v>37</v>
      </c>
      <c r="G62">
        <f t="shared" si="3"/>
        <v>0</v>
      </c>
    </row>
    <row r="63" spans="1:7" x14ac:dyDescent="0.3">
      <c r="A63" s="5" t="s">
        <v>13</v>
      </c>
      <c r="B63" t="s">
        <v>35</v>
      </c>
      <c r="C63" t="s">
        <v>269</v>
      </c>
      <c r="D63" t="str">
        <f t="shared" si="0"/>
        <v>WSFNRENEPJactivity</v>
      </c>
      <c r="E63" t="str">
        <f t="shared" si="1"/>
        <v>'01|PP_NEWPJsector|WSFNRENEPJactivity',</v>
      </c>
      <c r="F63">
        <f t="shared" si="2"/>
        <v>39</v>
      </c>
      <c r="G63">
        <f t="shared" si="3"/>
        <v>0</v>
      </c>
    </row>
    <row r="64" spans="1:7" x14ac:dyDescent="0.3">
      <c r="A64" s="5" t="s">
        <v>13</v>
      </c>
      <c r="B64" t="s">
        <v>35</v>
      </c>
      <c r="C64" t="s">
        <v>271</v>
      </c>
      <c r="D64" t="str">
        <f t="shared" si="0"/>
        <v>WSFRENEPJactivity</v>
      </c>
      <c r="E64" t="str">
        <f t="shared" si="1"/>
        <v>'01|PP_NEWPJsector|WSFRENEPJactivity',</v>
      </c>
      <c r="F64">
        <f t="shared" si="2"/>
        <v>38</v>
      </c>
      <c r="G64">
        <f t="shared" si="3"/>
        <v>0</v>
      </c>
    </row>
    <row r="65" spans="1:7" x14ac:dyDescent="0.3">
      <c r="A65" s="5" t="s">
        <v>13</v>
      </c>
      <c r="B65" t="s">
        <v>36</v>
      </c>
      <c r="C65" t="s">
        <v>254</v>
      </c>
      <c r="D65" t="str">
        <f t="shared" si="0"/>
        <v>BC1ENEPJactivity</v>
      </c>
      <c r="E65" t="str">
        <f t="shared" si="1"/>
        <v>'01|PP_NEW_LPJsector|BC1ENEPJactivity',</v>
      </c>
      <c r="F65">
        <f t="shared" si="2"/>
        <v>39</v>
      </c>
      <c r="G65">
        <f t="shared" si="3"/>
        <v>0</v>
      </c>
    </row>
    <row r="66" spans="1:7" x14ac:dyDescent="0.3">
      <c r="A66" s="5" t="s">
        <v>13</v>
      </c>
      <c r="B66" t="s">
        <v>36</v>
      </c>
      <c r="C66" t="s">
        <v>259</v>
      </c>
      <c r="D66" t="str">
        <f t="shared" si="0"/>
        <v>HC1ENEPJactivity</v>
      </c>
      <c r="E66" t="str">
        <f t="shared" si="1"/>
        <v>'01|PP_NEW_LPJsector|HC1ENEPJactivity',</v>
      </c>
      <c r="F66">
        <f t="shared" si="2"/>
        <v>39</v>
      </c>
      <c r="G66">
        <f t="shared" si="3"/>
        <v>0</v>
      </c>
    </row>
    <row r="67" spans="1:7" x14ac:dyDescent="0.3">
      <c r="A67" s="5" t="s">
        <v>13</v>
      </c>
      <c r="B67" t="s">
        <v>36</v>
      </c>
      <c r="C67" t="s">
        <v>260</v>
      </c>
      <c r="D67" t="str">
        <f t="shared" ref="D67:D130" si="4">C67</f>
        <v>HC2ENEPJactivity</v>
      </c>
      <c r="E67" t="str">
        <f t="shared" ref="E67:E130" si="5">"'"&amp;A67&amp;"|"&amp;B67&amp;"|"&amp;D67&amp;"'"&amp;","</f>
        <v>'01|PP_NEW_LPJsector|HC2ENEPJactivity',</v>
      </c>
      <c r="F67">
        <f t="shared" ref="F67:F130" si="6">LEN(E67)</f>
        <v>39</v>
      </c>
      <c r="G67">
        <f t="shared" ref="G67:G130" si="7">IF(F67&lt;63,,10)</f>
        <v>0</v>
      </c>
    </row>
    <row r="68" spans="1:7" x14ac:dyDescent="0.3">
      <c r="A68" s="5" t="s">
        <v>13</v>
      </c>
      <c r="B68" t="s">
        <v>36</v>
      </c>
      <c r="C68" t="s">
        <v>261</v>
      </c>
      <c r="D68" t="str">
        <f t="shared" si="4"/>
        <v>HC3ENEPJactivity</v>
      </c>
      <c r="E68" t="str">
        <f t="shared" si="5"/>
        <v>'01|PP_NEW_LPJsector|HC3ENEPJactivity',</v>
      </c>
      <c r="F68">
        <f t="shared" si="6"/>
        <v>39</v>
      </c>
      <c r="G68">
        <f t="shared" si="7"/>
        <v>0</v>
      </c>
    </row>
    <row r="69" spans="1:7" x14ac:dyDescent="0.3">
      <c r="A69" s="5" t="s">
        <v>14</v>
      </c>
      <c r="B69" t="s">
        <v>37</v>
      </c>
      <c r="C69" t="s">
        <v>254</v>
      </c>
      <c r="D69" t="str">
        <f t="shared" si="4"/>
        <v>BC1ENEPJactivity</v>
      </c>
      <c r="E69" t="str">
        <f t="shared" si="5"/>
        <v>'02|DOMPJsector|BC1ENEPJactivity',</v>
      </c>
      <c r="F69">
        <f t="shared" si="6"/>
        <v>34</v>
      </c>
      <c r="G69">
        <f t="shared" si="7"/>
        <v>0</v>
      </c>
    </row>
    <row r="70" spans="1:7" x14ac:dyDescent="0.3">
      <c r="A70" s="5" t="s">
        <v>14</v>
      </c>
      <c r="B70" t="s">
        <v>37</v>
      </c>
      <c r="C70" t="s">
        <v>272</v>
      </c>
      <c r="D70" t="str">
        <f t="shared" si="4"/>
        <v>BIOGENEPJactivity</v>
      </c>
      <c r="E70" t="str">
        <f t="shared" si="5"/>
        <v>'02|DOMPJsector|BIOGENEPJactivity',</v>
      </c>
      <c r="F70">
        <f t="shared" si="6"/>
        <v>35</v>
      </c>
      <c r="G70">
        <f t="shared" si="7"/>
        <v>0</v>
      </c>
    </row>
    <row r="71" spans="1:7" x14ac:dyDescent="0.3">
      <c r="A71" s="5" t="s">
        <v>14</v>
      </c>
      <c r="B71" t="s">
        <v>37</v>
      </c>
      <c r="C71" t="s">
        <v>273</v>
      </c>
      <c r="D71" t="str">
        <f t="shared" si="4"/>
        <v>CHCOAENEPJactivity</v>
      </c>
      <c r="E71" t="str">
        <f t="shared" si="5"/>
        <v>'02|DOMPJsector|CHCOAENEPJactivity',</v>
      </c>
      <c r="F71">
        <f t="shared" si="6"/>
        <v>36</v>
      </c>
      <c r="G71">
        <f t="shared" si="7"/>
        <v>0</v>
      </c>
    </row>
    <row r="72" spans="1:7" x14ac:dyDescent="0.3">
      <c r="A72" s="5" t="s">
        <v>14</v>
      </c>
      <c r="B72" t="s">
        <v>37</v>
      </c>
      <c r="C72" t="s">
        <v>256</v>
      </c>
      <c r="D72" t="str">
        <f t="shared" si="4"/>
        <v>DCENEPJactivity</v>
      </c>
      <c r="E72" t="str">
        <f t="shared" si="5"/>
        <v>'02|DOMPJsector|DCENEPJactivity',</v>
      </c>
      <c r="F72">
        <f t="shared" si="6"/>
        <v>33</v>
      </c>
      <c r="G72">
        <f t="shared" si="7"/>
        <v>0</v>
      </c>
    </row>
    <row r="73" spans="1:7" x14ac:dyDescent="0.3">
      <c r="A73" s="5" t="s">
        <v>14</v>
      </c>
      <c r="B73" t="s">
        <v>37</v>
      </c>
      <c r="C73" t="s">
        <v>257</v>
      </c>
      <c r="D73" t="str">
        <f t="shared" si="4"/>
        <v>GASENEPJactivity</v>
      </c>
      <c r="E73" t="str">
        <f t="shared" si="5"/>
        <v>'02|DOMPJsector|GASENEPJactivity',</v>
      </c>
      <c r="F73">
        <f t="shared" si="6"/>
        <v>34</v>
      </c>
      <c r="G73">
        <f t="shared" si="7"/>
        <v>0</v>
      </c>
    </row>
    <row r="74" spans="1:7" x14ac:dyDescent="0.3">
      <c r="A74" s="5" t="s">
        <v>14</v>
      </c>
      <c r="B74" t="s">
        <v>37</v>
      </c>
      <c r="C74" t="s">
        <v>258</v>
      </c>
      <c r="D74" t="str">
        <f t="shared" si="4"/>
        <v>GSLENEPJactivity</v>
      </c>
      <c r="E74" t="str">
        <f t="shared" si="5"/>
        <v>'02|DOMPJsector|GSLENEPJactivity',</v>
      </c>
      <c r="F74">
        <f t="shared" si="6"/>
        <v>34</v>
      </c>
      <c r="G74">
        <f t="shared" si="7"/>
        <v>0</v>
      </c>
    </row>
    <row r="75" spans="1:7" x14ac:dyDescent="0.3">
      <c r="A75" s="5" t="s">
        <v>14</v>
      </c>
      <c r="B75" t="s">
        <v>37</v>
      </c>
      <c r="C75" t="s">
        <v>259</v>
      </c>
      <c r="D75" t="str">
        <f t="shared" si="4"/>
        <v>HC1ENEPJactivity</v>
      </c>
      <c r="E75" t="str">
        <f t="shared" si="5"/>
        <v>'02|DOMPJsector|HC1ENEPJactivity',</v>
      </c>
      <c r="F75">
        <f t="shared" si="6"/>
        <v>34</v>
      </c>
      <c r="G75">
        <f t="shared" si="7"/>
        <v>0</v>
      </c>
    </row>
    <row r="76" spans="1:7" x14ac:dyDescent="0.3">
      <c r="A76" s="5" t="s">
        <v>14</v>
      </c>
      <c r="B76" t="s">
        <v>37</v>
      </c>
      <c r="C76" t="s">
        <v>260</v>
      </c>
      <c r="D76" t="str">
        <f t="shared" si="4"/>
        <v>HC2ENEPJactivity</v>
      </c>
      <c r="E76" t="str">
        <f t="shared" si="5"/>
        <v>'02|DOMPJsector|HC2ENEPJactivity',</v>
      </c>
      <c r="F76">
        <f t="shared" si="6"/>
        <v>34</v>
      </c>
      <c r="G76">
        <f t="shared" si="7"/>
        <v>0</v>
      </c>
    </row>
    <row r="77" spans="1:7" x14ac:dyDescent="0.3">
      <c r="A77" s="5" t="s">
        <v>14</v>
      </c>
      <c r="B77" t="s">
        <v>37</v>
      </c>
      <c r="C77" t="s">
        <v>261</v>
      </c>
      <c r="D77" t="str">
        <f t="shared" si="4"/>
        <v>HC3ENEPJactivity</v>
      </c>
      <c r="E77" t="str">
        <f t="shared" si="5"/>
        <v>'02|DOMPJsector|HC3ENEPJactivity',</v>
      </c>
      <c r="F77">
        <f t="shared" si="6"/>
        <v>34</v>
      </c>
      <c r="G77">
        <f t="shared" si="7"/>
        <v>0</v>
      </c>
    </row>
    <row r="78" spans="1:7" x14ac:dyDescent="0.3">
      <c r="A78" s="5" t="s">
        <v>14</v>
      </c>
      <c r="B78" t="s">
        <v>37</v>
      </c>
      <c r="C78" t="s">
        <v>262</v>
      </c>
      <c r="D78" t="str">
        <f t="shared" si="4"/>
        <v>HFENEPJactivity</v>
      </c>
      <c r="E78" t="str">
        <f t="shared" si="5"/>
        <v>'02|DOMPJsector|HFENEPJactivity',</v>
      </c>
      <c r="F78">
        <f t="shared" si="6"/>
        <v>33</v>
      </c>
      <c r="G78">
        <f t="shared" si="7"/>
        <v>0</v>
      </c>
    </row>
    <row r="79" spans="1:7" x14ac:dyDescent="0.3">
      <c r="A79" s="5" t="s">
        <v>14</v>
      </c>
      <c r="B79" t="s">
        <v>37</v>
      </c>
      <c r="C79" t="s">
        <v>263</v>
      </c>
      <c r="D79" t="str">
        <f t="shared" si="4"/>
        <v>LPGENEPJactivity</v>
      </c>
      <c r="E79" t="str">
        <f t="shared" si="5"/>
        <v>'02|DOMPJsector|LPGENEPJactivity',</v>
      </c>
      <c r="F79">
        <f t="shared" si="6"/>
        <v>34</v>
      </c>
      <c r="G79">
        <f t="shared" si="7"/>
        <v>0</v>
      </c>
    </row>
    <row r="80" spans="1:7" x14ac:dyDescent="0.3">
      <c r="A80" s="5" t="s">
        <v>14</v>
      </c>
      <c r="B80" t="s">
        <v>37</v>
      </c>
      <c r="C80" t="s">
        <v>264</v>
      </c>
      <c r="D80" t="str">
        <f t="shared" si="4"/>
        <v>MDENEPJactivity</v>
      </c>
      <c r="E80" t="str">
        <f t="shared" si="5"/>
        <v>'02|DOMPJsector|MDENEPJactivity',</v>
      </c>
      <c r="F80">
        <f t="shared" si="6"/>
        <v>33</v>
      </c>
      <c r="G80">
        <f t="shared" si="7"/>
        <v>0</v>
      </c>
    </row>
    <row r="81" spans="1:7" x14ac:dyDescent="0.3">
      <c r="A81" s="5" t="s">
        <v>14</v>
      </c>
      <c r="B81" t="s">
        <v>37</v>
      </c>
      <c r="C81" t="s">
        <v>267</v>
      </c>
      <c r="D81" t="str">
        <f t="shared" si="4"/>
        <v>OS1ENEPJactivity</v>
      </c>
      <c r="E81" t="str">
        <f t="shared" si="5"/>
        <v>'02|DOMPJsector|OS1ENEPJactivity',</v>
      </c>
      <c r="F81">
        <f t="shared" si="6"/>
        <v>34</v>
      </c>
      <c r="G81">
        <f t="shared" si="7"/>
        <v>0</v>
      </c>
    </row>
    <row r="82" spans="1:7" x14ac:dyDescent="0.3">
      <c r="A82" s="5" t="s">
        <v>14</v>
      </c>
      <c r="B82" t="s">
        <v>38</v>
      </c>
      <c r="C82" t="s">
        <v>270</v>
      </c>
      <c r="D82" t="str">
        <f t="shared" si="4"/>
        <v>FWDENEPJactivity</v>
      </c>
      <c r="E82" t="str">
        <f t="shared" si="5"/>
        <v>'02|DOM_FPLACEPJsector|FWDENEPJactivity',</v>
      </c>
      <c r="F82">
        <f t="shared" si="6"/>
        <v>41</v>
      </c>
      <c r="G82">
        <f t="shared" si="7"/>
        <v>0</v>
      </c>
    </row>
    <row r="83" spans="1:7" x14ac:dyDescent="0.3">
      <c r="A83" s="5" t="s">
        <v>14</v>
      </c>
      <c r="B83" t="s">
        <v>39</v>
      </c>
      <c r="C83" t="s">
        <v>254</v>
      </c>
      <c r="D83" t="str">
        <f t="shared" si="4"/>
        <v>BC1ENEPJactivity</v>
      </c>
      <c r="E83" t="str">
        <f t="shared" si="5"/>
        <v>'02|DOM_MB_APJsector|BC1ENEPJactivity',</v>
      </c>
      <c r="F83">
        <f t="shared" si="6"/>
        <v>39</v>
      </c>
      <c r="G83">
        <f t="shared" si="7"/>
        <v>0</v>
      </c>
    </row>
    <row r="84" spans="1:7" x14ac:dyDescent="0.3">
      <c r="A84" s="5" t="s">
        <v>14</v>
      </c>
      <c r="B84" t="s">
        <v>39</v>
      </c>
      <c r="C84" t="s">
        <v>256</v>
      </c>
      <c r="D84" t="str">
        <f t="shared" si="4"/>
        <v>DCENEPJactivity</v>
      </c>
      <c r="E84" t="str">
        <f t="shared" si="5"/>
        <v>'02|DOM_MB_APJsector|DCENEPJactivity',</v>
      </c>
      <c r="F84">
        <f t="shared" si="6"/>
        <v>38</v>
      </c>
      <c r="G84">
        <f t="shared" si="7"/>
        <v>0</v>
      </c>
    </row>
    <row r="85" spans="1:7" x14ac:dyDescent="0.3">
      <c r="A85" s="5" t="s">
        <v>14</v>
      </c>
      <c r="B85" t="s">
        <v>39</v>
      </c>
      <c r="C85" t="s">
        <v>270</v>
      </c>
      <c r="D85" t="str">
        <f t="shared" si="4"/>
        <v>FWDENEPJactivity</v>
      </c>
      <c r="E85" t="str">
        <f t="shared" si="5"/>
        <v>'02|DOM_MB_APJsector|FWDENEPJactivity',</v>
      </c>
      <c r="F85">
        <f t="shared" si="6"/>
        <v>39</v>
      </c>
      <c r="G85">
        <f t="shared" si="7"/>
        <v>0</v>
      </c>
    </row>
    <row r="86" spans="1:7" x14ac:dyDescent="0.3">
      <c r="A86" s="5" t="s">
        <v>14</v>
      </c>
      <c r="B86" t="s">
        <v>39</v>
      </c>
      <c r="C86" t="s">
        <v>259</v>
      </c>
      <c r="D86" t="str">
        <f t="shared" si="4"/>
        <v>HC1ENEPJactivity</v>
      </c>
      <c r="E86" t="str">
        <f t="shared" si="5"/>
        <v>'02|DOM_MB_APJsector|HC1ENEPJactivity',</v>
      </c>
      <c r="F86">
        <f t="shared" si="6"/>
        <v>39</v>
      </c>
      <c r="G86">
        <f t="shared" si="7"/>
        <v>0</v>
      </c>
    </row>
    <row r="87" spans="1:7" x14ac:dyDescent="0.3">
      <c r="A87" s="5" t="s">
        <v>14</v>
      </c>
      <c r="B87" t="s">
        <v>39</v>
      </c>
      <c r="C87" t="s">
        <v>260</v>
      </c>
      <c r="D87" t="str">
        <f t="shared" si="4"/>
        <v>HC2ENEPJactivity</v>
      </c>
      <c r="E87" t="str">
        <f t="shared" si="5"/>
        <v>'02|DOM_MB_APJsector|HC2ENEPJactivity',</v>
      </c>
      <c r="F87">
        <f t="shared" si="6"/>
        <v>39</v>
      </c>
      <c r="G87">
        <f t="shared" si="7"/>
        <v>0</v>
      </c>
    </row>
    <row r="88" spans="1:7" x14ac:dyDescent="0.3">
      <c r="A88" s="5" t="s">
        <v>14</v>
      </c>
      <c r="B88" t="s">
        <v>39</v>
      </c>
      <c r="C88" t="s">
        <v>261</v>
      </c>
      <c r="D88" t="str">
        <f t="shared" si="4"/>
        <v>HC3ENEPJactivity</v>
      </c>
      <c r="E88" t="str">
        <f t="shared" si="5"/>
        <v>'02|DOM_MB_APJsector|HC3ENEPJactivity',</v>
      </c>
      <c r="F88">
        <f t="shared" si="6"/>
        <v>39</v>
      </c>
      <c r="G88">
        <f t="shared" si="7"/>
        <v>0</v>
      </c>
    </row>
    <row r="89" spans="1:7" x14ac:dyDescent="0.3">
      <c r="A89" s="5" t="s">
        <v>14</v>
      </c>
      <c r="B89" t="s">
        <v>40</v>
      </c>
      <c r="C89" t="s">
        <v>254</v>
      </c>
      <c r="D89" t="str">
        <f t="shared" si="4"/>
        <v>BC1ENEPJactivity</v>
      </c>
      <c r="E89" t="str">
        <f t="shared" si="5"/>
        <v>'02|DOM_MB_MPJsector|BC1ENEPJactivity',</v>
      </c>
      <c r="F89">
        <f t="shared" si="6"/>
        <v>39</v>
      </c>
      <c r="G89">
        <f t="shared" si="7"/>
        <v>0</v>
      </c>
    </row>
    <row r="90" spans="1:7" x14ac:dyDescent="0.3">
      <c r="A90" s="5" t="s">
        <v>14</v>
      </c>
      <c r="B90" t="s">
        <v>40</v>
      </c>
      <c r="C90" t="s">
        <v>256</v>
      </c>
      <c r="D90" t="str">
        <f t="shared" si="4"/>
        <v>DCENEPJactivity</v>
      </c>
      <c r="E90" t="str">
        <f t="shared" si="5"/>
        <v>'02|DOM_MB_MPJsector|DCENEPJactivity',</v>
      </c>
      <c r="F90">
        <f t="shared" si="6"/>
        <v>38</v>
      </c>
      <c r="G90">
        <f t="shared" si="7"/>
        <v>0</v>
      </c>
    </row>
    <row r="91" spans="1:7" x14ac:dyDescent="0.3">
      <c r="A91" s="5" t="s">
        <v>14</v>
      </c>
      <c r="B91" t="s">
        <v>40</v>
      </c>
      <c r="C91" t="s">
        <v>270</v>
      </c>
      <c r="D91" t="str">
        <f t="shared" si="4"/>
        <v>FWDENEPJactivity</v>
      </c>
      <c r="E91" t="str">
        <f t="shared" si="5"/>
        <v>'02|DOM_MB_MPJsector|FWDENEPJactivity',</v>
      </c>
      <c r="F91">
        <f t="shared" si="6"/>
        <v>39</v>
      </c>
      <c r="G91">
        <f t="shared" si="7"/>
        <v>0</v>
      </c>
    </row>
    <row r="92" spans="1:7" x14ac:dyDescent="0.3">
      <c r="A92" s="5" t="s">
        <v>14</v>
      </c>
      <c r="B92" t="s">
        <v>40</v>
      </c>
      <c r="C92" t="s">
        <v>259</v>
      </c>
      <c r="D92" t="str">
        <f t="shared" si="4"/>
        <v>HC1ENEPJactivity</v>
      </c>
      <c r="E92" t="str">
        <f t="shared" si="5"/>
        <v>'02|DOM_MB_MPJsector|HC1ENEPJactivity',</v>
      </c>
      <c r="F92">
        <f t="shared" si="6"/>
        <v>39</v>
      </c>
      <c r="G92">
        <f t="shared" si="7"/>
        <v>0</v>
      </c>
    </row>
    <row r="93" spans="1:7" x14ac:dyDescent="0.3">
      <c r="A93" s="5" t="s">
        <v>14</v>
      </c>
      <c r="B93" t="s">
        <v>40</v>
      </c>
      <c r="C93" t="s">
        <v>260</v>
      </c>
      <c r="D93" t="str">
        <f t="shared" si="4"/>
        <v>HC2ENEPJactivity</v>
      </c>
      <c r="E93" t="str">
        <f t="shared" si="5"/>
        <v>'02|DOM_MB_MPJsector|HC2ENEPJactivity',</v>
      </c>
      <c r="F93">
        <f t="shared" si="6"/>
        <v>39</v>
      </c>
      <c r="G93">
        <f t="shared" si="7"/>
        <v>0</v>
      </c>
    </row>
    <row r="94" spans="1:7" x14ac:dyDescent="0.3">
      <c r="A94" s="5" t="s">
        <v>14</v>
      </c>
      <c r="B94" t="s">
        <v>40</v>
      </c>
      <c r="C94" t="s">
        <v>261</v>
      </c>
      <c r="D94" t="str">
        <f t="shared" si="4"/>
        <v>HC3ENEPJactivity</v>
      </c>
      <c r="E94" t="str">
        <f t="shared" si="5"/>
        <v>'02|DOM_MB_MPJsector|HC3ENEPJactivity',</v>
      </c>
      <c r="F94">
        <f t="shared" si="6"/>
        <v>39</v>
      </c>
      <c r="G94">
        <f t="shared" si="7"/>
        <v>0</v>
      </c>
    </row>
    <row r="95" spans="1:7" x14ac:dyDescent="0.3">
      <c r="A95" s="5" t="s">
        <v>14</v>
      </c>
      <c r="B95" t="s">
        <v>41</v>
      </c>
      <c r="C95" t="s">
        <v>274</v>
      </c>
      <c r="D95" t="str">
        <f t="shared" si="4"/>
        <v>ARDENEPJactivity</v>
      </c>
      <c r="E95" t="str">
        <f t="shared" si="5"/>
        <v>'02|DOM_PITPJsector|ARDENEPJactivity',</v>
      </c>
      <c r="F95">
        <f t="shared" si="6"/>
        <v>38</v>
      </c>
      <c r="G95">
        <f t="shared" si="7"/>
        <v>0</v>
      </c>
    </row>
    <row r="96" spans="1:7" x14ac:dyDescent="0.3">
      <c r="A96" s="5" t="s">
        <v>14</v>
      </c>
      <c r="B96" t="s">
        <v>41</v>
      </c>
      <c r="C96" t="s">
        <v>270</v>
      </c>
      <c r="D96" t="str">
        <f t="shared" si="4"/>
        <v>FWDENEPJactivity</v>
      </c>
      <c r="E96" t="str">
        <f t="shared" si="5"/>
        <v>'02|DOM_PITPJsector|FWDENEPJactivity',</v>
      </c>
      <c r="F96">
        <f t="shared" si="6"/>
        <v>38</v>
      </c>
      <c r="G96">
        <f t="shared" si="7"/>
        <v>0</v>
      </c>
    </row>
    <row r="97" spans="1:7" x14ac:dyDescent="0.3">
      <c r="A97" s="5" t="s">
        <v>14</v>
      </c>
      <c r="B97" t="s">
        <v>42</v>
      </c>
      <c r="C97" t="s">
        <v>274</v>
      </c>
      <c r="D97" t="str">
        <f t="shared" si="4"/>
        <v>ARDENEPJactivity</v>
      </c>
      <c r="E97" t="str">
        <f t="shared" si="5"/>
        <v>'02|DOM_SHB_APJsector|ARDENEPJactivity',</v>
      </c>
      <c r="F97">
        <f t="shared" si="6"/>
        <v>40</v>
      </c>
      <c r="G97">
        <f t="shared" si="7"/>
        <v>0</v>
      </c>
    </row>
    <row r="98" spans="1:7" x14ac:dyDescent="0.3">
      <c r="A98" s="5" t="s">
        <v>14</v>
      </c>
      <c r="B98" t="s">
        <v>42</v>
      </c>
      <c r="C98" t="s">
        <v>270</v>
      </c>
      <c r="D98" t="str">
        <f t="shared" si="4"/>
        <v>FWDENEPJactivity</v>
      </c>
      <c r="E98" t="str">
        <f t="shared" si="5"/>
        <v>'02|DOM_SHB_APJsector|FWDENEPJactivity',</v>
      </c>
      <c r="F98">
        <f t="shared" si="6"/>
        <v>40</v>
      </c>
      <c r="G98">
        <f t="shared" si="7"/>
        <v>0</v>
      </c>
    </row>
    <row r="99" spans="1:7" x14ac:dyDescent="0.3">
      <c r="A99" s="5" t="s">
        <v>14</v>
      </c>
      <c r="B99" t="s">
        <v>42</v>
      </c>
      <c r="C99" t="s">
        <v>259</v>
      </c>
      <c r="D99" t="str">
        <f t="shared" si="4"/>
        <v>HC1ENEPJactivity</v>
      </c>
      <c r="E99" t="str">
        <f t="shared" si="5"/>
        <v>'02|DOM_SHB_APJsector|HC1ENEPJactivity',</v>
      </c>
      <c r="F99">
        <f t="shared" si="6"/>
        <v>40</v>
      </c>
      <c r="G99">
        <f t="shared" si="7"/>
        <v>0</v>
      </c>
    </row>
    <row r="100" spans="1:7" x14ac:dyDescent="0.3">
      <c r="A100" s="5" t="s">
        <v>14</v>
      </c>
      <c r="B100" t="s">
        <v>42</v>
      </c>
      <c r="C100" t="s">
        <v>260</v>
      </c>
      <c r="D100" t="str">
        <f t="shared" si="4"/>
        <v>HC2ENEPJactivity</v>
      </c>
      <c r="E100" t="str">
        <f t="shared" si="5"/>
        <v>'02|DOM_SHB_APJsector|HC2ENEPJactivity',</v>
      </c>
      <c r="F100">
        <f t="shared" si="6"/>
        <v>40</v>
      </c>
      <c r="G100">
        <f t="shared" si="7"/>
        <v>0</v>
      </c>
    </row>
    <row r="101" spans="1:7" x14ac:dyDescent="0.3">
      <c r="A101" s="5" t="s">
        <v>14</v>
      </c>
      <c r="B101" t="s">
        <v>42</v>
      </c>
      <c r="C101" t="s">
        <v>261</v>
      </c>
      <c r="D101" t="str">
        <f t="shared" si="4"/>
        <v>HC3ENEPJactivity</v>
      </c>
      <c r="E101" t="str">
        <f t="shared" si="5"/>
        <v>'02|DOM_SHB_APJsector|HC3ENEPJactivity',</v>
      </c>
      <c r="F101">
        <f t="shared" si="6"/>
        <v>40</v>
      </c>
      <c r="G101">
        <f t="shared" si="7"/>
        <v>0</v>
      </c>
    </row>
    <row r="102" spans="1:7" x14ac:dyDescent="0.3">
      <c r="A102" s="5" t="s">
        <v>14</v>
      </c>
      <c r="B102" t="s">
        <v>43</v>
      </c>
      <c r="C102" t="s">
        <v>254</v>
      </c>
      <c r="D102" t="str">
        <f t="shared" si="4"/>
        <v>BC1ENEPJactivity</v>
      </c>
      <c r="E102" t="str">
        <f t="shared" si="5"/>
        <v>'02|DOM_SHB_MPJsector|BC1ENEPJactivity',</v>
      </c>
      <c r="F102">
        <f t="shared" si="6"/>
        <v>40</v>
      </c>
      <c r="G102">
        <f t="shared" si="7"/>
        <v>0</v>
      </c>
    </row>
    <row r="103" spans="1:7" x14ac:dyDescent="0.3">
      <c r="A103" s="5" t="s">
        <v>14</v>
      </c>
      <c r="B103" t="s">
        <v>43</v>
      </c>
      <c r="C103" t="s">
        <v>256</v>
      </c>
      <c r="D103" t="str">
        <f t="shared" si="4"/>
        <v>DCENEPJactivity</v>
      </c>
      <c r="E103" t="str">
        <f t="shared" si="5"/>
        <v>'02|DOM_SHB_MPJsector|DCENEPJactivity',</v>
      </c>
      <c r="F103">
        <f t="shared" si="6"/>
        <v>39</v>
      </c>
      <c r="G103">
        <f t="shared" si="7"/>
        <v>0</v>
      </c>
    </row>
    <row r="104" spans="1:7" x14ac:dyDescent="0.3">
      <c r="A104" s="5" t="s">
        <v>14</v>
      </c>
      <c r="B104" t="s">
        <v>43</v>
      </c>
      <c r="C104" t="s">
        <v>270</v>
      </c>
      <c r="D104" t="str">
        <f t="shared" si="4"/>
        <v>FWDENEPJactivity</v>
      </c>
      <c r="E104" t="str">
        <f t="shared" si="5"/>
        <v>'02|DOM_SHB_MPJsector|FWDENEPJactivity',</v>
      </c>
      <c r="F104">
        <f t="shared" si="6"/>
        <v>40</v>
      </c>
      <c r="G104">
        <f t="shared" si="7"/>
        <v>0</v>
      </c>
    </row>
    <row r="105" spans="1:7" x14ac:dyDescent="0.3">
      <c r="A105" s="5" t="s">
        <v>14</v>
      </c>
      <c r="B105" t="s">
        <v>43</v>
      </c>
      <c r="C105" t="s">
        <v>259</v>
      </c>
      <c r="D105" t="str">
        <f t="shared" si="4"/>
        <v>HC1ENEPJactivity</v>
      </c>
      <c r="E105" t="str">
        <f t="shared" si="5"/>
        <v>'02|DOM_SHB_MPJsector|HC1ENEPJactivity',</v>
      </c>
      <c r="F105">
        <f t="shared" si="6"/>
        <v>40</v>
      </c>
      <c r="G105">
        <f t="shared" si="7"/>
        <v>0</v>
      </c>
    </row>
    <row r="106" spans="1:7" x14ac:dyDescent="0.3">
      <c r="A106" s="5" t="s">
        <v>14</v>
      </c>
      <c r="B106" t="s">
        <v>43</v>
      </c>
      <c r="C106" t="s">
        <v>260</v>
      </c>
      <c r="D106" t="str">
        <f t="shared" si="4"/>
        <v>HC2ENEPJactivity</v>
      </c>
      <c r="E106" t="str">
        <f t="shared" si="5"/>
        <v>'02|DOM_SHB_MPJsector|HC2ENEPJactivity',</v>
      </c>
      <c r="F106">
        <f t="shared" si="6"/>
        <v>40</v>
      </c>
      <c r="G106">
        <f t="shared" si="7"/>
        <v>0</v>
      </c>
    </row>
    <row r="107" spans="1:7" x14ac:dyDescent="0.3">
      <c r="A107" s="5" t="s">
        <v>14</v>
      </c>
      <c r="B107" t="s">
        <v>43</v>
      </c>
      <c r="C107" t="s">
        <v>261</v>
      </c>
      <c r="D107" t="str">
        <f t="shared" si="4"/>
        <v>HC3ENEPJactivity</v>
      </c>
      <c r="E107" t="str">
        <f t="shared" si="5"/>
        <v>'02|DOM_SHB_MPJsector|HC3ENEPJactivity',</v>
      </c>
      <c r="F107">
        <f t="shared" si="6"/>
        <v>40</v>
      </c>
      <c r="G107">
        <f t="shared" si="7"/>
        <v>0</v>
      </c>
    </row>
    <row r="108" spans="1:7" x14ac:dyDescent="0.3">
      <c r="A108" s="6" t="s">
        <v>14</v>
      </c>
      <c r="B108" t="s">
        <v>44</v>
      </c>
      <c r="C108" t="s">
        <v>274</v>
      </c>
      <c r="D108" t="str">
        <f t="shared" si="4"/>
        <v>ARDENEPJactivity</v>
      </c>
      <c r="E108" t="str">
        <f t="shared" si="5"/>
        <v>'02|DOM_STOVE_CPJsector|ARDENEPJactivity',</v>
      </c>
      <c r="F108">
        <f t="shared" si="6"/>
        <v>42</v>
      </c>
      <c r="G108">
        <f t="shared" si="7"/>
        <v>0</v>
      </c>
    </row>
    <row r="109" spans="1:7" x14ac:dyDescent="0.3">
      <c r="A109" s="6" t="s">
        <v>14</v>
      </c>
      <c r="B109" t="s">
        <v>44</v>
      </c>
      <c r="C109" t="s">
        <v>254</v>
      </c>
      <c r="D109" t="str">
        <f t="shared" si="4"/>
        <v>BC1ENEPJactivity</v>
      </c>
      <c r="E109" t="str">
        <f t="shared" si="5"/>
        <v>'02|DOM_STOVE_CPJsector|BC1ENEPJactivity',</v>
      </c>
      <c r="F109">
        <f t="shared" si="6"/>
        <v>42</v>
      </c>
      <c r="G109">
        <f t="shared" si="7"/>
        <v>0</v>
      </c>
    </row>
    <row r="110" spans="1:7" x14ac:dyDescent="0.3">
      <c r="A110" s="6" t="s">
        <v>14</v>
      </c>
      <c r="B110" t="s">
        <v>44</v>
      </c>
      <c r="C110" t="s">
        <v>256</v>
      </c>
      <c r="D110" t="str">
        <f t="shared" si="4"/>
        <v>DCENEPJactivity</v>
      </c>
      <c r="E110" t="str">
        <f t="shared" si="5"/>
        <v>'02|DOM_STOVE_CPJsector|DCENEPJactivity',</v>
      </c>
      <c r="F110">
        <f t="shared" si="6"/>
        <v>41</v>
      </c>
      <c r="G110">
        <f t="shared" si="7"/>
        <v>0</v>
      </c>
    </row>
    <row r="111" spans="1:7" x14ac:dyDescent="0.3">
      <c r="A111" s="6" t="s">
        <v>14</v>
      </c>
      <c r="B111" t="s">
        <v>44</v>
      </c>
      <c r="C111" t="s">
        <v>270</v>
      </c>
      <c r="D111" t="str">
        <f t="shared" si="4"/>
        <v>FWDENEPJactivity</v>
      </c>
      <c r="E111" t="str">
        <f t="shared" si="5"/>
        <v>'02|DOM_STOVE_CPJsector|FWDENEPJactivity',</v>
      </c>
      <c r="F111">
        <f t="shared" si="6"/>
        <v>42</v>
      </c>
      <c r="G111">
        <f t="shared" si="7"/>
        <v>0</v>
      </c>
    </row>
    <row r="112" spans="1:7" x14ac:dyDescent="0.3">
      <c r="A112" s="6" t="s">
        <v>14</v>
      </c>
      <c r="B112" t="s">
        <v>44</v>
      </c>
      <c r="C112" t="s">
        <v>259</v>
      </c>
      <c r="D112" t="str">
        <f t="shared" si="4"/>
        <v>HC1ENEPJactivity</v>
      </c>
      <c r="E112" t="str">
        <f t="shared" si="5"/>
        <v>'02|DOM_STOVE_CPJsector|HC1ENEPJactivity',</v>
      </c>
      <c r="F112">
        <f t="shared" si="6"/>
        <v>42</v>
      </c>
      <c r="G112">
        <f t="shared" si="7"/>
        <v>0</v>
      </c>
    </row>
    <row r="113" spans="1:7" x14ac:dyDescent="0.3">
      <c r="A113" s="6" t="s">
        <v>14</v>
      </c>
      <c r="B113" t="s">
        <v>44</v>
      </c>
      <c r="C113" t="s">
        <v>260</v>
      </c>
      <c r="D113" t="str">
        <f t="shared" si="4"/>
        <v>HC2ENEPJactivity</v>
      </c>
      <c r="E113" t="str">
        <f t="shared" si="5"/>
        <v>'02|DOM_STOVE_CPJsector|HC2ENEPJactivity',</v>
      </c>
      <c r="F113">
        <f t="shared" si="6"/>
        <v>42</v>
      </c>
      <c r="G113">
        <f t="shared" si="7"/>
        <v>0</v>
      </c>
    </row>
    <row r="114" spans="1:7" x14ac:dyDescent="0.3">
      <c r="A114" s="6" t="s">
        <v>14</v>
      </c>
      <c r="B114" t="s">
        <v>44</v>
      </c>
      <c r="C114" t="s">
        <v>261</v>
      </c>
      <c r="D114" t="str">
        <f t="shared" si="4"/>
        <v>HC3ENEPJactivity</v>
      </c>
      <c r="E114" t="str">
        <f t="shared" si="5"/>
        <v>'02|DOM_STOVE_CPJsector|HC3ENEPJactivity',</v>
      </c>
      <c r="F114">
        <f t="shared" si="6"/>
        <v>42</v>
      </c>
      <c r="G114">
        <f t="shared" si="7"/>
        <v>0</v>
      </c>
    </row>
    <row r="115" spans="1:7" x14ac:dyDescent="0.3">
      <c r="A115" s="6" t="s">
        <v>14</v>
      </c>
      <c r="B115" t="s">
        <v>45</v>
      </c>
      <c r="C115" t="s">
        <v>274</v>
      </c>
      <c r="D115" t="str">
        <f t="shared" si="4"/>
        <v>ARDENEPJactivity</v>
      </c>
      <c r="E115" t="str">
        <f t="shared" si="5"/>
        <v>'02|DOM_STOVE_HPJsector|ARDENEPJactivity',</v>
      </c>
      <c r="F115">
        <f t="shared" si="6"/>
        <v>42</v>
      </c>
      <c r="G115">
        <f t="shared" si="7"/>
        <v>0</v>
      </c>
    </row>
    <row r="116" spans="1:7" x14ac:dyDescent="0.3">
      <c r="A116" s="6" t="s">
        <v>14</v>
      </c>
      <c r="B116" t="s">
        <v>45</v>
      </c>
      <c r="C116" t="s">
        <v>254</v>
      </c>
      <c r="D116" t="str">
        <f t="shared" si="4"/>
        <v>BC1ENEPJactivity</v>
      </c>
      <c r="E116" t="str">
        <f t="shared" si="5"/>
        <v>'02|DOM_STOVE_HPJsector|BC1ENEPJactivity',</v>
      </c>
      <c r="F116">
        <f t="shared" si="6"/>
        <v>42</v>
      </c>
      <c r="G116">
        <f t="shared" si="7"/>
        <v>0</v>
      </c>
    </row>
    <row r="117" spans="1:7" x14ac:dyDescent="0.3">
      <c r="A117" s="6" t="s">
        <v>14</v>
      </c>
      <c r="B117" t="s">
        <v>45</v>
      </c>
      <c r="C117" t="s">
        <v>256</v>
      </c>
      <c r="D117" t="str">
        <f t="shared" si="4"/>
        <v>DCENEPJactivity</v>
      </c>
      <c r="E117" t="str">
        <f t="shared" si="5"/>
        <v>'02|DOM_STOVE_HPJsector|DCENEPJactivity',</v>
      </c>
      <c r="F117">
        <f t="shared" si="6"/>
        <v>41</v>
      </c>
      <c r="G117">
        <f t="shared" si="7"/>
        <v>0</v>
      </c>
    </row>
    <row r="118" spans="1:7" x14ac:dyDescent="0.3">
      <c r="A118" s="6" t="s">
        <v>14</v>
      </c>
      <c r="B118" t="s">
        <v>45</v>
      </c>
      <c r="C118" t="s">
        <v>270</v>
      </c>
      <c r="D118" t="str">
        <f t="shared" si="4"/>
        <v>FWDENEPJactivity</v>
      </c>
      <c r="E118" t="str">
        <f t="shared" si="5"/>
        <v>'02|DOM_STOVE_HPJsector|FWDENEPJactivity',</v>
      </c>
      <c r="F118">
        <f t="shared" si="6"/>
        <v>42</v>
      </c>
      <c r="G118">
        <f t="shared" si="7"/>
        <v>0</v>
      </c>
    </row>
    <row r="119" spans="1:7" x14ac:dyDescent="0.3">
      <c r="A119" s="6" t="s">
        <v>14</v>
      </c>
      <c r="B119" t="s">
        <v>45</v>
      </c>
      <c r="C119" t="s">
        <v>259</v>
      </c>
      <c r="D119" t="str">
        <f t="shared" si="4"/>
        <v>HC1ENEPJactivity</v>
      </c>
      <c r="E119" t="str">
        <f t="shared" si="5"/>
        <v>'02|DOM_STOVE_HPJsector|HC1ENEPJactivity',</v>
      </c>
      <c r="F119">
        <f t="shared" si="6"/>
        <v>42</v>
      </c>
      <c r="G119">
        <f t="shared" si="7"/>
        <v>0</v>
      </c>
    </row>
    <row r="120" spans="1:7" x14ac:dyDescent="0.3">
      <c r="A120" s="6" t="s">
        <v>14</v>
      </c>
      <c r="B120" t="s">
        <v>45</v>
      </c>
      <c r="C120" t="s">
        <v>260</v>
      </c>
      <c r="D120" t="str">
        <f t="shared" si="4"/>
        <v>HC2ENEPJactivity</v>
      </c>
      <c r="E120" t="str">
        <f t="shared" si="5"/>
        <v>'02|DOM_STOVE_HPJsector|HC2ENEPJactivity',</v>
      </c>
      <c r="F120">
        <f t="shared" si="6"/>
        <v>42</v>
      </c>
      <c r="G120">
        <f t="shared" si="7"/>
        <v>0</v>
      </c>
    </row>
    <row r="121" spans="1:7" x14ac:dyDescent="0.3">
      <c r="A121" s="6" t="s">
        <v>14</v>
      </c>
      <c r="B121" t="s">
        <v>45</v>
      </c>
      <c r="C121" t="s">
        <v>261</v>
      </c>
      <c r="D121" t="str">
        <f t="shared" si="4"/>
        <v>HC3ENEPJactivity</v>
      </c>
      <c r="E121" t="str">
        <f t="shared" si="5"/>
        <v>'02|DOM_STOVE_HPJsector|HC3ENEPJactivity',</v>
      </c>
      <c r="F121">
        <f t="shared" si="6"/>
        <v>42</v>
      </c>
      <c r="G121">
        <f t="shared" si="7"/>
        <v>0</v>
      </c>
    </row>
    <row r="122" spans="1:7" x14ac:dyDescent="0.3">
      <c r="A122" s="5" t="s">
        <v>15</v>
      </c>
      <c r="B122" t="s">
        <v>46</v>
      </c>
      <c r="C122" t="s">
        <v>254</v>
      </c>
      <c r="D122" t="str">
        <f t="shared" si="4"/>
        <v>BC1ENEPJactivity</v>
      </c>
      <c r="E122" t="str">
        <f t="shared" si="5"/>
        <v>'03|IN_BO_CHEMPJsector|BC1ENEPJactivity',</v>
      </c>
      <c r="F122">
        <f t="shared" si="6"/>
        <v>41</v>
      </c>
      <c r="G122">
        <f t="shared" si="7"/>
        <v>0</v>
      </c>
    </row>
    <row r="123" spans="1:7" x14ac:dyDescent="0.3">
      <c r="A123" s="5" t="s">
        <v>15</v>
      </c>
      <c r="B123" t="s">
        <v>46</v>
      </c>
      <c r="C123" t="s">
        <v>256</v>
      </c>
      <c r="D123" t="str">
        <f t="shared" si="4"/>
        <v>DCENEPJactivity</v>
      </c>
      <c r="E123" t="str">
        <f t="shared" si="5"/>
        <v>'03|IN_BO_CHEMPJsector|DCENEPJactivity',</v>
      </c>
      <c r="F123">
        <f t="shared" si="6"/>
        <v>40</v>
      </c>
      <c r="G123">
        <f t="shared" si="7"/>
        <v>0</v>
      </c>
    </row>
    <row r="124" spans="1:7" x14ac:dyDescent="0.3">
      <c r="A124" s="5" t="s">
        <v>15</v>
      </c>
      <c r="B124" t="s">
        <v>46</v>
      </c>
      <c r="C124" t="s">
        <v>257</v>
      </c>
      <c r="D124" t="str">
        <f t="shared" si="4"/>
        <v>GASENEPJactivity</v>
      </c>
      <c r="E124" t="str">
        <f t="shared" si="5"/>
        <v>'03|IN_BO_CHEMPJsector|GASENEPJactivity',</v>
      </c>
      <c r="F124">
        <f t="shared" si="6"/>
        <v>41</v>
      </c>
      <c r="G124">
        <f t="shared" si="7"/>
        <v>0</v>
      </c>
    </row>
    <row r="125" spans="1:7" x14ac:dyDescent="0.3">
      <c r="A125" s="5" t="s">
        <v>15</v>
      </c>
      <c r="B125" t="s">
        <v>46</v>
      </c>
      <c r="C125" t="s">
        <v>259</v>
      </c>
      <c r="D125" t="str">
        <f t="shared" si="4"/>
        <v>HC1ENEPJactivity</v>
      </c>
      <c r="E125" t="str">
        <f t="shared" si="5"/>
        <v>'03|IN_BO_CHEMPJsector|HC1ENEPJactivity',</v>
      </c>
      <c r="F125">
        <f t="shared" si="6"/>
        <v>41</v>
      </c>
      <c r="G125">
        <f t="shared" si="7"/>
        <v>0</v>
      </c>
    </row>
    <row r="126" spans="1:7" x14ac:dyDescent="0.3">
      <c r="A126" s="5" t="s">
        <v>15</v>
      </c>
      <c r="B126" t="s">
        <v>46</v>
      </c>
      <c r="C126" t="s">
        <v>260</v>
      </c>
      <c r="D126" t="str">
        <f t="shared" si="4"/>
        <v>HC2ENEPJactivity</v>
      </c>
      <c r="E126" t="str">
        <f t="shared" si="5"/>
        <v>'03|IN_BO_CHEMPJsector|HC2ENEPJactivity',</v>
      </c>
      <c r="F126">
        <f t="shared" si="6"/>
        <v>41</v>
      </c>
      <c r="G126">
        <f t="shared" si="7"/>
        <v>0</v>
      </c>
    </row>
    <row r="127" spans="1:7" x14ac:dyDescent="0.3">
      <c r="A127" s="5" t="s">
        <v>15</v>
      </c>
      <c r="B127" t="s">
        <v>46</v>
      </c>
      <c r="C127" t="s">
        <v>261</v>
      </c>
      <c r="D127" t="str">
        <f t="shared" si="4"/>
        <v>HC3ENEPJactivity</v>
      </c>
      <c r="E127" t="str">
        <f t="shared" si="5"/>
        <v>'03|IN_BO_CHEMPJsector|HC3ENEPJactivity',</v>
      </c>
      <c r="F127">
        <f t="shared" si="6"/>
        <v>41</v>
      </c>
      <c r="G127">
        <f t="shared" si="7"/>
        <v>0</v>
      </c>
    </row>
    <row r="128" spans="1:7" x14ac:dyDescent="0.3">
      <c r="A128" s="5" t="s">
        <v>15</v>
      </c>
      <c r="B128" t="s">
        <v>46</v>
      </c>
      <c r="C128" t="s">
        <v>262</v>
      </c>
      <c r="D128" t="str">
        <f t="shared" si="4"/>
        <v>HFENEPJactivity</v>
      </c>
      <c r="E128" t="str">
        <f t="shared" si="5"/>
        <v>'03|IN_BO_CHEMPJsector|HFENEPJactivity',</v>
      </c>
      <c r="F128">
        <f t="shared" si="6"/>
        <v>40</v>
      </c>
      <c r="G128">
        <f t="shared" si="7"/>
        <v>0</v>
      </c>
    </row>
    <row r="129" spans="1:7" x14ac:dyDescent="0.3">
      <c r="A129" s="5" t="s">
        <v>15</v>
      </c>
      <c r="B129" t="s">
        <v>46</v>
      </c>
      <c r="C129" t="s">
        <v>267</v>
      </c>
      <c r="D129" t="str">
        <f t="shared" si="4"/>
        <v>OS1ENEPJactivity</v>
      </c>
      <c r="E129" t="str">
        <f t="shared" si="5"/>
        <v>'03|IN_BO_CHEMPJsector|OS1ENEPJactivity',</v>
      </c>
      <c r="F129">
        <f t="shared" si="6"/>
        <v>41</v>
      </c>
      <c r="G129">
        <f t="shared" si="7"/>
        <v>0</v>
      </c>
    </row>
    <row r="130" spans="1:7" x14ac:dyDescent="0.3">
      <c r="A130" s="5" t="s">
        <v>15</v>
      </c>
      <c r="B130" t="s">
        <v>47</v>
      </c>
      <c r="C130" t="s">
        <v>254</v>
      </c>
      <c r="D130" t="str">
        <f t="shared" si="4"/>
        <v>BC1ENEPJactivity</v>
      </c>
      <c r="E130" t="str">
        <f t="shared" si="5"/>
        <v>'03|IN_BO_CONPJsector|BC1ENEPJactivity',</v>
      </c>
      <c r="F130">
        <f t="shared" si="6"/>
        <v>40</v>
      </c>
      <c r="G130">
        <f t="shared" si="7"/>
        <v>0</v>
      </c>
    </row>
    <row r="131" spans="1:7" x14ac:dyDescent="0.3">
      <c r="A131" s="5" t="s">
        <v>15</v>
      </c>
      <c r="B131" t="s">
        <v>47</v>
      </c>
      <c r="C131" t="s">
        <v>257</v>
      </c>
      <c r="D131" t="str">
        <f t="shared" ref="D131:D194" si="8">C131</f>
        <v>GASENEPJactivity</v>
      </c>
      <c r="E131" t="str">
        <f t="shared" ref="E131:E194" si="9">"'"&amp;A131&amp;"|"&amp;B131&amp;"|"&amp;D131&amp;"'"&amp;","</f>
        <v>'03|IN_BO_CONPJsector|GASENEPJactivity',</v>
      </c>
      <c r="F131">
        <f t="shared" ref="F131:F194" si="10">LEN(E131)</f>
        <v>40</v>
      </c>
      <c r="G131">
        <f t="shared" ref="G131:G194" si="11">IF(F131&lt;63,,10)</f>
        <v>0</v>
      </c>
    </row>
    <row r="132" spans="1:7" x14ac:dyDescent="0.3">
      <c r="A132" s="5" t="s">
        <v>15</v>
      </c>
      <c r="B132" t="s">
        <v>47</v>
      </c>
      <c r="C132" t="s">
        <v>259</v>
      </c>
      <c r="D132" t="str">
        <f t="shared" si="8"/>
        <v>HC1ENEPJactivity</v>
      </c>
      <c r="E132" t="str">
        <f t="shared" si="9"/>
        <v>'03|IN_BO_CONPJsector|HC1ENEPJactivity',</v>
      </c>
      <c r="F132">
        <f t="shared" si="10"/>
        <v>40</v>
      </c>
      <c r="G132">
        <f t="shared" si="11"/>
        <v>0</v>
      </c>
    </row>
    <row r="133" spans="1:7" x14ac:dyDescent="0.3">
      <c r="A133" s="5" t="s">
        <v>15</v>
      </c>
      <c r="B133" t="s">
        <v>47</v>
      </c>
      <c r="C133" t="s">
        <v>262</v>
      </c>
      <c r="D133" t="str">
        <f t="shared" si="8"/>
        <v>HFENEPJactivity</v>
      </c>
      <c r="E133" t="str">
        <f t="shared" si="9"/>
        <v>'03|IN_BO_CONPJsector|HFENEPJactivity',</v>
      </c>
      <c r="F133">
        <f t="shared" si="10"/>
        <v>39</v>
      </c>
      <c r="G133">
        <f t="shared" si="11"/>
        <v>0</v>
      </c>
    </row>
    <row r="134" spans="1:7" x14ac:dyDescent="0.3">
      <c r="A134" s="5" t="s">
        <v>15</v>
      </c>
      <c r="B134" t="s">
        <v>47</v>
      </c>
      <c r="C134" t="s">
        <v>267</v>
      </c>
      <c r="D134" t="str">
        <f t="shared" si="8"/>
        <v>OS1ENEPJactivity</v>
      </c>
      <c r="E134" t="str">
        <f t="shared" si="9"/>
        <v>'03|IN_BO_CONPJsector|OS1ENEPJactivity',</v>
      </c>
      <c r="F134">
        <f t="shared" si="10"/>
        <v>40</v>
      </c>
      <c r="G134">
        <f t="shared" si="11"/>
        <v>0</v>
      </c>
    </row>
    <row r="135" spans="1:7" x14ac:dyDescent="0.3">
      <c r="A135" s="5" t="s">
        <v>15</v>
      </c>
      <c r="B135" t="s">
        <v>48</v>
      </c>
      <c r="C135" t="s">
        <v>256</v>
      </c>
      <c r="D135" t="str">
        <f t="shared" si="8"/>
        <v>DCENEPJactivity</v>
      </c>
      <c r="E135" t="str">
        <f t="shared" si="9"/>
        <v>'03|IN_BO_OTHPJsector|DCENEPJactivity',</v>
      </c>
      <c r="F135">
        <f t="shared" si="10"/>
        <v>39</v>
      </c>
      <c r="G135">
        <f t="shared" si="11"/>
        <v>0</v>
      </c>
    </row>
    <row r="136" spans="1:7" x14ac:dyDescent="0.3">
      <c r="A136" s="5" t="s">
        <v>15</v>
      </c>
      <c r="B136" t="s">
        <v>48</v>
      </c>
      <c r="C136" t="s">
        <v>257</v>
      </c>
      <c r="D136" t="str">
        <f t="shared" si="8"/>
        <v>GASENEPJactivity</v>
      </c>
      <c r="E136" t="str">
        <f t="shared" si="9"/>
        <v>'03|IN_BO_OTHPJsector|GASENEPJactivity',</v>
      </c>
      <c r="F136">
        <f t="shared" si="10"/>
        <v>40</v>
      </c>
      <c r="G136">
        <f t="shared" si="11"/>
        <v>0</v>
      </c>
    </row>
    <row r="137" spans="1:7" x14ac:dyDescent="0.3">
      <c r="A137" s="5" t="s">
        <v>15</v>
      </c>
      <c r="B137" t="s">
        <v>48</v>
      </c>
      <c r="C137" t="s">
        <v>258</v>
      </c>
      <c r="D137" t="str">
        <f t="shared" si="8"/>
        <v>GSLENEPJactivity</v>
      </c>
      <c r="E137" t="str">
        <f t="shared" si="9"/>
        <v>'03|IN_BO_OTHPJsector|GSLENEPJactivity',</v>
      </c>
      <c r="F137">
        <f t="shared" si="10"/>
        <v>40</v>
      </c>
      <c r="G137">
        <f t="shared" si="11"/>
        <v>0</v>
      </c>
    </row>
    <row r="138" spans="1:7" x14ac:dyDescent="0.3">
      <c r="A138" s="5" t="s">
        <v>15</v>
      </c>
      <c r="B138" t="s">
        <v>48</v>
      </c>
      <c r="C138" t="s">
        <v>262</v>
      </c>
      <c r="D138" t="str">
        <f t="shared" si="8"/>
        <v>HFENEPJactivity</v>
      </c>
      <c r="E138" t="str">
        <f t="shared" si="9"/>
        <v>'03|IN_BO_OTHPJsector|HFENEPJactivity',</v>
      </c>
      <c r="F138">
        <f t="shared" si="10"/>
        <v>39</v>
      </c>
      <c r="G138">
        <f t="shared" si="11"/>
        <v>0</v>
      </c>
    </row>
    <row r="139" spans="1:7" x14ac:dyDescent="0.3">
      <c r="A139" s="5" t="s">
        <v>15</v>
      </c>
      <c r="B139" t="s">
        <v>48</v>
      </c>
      <c r="C139" t="s">
        <v>263</v>
      </c>
      <c r="D139" t="str">
        <f t="shared" si="8"/>
        <v>LPGENEPJactivity</v>
      </c>
      <c r="E139" t="str">
        <f t="shared" si="9"/>
        <v>'03|IN_BO_OTHPJsector|LPGENEPJactivity',</v>
      </c>
      <c r="F139">
        <f t="shared" si="10"/>
        <v>40</v>
      </c>
      <c r="G139">
        <f t="shared" si="11"/>
        <v>0</v>
      </c>
    </row>
    <row r="140" spans="1:7" x14ac:dyDescent="0.3">
      <c r="A140" s="5" t="s">
        <v>15</v>
      </c>
      <c r="B140" t="s">
        <v>48</v>
      </c>
      <c r="C140" t="s">
        <v>264</v>
      </c>
      <c r="D140" t="str">
        <f t="shared" si="8"/>
        <v>MDENEPJactivity</v>
      </c>
      <c r="E140" t="str">
        <f t="shared" si="9"/>
        <v>'03|IN_BO_OTHPJsector|MDENEPJactivity',</v>
      </c>
      <c r="F140">
        <f t="shared" si="10"/>
        <v>39</v>
      </c>
      <c r="G140">
        <f t="shared" si="11"/>
        <v>0</v>
      </c>
    </row>
    <row r="141" spans="1:7" x14ac:dyDescent="0.3">
      <c r="A141" s="5" t="s">
        <v>15</v>
      </c>
      <c r="B141" t="s">
        <v>48</v>
      </c>
      <c r="C141" t="s">
        <v>267</v>
      </c>
      <c r="D141" t="str">
        <f t="shared" si="8"/>
        <v>OS1ENEPJactivity</v>
      </c>
      <c r="E141" t="str">
        <f t="shared" si="9"/>
        <v>'03|IN_BO_OTHPJsector|OS1ENEPJactivity',</v>
      </c>
      <c r="F141">
        <f t="shared" si="10"/>
        <v>40</v>
      </c>
      <c r="G141">
        <f t="shared" si="11"/>
        <v>0</v>
      </c>
    </row>
    <row r="142" spans="1:7" x14ac:dyDescent="0.3">
      <c r="A142" s="5" t="s">
        <v>15</v>
      </c>
      <c r="B142" t="s">
        <v>48</v>
      </c>
      <c r="C142" t="s">
        <v>268</v>
      </c>
      <c r="D142" t="str">
        <f t="shared" si="8"/>
        <v>OS2ENEPJactivity</v>
      </c>
      <c r="E142" t="str">
        <f t="shared" si="9"/>
        <v>'03|IN_BO_OTHPJsector|OS2ENEPJactivity',</v>
      </c>
      <c r="F142">
        <f t="shared" si="10"/>
        <v>40</v>
      </c>
      <c r="G142">
        <f t="shared" si="11"/>
        <v>0</v>
      </c>
    </row>
    <row r="143" spans="1:7" x14ac:dyDescent="0.3">
      <c r="A143" s="5" t="s">
        <v>15</v>
      </c>
      <c r="B143" t="s">
        <v>48</v>
      </c>
      <c r="C143" t="s">
        <v>269</v>
      </c>
      <c r="D143" t="str">
        <f t="shared" si="8"/>
        <v>WSFNRENEPJactivity</v>
      </c>
      <c r="E143" t="str">
        <f t="shared" si="9"/>
        <v>'03|IN_BO_OTHPJsector|WSFNRENEPJactivity',</v>
      </c>
      <c r="F143">
        <f t="shared" si="10"/>
        <v>42</v>
      </c>
      <c r="G143">
        <f t="shared" si="11"/>
        <v>0</v>
      </c>
    </row>
    <row r="144" spans="1:7" x14ac:dyDescent="0.3">
      <c r="A144" s="5" t="s">
        <v>15</v>
      </c>
      <c r="B144" t="s">
        <v>49</v>
      </c>
      <c r="C144" t="s">
        <v>254</v>
      </c>
      <c r="D144" t="str">
        <f t="shared" si="8"/>
        <v>BC1ENEPJactivity</v>
      </c>
      <c r="E144" t="str">
        <f t="shared" si="9"/>
        <v>'03|IN_BO_OTH_LPJsector|BC1ENEPJactivity',</v>
      </c>
      <c r="F144">
        <f t="shared" si="10"/>
        <v>42</v>
      </c>
      <c r="G144">
        <f t="shared" si="11"/>
        <v>0</v>
      </c>
    </row>
    <row r="145" spans="1:7" x14ac:dyDescent="0.3">
      <c r="A145" s="5" t="s">
        <v>15</v>
      </c>
      <c r="B145" t="s">
        <v>49</v>
      </c>
      <c r="C145" t="s">
        <v>259</v>
      </c>
      <c r="D145" t="str">
        <f t="shared" si="8"/>
        <v>HC1ENEPJactivity</v>
      </c>
      <c r="E145" t="str">
        <f t="shared" si="9"/>
        <v>'03|IN_BO_OTH_LPJsector|HC1ENEPJactivity',</v>
      </c>
      <c r="F145">
        <f t="shared" si="10"/>
        <v>42</v>
      </c>
      <c r="G145">
        <f t="shared" si="11"/>
        <v>0</v>
      </c>
    </row>
    <row r="146" spans="1:7" x14ac:dyDescent="0.3">
      <c r="A146" s="5" t="s">
        <v>15</v>
      </c>
      <c r="B146" t="s">
        <v>49</v>
      </c>
      <c r="C146" t="s">
        <v>260</v>
      </c>
      <c r="D146" t="str">
        <f t="shared" si="8"/>
        <v>HC2ENEPJactivity</v>
      </c>
      <c r="E146" t="str">
        <f t="shared" si="9"/>
        <v>'03|IN_BO_OTH_LPJsector|HC2ENEPJactivity',</v>
      </c>
      <c r="F146">
        <f t="shared" si="10"/>
        <v>42</v>
      </c>
      <c r="G146">
        <f t="shared" si="11"/>
        <v>0</v>
      </c>
    </row>
    <row r="147" spans="1:7" x14ac:dyDescent="0.3">
      <c r="A147" s="5" t="s">
        <v>15</v>
      </c>
      <c r="B147" t="s">
        <v>49</v>
      </c>
      <c r="C147" t="s">
        <v>261</v>
      </c>
      <c r="D147" t="str">
        <f t="shared" si="8"/>
        <v>HC3ENEPJactivity</v>
      </c>
      <c r="E147" t="str">
        <f t="shared" si="9"/>
        <v>'03|IN_BO_OTH_LPJsector|HC3ENEPJactivity',</v>
      </c>
      <c r="F147">
        <f t="shared" si="10"/>
        <v>42</v>
      </c>
      <c r="G147">
        <f t="shared" si="11"/>
        <v>0</v>
      </c>
    </row>
    <row r="148" spans="1:7" x14ac:dyDescent="0.3">
      <c r="A148" s="5" t="s">
        <v>15</v>
      </c>
      <c r="B148" t="s">
        <v>50</v>
      </c>
      <c r="C148" t="s">
        <v>254</v>
      </c>
      <c r="D148" t="str">
        <f t="shared" si="8"/>
        <v>BC1ENEPJactivity</v>
      </c>
      <c r="E148" t="str">
        <f t="shared" si="9"/>
        <v>'03|IN_BO_OTH_SPJsector|BC1ENEPJactivity',</v>
      </c>
      <c r="F148">
        <f t="shared" si="10"/>
        <v>42</v>
      </c>
      <c r="G148">
        <f t="shared" si="11"/>
        <v>0</v>
      </c>
    </row>
    <row r="149" spans="1:7" x14ac:dyDescent="0.3">
      <c r="A149" s="5" t="s">
        <v>15</v>
      </c>
      <c r="B149" t="s">
        <v>50</v>
      </c>
      <c r="C149" t="s">
        <v>259</v>
      </c>
      <c r="D149" t="str">
        <f t="shared" si="8"/>
        <v>HC1ENEPJactivity</v>
      </c>
      <c r="E149" t="str">
        <f t="shared" si="9"/>
        <v>'03|IN_BO_OTH_SPJsector|HC1ENEPJactivity',</v>
      </c>
      <c r="F149">
        <f t="shared" si="10"/>
        <v>42</v>
      </c>
      <c r="G149">
        <f t="shared" si="11"/>
        <v>0</v>
      </c>
    </row>
    <row r="150" spans="1:7" x14ac:dyDescent="0.3">
      <c r="A150" s="5" t="s">
        <v>15</v>
      </c>
      <c r="B150" t="s">
        <v>50</v>
      </c>
      <c r="C150" t="s">
        <v>260</v>
      </c>
      <c r="D150" t="str">
        <f t="shared" si="8"/>
        <v>HC2ENEPJactivity</v>
      </c>
      <c r="E150" t="str">
        <f t="shared" si="9"/>
        <v>'03|IN_BO_OTH_SPJsector|HC2ENEPJactivity',</v>
      </c>
      <c r="F150">
        <f t="shared" si="10"/>
        <v>42</v>
      </c>
      <c r="G150">
        <f t="shared" si="11"/>
        <v>0</v>
      </c>
    </row>
    <row r="151" spans="1:7" x14ac:dyDescent="0.3">
      <c r="A151" s="5" t="s">
        <v>15</v>
      </c>
      <c r="B151" t="s">
        <v>50</v>
      </c>
      <c r="C151" t="s">
        <v>261</v>
      </c>
      <c r="D151" t="str">
        <f t="shared" si="8"/>
        <v>HC3ENEPJactivity</v>
      </c>
      <c r="E151" t="str">
        <f t="shared" si="9"/>
        <v>'03|IN_BO_OTH_SPJsector|HC3ENEPJactivity',</v>
      </c>
      <c r="F151">
        <f t="shared" si="10"/>
        <v>42</v>
      </c>
      <c r="G151">
        <f t="shared" si="11"/>
        <v>0</v>
      </c>
    </row>
    <row r="152" spans="1:7" x14ac:dyDescent="0.3">
      <c r="A152" s="5" t="s">
        <v>15</v>
      </c>
      <c r="B152" t="s">
        <v>51</v>
      </c>
      <c r="C152" t="s">
        <v>256</v>
      </c>
      <c r="D152" t="str">
        <f t="shared" si="8"/>
        <v>DCENEPJactivity</v>
      </c>
      <c r="E152" t="str">
        <f t="shared" si="9"/>
        <v>'03|IN_BO_PAPPJsector|DCENEPJactivity',</v>
      </c>
      <c r="F152">
        <f t="shared" si="10"/>
        <v>39</v>
      </c>
      <c r="G152">
        <f t="shared" si="11"/>
        <v>0</v>
      </c>
    </row>
    <row r="153" spans="1:7" x14ac:dyDescent="0.3">
      <c r="A153" s="5" t="s">
        <v>15</v>
      </c>
      <c r="B153" t="s">
        <v>51</v>
      </c>
      <c r="C153" t="s">
        <v>257</v>
      </c>
      <c r="D153" t="str">
        <f t="shared" si="8"/>
        <v>GASENEPJactivity</v>
      </c>
      <c r="E153" t="str">
        <f t="shared" si="9"/>
        <v>'03|IN_BO_PAPPJsector|GASENEPJactivity',</v>
      </c>
      <c r="F153">
        <f t="shared" si="10"/>
        <v>40</v>
      </c>
      <c r="G153">
        <f t="shared" si="11"/>
        <v>0</v>
      </c>
    </row>
    <row r="154" spans="1:7" x14ac:dyDescent="0.3">
      <c r="A154" s="5" t="s">
        <v>15</v>
      </c>
      <c r="B154" t="s">
        <v>51</v>
      </c>
      <c r="C154" t="s">
        <v>259</v>
      </c>
      <c r="D154" t="str">
        <f t="shared" si="8"/>
        <v>HC1ENEPJactivity</v>
      </c>
      <c r="E154" t="str">
        <f t="shared" si="9"/>
        <v>'03|IN_BO_PAPPJsector|HC1ENEPJactivity',</v>
      </c>
      <c r="F154">
        <f t="shared" si="10"/>
        <v>40</v>
      </c>
      <c r="G154">
        <f t="shared" si="11"/>
        <v>0</v>
      </c>
    </row>
    <row r="155" spans="1:7" x14ac:dyDescent="0.3">
      <c r="A155" s="5" t="s">
        <v>15</v>
      </c>
      <c r="B155" t="s">
        <v>51</v>
      </c>
      <c r="C155" t="s">
        <v>260</v>
      </c>
      <c r="D155" t="str">
        <f t="shared" si="8"/>
        <v>HC2ENEPJactivity</v>
      </c>
      <c r="E155" t="str">
        <f t="shared" si="9"/>
        <v>'03|IN_BO_PAPPJsector|HC2ENEPJactivity',</v>
      </c>
      <c r="F155">
        <f t="shared" si="10"/>
        <v>40</v>
      </c>
      <c r="G155">
        <f t="shared" si="11"/>
        <v>0</v>
      </c>
    </row>
    <row r="156" spans="1:7" x14ac:dyDescent="0.3">
      <c r="A156" s="5" t="s">
        <v>15</v>
      </c>
      <c r="B156" t="s">
        <v>51</v>
      </c>
      <c r="C156" t="s">
        <v>261</v>
      </c>
      <c r="D156" t="str">
        <f t="shared" si="8"/>
        <v>HC3ENEPJactivity</v>
      </c>
      <c r="E156" t="str">
        <f t="shared" si="9"/>
        <v>'03|IN_BO_PAPPJsector|HC3ENEPJactivity',</v>
      </c>
      <c r="F156">
        <f t="shared" si="10"/>
        <v>40</v>
      </c>
      <c r="G156">
        <f t="shared" si="11"/>
        <v>0</v>
      </c>
    </row>
    <row r="157" spans="1:7" x14ac:dyDescent="0.3">
      <c r="A157" s="5" t="s">
        <v>15</v>
      </c>
      <c r="B157" t="s">
        <v>51</v>
      </c>
      <c r="C157" t="s">
        <v>262</v>
      </c>
      <c r="D157" t="str">
        <f t="shared" si="8"/>
        <v>HFENEPJactivity</v>
      </c>
      <c r="E157" t="str">
        <f t="shared" si="9"/>
        <v>'03|IN_BO_PAPPJsector|HFENEPJactivity',</v>
      </c>
      <c r="F157">
        <f t="shared" si="10"/>
        <v>39</v>
      </c>
      <c r="G157">
        <f t="shared" si="11"/>
        <v>0</v>
      </c>
    </row>
    <row r="158" spans="1:7" x14ac:dyDescent="0.3">
      <c r="A158" s="5" t="s">
        <v>15</v>
      </c>
      <c r="B158" t="s">
        <v>51</v>
      </c>
      <c r="C158" t="s">
        <v>267</v>
      </c>
      <c r="D158" t="str">
        <f t="shared" si="8"/>
        <v>OS1ENEPJactivity</v>
      </c>
      <c r="E158" t="str">
        <f t="shared" si="9"/>
        <v>'03|IN_BO_PAPPJsector|OS1ENEPJactivity',</v>
      </c>
      <c r="F158">
        <f t="shared" si="10"/>
        <v>40</v>
      </c>
      <c r="G158">
        <f t="shared" si="11"/>
        <v>0</v>
      </c>
    </row>
    <row r="159" spans="1:7" x14ac:dyDescent="0.3">
      <c r="A159" s="5" t="s">
        <v>15</v>
      </c>
      <c r="B159" t="s">
        <v>51</v>
      </c>
      <c r="C159" t="s">
        <v>268</v>
      </c>
      <c r="D159" t="str">
        <f t="shared" si="8"/>
        <v>OS2ENEPJactivity</v>
      </c>
      <c r="E159" t="str">
        <f t="shared" si="9"/>
        <v>'03|IN_BO_PAPPJsector|OS2ENEPJactivity',</v>
      </c>
      <c r="F159">
        <f t="shared" si="10"/>
        <v>40</v>
      </c>
      <c r="G159">
        <f t="shared" si="11"/>
        <v>0</v>
      </c>
    </row>
    <row r="160" spans="1:7" x14ac:dyDescent="0.3">
      <c r="A160" s="5" t="s">
        <v>15</v>
      </c>
      <c r="B160" t="s">
        <v>51</v>
      </c>
      <c r="C160" t="s">
        <v>269</v>
      </c>
      <c r="D160" t="str">
        <f t="shared" si="8"/>
        <v>WSFNRENEPJactivity</v>
      </c>
      <c r="E160" t="str">
        <f t="shared" si="9"/>
        <v>'03|IN_BO_PAPPJsector|WSFNRENEPJactivity',</v>
      </c>
      <c r="F160">
        <f t="shared" si="10"/>
        <v>42</v>
      </c>
      <c r="G160">
        <f t="shared" si="11"/>
        <v>0</v>
      </c>
    </row>
    <row r="161" spans="1:7" x14ac:dyDescent="0.3">
      <c r="A161" s="5" t="s">
        <v>15</v>
      </c>
      <c r="B161" t="s">
        <v>52</v>
      </c>
      <c r="C161" t="s">
        <v>254</v>
      </c>
      <c r="D161" t="str">
        <f t="shared" si="8"/>
        <v>BC1ENEPJactivity</v>
      </c>
      <c r="E161" t="str">
        <f t="shared" si="9"/>
        <v>'03|IN_OCPJsector|BC1ENEPJactivity',</v>
      </c>
      <c r="F161">
        <f t="shared" si="10"/>
        <v>36</v>
      </c>
      <c r="G161">
        <f t="shared" si="11"/>
        <v>0</v>
      </c>
    </row>
    <row r="162" spans="1:7" x14ac:dyDescent="0.3">
      <c r="A162" s="5" t="s">
        <v>15</v>
      </c>
      <c r="B162" t="s">
        <v>52</v>
      </c>
      <c r="C162" t="s">
        <v>256</v>
      </c>
      <c r="D162" t="str">
        <f t="shared" si="8"/>
        <v>DCENEPJactivity</v>
      </c>
      <c r="E162" t="str">
        <f t="shared" si="9"/>
        <v>'03|IN_OCPJsector|DCENEPJactivity',</v>
      </c>
      <c r="F162">
        <f t="shared" si="10"/>
        <v>35</v>
      </c>
      <c r="G162">
        <f t="shared" si="11"/>
        <v>0</v>
      </c>
    </row>
    <row r="163" spans="1:7" x14ac:dyDescent="0.3">
      <c r="A163" s="5" t="s">
        <v>15</v>
      </c>
      <c r="B163" t="s">
        <v>52</v>
      </c>
      <c r="C163" t="s">
        <v>257</v>
      </c>
      <c r="D163" t="str">
        <f t="shared" si="8"/>
        <v>GASENEPJactivity</v>
      </c>
      <c r="E163" t="str">
        <f t="shared" si="9"/>
        <v>'03|IN_OCPJsector|GASENEPJactivity',</v>
      </c>
      <c r="F163">
        <f t="shared" si="10"/>
        <v>36</v>
      </c>
      <c r="G163">
        <f t="shared" si="11"/>
        <v>0</v>
      </c>
    </row>
    <row r="164" spans="1:7" x14ac:dyDescent="0.3">
      <c r="A164" s="5" t="s">
        <v>15</v>
      </c>
      <c r="B164" t="s">
        <v>52</v>
      </c>
      <c r="C164" t="s">
        <v>258</v>
      </c>
      <c r="D164" t="str">
        <f t="shared" si="8"/>
        <v>GSLENEPJactivity</v>
      </c>
      <c r="E164" t="str">
        <f t="shared" si="9"/>
        <v>'03|IN_OCPJsector|GSLENEPJactivity',</v>
      </c>
      <c r="F164">
        <f t="shared" si="10"/>
        <v>36</v>
      </c>
      <c r="G164">
        <f t="shared" si="11"/>
        <v>0</v>
      </c>
    </row>
    <row r="165" spans="1:7" x14ac:dyDescent="0.3">
      <c r="A165" s="5" t="s">
        <v>15</v>
      </c>
      <c r="B165" t="s">
        <v>52</v>
      </c>
      <c r="C165" t="s">
        <v>259</v>
      </c>
      <c r="D165" t="str">
        <f t="shared" si="8"/>
        <v>HC1ENEPJactivity</v>
      </c>
      <c r="E165" t="str">
        <f t="shared" si="9"/>
        <v>'03|IN_OCPJsector|HC1ENEPJactivity',</v>
      </c>
      <c r="F165">
        <f t="shared" si="10"/>
        <v>36</v>
      </c>
      <c r="G165">
        <f t="shared" si="11"/>
        <v>0</v>
      </c>
    </row>
    <row r="166" spans="1:7" x14ac:dyDescent="0.3">
      <c r="A166" s="5" t="s">
        <v>15</v>
      </c>
      <c r="B166" t="s">
        <v>52</v>
      </c>
      <c r="C166" t="s">
        <v>260</v>
      </c>
      <c r="D166" t="str">
        <f t="shared" si="8"/>
        <v>HC2ENEPJactivity</v>
      </c>
      <c r="E166" t="str">
        <f t="shared" si="9"/>
        <v>'03|IN_OCPJsector|HC2ENEPJactivity',</v>
      </c>
      <c r="F166">
        <f t="shared" si="10"/>
        <v>36</v>
      </c>
      <c r="G166">
        <f t="shared" si="11"/>
        <v>0</v>
      </c>
    </row>
    <row r="167" spans="1:7" x14ac:dyDescent="0.3">
      <c r="A167" s="5" t="s">
        <v>15</v>
      </c>
      <c r="B167" t="s">
        <v>52</v>
      </c>
      <c r="C167" t="s">
        <v>261</v>
      </c>
      <c r="D167" t="str">
        <f t="shared" si="8"/>
        <v>HC3ENEPJactivity</v>
      </c>
      <c r="E167" t="str">
        <f t="shared" si="9"/>
        <v>'03|IN_OCPJsector|HC3ENEPJactivity',</v>
      </c>
      <c r="F167">
        <f t="shared" si="10"/>
        <v>36</v>
      </c>
      <c r="G167">
        <f t="shared" si="11"/>
        <v>0</v>
      </c>
    </row>
    <row r="168" spans="1:7" x14ac:dyDescent="0.3">
      <c r="A168" s="5" t="s">
        <v>15</v>
      </c>
      <c r="B168" t="s">
        <v>52</v>
      </c>
      <c r="C168" t="s">
        <v>262</v>
      </c>
      <c r="D168" t="str">
        <f t="shared" si="8"/>
        <v>HFENEPJactivity</v>
      </c>
      <c r="E168" t="str">
        <f t="shared" si="9"/>
        <v>'03|IN_OCPJsector|HFENEPJactivity',</v>
      </c>
      <c r="F168">
        <f t="shared" si="10"/>
        <v>35</v>
      </c>
      <c r="G168">
        <f t="shared" si="11"/>
        <v>0</v>
      </c>
    </row>
    <row r="169" spans="1:7" x14ac:dyDescent="0.3">
      <c r="A169" s="5" t="s">
        <v>15</v>
      </c>
      <c r="B169" t="s">
        <v>52</v>
      </c>
      <c r="C169" t="s">
        <v>263</v>
      </c>
      <c r="D169" t="str">
        <f t="shared" si="8"/>
        <v>LPGENEPJactivity</v>
      </c>
      <c r="E169" t="str">
        <f t="shared" si="9"/>
        <v>'03|IN_OCPJsector|LPGENEPJactivity',</v>
      </c>
      <c r="F169">
        <f t="shared" si="10"/>
        <v>36</v>
      </c>
      <c r="G169">
        <f t="shared" si="11"/>
        <v>0</v>
      </c>
    </row>
    <row r="170" spans="1:7" x14ac:dyDescent="0.3">
      <c r="A170" s="5" t="s">
        <v>15</v>
      </c>
      <c r="B170" t="s">
        <v>52</v>
      </c>
      <c r="C170" t="s">
        <v>264</v>
      </c>
      <c r="D170" t="str">
        <f t="shared" si="8"/>
        <v>MDENEPJactivity</v>
      </c>
      <c r="E170" t="str">
        <f t="shared" si="9"/>
        <v>'03|IN_OCPJsector|MDENEPJactivity',</v>
      </c>
      <c r="F170">
        <f t="shared" si="10"/>
        <v>35</v>
      </c>
      <c r="G170">
        <f t="shared" si="11"/>
        <v>0</v>
      </c>
    </row>
    <row r="171" spans="1:7" x14ac:dyDescent="0.3">
      <c r="A171" s="5" t="s">
        <v>15</v>
      </c>
      <c r="B171" t="s">
        <v>52</v>
      </c>
      <c r="C171" t="s">
        <v>267</v>
      </c>
      <c r="D171" t="str">
        <f t="shared" si="8"/>
        <v>OS1ENEPJactivity</v>
      </c>
      <c r="E171" t="str">
        <f t="shared" si="9"/>
        <v>'03|IN_OCPJsector|OS1ENEPJactivity',</v>
      </c>
      <c r="F171">
        <f t="shared" si="10"/>
        <v>36</v>
      </c>
      <c r="G171">
        <f t="shared" si="11"/>
        <v>0</v>
      </c>
    </row>
    <row r="172" spans="1:7" x14ac:dyDescent="0.3">
      <c r="A172" s="5" t="s">
        <v>15</v>
      </c>
      <c r="B172" t="s">
        <v>53</v>
      </c>
      <c r="C172" t="s">
        <v>254</v>
      </c>
      <c r="D172" t="str">
        <f t="shared" si="8"/>
        <v>BC1ENEPJactivity</v>
      </c>
      <c r="E172" t="str">
        <f t="shared" si="9"/>
        <v>'03|IN_OC3PJsector|BC1ENEPJactivity',</v>
      </c>
      <c r="F172">
        <f t="shared" si="10"/>
        <v>37</v>
      </c>
      <c r="G172">
        <f t="shared" si="11"/>
        <v>0</v>
      </c>
    </row>
    <row r="173" spans="1:7" x14ac:dyDescent="0.3">
      <c r="A173" s="5" t="s">
        <v>15</v>
      </c>
      <c r="B173" t="s">
        <v>53</v>
      </c>
      <c r="C173" t="s">
        <v>259</v>
      </c>
      <c r="D173" t="str">
        <f t="shared" si="8"/>
        <v>HC1ENEPJactivity</v>
      </c>
      <c r="E173" t="str">
        <f t="shared" si="9"/>
        <v>'03|IN_OC3PJsector|HC1ENEPJactivity',</v>
      </c>
      <c r="F173">
        <f t="shared" si="10"/>
        <v>37</v>
      </c>
      <c r="G173">
        <f t="shared" si="11"/>
        <v>0</v>
      </c>
    </row>
    <row r="174" spans="1:7" x14ac:dyDescent="0.3">
      <c r="A174" s="5" t="s">
        <v>15</v>
      </c>
      <c r="B174" t="s">
        <v>53</v>
      </c>
      <c r="C174" t="s">
        <v>260</v>
      </c>
      <c r="D174" t="str">
        <f t="shared" si="8"/>
        <v>HC2ENEPJactivity</v>
      </c>
      <c r="E174" t="str">
        <f t="shared" si="9"/>
        <v>'03|IN_OC3PJsector|HC2ENEPJactivity',</v>
      </c>
      <c r="F174">
        <f t="shared" si="10"/>
        <v>37</v>
      </c>
      <c r="G174">
        <f t="shared" si="11"/>
        <v>0</v>
      </c>
    </row>
    <row r="175" spans="1:7" x14ac:dyDescent="0.3">
      <c r="A175" s="5" t="s">
        <v>15</v>
      </c>
      <c r="B175" t="s">
        <v>53</v>
      </c>
      <c r="C175" t="s">
        <v>261</v>
      </c>
      <c r="D175" t="str">
        <f t="shared" si="8"/>
        <v>HC3ENEPJactivity</v>
      </c>
      <c r="E175" t="str">
        <f t="shared" si="9"/>
        <v>'03|IN_OC3PJsector|HC3ENEPJactivity',</v>
      </c>
      <c r="F175">
        <f t="shared" si="10"/>
        <v>37</v>
      </c>
      <c r="G175">
        <f t="shared" si="11"/>
        <v>0</v>
      </c>
    </row>
    <row r="176" spans="1:7" x14ac:dyDescent="0.3">
      <c r="A176" s="5" t="s">
        <v>15</v>
      </c>
      <c r="B176" t="s">
        <v>54</v>
      </c>
      <c r="C176" t="s">
        <v>254</v>
      </c>
      <c r="D176" t="str">
        <f t="shared" si="8"/>
        <v>BC1ENEPJactivity</v>
      </c>
      <c r="E176" t="str">
        <f t="shared" si="9"/>
        <v>'03|IN_OCTOTPJsector|BC1ENEPJactivity',</v>
      </c>
      <c r="F176">
        <f t="shared" si="10"/>
        <v>39</v>
      </c>
      <c r="G176">
        <f t="shared" si="11"/>
        <v>0</v>
      </c>
    </row>
    <row r="177" spans="1:7" x14ac:dyDescent="0.3">
      <c r="A177" s="5" t="s">
        <v>15</v>
      </c>
      <c r="B177" t="s">
        <v>54</v>
      </c>
      <c r="C177" t="s">
        <v>256</v>
      </c>
      <c r="D177" t="str">
        <f t="shared" si="8"/>
        <v>DCENEPJactivity</v>
      </c>
      <c r="E177" t="str">
        <f t="shared" si="9"/>
        <v>'03|IN_OCTOTPJsector|DCENEPJactivity',</v>
      </c>
      <c r="F177">
        <f t="shared" si="10"/>
        <v>38</v>
      </c>
      <c r="G177">
        <f t="shared" si="11"/>
        <v>0</v>
      </c>
    </row>
    <row r="178" spans="1:7" x14ac:dyDescent="0.3">
      <c r="A178" s="5" t="s">
        <v>15</v>
      </c>
      <c r="B178" t="s">
        <v>54</v>
      </c>
      <c r="C178" t="s">
        <v>257</v>
      </c>
      <c r="D178" t="str">
        <f t="shared" si="8"/>
        <v>GASENEPJactivity</v>
      </c>
      <c r="E178" t="str">
        <f t="shared" si="9"/>
        <v>'03|IN_OCTOTPJsector|GASENEPJactivity',</v>
      </c>
      <c r="F178">
        <f t="shared" si="10"/>
        <v>39</v>
      </c>
      <c r="G178">
        <f t="shared" si="11"/>
        <v>0</v>
      </c>
    </row>
    <row r="179" spans="1:7" x14ac:dyDescent="0.3">
      <c r="A179" s="5" t="s">
        <v>15</v>
      </c>
      <c r="B179" t="s">
        <v>54</v>
      </c>
      <c r="C179" t="s">
        <v>258</v>
      </c>
      <c r="D179" t="str">
        <f t="shared" si="8"/>
        <v>GSLENEPJactivity</v>
      </c>
      <c r="E179" t="str">
        <f t="shared" si="9"/>
        <v>'03|IN_OCTOTPJsector|GSLENEPJactivity',</v>
      </c>
      <c r="F179">
        <f t="shared" si="10"/>
        <v>39</v>
      </c>
      <c r="G179">
        <f t="shared" si="11"/>
        <v>0</v>
      </c>
    </row>
    <row r="180" spans="1:7" x14ac:dyDescent="0.3">
      <c r="A180" s="5" t="s">
        <v>15</v>
      </c>
      <c r="B180" t="s">
        <v>54</v>
      </c>
      <c r="C180" t="s">
        <v>259</v>
      </c>
      <c r="D180" t="str">
        <f t="shared" si="8"/>
        <v>HC1ENEPJactivity</v>
      </c>
      <c r="E180" t="str">
        <f t="shared" si="9"/>
        <v>'03|IN_OCTOTPJsector|HC1ENEPJactivity',</v>
      </c>
      <c r="F180">
        <f t="shared" si="10"/>
        <v>39</v>
      </c>
      <c r="G180">
        <f t="shared" si="11"/>
        <v>0</v>
      </c>
    </row>
    <row r="181" spans="1:7" x14ac:dyDescent="0.3">
      <c r="A181" s="5" t="s">
        <v>15</v>
      </c>
      <c r="B181" t="s">
        <v>54</v>
      </c>
      <c r="C181" t="s">
        <v>260</v>
      </c>
      <c r="D181" t="str">
        <f t="shared" si="8"/>
        <v>HC2ENEPJactivity</v>
      </c>
      <c r="E181" t="str">
        <f t="shared" si="9"/>
        <v>'03|IN_OCTOTPJsector|HC2ENEPJactivity',</v>
      </c>
      <c r="F181">
        <f t="shared" si="10"/>
        <v>39</v>
      </c>
      <c r="G181">
        <f t="shared" si="11"/>
        <v>0</v>
      </c>
    </row>
    <row r="182" spans="1:7" x14ac:dyDescent="0.3">
      <c r="A182" s="5" t="s">
        <v>15</v>
      </c>
      <c r="B182" t="s">
        <v>54</v>
      </c>
      <c r="C182" t="s">
        <v>261</v>
      </c>
      <c r="D182" t="str">
        <f t="shared" si="8"/>
        <v>HC3ENEPJactivity</v>
      </c>
      <c r="E182" t="str">
        <f t="shared" si="9"/>
        <v>'03|IN_OCTOTPJsector|HC3ENEPJactivity',</v>
      </c>
      <c r="F182">
        <f t="shared" si="10"/>
        <v>39</v>
      </c>
      <c r="G182">
        <f t="shared" si="11"/>
        <v>0</v>
      </c>
    </row>
    <row r="183" spans="1:7" x14ac:dyDescent="0.3">
      <c r="A183" s="5" t="s">
        <v>15</v>
      </c>
      <c r="B183" t="s">
        <v>54</v>
      </c>
      <c r="C183" t="s">
        <v>262</v>
      </c>
      <c r="D183" t="str">
        <f t="shared" si="8"/>
        <v>HFENEPJactivity</v>
      </c>
      <c r="E183" t="str">
        <f t="shared" si="9"/>
        <v>'03|IN_OCTOTPJsector|HFENEPJactivity',</v>
      </c>
      <c r="F183">
        <f t="shared" si="10"/>
        <v>38</v>
      </c>
      <c r="G183">
        <f t="shared" si="11"/>
        <v>0</v>
      </c>
    </row>
    <row r="184" spans="1:7" x14ac:dyDescent="0.3">
      <c r="A184" s="5" t="s">
        <v>15</v>
      </c>
      <c r="B184" t="s">
        <v>54</v>
      </c>
      <c r="C184" t="s">
        <v>263</v>
      </c>
      <c r="D184" t="str">
        <f t="shared" si="8"/>
        <v>LPGENEPJactivity</v>
      </c>
      <c r="E184" t="str">
        <f t="shared" si="9"/>
        <v>'03|IN_OCTOTPJsector|LPGENEPJactivity',</v>
      </c>
      <c r="F184">
        <f t="shared" si="10"/>
        <v>39</v>
      </c>
      <c r="G184">
        <f t="shared" si="11"/>
        <v>0</v>
      </c>
    </row>
    <row r="185" spans="1:7" x14ac:dyDescent="0.3">
      <c r="A185" s="5" t="s">
        <v>15</v>
      </c>
      <c r="B185" t="s">
        <v>54</v>
      </c>
      <c r="C185" t="s">
        <v>264</v>
      </c>
      <c r="D185" t="str">
        <f t="shared" si="8"/>
        <v>MDENEPJactivity</v>
      </c>
      <c r="E185" t="str">
        <f t="shared" si="9"/>
        <v>'03|IN_OCTOTPJsector|MDENEPJactivity',</v>
      </c>
      <c r="F185">
        <f t="shared" si="10"/>
        <v>38</v>
      </c>
      <c r="G185">
        <f t="shared" si="11"/>
        <v>0</v>
      </c>
    </row>
    <row r="186" spans="1:7" x14ac:dyDescent="0.3">
      <c r="A186" s="5" t="s">
        <v>15</v>
      </c>
      <c r="B186" t="s">
        <v>54</v>
      </c>
      <c r="C186" t="s">
        <v>269</v>
      </c>
      <c r="D186" t="str">
        <f t="shared" si="8"/>
        <v>WSFNRENEPJactivity</v>
      </c>
      <c r="E186" t="str">
        <f t="shared" si="9"/>
        <v>'03|IN_OCTOTPJsector|WSFNRENEPJactivity',</v>
      </c>
      <c r="F186">
        <f t="shared" si="10"/>
        <v>41</v>
      </c>
      <c r="G186">
        <f t="shared" si="11"/>
        <v>0</v>
      </c>
    </row>
    <row r="187" spans="1:7" x14ac:dyDescent="0.3">
      <c r="A187" s="5" t="s">
        <v>15</v>
      </c>
      <c r="B187" t="s">
        <v>55</v>
      </c>
      <c r="C187" t="s">
        <v>254</v>
      </c>
      <c r="D187" t="str">
        <f t="shared" si="8"/>
        <v>BC1ENEPJactivity</v>
      </c>
      <c r="E187" t="str">
        <f t="shared" si="9"/>
        <v>'03|NONENPJsector|BC1ENEPJactivity',</v>
      </c>
      <c r="F187">
        <f t="shared" si="10"/>
        <v>36</v>
      </c>
      <c r="G187">
        <f t="shared" si="11"/>
        <v>0</v>
      </c>
    </row>
    <row r="188" spans="1:7" x14ac:dyDescent="0.3">
      <c r="A188" s="5" t="s">
        <v>15</v>
      </c>
      <c r="B188" t="s">
        <v>55</v>
      </c>
      <c r="C188" t="s">
        <v>256</v>
      </c>
      <c r="D188" t="str">
        <f t="shared" si="8"/>
        <v>DCENEPJactivity</v>
      </c>
      <c r="E188" t="str">
        <f t="shared" si="9"/>
        <v>'03|NONENPJsector|DCENEPJactivity',</v>
      </c>
      <c r="F188">
        <f t="shared" si="10"/>
        <v>35</v>
      </c>
      <c r="G188">
        <f t="shared" si="11"/>
        <v>0</v>
      </c>
    </row>
    <row r="189" spans="1:7" x14ac:dyDescent="0.3">
      <c r="A189" s="5" t="s">
        <v>15</v>
      </c>
      <c r="B189" t="s">
        <v>55</v>
      </c>
      <c r="C189" t="s">
        <v>257</v>
      </c>
      <c r="D189" t="str">
        <f t="shared" si="8"/>
        <v>GASENEPJactivity</v>
      </c>
      <c r="E189" t="str">
        <f t="shared" si="9"/>
        <v>'03|NONENPJsector|GASENEPJactivity',</v>
      </c>
      <c r="F189">
        <f t="shared" si="10"/>
        <v>36</v>
      </c>
      <c r="G189">
        <f t="shared" si="11"/>
        <v>0</v>
      </c>
    </row>
    <row r="190" spans="1:7" x14ac:dyDescent="0.3">
      <c r="A190" s="5" t="s">
        <v>15</v>
      </c>
      <c r="B190" t="s">
        <v>55</v>
      </c>
      <c r="C190" t="s">
        <v>258</v>
      </c>
      <c r="D190" t="str">
        <f t="shared" si="8"/>
        <v>GSLENEPJactivity</v>
      </c>
      <c r="E190" t="str">
        <f t="shared" si="9"/>
        <v>'03|NONENPJsector|GSLENEPJactivity',</v>
      </c>
      <c r="F190">
        <f t="shared" si="10"/>
        <v>36</v>
      </c>
      <c r="G190">
        <f t="shared" si="11"/>
        <v>0</v>
      </c>
    </row>
    <row r="191" spans="1:7" x14ac:dyDescent="0.3">
      <c r="A191" s="5" t="s">
        <v>15</v>
      </c>
      <c r="B191" t="s">
        <v>55</v>
      </c>
      <c r="C191" t="s">
        <v>259</v>
      </c>
      <c r="D191" t="str">
        <f t="shared" si="8"/>
        <v>HC1ENEPJactivity</v>
      </c>
      <c r="E191" t="str">
        <f t="shared" si="9"/>
        <v>'03|NONENPJsector|HC1ENEPJactivity',</v>
      </c>
      <c r="F191">
        <f t="shared" si="10"/>
        <v>36</v>
      </c>
      <c r="G191">
        <f t="shared" si="11"/>
        <v>0</v>
      </c>
    </row>
    <row r="192" spans="1:7" x14ac:dyDescent="0.3">
      <c r="A192" s="5" t="s">
        <v>15</v>
      </c>
      <c r="B192" t="s">
        <v>55</v>
      </c>
      <c r="C192" t="s">
        <v>260</v>
      </c>
      <c r="D192" t="str">
        <f t="shared" si="8"/>
        <v>HC2ENEPJactivity</v>
      </c>
      <c r="E192" t="str">
        <f t="shared" si="9"/>
        <v>'03|NONENPJsector|HC2ENEPJactivity',</v>
      </c>
      <c r="F192">
        <f t="shared" si="10"/>
        <v>36</v>
      </c>
      <c r="G192">
        <f t="shared" si="11"/>
        <v>0</v>
      </c>
    </row>
    <row r="193" spans="1:7" x14ac:dyDescent="0.3">
      <c r="A193" s="5" t="s">
        <v>15</v>
      </c>
      <c r="B193" t="s">
        <v>55</v>
      </c>
      <c r="C193" t="s">
        <v>261</v>
      </c>
      <c r="D193" t="str">
        <f t="shared" si="8"/>
        <v>HC3ENEPJactivity</v>
      </c>
      <c r="E193" t="str">
        <f t="shared" si="9"/>
        <v>'03|NONENPJsector|HC3ENEPJactivity',</v>
      </c>
      <c r="F193">
        <f t="shared" si="10"/>
        <v>36</v>
      </c>
      <c r="G193">
        <f t="shared" si="11"/>
        <v>0</v>
      </c>
    </row>
    <row r="194" spans="1:7" x14ac:dyDescent="0.3">
      <c r="A194" s="5" t="s">
        <v>15</v>
      </c>
      <c r="B194" t="s">
        <v>55</v>
      </c>
      <c r="C194" t="s">
        <v>262</v>
      </c>
      <c r="D194" t="str">
        <f t="shared" si="8"/>
        <v>HFENEPJactivity</v>
      </c>
      <c r="E194" t="str">
        <f t="shared" si="9"/>
        <v>'03|NONENPJsector|HFENEPJactivity',</v>
      </c>
      <c r="F194">
        <f t="shared" si="10"/>
        <v>35</v>
      </c>
      <c r="G194">
        <f t="shared" si="11"/>
        <v>0</v>
      </c>
    </row>
    <row r="195" spans="1:7" x14ac:dyDescent="0.3">
      <c r="A195" s="5" t="s">
        <v>15</v>
      </c>
      <c r="B195" t="s">
        <v>55</v>
      </c>
      <c r="C195" t="s">
        <v>263</v>
      </c>
      <c r="D195" t="str">
        <f t="shared" ref="D195:D258" si="12">C195</f>
        <v>LPGENEPJactivity</v>
      </c>
      <c r="E195" t="str">
        <f t="shared" ref="E195:E258" si="13">"'"&amp;A195&amp;"|"&amp;B195&amp;"|"&amp;D195&amp;"'"&amp;","</f>
        <v>'03|NONENPJsector|LPGENEPJactivity',</v>
      </c>
      <c r="F195">
        <f t="shared" ref="F195:F258" si="14">LEN(E195)</f>
        <v>36</v>
      </c>
      <c r="G195">
        <f t="shared" ref="G195:G258" si="15">IF(F195&lt;63,,10)</f>
        <v>0</v>
      </c>
    </row>
    <row r="196" spans="1:7" x14ac:dyDescent="0.3">
      <c r="A196" s="5" t="s">
        <v>15</v>
      </c>
      <c r="B196" t="s">
        <v>55</v>
      </c>
      <c r="C196" t="s">
        <v>264</v>
      </c>
      <c r="D196" t="str">
        <f t="shared" si="12"/>
        <v>MDENEPJactivity</v>
      </c>
      <c r="E196" t="str">
        <f t="shared" si="13"/>
        <v>'03|NONENPJsector|MDENEPJactivity',</v>
      </c>
      <c r="F196">
        <f t="shared" si="14"/>
        <v>35</v>
      </c>
      <c r="G196">
        <f t="shared" si="15"/>
        <v>0</v>
      </c>
    </row>
    <row r="197" spans="1:7" x14ac:dyDescent="0.3">
      <c r="A197" s="5" t="s">
        <v>15</v>
      </c>
      <c r="B197" t="s">
        <v>55</v>
      </c>
      <c r="C197" t="s">
        <v>268</v>
      </c>
      <c r="D197" t="str">
        <f t="shared" si="12"/>
        <v>OS2ENEPJactivity</v>
      </c>
      <c r="E197" t="str">
        <f t="shared" si="13"/>
        <v>'03|NONENPJsector|OS2ENEPJactivity',</v>
      </c>
      <c r="F197">
        <f t="shared" si="14"/>
        <v>36</v>
      </c>
      <c r="G197">
        <f t="shared" si="15"/>
        <v>0</v>
      </c>
    </row>
    <row r="198" spans="1:7" x14ac:dyDescent="0.3">
      <c r="A198" s="5" t="s">
        <v>15</v>
      </c>
      <c r="B198" t="s">
        <v>56</v>
      </c>
      <c r="C198" t="s">
        <v>275</v>
      </c>
      <c r="D198" t="str">
        <f t="shared" si="12"/>
        <v>NOFPROCkt N2Oactivity</v>
      </c>
      <c r="E198" t="str">
        <f t="shared" si="13"/>
        <v>'03|OTHER_N2Okt N2Osector|NOFPROCkt N2Oactivity',</v>
      </c>
      <c r="F198">
        <f t="shared" si="14"/>
        <v>49</v>
      </c>
      <c r="G198">
        <f t="shared" si="15"/>
        <v>0</v>
      </c>
    </row>
    <row r="199" spans="1:7" x14ac:dyDescent="0.3">
      <c r="A199" s="5" t="s">
        <v>15</v>
      </c>
      <c r="B199" t="s">
        <v>57</v>
      </c>
      <c r="C199" t="s">
        <v>276</v>
      </c>
      <c r="D199" t="str">
        <f t="shared" si="12"/>
        <v>NOFPROCkt NOxactivity</v>
      </c>
      <c r="E199" t="str">
        <f t="shared" si="13"/>
        <v>'03|OTHER_NOXkt NOxsector|NOFPROCkt NOxactivity',</v>
      </c>
      <c r="F199">
        <f t="shared" si="14"/>
        <v>49</v>
      </c>
      <c r="G199">
        <f t="shared" si="15"/>
        <v>0</v>
      </c>
    </row>
    <row r="200" spans="1:7" x14ac:dyDescent="0.3">
      <c r="A200" s="5" t="s">
        <v>15</v>
      </c>
      <c r="B200" t="s">
        <v>58</v>
      </c>
      <c r="C200" t="s">
        <v>277</v>
      </c>
      <c r="D200" t="str">
        <f t="shared" si="12"/>
        <v>NOFPROCkt SO2activity</v>
      </c>
      <c r="E200" t="str">
        <f t="shared" si="13"/>
        <v>'03|OTHER_SO2kt SO2sector|NOFPROCkt SO2activity',</v>
      </c>
      <c r="F200">
        <f t="shared" si="14"/>
        <v>49</v>
      </c>
      <c r="G200">
        <f t="shared" si="15"/>
        <v>0</v>
      </c>
    </row>
    <row r="201" spans="1:7" x14ac:dyDescent="0.3">
      <c r="A201" s="5" t="s">
        <v>15</v>
      </c>
      <c r="B201" t="s">
        <v>59</v>
      </c>
      <c r="C201" t="s">
        <v>278</v>
      </c>
      <c r="D201" t="str">
        <f t="shared" si="12"/>
        <v>NOFPROCMtactivity</v>
      </c>
      <c r="E201" t="str">
        <f t="shared" si="13"/>
        <v>'03|PR_ALSECMtsector|NOFPROCMtactivity',</v>
      </c>
      <c r="F201">
        <f t="shared" si="14"/>
        <v>40</v>
      </c>
      <c r="G201">
        <f t="shared" si="15"/>
        <v>0</v>
      </c>
    </row>
    <row r="202" spans="1:7" x14ac:dyDescent="0.3">
      <c r="A202" s="5" t="s">
        <v>15</v>
      </c>
      <c r="B202" t="s">
        <v>60</v>
      </c>
      <c r="C202" t="s">
        <v>278</v>
      </c>
      <c r="D202" t="str">
        <f t="shared" si="12"/>
        <v>NOFPROCMtactivity</v>
      </c>
      <c r="E202" t="str">
        <f t="shared" si="13"/>
        <v>'03|PR_BRICKMtsector|NOFPROCMtactivity',</v>
      </c>
      <c r="F202">
        <f t="shared" si="14"/>
        <v>40</v>
      </c>
      <c r="G202">
        <f t="shared" si="15"/>
        <v>0</v>
      </c>
    </row>
    <row r="203" spans="1:7" x14ac:dyDescent="0.3">
      <c r="A203" s="5" t="s">
        <v>15</v>
      </c>
      <c r="B203" t="s">
        <v>61</v>
      </c>
      <c r="C203" t="s">
        <v>278</v>
      </c>
      <c r="D203" t="str">
        <f t="shared" si="12"/>
        <v>NOFPROCMtactivity</v>
      </c>
      <c r="E203" t="str">
        <f t="shared" si="13"/>
        <v>'03|PR_CASTMtsector|NOFPROCMtactivity',</v>
      </c>
      <c r="F203">
        <f t="shared" si="14"/>
        <v>39</v>
      </c>
      <c r="G203">
        <f t="shared" si="15"/>
        <v>0</v>
      </c>
    </row>
    <row r="204" spans="1:7" x14ac:dyDescent="0.3">
      <c r="A204" s="5" t="s">
        <v>15</v>
      </c>
      <c r="B204" t="s">
        <v>62</v>
      </c>
      <c r="C204" t="s">
        <v>278</v>
      </c>
      <c r="D204" t="str">
        <f t="shared" si="12"/>
        <v>NOFPROCMtactivity</v>
      </c>
      <c r="E204" t="str">
        <f t="shared" si="13"/>
        <v>'03|PR_CEMMtsector|NOFPROCMtactivity',</v>
      </c>
      <c r="F204">
        <f t="shared" si="14"/>
        <v>38</v>
      </c>
      <c r="G204">
        <f t="shared" si="15"/>
        <v>0</v>
      </c>
    </row>
    <row r="205" spans="1:7" x14ac:dyDescent="0.3">
      <c r="A205" s="5" t="s">
        <v>15</v>
      </c>
      <c r="B205" t="s">
        <v>63</v>
      </c>
      <c r="C205" t="s">
        <v>278</v>
      </c>
      <c r="D205" t="str">
        <f t="shared" si="12"/>
        <v>NOFPROCMtactivity</v>
      </c>
      <c r="E205" t="str">
        <f t="shared" si="13"/>
        <v>'03|PR_GLASSMtsector|NOFPROCMtactivity',</v>
      </c>
      <c r="F205">
        <f t="shared" si="14"/>
        <v>40</v>
      </c>
      <c r="G205">
        <f t="shared" si="15"/>
        <v>0</v>
      </c>
    </row>
    <row r="206" spans="1:7" x14ac:dyDescent="0.3">
      <c r="A206" s="5" t="s">
        <v>15</v>
      </c>
      <c r="B206" t="s">
        <v>64</v>
      </c>
      <c r="C206" t="s">
        <v>278</v>
      </c>
      <c r="D206" t="str">
        <f t="shared" si="12"/>
        <v>NOFPROCMtactivity</v>
      </c>
      <c r="E206" t="str">
        <f t="shared" si="13"/>
        <v>'03|PR_LIMEMtsector|NOFPROCMtactivity',</v>
      </c>
      <c r="F206">
        <f t="shared" si="14"/>
        <v>39</v>
      </c>
      <c r="G206">
        <f t="shared" si="15"/>
        <v>0</v>
      </c>
    </row>
    <row r="207" spans="1:7" x14ac:dyDescent="0.3">
      <c r="A207" s="5" t="s">
        <v>15</v>
      </c>
      <c r="B207" t="s">
        <v>65</v>
      </c>
      <c r="C207" t="s">
        <v>278</v>
      </c>
      <c r="D207" t="str">
        <f t="shared" si="12"/>
        <v>NOFPROCMtactivity</v>
      </c>
      <c r="E207" t="str">
        <f t="shared" si="13"/>
        <v>'03|PR_SINTMtsector|NOFPROCMtactivity',</v>
      </c>
      <c r="F207">
        <f t="shared" si="14"/>
        <v>39</v>
      </c>
      <c r="G207">
        <f t="shared" si="15"/>
        <v>0</v>
      </c>
    </row>
    <row r="208" spans="1:7" x14ac:dyDescent="0.3">
      <c r="A208" s="5" t="s">
        <v>16</v>
      </c>
      <c r="B208" t="s">
        <v>66</v>
      </c>
      <c r="C208" t="s">
        <v>279</v>
      </c>
      <c r="D208" t="str">
        <f t="shared" si="12"/>
        <v>NOFPROCM m2activity</v>
      </c>
      <c r="E208" t="str">
        <f t="shared" si="13"/>
        <v>'04|CONSTRUCTM m2sector|NOFPROCM m2activity',</v>
      </c>
      <c r="F208">
        <f t="shared" si="14"/>
        <v>45</v>
      </c>
      <c r="G208">
        <f t="shared" si="15"/>
        <v>0</v>
      </c>
    </row>
    <row r="209" spans="1:7" x14ac:dyDescent="0.3">
      <c r="A209" s="5" t="s">
        <v>16</v>
      </c>
      <c r="B209" t="s">
        <v>67</v>
      </c>
      <c r="C209" t="s">
        <v>280</v>
      </c>
      <c r="D209" t="str">
        <f t="shared" si="12"/>
        <v>NOFAGRkt Nactivity</v>
      </c>
      <c r="E209" t="str">
        <f t="shared" si="13"/>
        <v>'04|FERTPROkt Nsector|NOFAGRkt Nactivity',</v>
      </c>
      <c r="F209">
        <f t="shared" si="14"/>
        <v>42</v>
      </c>
      <c r="G209">
        <f t="shared" si="15"/>
        <v>0</v>
      </c>
    </row>
    <row r="210" spans="1:7" x14ac:dyDescent="0.3">
      <c r="A210" s="5" t="s">
        <v>16</v>
      </c>
      <c r="B210" t="s">
        <v>68</v>
      </c>
      <c r="C210" t="s">
        <v>281</v>
      </c>
      <c r="D210" t="str">
        <f t="shared" si="12"/>
        <v>EMIVOCPkt VOCactivity</v>
      </c>
      <c r="E210" t="str">
        <f t="shared" si="13"/>
        <v>'04|INORGkt VOCsector|EMIVOCPkt VOCactivity',</v>
      </c>
      <c r="F210">
        <f t="shared" si="14"/>
        <v>45</v>
      </c>
      <c r="G210">
        <f t="shared" si="15"/>
        <v>0</v>
      </c>
    </row>
    <row r="211" spans="1:7" x14ac:dyDescent="0.3">
      <c r="A211" s="5" t="s">
        <v>16</v>
      </c>
      <c r="B211" t="s">
        <v>69</v>
      </c>
      <c r="C211" t="s">
        <v>282</v>
      </c>
      <c r="D211" t="str">
        <f t="shared" si="12"/>
        <v>NOFAGRkt NH3activity</v>
      </c>
      <c r="E211" t="str">
        <f t="shared" si="13"/>
        <v>'04|IO_NH3_EMISSkt NH3sector|NOFAGRkt NH3activity',</v>
      </c>
      <c r="F211">
        <f t="shared" si="14"/>
        <v>51</v>
      </c>
      <c r="G211">
        <f t="shared" si="15"/>
        <v>0</v>
      </c>
    </row>
    <row r="212" spans="1:7" x14ac:dyDescent="0.3">
      <c r="A212" s="5" t="s">
        <v>16</v>
      </c>
      <c r="B212" t="s">
        <v>70</v>
      </c>
      <c r="C212" t="s">
        <v>278</v>
      </c>
      <c r="D212" t="str">
        <f t="shared" si="12"/>
        <v>NOFPROCMtactivity</v>
      </c>
      <c r="E212" t="str">
        <f t="shared" si="13"/>
        <v>'04|MINE_OTHMtsector|NOFPROCMtactivity',</v>
      </c>
      <c r="F212">
        <f t="shared" si="14"/>
        <v>40</v>
      </c>
      <c r="G212">
        <f t="shared" si="15"/>
        <v>0</v>
      </c>
    </row>
    <row r="213" spans="1:7" x14ac:dyDescent="0.3">
      <c r="A213" s="5" t="s">
        <v>16</v>
      </c>
      <c r="B213" t="s">
        <v>71</v>
      </c>
      <c r="C213" t="s">
        <v>281</v>
      </c>
      <c r="D213" t="str">
        <f t="shared" si="12"/>
        <v>EMIVOCPkt VOCactivity</v>
      </c>
      <c r="E213" t="str">
        <f t="shared" si="13"/>
        <v>'04|ORG_STOREkt VOCsector|EMIVOCPkt VOCactivity',</v>
      </c>
      <c r="F213">
        <f t="shared" si="14"/>
        <v>49</v>
      </c>
      <c r="G213">
        <f t="shared" si="15"/>
        <v>0</v>
      </c>
    </row>
    <row r="214" spans="1:7" x14ac:dyDescent="0.3">
      <c r="A214" s="5" t="s">
        <v>16</v>
      </c>
      <c r="B214" t="s">
        <v>72</v>
      </c>
      <c r="C214" t="s">
        <v>281</v>
      </c>
      <c r="D214" t="str">
        <f t="shared" si="12"/>
        <v>EMIVOCPkt VOCactivity</v>
      </c>
      <c r="E214" t="str">
        <f t="shared" si="13"/>
        <v>'04|OTH_ORG_PRkt VOCsector|EMIVOCPkt VOCactivity',</v>
      </c>
      <c r="F214">
        <f t="shared" si="14"/>
        <v>50</v>
      </c>
      <c r="G214">
        <f t="shared" si="15"/>
        <v>0</v>
      </c>
    </row>
    <row r="215" spans="1:7" x14ac:dyDescent="0.3">
      <c r="A215" s="5" t="s">
        <v>16</v>
      </c>
      <c r="B215" t="s">
        <v>73</v>
      </c>
      <c r="C215" t="s">
        <v>278</v>
      </c>
      <c r="D215" t="str">
        <f t="shared" si="12"/>
        <v>NOFPROCMtactivity</v>
      </c>
      <c r="E215" t="str">
        <f t="shared" si="13"/>
        <v>'04|PR_ADIPMtsector|NOFPROCMtactivity',</v>
      </c>
      <c r="F215">
        <f t="shared" si="14"/>
        <v>39</v>
      </c>
      <c r="G215">
        <f t="shared" si="15"/>
        <v>0</v>
      </c>
    </row>
    <row r="216" spans="1:7" x14ac:dyDescent="0.3">
      <c r="A216" s="5" t="s">
        <v>16</v>
      </c>
      <c r="B216" t="s">
        <v>74</v>
      </c>
      <c r="C216" t="s">
        <v>278</v>
      </c>
      <c r="D216" t="str">
        <f t="shared" si="12"/>
        <v>NOFPROCMtactivity</v>
      </c>
      <c r="E216" t="str">
        <f t="shared" si="13"/>
        <v>'04|PR_ALPRIMMtsector|NOFPROCMtactivity',</v>
      </c>
      <c r="F216">
        <f t="shared" si="14"/>
        <v>41</v>
      </c>
      <c r="G216">
        <f t="shared" si="15"/>
        <v>0</v>
      </c>
    </row>
    <row r="217" spans="1:7" x14ac:dyDescent="0.3">
      <c r="A217" s="5" t="s">
        <v>16</v>
      </c>
      <c r="B217" t="s">
        <v>75</v>
      </c>
      <c r="C217" t="s">
        <v>278</v>
      </c>
      <c r="D217" t="str">
        <f t="shared" si="12"/>
        <v>NOFPROCMtactivity</v>
      </c>
      <c r="E217" t="str">
        <f t="shared" si="13"/>
        <v>'04|PR_BAOXMtsector|NOFPROCMtactivity',</v>
      </c>
      <c r="F217">
        <f t="shared" si="14"/>
        <v>39</v>
      </c>
      <c r="G217">
        <f t="shared" si="15"/>
        <v>0</v>
      </c>
    </row>
    <row r="218" spans="1:7" x14ac:dyDescent="0.3">
      <c r="A218" s="5" t="s">
        <v>16</v>
      </c>
      <c r="B218" t="s">
        <v>76</v>
      </c>
      <c r="C218" t="s">
        <v>278</v>
      </c>
      <c r="D218" t="str">
        <f t="shared" si="12"/>
        <v>NOFPROCMtactivity</v>
      </c>
      <c r="E218" t="str">
        <f t="shared" si="13"/>
        <v>'04|PR_BRIQMtsector|NOFPROCMtactivity',</v>
      </c>
      <c r="F218">
        <f t="shared" si="14"/>
        <v>39</v>
      </c>
      <c r="G218">
        <f t="shared" si="15"/>
        <v>0</v>
      </c>
    </row>
    <row r="219" spans="1:7" x14ac:dyDescent="0.3">
      <c r="A219" s="5" t="s">
        <v>16</v>
      </c>
      <c r="B219" t="s">
        <v>77</v>
      </c>
      <c r="C219" t="s">
        <v>278</v>
      </c>
      <c r="D219" t="str">
        <f t="shared" si="12"/>
        <v>NOFPROCMtactivity</v>
      </c>
      <c r="E219" t="str">
        <f t="shared" si="13"/>
        <v>'04|PR_CAST_FMtsector|NOFPROCMtactivity',</v>
      </c>
      <c r="F219">
        <f t="shared" si="14"/>
        <v>41</v>
      </c>
      <c r="G219">
        <f t="shared" si="15"/>
        <v>0</v>
      </c>
    </row>
    <row r="220" spans="1:7" x14ac:dyDescent="0.3">
      <c r="A220" s="5" t="s">
        <v>16</v>
      </c>
      <c r="B220" t="s">
        <v>78</v>
      </c>
      <c r="C220" t="s">
        <v>278</v>
      </c>
      <c r="D220" t="str">
        <f t="shared" si="12"/>
        <v>NOFPROCMtactivity</v>
      </c>
      <c r="E220" t="str">
        <f t="shared" si="13"/>
        <v>'04|PR_CBLACKMtsector|NOFPROCMtactivity',</v>
      </c>
      <c r="F220">
        <f t="shared" si="14"/>
        <v>41</v>
      </c>
      <c r="G220">
        <f t="shared" si="15"/>
        <v>0</v>
      </c>
    </row>
    <row r="221" spans="1:7" x14ac:dyDescent="0.3">
      <c r="A221" s="5" t="s">
        <v>16</v>
      </c>
      <c r="B221" t="s">
        <v>79</v>
      </c>
      <c r="C221" t="s">
        <v>278</v>
      </c>
      <c r="D221" t="str">
        <f t="shared" si="12"/>
        <v>NOFPROCMtactivity</v>
      </c>
      <c r="E221" t="str">
        <f t="shared" si="13"/>
        <v>'04|PR_COKEMtsector|NOFPROCMtactivity',</v>
      </c>
      <c r="F221">
        <f t="shared" si="14"/>
        <v>39</v>
      </c>
      <c r="G221">
        <f t="shared" si="15"/>
        <v>0</v>
      </c>
    </row>
    <row r="222" spans="1:7" x14ac:dyDescent="0.3">
      <c r="A222" s="5" t="s">
        <v>16</v>
      </c>
      <c r="B222" t="s">
        <v>80</v>
      </c>
      <c r="C222" t="s">
        <v>278</v>
      </c>
      <c r="D222" t="str">
        <f t="shared" si="12"/>
        <v>NOFPROCMtactivity</v>
      </c>
      <c r="E222" t="str">
        <f t="shared" si="13"/>
        <v>'04|PR_EARCMtsector|NOFPROCMtactivity',</v>
      </c>
      <c r="F222">
        <f t="shared" si="14"/>
        <v>39</v>
      </c>
      <c r="G222">
        <f t="shared" si="15"/>
        <v>0</v>
      </c>
    </row>
    <row r="223" spans="1:7" x14ac:dyDescent="0.3">
      <c r="A223" s="5" t="s">
        <v>16</v>
      </c>
      <c r="B223" t="s">
        <v>81</v>
      </c>
      <c r="C223" t="s">
        <v>283</v>
      </c>
      <c r="D223" t="str">
        <f t="shared" si="12"/>
        <v>NOFAGRMtactivity</v>
      </c>
      <c r="E223" t="str">
        <f t="shared" si="13"/>
        <v>'04|PR_FERTMtsector|NOFAGRMtactivity',</v>
      </c>
      <c r="F223">
        <f t="shared" si="14"/>
        <v>38</v>
      </c>
      <c r="G223">
        <f t="shared" si="15"/>
        <v>0</v>
      </c>
    </row>
    <row r="224" spans="1:7" x14ac:dyDescent="0.3">
      <c r="A224" s="5" t="s">
        <v>16</v>
      </c>
      <c r="B224" t="s">
        <v>82</v>
      </c>
      <c r="C224" t="s">
        <v>278</v>
      </c>
      <c r="D224" t="str">
        <f t="shared" si="12"/>
        <v>NOFPROCMtactivity</v>
      </c>
      <c r="E224" t="str">
        <f t="shared" si="13"/>
        <v>'04|PR_NIACMtsector|NOFPROCMtactivity',</v>
      </c>
      <c r="F224">
        <f t="shared" si="14"/>
        <v>39</v>
      </c>
      <c r="G224">
        <f t="shared" si="15"/>
        <v>0</v>
      </c>
    </row>
    <row r="225" spans="1:7" x14ac:dyDescent="0.3">
      <c r="A225" s="5" t="s">
        <v>16</v>
      </c>
      <c r="B225" t="s">
        <v>83</v>
      </c>
      <c r="C225" t="s">
        <v>278</v>
      </c>
      <c r="D225" t="str">
        <f t="shared" si="12"/>
        <v>NOFPROCMtactivity</v>
      </c>
      <c r="E225" t="str">
        <f t="shared" si="13"/>
        <v>'04|PR_OT_NFMEMtsector|NOFPROCMtactivity',</v>
      </c>
      <c r="F225">
        <f t="shared" si="14"/>
        <v>42</v>
      </c>
      <c r="G225">
        <f t="shared" si="15"/>
        <v>0</v>
      </c>
    </row>
    <row r="226" spans="1:7" x14ac:dyDescent="0.3">
      <c r="A226" s="5" t="s">
        <v>16</v>
      </c>
      <c r="B226" t="s">
        <v>84</v>
      </c>
      <c r="C226" t="s">
        <v>278</v>
      </c>
      <c r="D226" t="str">
        <f t="shared" si="12"/>
        <v>NOFPROCMtactivity</v>
      </c>
      <c r="E226" t="str">
        <f t="shared" si="13"/>
        <v>'04|PR_OTHERMtsector|NOFPROCMtactivity',</v>
      </c>
      <c r="F226">
        <f t="shared" si="14"/>
        <v>40</v>
      </c>
      <c r="G226">
        <f t="shared" si="15"/>
        <v>0</v>
      </c>
    </row>
    <row r="227" spans="1:7" x14ac:dyDescent="0.3">
      <c r="A227" s="5" t="s">
        <v>16</v>
      </c>
      <c r="B227" t="s">
        <v>85</v>
      </c>
      <c r="C227" t="s">
        <v>278</v>
      </c>
      <c r="D227" t="str">
        <f t="shared" si="12"/>
        <v>NOFPROCMtactivity</v>
      </c>
      <c r="E227" t="str">
        <f t="shared" si="13"/>
        <v>'04|PR_PELLMtsector|NOFPROCMtactivity',</v>
      </c>
      <c r="F227">
        <f t="shared" si="14"/>
        <v>39</v>
      </c>
      <c r="G227">
        <f t="shared" si="15"/>
        <v>0</v>
      </c>
    </row>
    <row r="228" spans="1:7" x14ac:dyDescent="0.3">
      <c r="A228" s="5" t="s">
        <v>16</v>
      </c>
      <c r="B228" t="s">
        <v>86</v>
      </c>
      <c r="C228" t="s">
        <v>278</v>
      </c>
      <c r="D228" t="str">
        <f t="shared" si="12"/>
        <v>NOFPROCMtactivity</v>
      </c>
      <c r="E228" t="str">
        <f t="shared" si="13"/>
        <v>'04|PR_PIGIMtsector|NOFPROCMtactivity',</v>
      </c>
      <c r="F228">
        <f t="shared" si="14"/>
        <v>39</v>
      </c>
      <c r="G228">
        <f t="shared" si="15"/>
        <v>0</v>
      </c>
    </row>
    <row r="229" spans="1:7" x14ac:dyDescent="0.3">
      <c r="A229" s="5" t="s">
        <v>16</v>
      </c>
      <c r="B229" t="s">
        <v>87</v>
      </c>
      <c r="C229" t="s">
        <v>278</v>
      </c>
      <c r="D229" t="str">
        <f t="shared" si="12"/>
        <v>NOFPROCMtactivity</v>
      </c>
      <c r="E229" t="str">
        <f t="shared" si="13"/>
        <v>'04|PR_PIGI_FMtsector|NOFPROCMtactivity',</v>
      </c>
      <c r="F229">
        <f t="shared" si="14"/>
        <v>41</v>
      </c>
      <c r="G229">
        <f t="shared" si="15"/>
        <v>0</v>
      </c>
    </row>
    <row r="230" spans="1:7" x14ac:dyDescent="0.3">
      <c r="A230" s="5" t="s">
        <v>16</v>
      </c>
      <c r="B230" t="s">
        <v>88</v>
      </c>
      <c r="C230" t="s">
        <v>278</v>
      </c>
      <c r="D230" t="str">
        <f t="shared" si="12"/>
        <v>NOFPROCMtactivity</v>
      </c>
      <c r="E230" t="str">
        <f t="shared" si="13"/>
        <v>'04|PR_PULPMtsector|NOFPROCMtactivity',</v>
      </c>
      <c r="F230">
        <f t="shared" si="14"/>
        <v>39</v>
      </c>
      <c r="G230">
        <f t="shared" si="15"/>
        <v>0</v>
      </c>
    </row>
    <row r="231" spans="1:7" x14ac:dyDescent="0.3">
      <c r="A231" s="5" t="s">
        <v>16</v>
      </c>
      <c r="B231" t="s">
        <v>89</v>
      </c>
      <c r="C231" t="s">
        <v>284</v>
      </c>
      <c r="D231" t="str">
        <f t="shared" si="12"/>
        <v>CRUPROCMtactivity</v>
      </c>
      <c r="E231" t="str">
        <f t="shared" si="13"/>
        <v>'04|PR_REFMtsector|CRUPROCMtactivity',</v>
      </c>
      <c r="F231">
        <f t="shared" si="14"/>
        <v>38</v>
      </c>
      <c r="G231">
        <f t="shared" si="15"/>
        <v>0</v>
      </c>
    </row>
    <row r="232" spans="1:7" x14ac:dyDescent="0.3">
      <c r="A232" s="5" t="s">
        <v>16</v>
      </c>
      <c r="B232" t="s">
        <v>89</v>
      </c>
      <c r="C232" t="s">
        <v>278</v>
      </c>
      <c r="D232" t="str">
        <f t="shared" si="12"/>
        <v>NOFPROCMtactivity</v>
      </c>
      <c r="E232" t="str">
        <f t="shared" si="13"/>
        <v>'04|PR_REFMtsector|NOFPROCMtactivity',</v>
      </c>
      <c r="F232">
        <f t="shared" si="14"/>
        <v>38</v>
      </c>
      <c r="G232">
        <f t="shared" si="15"/>
        <v>0</v>
      </c>
    </row>
    <row r="233" spans="1:7" x14ac:dyDescent="0.3">
      <c r="A233" s="5" t="s">
        <v>16</v>
      </c>
      <c r="B233" t="s">
        <v>90</v>
      </c>
      <c r="C233" t="s">
        <v>278</v>
      </c>
      <c r="D233" t="str">
        <f t="shared" si="12"/>
        <v>NOFPROCMtactivity</v>
      </c>
      <c r="E233" t="str">
        <f t="shared" si="13"/>
        <v>'04|PR_SINT_FMtsector|NOFPROCMtactivity',</v>
      </c>
      <c r="F233">
        <f t="shared" si="14"/>
        <v>41</v>
      </c>
      <c r="G233">
        <f t="shared" si="15"/>
        <v>0</v>
      </c>
    </row>
    <row r="234" spans="1:7" x14ac:dyDescent="0.3">
      <c r="A234" s="5" t="s">
        <v>16</v>
      </c>
      <c r="B234" t="s">
        <v>91</v>
      </c>
      <c r="C234" t="s">
        <v>285</v>
      </c>
      <c r="D234" t="str">
        <f t="shared" si="12"/>
        <v>NOFPROCM peopleactivity</v>
      </c>
      <c r="E234" t="str">
        <f t="shared" si="13"/>
        <v>'04|PR_SMIND_FM peoplesector|NOFPROCM peopleactivity',</v>
      </c>
      <c r="F234">
        <f t="shared" si="14"/>
        <v>54</v>
      </c>
      <c r="G234">
        <f t="shared" si="15"/>
        <v>0</v>
      </c>
    </row>
    <row r="235" spans="1:7" x14ac:dyDescent="0.3">
      <c r="A235" s="5" t="s">
        <v>16</v>
      </c>
      <c r="B235" t="s">
        <v>92</v>
      </c>
      <c r="C235" t="s">
        <v>278</v>
      </c>
      <c r="D235" t="str">
        <f t="shared" si="12"/>
        <v>NOFPROCMtactivity</v>
      </c>
      <c r="E235" t="str">
        <f t="shared" si="13"/>
        <v>'04|PR_SUACMtsector|NOFPROCMtactivity',</v>
      </c>
      <c r="F235">
        <f t="shared" si="14"/>
        <v>39</v>
      </c>
      <c r="G235">
        <f t="shared" si="15"/>
        <v>0</v>
      </c>
    </row>
    <row r="236" spans="1:7" x14ac:dyDescent="0.3">
      <c r="A236" s="5" t="s">
        <v>16</v>
      </c>
      <c r="B236" t="s">
        <v>93</v>
      </c>
      <c r="C236" t="s">
        <v>286</v>
      </c>
      <c r="D236" t="str">
        <f t="shared" si="12"/>
        <v>EPVOCPktactivity</v>
      </c>
      <c r="E236" t="str">
        <f t="shared" si="13"/>
        <v>'04|STCRACK_PRktsector|EPVOCPktactivity',</v>
      </c>
      <c r="F236">
        <f t="shared" si="14"/>
        <v>41</v>
      </c>
      <c r="G236">
        <f t="shared" si="15"/>
        <v>0</v>
      </c>
    </row>
    <row r="237" spans="1:7" x14ac:dyDescent="0.3">
      <c r="A237" s="5" t="s">
        <v>16</v>
      </c>
      <c r="B237" t="s">
        <v>94</v>
      </c>
      <c r="C237" t="s">
        <v>278</v>
      </c>
      <c r="D237" t="str">
        <f t="shared" si="12"/>
        <v>NOFPROCMtactivity</v>
      </c>
      <c r="E237" t="str">
        <f t="shared" si="13"/>
        <v>'04|STH_FEOREMtsector|NOFPROCMtactivity',</v>
      </c>
      <c r="F237">
        <f t="shared" si="14"/>
        <v>41</v>
      </c>
      <c r="G237">
        <f t="shared" si="15"/>
        <v>0</v>
      </c>
    </row>
    <row r="238" spans="1:7" x14ac:dyDescent="0.3">
      <c r="A238" s="5" t="s">
        <v>16</v>
      </c>
      <c r="B238" t="s">
        <v>95</v>
      </c>
      <c r="C238" t="s">
        <v>278</v>
      </c>
      <c r="D238" t="str">
        <f t="shared" si="12"/>
        <v>NOFPROCMtactivity</v>
      </c>
      <c r="E238" t="str">
        <f t="shared" si="13"/>
        <v>'04|STH_NPKMtsector|NOFPROCMtactivity',</v>
      </c>
      <c r="F238">
        <f t="shared" si="14"/>
        <v>39</v>
      </c>
      <c r="G238">
        <f t="shared" si="15"/>
        <v>0</v>
      </c>
    </row>
    <row r="239" spans="1:7" x14ac:dyDescent="0.3">
      <c r="A239" s="5" t="s">
        <v>16</v>
      </c>
      <c r="B239" t="s">
        <v>96</v>
      </c>
      <c r="C239" t="s">
        <v>278</v>
      </c>
      <c r="D239" t="str">
        <f t="shared" si="12"/>
        <v>NOFPROCMtactivity</v>
      </c>
      <c r="E239" t="str">
        <f t="shared" si="13"/>
        <v>'04|STH_OTH_INMtsector|NOFPROCMtactivity',</v>
      </c>
      <c r="F239">
        <f t="shared" si="14"/>
        <v>42</v>
      </c>
      <c r="G239">
        <f t="shared" si="15"/>
        <v>0</v>
      </c>
    </row>
    <row r="240" spans="1:7" x14ac:dyDescent="0.3">
      <c r="A240" s="6" t="s">
        <v>16</v>
      </c>
      <c r="B240" t="s">
        <v>97</v>
      </c>
      <c r="C240" t="s">
        <v>287</v>
      </c>
      <c r="D240" t="str">
        <f t="shared" si="12"/>
        <v>POPVOCPM peopleactivity</v>
      </c>
      <c r="E240" t="str">
        <f t="shared" si="13"/>
        <v>'04|FOODM peoplesector|POPVOCPM peopleactivity',</v>
      </c>
      <c r="F240">
        <f t="shared" si="14"/>
        <v>48</v>
      </c>
      <c r="G240">
        <f t="shared" si="15"/>
        <v>0</v>
      </c>
    </row>
    <row r="241" spans="1:7" x14ac:dyDescent="0.3">
      <c r="A241" s="6" t="s">
        <v>16</v>
      </c>
      <c r="B241" t="s">
        <v>98</v>
      </c>
      <c r="C241" t="s">
        <v>281</v>
      </c>
      <c r="D241" t="str">
        <f t="shared" si="12"/>
        <v>EMIVOCPkt VOCactivity</v>
      </c>
      <c r="E241" t="str">
        <f t="shared" si="13"/>
        <v>'04|OTHER_VOCkt VOCsector|EMIVOCPkt VOCactivity',</v>
      </c>
      <c r="F241">
        <f t="shared" si="14"/>
        <v>49</v>
      </c>
      <c r="G241">
        <f t="shared" si="15"/>
        <v>0</v>
      </c>
    </row>
    <row r="242" spans="1:7" x14ac:dyDescent="0.3">
      <c r="A242" s="5" t="s">
        <v>17</v>
      </c>
      <c r="B242" t="s">
        <v>99</v>
      </c>
      <c r="C242" t="s">
        <v>288</v>
      </c>
      <c r="D242" t="str">
        <f t="shared" si="12"/>
        <v>NOFPROCkt CH4activity</v>
      </c>
      <c r="E242" t="str">
        <f t="shared" si="13"/>
        <v>'05|COAL_ABANDkt CH4sector|NOFPROCkt CH4activity',</v>
      </c>
      <c r="F242">
        <f t="shared" si="14"/>
        <v>50</v>
      </c>
      <c r="G242">
        <f t="shared" si="15"/>
        <v>0</v>
      </c>
    </row>
    <row r="243" spans="1:7" x14ac:dyDescent="0.3">
      <c r="A243" s="5" t="s">
        <v>17</v>
      </c>
      <c r="B243" t="s">
        <v>100</v>
      </c>
      <c r="C243" t="s">
        <v>254</v>
      </c>
      <c r="D243" t="str">
        <f t="shared" si="12"/>
        <v>BC1ENEPJactivity</v>
      </c>
      <c r="E243" t="str">
        <f t="shared" si="13"/>
        <v>'05|CON_LOSSPJsector|BC1ENEPJactivity',</v>
      </c>
      <c r="F243">
        <f t="shared" si="14"/>
        <v>39</v>
      </c>
      <c r="G243">
        <f t="shared" si="15"/>
        <v>0</v>
      </c>
    </row>
    <row r="244" spans="1:7" x14ac:dyDescent="0.3">
      <c r="A244" s="5" t="s">
        <v>17</v>
      </c>
      <c r="B244" t="s">
        <v>100</v>
      </c>
      <c r="C244" t="s">
        <v>256</v>
      </c>
      <c r="D244" t="str">
        <f t="shared" si="12"/>
        <v>DCENEPJactivity</v>
      </c>
      <c r="E244" t="str">
        <f t="shared" si="13"/>
        <v>'05|CON_LOSSPJsector|DCENEPJactivity',</v>
      </c>
      <c r="F244">
        <f t="shared" si="14"/>
        <v>38</v>
      </c>
      <c r="G244">
        <f t="shared" si="15"/>
        <v>0</v>
      </c>
    </row>
    <row r="245" spans="1:7" x14ac:dyDescent="0.3">
      <c r="A245" s="5" t="s">
        <v>17</v>
      </c>
      <c r="B245" t="s">
        <v>100</v>
      </c>
      <c r="C245" t="s">
        <v>257</v>
      </c>
      <c r="D245" t="str">
        <f t="shared" si="12"/>
        <v>GASENEPJactivity</v>
      </c>
      <c r="E245" t="str">
        <f t="shared" si="13"/>
        <v>'05|CON_LOSSPJsector|GASENEPJactivity',</v>
      </c>
      <c r="F245">
        <f t="shared" si="14"/>
        <v>39</v>
      </c>
      <c r="G245">
        <f t="shared" si="15"/>
        <v>0</v>
      </c>
    </row>
    <row r="246" spans="1:7" x14ac:dyDescent="0.3">
      <c r="A246" s="5" t="s">
        <v>17</v>
      </c>
      <c r="B246" t="s">
        <v>100</v>
      </c>
      <c r="C246" t="s">
        <v>259</v>
      </c>
      <c r="D246" t="str">
        <f t="shared" si="12"/>
        <v>HC1ENEPJactivity</v>
      </c>
      <c r="E246" t="str">
        <f t="shared" si="13"/>
        <v>'05|CON_LOSSPJsector|HC1ENEPJactivity',</v>
      </c>
      <c r="F246">
        <f t="shared" si="14"/>
        <v>39</v>
      </c>
      <c r="G246">
        <f t="shared" si="15"/>
        <v>0</v>
      </c>
    </row>
    <row r="247" spans="1:7" x14ac:dyDescent="0.3">
      <c r="A247" s="5" t="s">
        <v>17</v>
      </c>
      <c r="B247" t="s">
        <v>100</v>
      </c>
      <c r="C247" t="s">
        <v>260</v>
      </c>
      <c r="D247" t="str">
        <f t="shared" si="12"/>
        <v>HC2ENEPJactivity</v>
      </c>
      <c r="E247" t="str">
        <f t="shared" si="13"/>
        <v>'05|CON_LOSSPJsector|HC2ENEPJactivity',</v>
      </c>
      <c r="F247">
        <f t="shared" si="14"/>
        <v>39</v>
      </c>
      <c r="G247">
        <f t="shared" si="15"/>
        <v>0</v>
      </c>
    </row>
    <row r="248" spans="1:7" x14ac:dyDescent="0.3">
      <c r="A248" s="5" t="s">
        <v>17</v>
      </c>
      <c r="B248" t="s">
        <v>100</v>
      </c>
      <c r="C248" t="s">
        <v>261</v>
      </c>
      <c r="D248" t="str">
        <f t="shared" si="12"/>
        <v>HC3ENEPJactivity</v>
      </c>
      <c r="E248" t="str">
        <f t="shared" si="13"/>
        <v>'05|CON_LOSSPJsector|HC3ENEPJactivity',</v>
      </c>
      <c r="F248">
        <f t="shared" si="14"/>
        <v>39</v>
      </c>
      <c r="G248">
        <f t="shared" si="15"/>
        <v>0</v>
      </c>
    </row>
    <row r="249" spans="1:7" x14ac:dyDescent="0.3">
      <c r="A249" s="5" t="s">
        <v>17</v>
      </c>
      <c r="B249" t="s">
        <v>100</v>
      </c>
      <c r="C249" t="s">
        <v>262</v>
      </c>
      <c r="D249" t="str">
        <f t="shared" si="12"/>
        <v>HFENEPJactivity</v>
      </c>
      <c r="E249" t="str">
        <f t="shared" si="13"/>
        <v>'05|CON_LOSSPJsector|HFENEPJactivity',</v>
      </c>
      <c r="F249">
        <f t="shared" si="14"/>
        <v>38</v>
      </c>
      <c r="G249">
        <f t="shared" si="15"/>
        <v>0</v>
      </c>
    </row>
    <row r="250" spans="1:7" x14ac:dyDescent="0.3">
      <c r="A250" s="5" t="s">
        <v>17</v>
      </c>
      <c r="B250" t="s">
        <v>100</v>
      </c>
      <c r="C250" t="s">
        <v>263</v>
      </c>
      <c r="D250" t="str">
        <f t="shared" si="12"/>
        <v>LPGENEPJactivity</v>
      </c>
      <c r="E250" t="str">
        <f t="shared" si="13"/>
        <v>'05|CON_LOSSPJsector|LPGENEPJactivity',</v>
      </c>
      <c r="F250">
        <f t="shared" si="14"/>
        <v>39</v>
      </c>
      <c r="G250">
        <f t="shared" si="15"/>
        <v>0</v>
      </c>
    </row>
    <row r="251" spans="1:7" x14ac:dyDescent="0.3">
      <c r="A251" s="5" t="s">
        <v>17</v>
      </c>
      <c r="B251" t="s">
        <v>100</v>
      </c>
      <c r="C251" t="s">
        <v>264</v>
      </c>
      <c r="D251" t="str">
        <f t="shared" si="12"/>
        <v>MDENEPJactivity</v>
      </c>
      <c r="E251" t="str">
        <f t="shared" si="13"/>
        <v>'05|CON_LOSSPJsector|MDENEPJactivity',</v>
      </c>
      <c r="F251">
        <f t="shared" si="14"/>
        <v>38</v>
      </c>
      <c r="G251">
        <f t="shared" si="15"/>
        <v>0</v>
      </c>
    </row>
    <row r="252" spans="1:7" x14ac:dyDescent="0.3">
      <c r="A252" s="5" t="s">
        <v>17</v>
      </c>
      <c r="B252" t="s">
        <v>100</v>
      </c>
      <c r="C252" t="s">
        <v>267</v>
      </c>
      <c r="D252" t="str">
        <f t="shared" si="12"/>
        <v>OS1ENEPJactivity</v>
      </c>
      <c r="E252" t="str">
        <f t="shared" si="13"/>
        <v>'05|CON_LOSSPJsector|OS1ENEPJactivity',</v>
      </c>
      <c r="F252">
        <f t="shared" si="14"/>
        <v>39</v>
      </c>
      <c r="G252">
        <f t="shared" si="15"/>
        <v>0</v>
      </c>
    </row>
    <row r="253" spans="1:7" x14ac:dyDescent="0.3">
      <c r="A253" s="5" t="s">
        <v>17</v>
      </c>
      <c r="B253" t="s">
        <v>101</v>
      </c>
      <c r="C253" t="s">
        <v>289</v>
      </c>
      <c r="D253" t="str">
        <f t="shared" si="12"/>
        <v>GSLMOBPJactivity</v>
      </c>
      <c r="E253" t="str">
        <f t="shared" si="13"/>
        <v>'05|D_GASSTPJsector|GSLMOBPJactivity',</v>
      </c>
      <c r="F253">
        <f t="shared" si="14"/>
        <v>38</v>
      </c>
      <c r="G253">
        <f t="shared" si="15"/>
        <v>0</v>
      </c>
    </row>
    <row r="254" spans="1:7" x14ac:dyDescent="0.3">
      <c r="A254" s="5" t="s">
        <v>17</v>
      </c>
      <c r="B254" t="s">
        <v>102</v>
      </c>
      <c r="C254" t="s">
        <v>289</v>
      </c>
      <c r="D254" t="str">
        <f t="shared" si="12"/>
        <v>GSLMOBPJactivity</v>
      </c>
      <c r="E254" t="str">
        <f t="shared" si="13"/>
        <v>'05|D_REFDEPPJsector|GSLMOBPJactivity',</v>
      </c>
      <c r="F254">
        <f t="shared" si="14"/>
        <v>39</v>
      </c>
      <c r="G254">
        <f t="shared" si="15"/>
        <v>0</v>
      </c>
    </row>
    <row r="255" spans="1:7" x14ac:dyDescent="0.3">
      <c r="A255" s="5" t="s">
        <v>17</v>
      </c>
      <c r="B255" t="s">
        <v>102</v>
      </c>
      <c r="C255" t="s">
        <v>290</v>
      </c>
      <c r="D255" t="str">
        <f t="shared" si="12"/>
        <v>MDMOBPJactivity</v>
      </c>
      <c r="E255" t="str">
        <f t="shared" si="13"/>
        <v>'05|D_REFDEPPJsector|MDMOBPJactivity',</v>
      </c>
      <c r="F255">
        <f t="shared" si="14"/>
        <v>38</v>
      </c>
      <c r="G255">
        <f t="shared" si="15"/>
        <v>0</v>
      </c>
    </row>
    <row r="256" spans="1:7" x14ac:dyDescent="0.3">
      <c r="A256" s="5" t="s">
        <v>17</v>
      </c>
      <c r="B256" t="s">
        <v>103</v>
      </c>
      <c r="C256" t="s">
        <v>258</v>
      </c>
      <c r="D256" t="str">
        <f t="shared" si="12"/>
        <v>GSLENEPJactivity</v>
      </c>
      <c r="E256" t="str">
        <f t="shared" si="13"/>
        <v>'05|D_REFDEP_SPJsector|GSLENEPJactivity',</v>
      </c>
      <c r="F256">
        <f t="shared" si="14"/>
        <v>41</v>
      </c>
      <c r="G256">
        <f t="shared" si="15"/>
        <v>0</v>
      </c>
    </row>
    <row r="257" spans="1:7" x14ac:dyDescent="0.3">
      <c r="A257" s="5" t="s">
        <v>17</v>
      </c>
      <c r="B257" t="s">
        <v>103</v>
      </c>
      <c r="C257" t="s">
        <v>264</v>
      </c>
      <c r="D257" t="str">
        <f t="shared" si="12"/>
        <v>MDENEPJactivity</v>
      </c>
      <c r="E257" t="str">
        <f t="shared" si="13"/>
        <v>'05|D_REFDEP_SPJsector|MDENEPJactivity',</v>
      </c>
      <c r="F257">
        <f t="shared" si="14"/>
        <v>40</v>
      </c>
      <c r="G257">
        <f t="shared" si="15"/>
        <v>0</v>
      </c>
    </row>
    <row r="258" spans="1:7" x14ac:dyDescent="0.3">
      <c r="A258" s="5" t="s">
        <v>17</v>
      </c>
      <c r="B258" t="s">
        <v>104</v>
      </c>
      <c r="C258" t="s">
        <v>281</v>
      </c>
      <c r="D258" t="str">
        <f t="shared" si="12"/>
        <v>EMIVOCPkt VOCactivity</v>
      </c>
      <c r="E258" t="str">
        <f t="shared" si="13"/>
        <v>'05|EXD_LQkt VOCsector|EMIVOCPkt VOCactivity',</v>
      </c>
      <c r="F258">
        <f t="shared" si="14"/>
        <v>46</v>
      </c>
      <c r="G258">
        <f t="shared" si="15"/>
        <v>0</v>
      </c>
    </row>
    <row r="259" spans="1:7" x14ac:dyDescent="0.3">
      <c r="A259" s="5" t="s">
        <v>17</v>
      </c>
      <c r="B259" t="s">
        <v>105</v>
      </c>
      <c r="C259" t="s">
        <v>278</v>
      </c>
      <c r="D259" t="str">
        <f t="shared" ref="D259:D398" si="16">C259</f>
        <v>NOFPROCMtactivity</v>
      </c>
      <c r="E259" t="str">
        <f t="shared" ref="E259:E322" si="17">"'"&amp;A259&amp;"|"&amp;B259&amp;"|"&amp;D259&amp;"'"&amp;","</f>
        <v>'05|MINE_BCMtsector|NOFPROCMtactivity',</v>
      </c>
      <c r="F259">
        <f t="shared" ref="F259:F322" si="18">LEN(E259)</f>
        <v>39</v>
      </c>
      <c r="G259">
        <f t="shared" ref="G259:G322" si="19">IF(F259&lt;63,,10)</f>
        <v>0</v>
      </c>
    </row>
    <row r="260" spans="1:7" x14ac:dyDescent="0.3">
      <c r="A260" s="5" t="s">
        <v>17</v>
      </c>
      <c r="B260" t="s">
        <v>106</v>
      </c>
      <c r="C260" t="s">
        <v>278</v>
      </c>
      <c r="D260" t="str">
        <f t="shared" si="16"/>
        <v>NOFPROCMtactivity</v>
      </c>
      <c r="E260" t="str">
        <f t="shared" si="17"/>
        <v>'05|MINE_BC_POSTMtsector|NOFPROCMtactivity',</v>
      </c>
      <c r="F260">
        <f t="shared" si="18"/>
        <v>44</v>
      </c>
      <c r="G260">
        <f t="shared" si="19"/>
        <v>0</v>
      </c>
    </row>
    <row r="261" spans="1:7" x14ac:dyDescent="0.3">
      <c r="A261" s="5" t="s">
        <v>17</v>
      </c>
      <c r="B261" t="s">
        <v>107</v>
      </c>
      <c r="C261" t="s">
        <v>278</v>
      </c>
      <c r="D261" t="str">
        <f t="shared" si="16"/>
        <v>NOFPROCMtactivity</v>
      </c>
      <c r="E261" t="str">
        <f t="shared" si="17"/>
        <v>'05|MINE_BC_PREMtsector|NOFPROCMtactivity',</v>
      </c>
      <c r="F261">
        <f t="shared" si="18"/>
        <v>43</v>
      </c>
      <c r="G261">
        <f t="shared" si="19"/>
        <v>0</v>
      </c>
    </row>
    <row r="262" spans="1:7" x14ac:dyDescent="0.3">
      <c r="A262" s="5" t="s">
        <v>17</v>
      </c>
      <c r="B262" t="s">
        <v>108</v>
      </c>
      <c r="C262" t="s">
        <v>278</v>
      </c>
      <c r="D262" t="str">
        <f t="shared" si="16"/>
        <v>NOFPROCMtactivity</v>
      </c>
      <c r="E262" t="str">
        <f t="shared" si="17"/>
        <v>'05|MINE_BC_VAMMtsector|NOFPROCMtactivity',</v>
      </c>
      <c r="F262">
        <f t="shared" si="18"/>
        <v>43</v>
      </c>
      <c r="G262">
        <f t="shared" si="19"/>
        <v>0</v>
      </c>
    </row>
    <row r="263" spans="1:7" x14ac:dyDescent="0.3">
      <c r="A263" s="5" t="s">
        <v>17</v>
      </c>
      <c r="B263" t="s">
        <v>109</v>
      </c>
      <c r="C263" t="s">
        <v>278</v>
      </c>
      <c r="D263" t="str">
        <f t="shared" si="16"/>
        <v>NOFPROCMtactivity</v>
      </c>
      <c r="E263" t="str">
        <f t="shared" si="17"/>
        <v>'05|MINE_HCMtsector|NOFPROCMtactivity',</v>
      </c>
      <c r="F263">
        <f t="shared" si="18"/>
        <v>39</v>
      </c>
      <c r="G263">
        <f t="shared" si="19"/>
        <v>0</v>
      </c>
    </row>
    <row r="264" spans="1:7" x14ac:dyDescent="0.3">
      <c r="A264" s="5" t="s">
        <v>17</v>
      </c>
      <c r="B264" t="s">
        <v>110</v>
      </c>
      <c r="C264" t="s">
        <v>278</v>
      </c>
      <c r="D264" t="str">
        <f t="shared" si="16"/>
        <v>NOFPROCMtactivity</v>
      </c>
      <c r="E264" t="str">
        <f t="shared" si="17"/>
        <v>'05|MINE_HC_POSTMtsector|NOFPROCMtactivity',</v>
      </c>
      <c r="F264">
        <f t="shared" si="18"/>
        <v>44</v>
      </c>
      <c r="G264">
        <f t="shared" si="19"/>
        <v>0</v>
      </c>
    </row>
    <row r="265" spans="1:7" x14ac:dyDescent="0.3">
      <c r="A265" s="5" t="s">
        <v>17</v>
      </c>
      <c r="B265" t="s">
        <v>111</v>
      </c>
      <c r="C265" t="s">
        <v>278</v>
      </c>
      <c r="D265" t="str">
        <f t="shared" si="16"/>
        <v>NOFPROCMtactivity</v>
      </c>
      <c r="E265" t="str">
        <f t="shared" si="17"/>
        <v>'05|MINE_HC_PREMtsector|NOFPROCMtactivity',</v>
      </c>
      <c r="F265">
        <f t="shared" si="18"/>
        <v>43</v>
      </c>
      <c r="G265">
        <f t="shared" si="19"/>
        <v>0</v>
      </c>
    </row>
    <row r="266" spans="1:7" x14ac:dyDescent="0.3">
      <c r="A266" s="5" t="s">
        <v>17</v>
      </c>
      <c r="B266" t="s">
        <v>112</v>
      </c>
      <c r="C266" t="s">
        <v>278</v>
      </c>
      <c r="D266" t="str">
        <f t="shared" si="16"/>
        <v>NOFPROCMtactivity</v>
      </c>
      <c r="E266" t="str">
        <f t="shared" si="17"/>
        <v>'05|MINE_HC_VAMMtsector|NOFPROCMtactivity',</v>
      </c>
      <c r="F266">
        <f t="shared" si="18"/>
        <v>43</v>
      </c>
      <c r="G266">
        <f t="shared" si="19"/>
        <v>0</v>
      </c>
    </row>
    <row r="267" spans="1:7" x14ac:dyDescent="0.3">
      <c r="A267" s="5" t="s">
        <v>17</v>
      </c>
      <c r="B267" t="s">
        <v>113</v>
      </c>
      <c r="C267" t="s">
        <v>291</v>
      </c>
      <c r="D267" t="str">
        <f t="shared" si="16"/>
        <v>CRUPROCPJactivity</v>
      </c>
      <c r="E267" t="str">
        <f t="shared" si="17"/>
        <v>'05|PROD_AGASPJsector|CRUPROCPJactivity',</v>
      </c>
      <c r="F267">
        <f t="shared" si="18"/>
        <v>41</v>
      </c>
      <c r="G267">
        <f t="shared" si="19"/>
        <v>0</v>
      </c>
    </row>
    <row r="268" spans="1:7" x14ac:dyDescent="0.3">
      <c r="A268" s="5" t="s">
        <v>17</v>
      </c>
      <c r="B268" t="s">
        <v>113</v>
      </c>
      <c r="C268" t="s">
        <v>292</v>
      </c>
      <c r="D268" t="str">
        <f t="shared" si="16"/>
        <v>GASPROCPJactivity</v>
      </c>
      <c r="E268" t="str">
        <f t="shared" si="17"/>
        <v>'05|PROD_AGASPJsector|GASPROCPJactivity',</v>
      </c>
      <c r="F268">
        <f t="shared" si="18"/>
        <v>41</v>
      </c>
      <c r="G268">
        <f t="shared" si="19"/>
        <v>0</v>
      </c>
    </row>
    <row r="269" spans="1:7" x14ac:dyDescent="0.3">
      <c r="A269" s="5" t="s">
        <v>17</v>
      </c>
      <c r="B269" t="s">
        <v>114</v>
      </c>
      <c r="C269" t="s">
        <v>293</v>
      </c>
      <c r="D269" t="str">
        <f t="shared" si="16"/>
        <v>CB_GASPROCPJactivity</v>
      </c>
      <c r="E269" t="str">
        <f t="shared" si="17"/>
        <v>'05|PROD_LEAKPJsector|CB_GASPROCPJactivity',</v>
      </c>
      <c r="F269">
        <f t="shared" si="18"/>
        <v>44</v>
      </c>
      <c r="G269">
        <f t="shared" si="19"/>
        <v>0</v>
      </c>
    </row>
    <row r="270" spans="1:7" x14ac:dyDescent="0.3">
      <c r="A270" s="5" t="s">
        <v>17</v>
      </c>
      <c r="B270" t="s">
        <v>114</v>
      </c>
      <c r="C270" t="s">
        <v>291</v>
      </c>
      <c r="D270" t="str">
        <f t="shared" si="16"/>
        <v>CRUPROCPJactivity</v>
      </c>
      <c r="E270" t="str">
        <f t="shared" si="17"/>
        <v>'05|PROD_LEAKPJsector|CRUPROCPJactivity',</v>
      </c>
      <c r="F270">
        <f t="shared" si="18"/>
        <v>41</v>
      </c>
      <c r="G270">
        <f t="shared" si="19"/>
        <v>0</v>
      </c>
    </row>
    <row r="271" spans="1:7" x14ac:dyDescent="0.3">
      <c r="A271" s="5" t="s">
        <v>17</v>
      </c>
      <c r="B271" t="s">
        <v>114</v>
      </c>
      <c r="C271" t="s">
        <v>292</v>
      </c>
      <c r="D271" t="str">
        <f t="shared" si="16"/>
        <v>GASPROCPJactivity</v>
      </c>
      <c r="E271" t="str">
        <f t="shared" si="17"/>
        <v>'05|PROD_LEAKPJsector|GASPROCPJactivity',</v>
      </c>
      <c r="F271">
        <f t="shared" si="18"/>
        <v>41</v>
      </c>
      <c r="G271">
        <f t="shared" si="19"/>
        <v>0</v>
      </c>
    </row>
    <row r="272" spans="1:7" x14ac:dyDescent="0.3">
      <c r="A272" s="5" t="s">
        <v>17</v>
      </c>
      <c r="B272" t="s">
        <v>114</v>
      </c>
      <c r="C272" t="s">
        <v>294</v>
      </c>
      <c r="D272" t="str">
        <f t="shared" si="16"/>
        <v>S_GASPROCPJactivity</v>
      </c>
      <c r="E272" t="str">
        <f t="shared" si="17"/>
        <v>'05|PROD_LEAKPJsector|S_GASPROCPJactivity',</v>
      </c>
      <c r="F272">
        <f t="shared" si="18"/>
        <v>43</v>
      </c>
      <c r="G272">
        <f t="shared" si="19"/>
        <v>0</v>
      </c>
    </row>
    <row r="273" spans="1:7" x14ac:dyDescent="0.3">
      <c r="A273" s="5" t="s">
        <v>17</v>
      </c>
      <c r="B273" t="s">
        <v>114</v>
      </c>
      <c r="C273" t="s">
        <v>295</v>
      </c>
      <c r="D273" t="str">
        <f t="shared" si="16"/>
        <v>T_GASPROCPJactivity</v>
      </c>
      <c r="E273" t="str">
        <f t="shared" si="17"/>
        <v>'05|PROD_LEAKPJsector|T_GASPROCPJactivity',</v>
      </c>
      <c r="F273">
        <f t="shared" si="18"/>
        <v>43</v>
      </c>
      <c r="G273">
        <f t="shared" si="19"/>
        <v>0</v>
      </c>
    </row>
    <row r="274" spans="1:7" x14ac:dyDescent="0.3">
      <c r="A274" s="5" t="s">
        <v>17</v>
      </c>
      <c r="B274" t="s">
        <v>115</v>
      </c>
      <c r="C274" t="s">
        <v>278</v>
      </c>
      <c r="D274" t="str">
        <f t="shared" si="16"/>
        <v>NOFPROCMtactivity</v>
      </c>
      <c r="E274" t="str">
        <f t="shared" si="17"/>
        <v>'05|STH_COALMtsector|NOFPROCMtactivity',</v>
      </c>
      <c r="F274">
        <f t="shared" si="18"/>
        <v>40</v>
      </c>
      <c r="G274">
        <f t="shared" si="19"/>
        <v>0</v>
      </c>
    </row>
    <row r="275" spans="1:7" x14ac:dyDescent="0.3">
      <c r="A275" s="5" t="s">
        <v>17</v>
      </c>
      <c r="B275" t="s">
        <v>116</v>
      </c>
      <c r="C275" t="s">
        <v>296</v>
      </c>
      <c r="D275" t="str">
        <f t="shared" si="16"/>
        <v>GASMOBPJactivity</v>
      </c>
      <c r="E275" t="str">
        <f t="shared" si="17"/>
        <v>'05|TRA_F_CH4PJsector|GASMOBPJactivity',</v>
      </c>
      <c r="F275">
        <f t="shared" si="18"/>
        <v>40</v>
      </c>
      <c r="G275">
        <f t="shared" si="19"/>
        <v>0</v>
      </c>
    </row>
    <row r="276" spans="1:7" x14ac:dyDescent="0.3">
      <c r="A276" s="5" t="s">
        <v>17</v>
      </c>
      <c r="B276" t="s">
        <v>117</v>
      </c>
      <c r="C276" t="s">
        <v>297</v>
      </c>
      <c r="D276" t="s">
        <v>376</v>
      </c>
      <c r="E276" t="str">
        <f t="shared" si="17"/>
        <v>'05|TRANSPJ gas transmittedsector|GASPROCPJ gas transmitted',</v>
      </c>
      <c r="F276">
        <f t="shared" si="18"/>
        <v>61</v>
      </c>
      <c r="G276">
        <f t="shared" si="19"/>
        <v>0</v>
      </c>
    </row>
    <row r="277" spans="1:7" x14ac:dyDescent="0.3">
      <c r="A277" s="5" t="s">
        <v>18</v>
      </c>
      <c r="B277" t="s">
        <v>118</v>
      </c>
      <c r="C277" t="s">
        <v>298</v>
      </c>
      <c r="D277" t="str">
        <f t="shared" si="16"/>
        <v>VEHVOCPkvehactivity</v>
      </c>
      <c r="E277" t="str">
        <f t="shared" si="17"/>
        <v>'06|AUTO_Pkvehsector|VEHVOCPkvehactivity',</v>
      </c>
      <c r="F277">
        <f t="shared" si="18"/>
        <v>42</v>
      </c>
      <c r="G277">
        <f t="shared" si="19"/>
        <v>0</v>
      </c>
    </row>
    <row r="278" spans="1:7" x14ac:dyDescent="0.3">
      <c r="A278" s="5" t="s">
        <v>18</v>
      </c>
      <c r="B278" t="s">
        <v>119</v>
      </c>
      <c r="C278" t="s">
        <v>299</v>
      </c>
      <c r="D278" t="str">
        <f t="shared" si="16"/>
        <v>SCVOCPmln m2activity</v>
      </c>
      <c r="E278" t="str">
        <f t="shared" si="17"/>
        <v>'06|COILmln m2sector|SCVOCPmln m2activity',</v>
      </c>
      <c r="F278">
        <f t="shared" si="18"/>
        <v>43</v>
      </c>
      <c r="G278">
        <f t="shared" si="19"/>
        <v>0</v>
      </c>
    </row>
    <row r="279" spans="1:7" x14ac:dyDescent="0.3">
      <c r="A279" s="5" t="s">
        <v>18</v>
      </c>
      <c r="B279" t="s">
        <v>120</v>
      </c>
      <c r="C279" t="s">
        <v>300</v>
      </c>
      <c r="D279" t="str">
        <f t="shared" si="16"/>
        <v>PNTVOCPktactivity</v>
      </c>
      <c r="E279" t="str">
        <f t="shared" si="17"/>
        <v>'06|DECO_Pktsector|PNTVOCPktactivity',</v>
      </c>
      <c r="F279">
        <f t="shared" si="18"/>
        <v>38</v>
      </c>
      <c r="G279">
        <f t="shared" si="19"/>
        <v>0</v>
      </c>
    </row>
    <row r="280" spans="1:7" x14ac:dyDescent="0.3">
      <c r="A280" s="5" t="s">
        <v>18</v>
      </c>
      <c r="B280" t="s">
        <v>121</v>
      </c>
      <c r="C280" t="s">
        <v>301</v>
      </c>
      <c r="D280" t="str">
        <f t="shared" si="16"/>
        <v>SLVVOCPkt SLVactivity</v>
      </c>
      <c r="E280" t="str">
        <f t="shared" si="17"/>
        <v>'06|DEGRkt SLVsector|SLVVOCPkt SLVactivity',</v>
      </c>
      <c r="F280">
        <f t="shared" si="18"/>
        <v>44</v>
      </c>
      <c r="G280">
        <f t="shared" si="19"/>
        <v>0</v>
      </c>
    </row>
    <row r="281" spans="1:7" x14ac:dyDescent="0.3">
      <c r="A281" s="5" t="s">
        <v>18</v>
      </c>
      <c r="B281" t="s">
        <v>122</v>
      </c>
      <c r="C281" t="s">
        <v>287</v>
      </c>
      <c r="D281" t="str">
        <f t="shared" si="16"/>
        <v>POPVOCPM peopleactivity</v>
      </c>
      <c r="E281" t="str">
        <f t="shared" si="17"/>
        <v>'06|DOM_OSM peoplesector|POPVOCPM peopleactivity',</v>
      </c>
      <c r="F281">
        <f t="shared" si="18"/>
        <v>50</v>
      </c>
      <c r="G281">
        <f t="shared" si="19"/>
        <v>0</v>
      </c>
    </row>
    <row r="282" spans="1:7" x14ac:dyDescent="0.3">
      <c r="A282" s="5" t="s">
        <v>18</v>
      </c>
      <c r="B282" t="s">
        <v>123</v>
      </c>
      <c r="C282" t="s">
        <v>302</v>
      </c>
      <c r="D282" t="str">
        <f t="shared" si="16"/>
        <v>TEXVOCPkt TEXactivity</v>
      </c>
      <c r="E282" t="str">
        <f t="shared" si="17"/>
        <v>'06|DRYkt TEXsector|TEXVOCPkt TEXactivity',</v>
      </c>
      <c r="F282">
        <f t="shared" si="18"/>
        <v>43</v>
      </c>
      <c r="G282">
        <f t="shared" si="19"/>
        <v>0</v>
      </c>
    </row>
    <row r="283" spans="1:7" x14ac:dyDescent="0.3">
      <c r="A283" s="5" t="s">
        <v>18</v>
      </c>
      <c r="B283" t="s">
        <v>124</v>
      </c>
      <c r="C283" t="s">
        <v>303</v>
      </c>
      <c r="D283" t="str">
        <f t="shared" si="16"/>
        <v>SDVOCPktactivity</v>
      </c>
      <c r="E283" t="str">
        <f t="shared" si="17"/>
        <v>'06|FATOILktsector|SDVOCPktactivity',</v>
      </c>
      <c r="F283">
        <f t="shared" si="18"/>
        <v>37</v>
      </c>
      <c r="G283">
        <f t="shared" si="19"/>
        <v>0</v>
      </c>
    </row>
    <row r="284" spans="1:7" x14ac:dyDescent="0.3">
      <c r="A284" s="5" t="s">
        <v>18</v>
      </c>
      <c r="B284" t="s">
        <v>125</v>
      </c>
      <c r="C284" t="s">
        <v>304</v>
      </c>
      <c r="D284" t="str">
        <f t="shared" si="16"/>
        <v>ADHVOCPktactivity</v>
      </c>
      <c r="E284" t="str">
        <f t="shared" si="17"/>
        <v>'06|GLUE_INTktsector|ADHVOCPktactivity',</v>
      </c>
      <c r="F284">
        <f t="shared" si="18"/>
        <v>40</v>
      </c>
      <c r="G284">
        <f t="shared" si="19"/>
        <v>0</v>
      </c>
    </row>
    <row r="285" spans="1:7" x14ac:dyDescent="0.3">
      <c r="A285" s="5" t="s">
        <v>18</v>
      </c>
      <c r="B285" t="s">
        <v>126</v>
      </c>
      <c r="C285" t="s">
        <v>281</v>
      </c>
      <c r="D285" t="str">
        <f t="shared" si="16"/>
        <v>EMIVOCPkt VOCactivity</v>
      </c>
      <c r="E285" t="str">
        <f t="shared" si="17"/>
        <v>'06|IND_OSkt VOCsector|EMIVOCPkt VOCactivity',</v>
      </c>
      <c r="F285">
        <f t="shared" si="18"/>
        <v>46</v>
      </c>
      <c r="G285">
        <f t="shared" si="19"/>
        <v>0</v>
      </c>
    </row>
    <row r="286" spans="1:7" x14ac:dyDescent="0.3">
      <c r="A286" s="5" t="s">
        <v>18</v>
      </c>
      <c r="B286" t="s">
        <v>127</v>
      </c>
      <c r="C286" t="s">
        <v>300</v>
      </c>
      <c r="D286" t="str">
        <f t="shared" si="16"/>
        <v>PNTVOCPktactivity</v>
      </c>
      <c r="E286" t="str">
        <f t="shared" si="17"/>
        <v>'06|IND_P_CNTktsector|PNTVOCPktactivity',</v>
      </c>
      <c r="F286">
        <f t="shared" si="18"/>
        <v>41</v>
      </c>
      <c r="G286">
        <f t="shared" si="19"/>
        <v>0</v>
      </c>
    </row>
    <row r="287" spans="1:7" x14ac:dyDescent="0.3">
      <c r="A287" s="5" t="s">
        <v>18</v>
      </c>
      <c r="B287" t="s">
        <v>128</v>
      </c>
      <c r="C287" t="s">
        <v>300</v>
      </c>
      <c r="D287" t="str">
        <f t="shared" si="16"/>
        <v>PNTVOCPktactivity</v>
      </c>
      <c r="E287" t="str">
        <f t="shared" si="17"/>
        <v>'06|IND_P_OTktsector|PNTVOCPktactivity',</v>
      </c>
      <c r="F287">
        <f t="shared" si="18"/>
        <v>40</v>
      </c>
      <c r="G287">
        <f t="shared" si="19"/>
        <v>0</v>
      </c>
    </row>
    <row r="288" spans="1:7" x14ac:dyDescent="0.3">
      <c r="A288" s="5" t="s">
        <v>18</v>
      </c>
      <c r="B288" t="s">
        <v>129</v>
      </c>
      <c r="C288" t="s">
        <v>305</v>
      </c>
      <c r="D288" t="str">
        <f t="shared" si="16"/>
        <v>CTGVOCPktactivity</v>
      </c>
      <c r="E288" t="str">
        <f t="shared" si="17"/>
        <v>'06|LEATHERktsector|CTGVOCPktactivity',</v>
      </c>
      <c r="F288">
        <f t="shared" si="18"/>
        <v>39</v>
      </c>
      <c r="G288">
        <f t="shared" si="19"/>
        <v>0</v>
      </c>
    </row>
    <row r="289" spans="1:7" x14ac:dyDescent="0.3">
      <c r="A289" s="5" t="s">
        <v>18</v>
      </c>
      <c r="B289" t="s">
        <v>130</v>
      </c>
      <c r="C289" t="s">
        <v>306</v>
      </c>
      <c r="D289" t="str">
        <f t="shared" si="16"/>
        <v>POPPROCM peopleactivity</v>
      </c>
      <c r="E289" t="str">
        <f t="shared" si="17"/>
        <v>'06|N2O_USEM peoplesector|POPPROCM peopleactivity',</v>
      </c>
      <c r="F289">
        <f t="shared" si="18"/>
        <v>51</v>
      </c>
      <c r="G289">
        <f t="shared" si="19"/>
        <v>0</v>
      </c>
    </row>
    <row r="290" spans="1:7" x14ac:dyDescent="0.3">
      <c r="A290" s="5" t="s">
        <v>18</v>
      </c>
      <c r="B290" t="s">
        <v>131</v>
      </c>
      <c r="C290" t="s">
        <v>301</v>
      </c>
      <c r="D290" t="str">
        <f t="shared" si="16"/>
        <v>SLVVOCPkt SLVactivity</v>
      </c>
      <c r="E290" t="str">
        <f t="shared" si="17"/>
        <v>'06|PHARMAkt SLVsector|SLVVOCPkt SLVactivity',</v>
      </c>
      <c r="F290">
        <f t="shared" si="18"/>
        <v>46</v>
      </c>
      <c r="G290">
        <f t="shared" si="19"/>
        <v>0</v>
      </c>
    </row>
    <row r="291" spans="1:7" x14ac:dyDescent="0.3">
      <c r="A291" s="5" t="s">
        <v>18</v>
      </c>
      <c r="B291" t="s">
        <v>132</v>
      </c>
      <c r="C291" t="s">
        <v>307</v>
      </c>
      <c r="D291" t="str">
        <f t="shared" si="16"/>
        <v>PGVOCPkt PGactivity</v>
      </c>
      <c r="E291" t="str">
        <f t="shared" si="17"/>
        <v>'06|PISkt PGsector|PGVOCPkt PGactivity',</v>
      </c>
      <c r="F291">
        <f t="shared" si="18"/>
        <v>40</v>
      </c>
      <c r="G291">
        <f t="shared" si="19"/>
        <v>0</v>
      </c>
    </row>
    <row r="292" spans="1:7" x14ac:dyDescent="0.3">
      <c r="A292" s="5" t="s">
        <v>18</v>
      </c>
      <c r="B292" t="s">
        <v>133</v>
      </c>
      <c r="C292" t="s">
        <v>308</v>
      </c>
      <c r="D292" t="str">
        <f t="shared" si="16"/>
        <v>EPSVOCPktactivity</v>
      </c>
      <c r="E292" t="str">
        <f t="shared" si="17"/>
        <v>'06|PLSTYR_PRktsector|EPSVOCPktactivity',</v>
      </c>
      <c r="F292">
        <f t="shared" si="18"/>
        <v>41</v>
      </c>
      <c r="G292">
        <f t="shared" si="19"/>
        <v>0</v>
      </c>
    </row>
    <row r="293" spans="1:7" x14ac:dyDescent="0.3">
      <c r="A293" s="5" t="s">
        <v>18</v>
      </c>
      <c r="B293" t="s">
        <v>134</v>
      </c>
      <c r="C293" t="s">
        <v>309</v>
      </c>
      <c r="D293" t="str">
        <f t="shared" si="16"/>
        <v>INKVOCPkt INKactivity</v>
      </c>
      <c r="E293" t="str">
        <f t="shared" si="17"/>
        <v>'06|PRT_OFFSkt INKsector|INKVOCPkt INKactivity',</v>
      </c>
      <c r="F293">
        <f t="shared" si="18"/>
        <v>48</v>
      </c>
      <c r="G293">
        <f t="shared" si="19"/>
        <v>0</v>
      </c>
    </row>
    <row r="294" spans="1:7" x14ac:dyDescent="0.3">
      <c r="A294" s="5" t="s">
        <v>18</v>
      </c>
      <c r="B294" t="s">
        <v>135</v>
      </c>
      <c r="C294" t="s">
        <v>309</v>
      </c>
      <c r="D294" t="str">
        <f t="shared" si="16"/>
        <v>INKVOCPkt INKactivity</v>
      </c>
      <c r="E294" t="str">
        <f t="shared" si="17"/>
        <v>'06|PRT_PACKkt INKsector|INKVOCPkt INKactivity',</v>
      </c>
      <c r="F294">
        <f t="shared" si="18"/>
        <v>48</v>
      </c>
      <c r="G294">
        <f t="shared" si="19"/>
        <v>0</v>
      </c>
    </row>
    <row r="295" spans="1:7" x14ac:dyDescent="0.3">
      <c r="A295" s="5" t="s">
        <v>18</v>
      </c>
      <c r="B295" t="s">
        <v>136</v>
      </c>
      <c r="C295" t="s">
        <v>309</v>
      </c>
      <c r="D295" t="str">
        <f t="shared" si="16"/>
        <v>INKVOCPkt INKactivity</v>
      </c>
      <c r="E295" t="str">
        <f t="shared" si="17"/>
        <v>'06|PRT_PUBkt INKsector|INKVOCPkt INKactivity',</v>
      </c>
      <c r="F295">
        <f t="shared" si="18"/>
        <v>47</v>
      </c>
      <c r="G295">
        <f t="shared" si="19"/>
        <v>0</v>
      </c>
    </row>
    <row r="296" spans="1:7" x14ac:dyDescent="0.3">
      <c r="A296" s="5" t="s">
        <v>18</v>
      </c>
      <c r="B296" t="s">
        <v>137</v>
      </c>
      <c r="C296" t="s">
        <v>309</v>
      </c>
      <c r="D296" t="str">
        <f t="shared" si="16"/>
        <v>INKVOCPkt INKactivity</v>
      </c>
      <c r="E296" t="str">
        <f t="shared" si="17"/>
        <v>'06|PRT_SCRkt INKsector|INKVOCPkt INKactivity',</v>
      </c>
      <c r="F296">
        <f t="shared" si="18"/>
        <v>47</v>
      </c>
      <c r="G296">
        <f t="shared" si="19"/>
        <v>0</v>
      </c>
    </row>
    <row r="297" spans="1:7" x14ac:dyDescent="0.3">
      <c r="A297" s="5" t="s">
        <v>18</v>
      </c>
      <c r="B297" t="s">
        <v>138</v>
      </c>
      <c r="C297" t="s">
        <v>310</v>
      </c>
      <c r="D297" t="str">
        <f t="shared" si="16"/>
        <v>PVCVOCPktactivity</v>
      </c>
      <c r="E297" t="str">
        <f t="shared" si="17"/>
        <v>'06|PVC_PRktsector|PVCVOCPktactivity',</v>
      </c>
      <c r="F297">
        <f t="shared" si="18"/>
        <v>38</v>
      </c>
      <c r="G297">
        <f t="shared" si="19"/>
        <v>0</v>
      </c>
    </row>
    <row r="298" spans="1:7" x14ac:dyDescent="0.3">
      <c r="A298" s="5" t="s">
        <v>18</v>
      </c>
      <c r="B298" t="s">
        <v>139</v>
      </c>
      <c r="C298" t="s">
        <v>285</v>
      </c>
      <c r="D298" t="str">
        <f t="shared" si="16"/>
        <v>NOFPROCM peopleactivity</v>
      </c>
      <c r="E298" t="str">
        <f t="shared" si="17"/>
        <v>'06|RES_BBQM peoplesector|NOFPROCM peopleactivity',</v>
      </c>
      <c r="F298">
        <f t="shared" si="18"/>
        <v>51</v>
      </c>
      <c r="G298">
        <f t="shared" si="19"/>
        <v>0</v>
      </c>
    </row>
    <row r="299" spans="1:7" x14ac:dyDescent="0.3">
      <c r="A299" s="5" t="s">
        <v>18</v>
      </c>
      <c r="B299" t="s">
        <v>140</v>
      </c>
      <c r="C299" t="s">
        <v>285</v>
      </c>
      <c r="D299" t="str">
        <f t="shared" si="16"/>
        <v>NOFPROCM peopleactivity</v>
      </c>
      <c r="E299" t="str">
        <f t="shared" si="17"/>
        <v>'06|RES_CIGARM peoplesector|NOFPROCM peopleactivity',</v>
      </c>
      <c r="F299">
        <f t="shared" si="18"/>
        <v>53</v>
      </c>
      <c r="G299">
        <f t="shared" si="19"/>
        <v>0</v>
      </c>
    </row>
    <row r="300" spans="1:7" x14ac:dyDescent="0.3">
      <c r="A300" s="5" t="s">
        <v>18</v>
      </c>
      <c r="B300" t="s">
        <v>141</v>
      </c>
      <c r="C300" t="s">
        <v>285</v>
      </c>
      <c r="D300" t="str">
        <f t="shared" si="16"/>
        <v>NOFPROCM peopleactivity</v>
      </c>
      <c r="E300" t="str">
        <f t="shared" si="17"/>
        <v>'06|RES_FIREWM peoplesector|NOFPROCM peopleactivity',</v>
      </c>
      <c r="F300">
        <f t="shared" si="18"/>
        <v>53</v>
      </c>
      <c r="G300">
        <f t="shared" si="19"/>
        <v>0</v>
      </c>
    </row>
    <row r="301" spans="1:7" x14ac:dyDescent="0.3">
      <c r="A301" s="5" t="s">
        <v>18</v>
      </c>
      <c r="B301" t="s">
        <v>142</v>
      </c>
      <c r="C301" t="s">
        <v>311</v>
      </c>
      <c r="D301" t="str">
        <f t="shared" si="16"/>
        <v>SHOVOCPmln pairsactivity</v>
      </c>
      <c r="E301" t="str">
        <f t="shared" si="17"/>
        <v>'06|SHOEmln pairssector|SHOVOCPmln pairsactivity',</v>
      </c>
      <c r="F301">
        <f t="shared" si="18"/>
        <v>50</v>
      </c>
      <c r="G301">
        <f t="shared" si="19"/>
        <v>0</v>
      </c>
    </row>
    <row r="302" spans="1:7" x14ac:dyDescent="0.3">
      <c r="A302" s="5" t="s">
        <v>18</v>
      </c>
      <c r="B302" t="s">
        <v>143</v>
      </c>
      <c r="C302" t="s">
        <v>312</v>
      </c>
      <c r="D302" t="str">
        <f t="shared" si="16"/>
        <v>RUBVOCPktactivity</v>
      </c>
      <c r="E302" t="str">
        <f t="shared" si="17"/>
        <v>'06|SYNTH_RUBktsector|RUBVOCPktactivity',</v>
      </c>
      <c r="F302">
        <f t="shared" si="18"/>
        <v>41</v>
      </c>
      <c r="G302">
        <f t="shared" si="19"/>
        <v>0</v>
      </c>
    </row>
    <row r="303" spans="1:7" x14ac:dyDescent="0.3">
      <c r="A303" s="5" t="s">
        <v>18</v>
      </c>
      <c r="B303" t="s">
        <v>144</v>
      </c>
      <c r="C303" t="s">
        <v>313</v>
      </c>
      <c r="D303" t="str">
        <f t="shared" si="16"/>
        <v>TYRVOCPktactivity</v>
      </c>
      <c r="E303" t="str">
        <f t="shared" si="17"/>
        <v>'06|TYRESktsector|TYRVOCPktactivity',</v>
      </c>
      <c r="F303">
        <f t="shared" si="18"/>
        <v>37</v>
      </c>
      <c r="G303">
        <f t="shared" si="19"/>
        <v>0</v>
      </c>
    </row>
    <row r="304" spans="1:7" x14ac:dyDescent="0.3">
      <c r="A304" s="5" t="s">
        <v>18</v>
      </c>
      <c r="B304" t="s">
        <v>145</v>
      </c>
      <c r="C304" t="s">
        <v>300</v>
      </c>
      <c r="D304" t="str">
        <f t="shared" si="16"/>
        <v>PNTVOCPktactivity</v>
      </c>
      <c r="E304" t="str">
        <f t="shared" si="17"/>
        <v>'06|VEHR_Pktsector|PNTVOCPktactivity',</v>
      </c>
      <c r="F304">
        <f t="shared" si="18"/>
        <v>38</v>
      </c>
      <c r="G304">
        <f t="shared" si="19"/>
        <v>0</v>
      </c>
    </row>
    <row r="305" spans="1:7" x14ac:dyDescent="0.3">
      <c r="A305" s="5" t="s">
        <v>18</v>
      </c>
      <c r="B305" t="s">
        <v>146</v>
      </c>
      <c r="C305" t="s">
        <v>287</v>
      </c>
      <c r="D305" t="str">
        <f t="shared" si="16"/>
        <v>POPVOCPM peopleactivity</v>
      </c>
      <c r="E305" t="str">
        <f t="shared" si="17"/>
        <v>'06|VEHTRM peoplesector|POPVOCPM peopleactivity',</v>
      </c>
      <c r="F305">
        <f t="shared" si="18"/>
        <v>49</v>
      </c>
      <c r="G305">
        <f t="shared" si="19"/>
        <v>0</v>
      </c>
    </row>
    <row r="306" spans="1:7" x14ac:dyDescent="0.3">
      <c r="A306" s="5" t="s">
        <v>18</v>
      </c>
      <c r="B306" t="s">
        <v>147</v>
      </c>
      <c r="C306" t="s">
        <v>314</v>
      </c>
      <c r="D306" t="str">
        <f t="shared" si="16"/>
        <v>ENWVOCPktactivity</v>
      </c>
      <c r="E306" t="str">
        <f t="shared" si="17"/>
        <v>'06|WIREktsector|ENWVOCPktactivity',</v>
      </c>
      <c r="F306">
        <f t="shared" si="18"/>
        <v>36</v>
      </c>
      <c r="G306">
        <f t="shared" si="19"/>
        <v>0</v>
      </c>
    </row>
    <row r="307" spans="1:7" x14ac:dyDescent="0.3">
      <c r="A307" s="5" t="s">
        <v>18</v>
      </c>
      <c r="B307" t="s">
        <v>148</v>
      </c>
      <c r="C307" t="s">
        <v>315</v>
      </c>
      <c r="D307" t="str">
        <f t="shared" si="16"/>
        <v>TIMVOCPmln m3activity</v>
      </c>
      <c r="E307" t="str">
        <f t="shared" si="17"/>
        <v>'06|WOODmln m3sector|TIMVOCPmln m3activity',</v>
      </c>
      <c r="F307">
        <f t="shared" si="18"/>
        <v>44</v>
      </c>
      <c r="G307">
        <f t="shared" si="19"/>
        <v>0</v>
      </c>
    </row>
    <row r="308" spans="1:7" x14ac:dyDescent="0.3">
      <c r="A308" s="5" t="s">
        <v>18</v>
      </c>
      <c r="B308" t="s">
        <v>149</v>
      </c>
      <c r="C308" t="s">
        <v>299</v>
      </c>
      <c r="D308" t="str">
        <f t="shared" si="16"/>
        <v>SCVOCPmln m2activity</v>
      </c>
      <c r="E308" t="str">
        <f t="shared" si="17"/>
        <v>'06|WOOD_Pmln m2sector|SCVOCPmln m2activity',</v>
      </c>
      <c r="F308">
        <f t="shared" si="18"/>
        <v>45</v>
      </c>
      <c r="G308">
        <f t="shared" si="19"/>
        <v>0</v>
      </c>
    </row>
    <row r="309" spans="1:7" x14ac:dyDescent="0.3">
      <c r="A309" s="5" t="s">
        <v>19</v>
      </c>
      <c r="B309" t="s">
        <v>150</v>
      </c>
      <c r="C309" t="s">
        <v>316</v>
      </c>
      <c r="D309" t="str">
        <f t="shared" si="16"/>
        <v>LFLMOBPJactivity</v>
      </c>
      <c r="E309" t="str">
        <f t="shared" si="17"/>
        <v>'07|LEAD_GASOLPJsector|LFLMOBPJactivity',</v>
      </c>
      <c r="F309">
        <f t="shared" si="18"/>
        <v>41</v>
      </c>
      <c r="G309">
        <f t="shared" si="19"/>
        <v>0</v>
      </c>
    </row>
    <row r="310" spans="1:7" x14ac:dyDescent="0.3">
      <c r="A310" s="5" t="s">
        <v>19</v>
      </c>
      <c r="B310" t="s">
        <v>151</v>
      </c>
      <c r="C310" t="s">
        <v>289</v>
      </c>
      <c r="D310" t="str">
        <f t="shared" si="16"/>
        <v>GSLMOBPJactivity</v>
      </c>
      <c r="E310" t="str">
        <f t="shared" si="17"/>
        <v>'07|TRA_RD_EVPJsector|GSLMOBPJactivity',</v>
      </c>
      <c r="F310">
        <f t="shared" si="18"/>
        <v>40</v>
      </c>
      <c r="G310">
        <f t="shared" si="19"/>
        <v>0</v>
      </c>
    </row>
    <row r="311" spans="1:7" x14ac:dyDescent="0.3">
      <c r="A311" s="5" t="s">
        <v>19</v>
      </c>
      <c r="B311" t="s">
        <v>152</v>
      </c>
      <c r="C311" t="s">
        <v>317</v>
      </c>
      <c r="D311" t="str">
        <f t="shared" si="16"/>
        <v>ABRASIONMOBGvkmactivity</v>
      </c>
      <c r="E311" t="str">
        <f t="shared" si="17"/>
        <v>'07|TRA_RD_HDBGvkmsector|ABRASIONMOBGvkmactivity',</v>
      </c>
      <c r="F311">
        <f t="shared" si="18"/>
        <v>50</v>
      </c>
      <c r="G311">
        <f t="shared" si="19"/>
        <v>0</v>
      </c>
    </row>
    <row r="312" spans="1:7" x14ac:dyDescent="0.3">
      <c r="A312" s="5" t="s">
        <v>19</v>
      </c>
      <c r="B312" t="s">
        <v>152</v>
      </c>
      <c r="C312" t="s">
        <v>318</v>
      </c>
      <c r="D312" t="str">
        <f t="shared" si="16"/>
        <v>BRAKEMOBGvkmactivity</v>
      </c>
      <c r="E312" t="str">
        <f t="shared" si="17"/>
        <v>'07|TRA_RD_HDBGvkmsector|BRAKEMOBGvkmactivity',</v>
      </c>
      <c r="F312">
        <f t="shared" si="18"/>
        <v>47</v>
      </c>
      <c r="G312">
        <f t="shared" si="19"/>
        <v>0</v>
      </c>
    </row>
    <row r="313" spans="1:7" x14ac:dyDescent="0.3">
      <c r="A313" s="5" t="s">
        <v>19</v>
      </c>
      <c r="B313" t="s">
        <v>153</v>
      </c>
      <c r="C313" t="s">
        <v>296</v>
      </c>
      <c r="D313" t="str">
        <f t="shared" si="16"/>
        <v>GASMOBPJactivity</v>
      </c>
      <c r="E313" t="str">
        <f t="shared" si="17"/>
        <v>'07|TRA_RD_HDBPJsector|GASMOBPJactivity',</v>
      </c>
      <c r="F313">
        <f t="shared" si="18"/>
        <v>41</v>
      </c>
      <c r="G313">
        <f t="shared" si="19"/>
        <v>0</v>
      </c>
    </row>
    <row r="314" spans="1:7" x14ac:dyDescent="0.3">
      <c r="A314" s="5" t="s">
        <v>19</v>
      </c>
      <c r="B314" t="s">
        <v>153</v>
      </c>
      <c r="C314" t="s">
        <v>319</v>
      </c>
      <c r="D314" t="str">
        <f t="shared" si="16"/>
        <v>GAS_MMOBPJactivity</v>
      </c>
      <c r="E314" t="str">
        <f t="shared" si="17"/>
        <v>'07|TRA_RD_HDBPJsector|GAS_MMOBPJactivity',</v>
      </c>
      <c r="F314">
        <f t="shared" si="18"/>
        <v>43</v>
      </c>
      <c r="G314">
        <f t="shared" si="19"/>
        <v>0</v>
      </c>
    </row>
    <row r="315" spans="1:7" x14ac:dyDescent="0.3">
      <c r="A315" s="5" t="s">
        <v>19</v>
      </c>
      <c r="B315" t="s">
        <v>153</v>
      </c>
      <c r="C315" t="s">
        <v>289</v>
      </c>
      <c r="D315" t="str">
        <f t="shared" si="16"/>
        <v>GSLMOBPJactivity</v>
      </c>
      <c r="E315" t="str">
        <f t="shared" si="17"/>
        <v>'07|TRA_RD_HDBPJsector|GSLMOBPJactivity',</v>
      </c>
      <c r="F315">
        <f t="shared" si="18"/>
        <v>41</v>
      </c>
      <c r="G315">
        <f t="shared" si="19"/>
        <v>0</v>
      </c>
    </row>
    <row r="316" spans="1:7" x14ac:dyDescent="0.3">
      <c r="A316" s="5" t="s">
        <v>19</v>
      </c>
      <c r="B316" t="s">
        <v>153</v>
      </c>
      <c r="C316" t="s">
        <v>320</v>
      </c>
      <c r="D316" t="str">
        <f t="shared" si="16"/>
        <v>GSL_MMOBPJactivity</v>
      </c>
      <c r="E316" t="str">
        <f t="shared" si="17"/>
        <v>'07|TRA_RD_HDBPJsector|GSL_MMOBPJactivity',</v>
      </c>
      <c r="F316">
        <f t="shared" si="18"/>
        <v>43</v>
      </c>
      <c r="G316">
        <f t="shared" si="19"/>
        <v>0</v>
      </c>
    </row>
    <row r="317" spans="1:7" x14ac:dyDescent="0.3">
      <c r="A317" s="5" t="s">
        <v>19</v>
      </c>
      <c r="B317" t="s">
        <v>154</v>
      </c>
      <c r="C317" t="s">
        <v>321</v>
      </c>
      <c r="D317" t="s">
        <v>374</v>
      </c>
      <c r="E317" t="str">
        <f t="shared" si="17"/>
        <v>'07|TRA_RD_HDBthousand of vehiclessector|GSL_NV_HEMOB',</v>
      </c>
      <c r="F317">
        <f t="shared" si="18"/>
        <v>55</v>
      </c>
      <c r="G317">
        <f t="shared" si="19"/>
        <v>0</v>
      </c>
    </row>
    <row r="318" spans="1:7" x14ac:dyDescent="0.3">
      <c r="A318" s="5" t="s">
        <v>19</v>
      </c>
      <c r="B318" t="s">
        <v>153</v>
      </c>
      <c r="C318" t="s">
        <v>322</v>
      </c>
      <c r="D318" t="str">
        <f t="shared" si="16"/>
        <v>H2MOBPJactivity</v>
      </c>
      <c r="E318" t="str">
        <f t="shared" si="17"/>
        <v>'07|TRA_RD_HDBPJsector|H2MOBPJactivity',</v>
      </c>
      <c r="F318">
        <f t="shared" si="18"/>
        <v>40</v>
      </c>
      <c r="G318">
        <f t="shared" si="19"/>
        <v>0</v>
      </c>
    </row>
    <row r="319" spans="1:7" x14ac:dyDescent="0.3">
      <c r="A319" s="5" t="s">
        <v>19</v>
      </c>
      <c r="B319" t="s">
        <v>153</v>
      </c>
      <c r="C319" t="s">
        <v>323</v>
      </c>
      <c r="D319" t="str">
        <f t="shared" si="16"/>
        <v>LPGMOBPJactivity</v>
      </c>
      <c r="E319" t="str">
        <f t="shared" si="17"/>
        <v>'07|TRA_RD_HDBPJsector|LPGMOBPJactivity',</v>
      </c>
      <c r="F319">
        <f t="shared" si="18"/>
        <v>41</v>
      </c>
      <c r="G319">
        <f t="shared" si="19"/>
        <v>0</v>
      </c>
    </row>
    <row r="320" spans="1:7" x14ac:dyDescent="0.3">
      <c r="A320" s="5" t="s">
        <v>19</v>
      </c>
      <c r="B320" t="s">
        <v>153</v>
      </c>
      <c r="C320" t="s">
        <v>290</v>
      </c>
      <c r="D320" t="str">
        <f t="shared" si="16"/>
        <v>MDMOBPJactivity</v>
      </c>
      <c r="E320" t="str">
        <f t="shared" si="17"/>
        <v>'07|TRA_RD_HDBPJsector|MDMOBPJactivity',</v>
      </c>
      <c r="F320">
        <f t="shared" si="18"/>
        <v>40</v>
      </c>
      <c r="G320">
        <f t="shared" si="19"/>
        <v>0</v>
      </c>
    </row>
    <row r="321" spans="1:7" x14ac:dyDescent="0.3">
      <c r="A321" s="5" t="s">
        <v>19</v>
      </c>
      <c r="B321" t="s">
        <v>153</v>
      </c>
      <c r="C321" t="s">
        <v>324</v>
      </c>
      <c r="D321" t="str">
        <f t="shared" si="16"/>
        <v>MD_MMOBPJactivity</v>
      </c>
      <c r="E321" t="str">
        <f t="shared" si="17"/>
        <v>'07|TRA_RD_HDBPJsector|MD_MMOBPJactivity',</v>
      </c>
      <c r="F321">
        <f t="shared" si="18"/>
        <v>42</v>
      </c>
      <c r="G321">
        <f t="shared" si="19"/>
        <v>0</v>
      </c>
    </row>
    <row r="322" spans="1:7" x14ac:dyDescent="0.3">
      <c r="A322" s="5" t="s">
        <v>19</v>
      </c>
      <c r="B322" t="s">
        <v>154</v>
      </c>
      <c r="C322" t="s">
        <v>325</v>
      </c>
      <c r="D322" t="s">
        <v>375</v>
      </c>
      <c r="E322" t="str">
        <f t="shared" si="17"/>
        <v>'07|TRA_RD_HDBthousand of vehiclessector|MD_NV_HEMOB',</v>
      </c>
      <c r="F322">
        <f t="shared" si="18"/>
        <v>54</v>
      </c>
      <c r="G322">
        <f t="shared" si="19"/>
        <v>0</v>
      </c>
    </row>
    <row r="323" spans="1:7" x14ac:dyDescent="0.3">
      <c r="A323" s="5" t="s">
        <v>19</v>
      </c>
      <c r="B323" t="s">
        <v>152</v>
      </c>
      <c r="C323" t="s">
        <v>326</v>
      </c>
      <c r="D323" t="str">
        <f t="shared" si="16"/>
        <v>TYREMOBGvkmactivity</v>
      </c>
      <c r="E323" t="str">
        <f t="shared" ref="E323:E386" si="20">"'"&amp;A323&amp;"|"&amp;B323&amp;"|"&amp;D323&amp;"'"&amp;","</f>
        <v>'07|TRA_RD_HDBGvkmsector|TYREMOBGvkmactivity',</v>
      </c>
      <c r="F323">
        <f t="shared" ref="F323:F386" si="21">LEN(E323)</f>
        <v>46</v>
      </c>
      <c r="G323">
        <f t="shared" ref="G323:G386" si="22">IF(F323&lt;63,,10)</f>
        <v>0</v>
      </c>
    </row>
    <row r="324" spans="1:7" x14ac:dyDescent="0.3">
      <c r="A324" s="5" t="s">
        <v>19</v>
      </c>
      <c r="B324" t="s">
        <v>155</v>
      </c>
      <c r="C324" t="s">
        <v>317</v>
      </c>
      <c r="D324" t="str">
        <f t="shared" si="16"/>
        <v>ABRASIONMOBGvkmactivity</v>
      </c>
      <c r="E324" t="str">
        <f t="shared" si="20"/>
        <v>'07|TRA_RD_HDTGvkmsector|ABRASIONMOBGvkmactivity',</v>
      </c>
      <c r="F324">
        <f t="shared" si="21"/>
        <v>50</v>
      </c>
      <c r="G324">
        <f t="shared" si="22"/>
        <v>0</v>
      </c>
    </row>
    <row r="325" spans="1:7" x14ac:dyDescent="0.3">
      <c r="A325" s="5" t="s">
        <v>19</v>
      </c>
      <c r="B325" t="s">
        <v>155</v>
      </c>
      <c r="C325" t="s">
        <v>318</v>
      </c>
      <c r="D325" t="str">
        <f t="shared" si="16"/>
        <v>BRAKEMOBGvkmactivity</v>
      </c>
      <c r="E325" t="str">
        <f t="shared" si="20"/>
        <v>'07|TRA_RD_HDTGvkmsector|BRAKEMOBGvkmactivity',</v>
      </c>
      <c r="F325">
        <f t="shared" si="21"/>
        <v>47</v>
      </c>
      <c r="G325">
        <f t="shared" si="22"/>
        <v>0</v>
      </c>
    </row>
    <row r="326" spans="1:7" x14ac:dyDescent="0.3">
      <c r="A326" s="5" t="s">
        <v>19</v>
      </c>
      <c r="B326" t="s">
        <v>156</v>
      </c>
      <c r="C326" t="s">
        <v>296</v>
      </c>
      <c r="D326" t="str">
        <f t="shared" si="16"/>
        <v>GASMOBPJactivity</v>
      </c>
      <c r="E326" t="str">
        <f t="shared" si="20"/>
        <v>'07|TRA_RD_HDTPJsector|GASMOBPJactivity',</v>
      </c>
      <c r="F326">
        <f t="shared" si="21"/>
        <v>41</v>
      </c>
      <c r="G326">
        <f t="shared" si="22"/>
        <v>0</v>
      </c>
    </row>
    <row r="327" spans="1:7" x14ac:dyDescent="0.3">
      <c r="A327" s="5" t="s">
        <v>19</v>
      </c>
      <c r="B327" t="s">
        <v>156</v>
      </c>
      <c r="C327" t="s">
        <v>319</v>
      </c>
      <c r="D327" t="str">
        <f t="shared" si="16"/>
        <v>GAS_MMOBPJactivity</v>
      </c>
      <c r="E327" t="str">
        <f t="shared" si="20"/>
        <v>'07|TRA_RD_HDTPJsector|GAS_MMOBPJactivity',</v>
      </c>
      <c r="F327">
        <f t="shared" si="21"/>
        <v>43</v>
      </c>
      <c r="G327">
        <f t="shared" si="22"/>
        <v>0</v>
      </c>
    </row>
    <row r="328" spans="1:7" x14ac:dyDescent="0.3">
      <c r="A328" s="5" t="s">
        <v>19</v>
      </c>
      <c r="B328" t="s">
        <v>156</v>
      </c>
      <c r="C328" t="s">
        <v>289</v>
      </c>
      <c r="D328" t="str">
        <f t="shared" si="16"/>
        <v>GSLMOBPJactivity</v>
      </c>
      <c r="E328" t="str">
        <f t="shared" si="20"/>
        <v>'07|TRA_RD_HDTPJsector|GSLMOBPJactivity',</v>
      </c>
      <c r="F328">
        <f t="shared" si="21"/>
        <v>41</v>
      </c>
      <c r="G328">
        <f t="shared" si="22"/>
        <v>0</v>
      </c>
    </row>
    <row r="329" spans="1:7" x14ac:dyDescent="0.3">
      <c r="A329" s="5" t="s">
        <v>19</v>
      </c>
      <c r="B329" t="s">
        <v>156</v>
      </c>
      <c r="C329" t="s">
        <v>320</v>
      </c>
      <c r="D329" t="str">
        <f t="shared" si="16"/>
        <v>GSL_MMOBPJactivity</v>
      </c>
      <c r="E329" t="str">
        <f t="shared" si="20"/>
        <v>'07|TRA_RD_HDTPJsector|GSL_MMOBPJactivity',</v>
      </c>
      <c r="F329">
        <f t="shared" si="21"/>
        <v>43</v>
      </c>
      <c r="G329">
        <f t="shared" si="22"/>
        <v>0</v>
      </c>
    </row>
    <row r="330" spans="1:7" x14ac:dyDescent="0.3">
      <c r="A330" s="5" t="s">
        <v>19</v>
      </c>
      <c r="B330" t="s">
        <v>157</v>
      </c>
      <c r="C330" t="s">
        <v>321</v>
      </c>
      <c r="D330" t="s">
        <v>374</v>
      </c>
      <c r="E330" t="str">
        <f t="shared" si="20"/>
        <v>'07|TRA_RD_HDTthousand of vehiclessector|GSL_NV_HEMOB',</v>
      </c>
      <c r="F330">
        <f t="shared" si="21"/>
        <v>55</v>
      </c>
      <c r="G330">
        <f t="shared" si="22"/>
        <v>0</v>
      </c>
    </row>
    <row r="331" spans="1:7" x14ac:dyDescent="0.3">
      <c r="A331" s="5" t="s">
        <v>19</v>
      </c>
      <c r="B331" t="s">
        <v>156</v>
      </c>
      <c r="C331" t="s">
        <v>322</v>
      </c>
      <c r="D331" t="str">
        <f t="shared" si="16"/>
        <v>H2MOBPJactivity</v>
      </c>
      <c r="E331" t="str">
        <f t="shared" si="20"/>
        <v>'07|TRA_RD_HDTPJsector|H2MOBPJactivity',</v>
      </c>
      <c r="F331">
        <f t="shared" si="21"/>
        <v>40</v>
      </c>
      <c r="G331">
        <f t="shared" si="22"/>
        <v>0</v>
      </c>
    </row>
    <row r="332" spans="1:7" x14ac:dyDescent="0.3">
      <c r="A332" s="5" t="s">
        <v>19</v>
      </c>
      <c r="B332" t="s">
        <v>156</v>
      </c>
      <c r="C332" t="s">
        <v>323</v>
      </c>
      <c r="D332" t="str">
        <f t="shared" si="16"/>
        <v>LPGMOBPJactivity</v>
      </c>
      <c r="E332" t="str">
        <f t="shared" si="20"/>
        <v>'07|TRA_RD_HDTPJsector|LPGMOBPJactivity',</v>
      </c>
      <c r="F332">
        <f t="shared" si="21"/>
        <v>41</v>
      </c>
      <c r="G332">
        <f t="shared" si="22"/>
        <v>0</v>
      </c>
    </row>
    <row r="333" spans="1:7" x14ac:dyDescent="0.3">
      <c r="A333" s="5" t="s">
        <v>19</v>
      </c>
      <c r="B333" t="s">
        <v>156</v>
      </c>
      <c r="C333" t="s">
        <v>290</v>
      </c>
      <c r="D333" t="str">
        <f t="shared" si="16"/>
        <v>MDMOBPJactivity</v>
      </c>
      <c r="E333" t="str">
        <f t="shared" si="20"/>
        <v>'07|TRA_RD_HDTPJsector|MDMOBPJactivity',</v>
      </c>
      <c r="F333">
        <f t="shared" si="21"/>
        <v>40</v>
      </c>
      <c r="G333">
        <f t="shared" si="22"/>
        <v>0</v>
      </c>
    </row>
    <row r="334" spans="1:7" x14ac:dyDescent="0.3">
      <c r="A334" s="5" t="s">
        <v>19</v>
      </c>
      <c r="B334" t="s">
        <v>156</v>
      </c>
      <c r="C334" t="s">
        <v>324</v>
      </c>
      <c r="D334" t="str">
        <f t="shared" si="16"/>
        <v>MD_MMOBPJactivity</v>
      </c>
      <c r="E334" t="str">
        <f t="shared" si="20"/>
        <v>'07|TRA_RD_HDTPJsector|MD_MMOBPJactivity',</v>
      </c>
      <c r="F334">
        <f t="shared" si="21"/>
        <v>42</v>
      </c>
      <c r="G334">
        <f t="shared" si="22"/>
        <v>0</v>
      </c>
    </row>
    <row r="335" spans="1:7" x14ac:dyDescent="0.3">
      <c r="A335" s="5" t="s">
        <v>19</v>
      </c>
      <c r="B335" t="s">
        <v>157</v>
      </c>
      <c r="C335" t="s">
        <v>325</v>
      </c>
      <c r="D335" t="s">
        <v>375</v>
      </c>
      <c r="E335" t="str">
        <f t="shared" si="20"/>
        <v>'07|TRA_RD_HDTthousand of vehiclessector|MD_NV_HEMOB',</v>
      </c>
      <c r="F335">
        <f t="shared" si="21"/>
        <v>54</v>
      </c>
      <c r="G335">
        <f t="shared" si="22"/>
        <v>0</v>
      </c>
    </row>
    <row r="336" spans="1:7" x14ac:dyDescent="0.3">
      <c r="A336" s="5" t="s">
        <v>19</v>
      </c>
      <c r="B336" t="s">
        <v>155</v>
      </c>
      <c r="C336" t="s">
        <v>326</v>
      </c>
      <c r="D336" t="str">
        <f t="shared" si="16"/>
        <v>TYREMOBGvkmactivity</v>
      </c>
      <c r="E336" t="str">
        <f t="shared" si="20"/>
        <v>'07|TRA_RD_HDTGvkmsector|TYREMOBGvkmactivity',</v>
      </c>
      <c r="F336">
        <f t="shared" si="21"/>
        <v>46</v>
      </c>
      <c r="G336">
        <f t="shared" si="22"/>
        <v>0</v>
      </c>
    </row>
    <row r="337" spans="1:7" x14ac:dyDescent="0.3">
      <c r="A337" s="5" t="s">
        <v>19</v>
      </c>
      <c r="B337" t="s">
        <v>158</v>
      </c>
      <c r="C337" t="s">
        <v>317</v>
      </c>
      <c r="D337" t="str">
        <f t="shared" si="16"/>
        <v>ABRASIONMOBGvkmactivity</v>
      </c>
      <c r="E337" t="str">
        <f t="shared" si="20"/>
        <v>'07|TRA_RD_LD2Gvkmsector|ABRASIONMOBGvkmactivity',</v>
      </c>
      <c r="F337">
        <f t="shared" si="21"/>
        <v>50</v>
      </c>
      <c r="G337">
        <f t="shared" si="22"/>
        <v>0</v>
      </c>
    </row>
    <row r="338" spans="1:7" x14ac:dyDescent="0.3">
      <c r="A338" s="5" t="s">
        <v>19</v>
      </c>
      <c r="B338" t="s">
        <v>158</v>
      </c>
      <c r="C338" t="s">
        <v>318</v>
      </c>
      <c r="D338" t="str">
        <f t="shared" si="16"/>
        <v>BRAKEMOBGvkmactivity</v>
      </c>
      <c r="E338" t="str">
        <f t="shared" si="20"/>
        <v>'07|TRA_RD_LD2Gvkmsector|BRAKEMOBGvkmactivity',</v>
      </c>
      <c r="F338">
        <f t="shared" si="21"/>
        <v>47</v>
      </c>
      <c r="G338">
        <f t="shared" si="22"/>
        <v>0</v>
      </c>
    </row>
    <row r="339" spans="1:7" x14ac:dyDescent="0.3">
      <c r="A339" s="5" t="s">
        <v>19</v>
      </c>
      <c r="B339" t="s">
        <v>159</v>
      </c>
      <c r="C339" t="s">
        <v>289</v>
      </c>
      <c r="D339" t="str">
        <f t="shared" si="16"/>
        <v>GSLMOBPJactivity</v>
      </c>
      <c r="E339" t="str">
        <f t="shared" si="20"/>
        <v>'07|TRA_RD_LD2PJsector|GSLMOBPJactivity',</v>
      </c>
      <c r="F339">
        <f t="shared" si="21"/>
        <v>41</v>
      </c>
      <c r="G339">
        <f t="shared" si="22"/>
        <v>0</v>
      </c>
    </row>
    <row r="340" spans="1:7" x14ac:dyDescent="0.3">
      <c r="A340" s="5" t="s">
        <v>19</v>
      </c>
      <c r="B340" t="s">
        <v>159</v>
      </c>
      <c r="C340" t="s">
        <v>320</v>
      </c>
      <c r="D340" t="str">
        <f t="shared" si="16"/>
        <v>GSL_MMOBPJactivity</v>
      </c>
      <c r="E340" t="str">
        <f t="shared" si="20"/>
        <v>'07|TRA_RD_LD2PJsector|GSL_MMOBPJactivity',</v>
      </c>
      <c r="F340">
        <f t="shared" si="21"/>
        <v>43</v>
      </c>
      <c r="G340">
        <f t="shared" si="22"/>
        <v>0</v>
      </c>
    </row>
    <row r="341" spans="1:7" x14ac:dyDescent="0.3">
      <c r="A341" s="5" t="s">
        <v>19</v>
      </c>
      <c r="B341" t="s">
        <v>160</v>
      </c>
      <c r="C341" t="s">
        <v>321</v>
      </c>
      <c r="D341" t="s">
        <v>374</v>
      </c>
      <c r="E341" t="str">
        <f t="shared" si="20"/>
        <v>'07|TRA_RD_LD2thousand of vehiclessector|GSL_NV_HEMOB',</v>
      </c>
      <c r="F341">
        <f t="shared" si="21"/>
        <v>55</v>
      </c>
      <c r="G341">
        <f t="shared" si="22"/>
        <v>0</v>
      </c>
    </row>
    <row r="342" spans="1:7" x14ac:dyDescent="0.3">
      <c r="A342" s="5" t="s">
        <v>19</v>
      </c>
      <c r="B342" t="s">
        <v>158</v>
      </c>
      <c r="C342" t="s">
        <v>326</v>
      </c>
      <c r="D342" t="str">
        <f t="shared" si="16"/>
        <v>TYREMOBGvkmactivity</v>
      </c>
      <c r="E342" t="str">
        <f t="shared" si="20"/>
        <v>'07|TRA_RD_LD2Gvkmsector|TYREMOBGvkmactivity',</v>
      </c>
      <c r="F342">
        <f t="shared" si="21"/>
        <v>46</v>
      </c>
      <c r="G342">
        <f t="shared" si="22"/>
        <v>0</v>
      </c>
    </row>
    <row r="343" spans="1:7" x14ac:dyDescent="0.3">
      <c r="A343" s="5" t="s">
        <v>19</v>
      </c>
      <c r="B343" t="s">
        <v>161</v>
      </c>
      <c r="C343" t="s">
        <v>317</v>
      </c>
      <c r="D343" t="str">
        <f t="shared" si="16"/>
        <v>ABRASIONMOBGvkmactivity</v>
      </c>
      <c r="E343" t="str">
        <f t="shared" si="20"/>
        <v>'07|TRA_RD_LD4CGvkmsector|ABRASIONMOBGvkmactivity',</v>
      </c>
      <c r="F343">
        <f t="shared" si="21"/>
        <v>51</v>
      </c>
      <c r="G343">
        <f t="shared" si="22"/>
        <v>0</v>
      </c>
    </row>
    <row r="344" spans="1:7" x14ac:dyDescent="0.3">
      <c r="A344" s="5" t="s">
        <v>19</v>
      </c>
      <c r="B344" t="s">
        <v>161</v>
      </c>
      <c r="C344" t="s">
        <v>318</v>
      </c>
      <c r="D344" t="str">
        <f t="shared" si="16"/>
        <v>BRAKEMOBGvkmactivity</v>
      </c>
      <c r="E344" t="str">
        <f t="shared" si="20"/>
        <v>'07|TRA_RD_LD4CGvkmsector|BRAKEMOBGvkmactivity',</v>
      </c>
      <c r="F344">
        <f t="shared" si="21"/>
        <v>48</v>
      </c>
      <c r="G344">
        <f t="shared" si="22"/>
        <v>0</v>
      </c>
    </row>
    <row r="345" spans="1:7" x14ac:dyDescent="0.3">
      <c r="A345" s="5" t="s">
        <v>19</v>
      </c>
      <c r="B345" t="s">
        <v>162</v>
      </c>
      <c r="C345" t="s">
        <v>296</v>
      </c>
      <c r="D345" t="str">
        <f t="shared" si="16"/>
        <v>GASMOBPJactivity</v>
      </c>
      <c r="E345" t="str">
        <f t="shared" si="20"/>
        <v>'07|TRA_RD_LD4CPJsector|GASMOBPJactivity',</v>
      </c>
      <c r="F345">
        <f t="shared" si="21"/>
        <v>42</v>
      </c>
      <c r="G345">
        <f t="shared" si="22"/>
        <v>0</v>
      </c>
    </row>
    <row r="346" spans="1:7" x14ac:dyDescent="0.3">
      <c r="A346" s="5" t="s">
        <v>19</v>
      </c>
      <c r="B346" t="s">
        <v>162</v>
      </c>
      <c r="C346" t="s">
        <v>319</v>
      </c>
      <c r="D346" t="str">
        <f t="shared" si="16"/>
        <v>GAS_MMOBPJactivity</v>
      </c>
      <c r="E346" t="str">
        <f t="shared" si="20"/>
        <v>'07|TRA_RD_LD4CPJsector|GAS_MMOBPJactivity',</v>
      </c>
      <c r="F346">
        <f t="shared" si="21"/>
        <v>44</v>
      </c>
      <c r="G346">
        <f t="shared" si="22"/>
        <v>0</v>
      </c>
    </row>
    <row r="347" spans="1:7" x14ac:dyDescent="0.3">
      <c r="A347" s="5" t="s">
        <v>19</v>
      </c>
      <c r="B347" t="s">
        <v>162</v>
      </c>
      <c r="C347" t="s">
        <v>289</v>
      </c>
      <c r="D347" t="str">
        <f t="shared" si="16"/>
        <v>GSLMOBPJactivity</v>
      </c>
      <c r="E347" t="str">
        <f t="shared" si="20"/>
        <v>'07|TRA_RD_LD4CPJsector|GSLMOBPJactivity',</v>
      </c>
      <c r="F347">
        <f t="shared" si="21"/>
        <v>42</v>
      </c>
      <c r="G347">
        <f t="shared" si="22"/>
        <v>0</v>
      </c>
    </row>
    <row r="348" spans="1:7" x14ac:dyDescent="0.3">
      <c r="A348" s="5" t="s">
        <v>19</v>
      </c>
      <c r="B348" t="s">
        <v>162</v>
      </c>
      <c r="C348" t="s">
        <v>320</v>
      </c>
      <c r="D348" t="str">
        <f t="shared" si="16"/>
        <v>GSL_MMOBPJactivity</v>
      </c>
      <c r="E348" t="str">
        <f t="shared" si="20"/>
        <v>'07|TRA_RD_LD4CPJsector|GSL_MMOBPJactivity',</v>
      </c>
      <c r="F348">
        <f t="shared" si="21"/>
        <v>44</v>
      </c>
      <c r="G348">
        <f t="shared" si="22"/>
        <v>0</v>
      </c>
    </row>
    <row r="349" spans="1:7" x14ac:dyDescent="0.3">
      <c r="A349" s="5" t="s">
        <v>19</v>
      </c>
      <c r="B349" t="s">
        <v>163</v>
      </c>
      <c r="C349" t="s">
        <v>321</v>
      </c>
      <c r="D349" t="s">
        <v>374</v>
      </c>
      <c r="E349" t="str">
        <f t="shared" si="20"/>
        <v>'07|TRA_RD_LD4Cthousand of vehiclessector|GSL_NV_HEMOB',</v>
      </c>
      <c r="F349">
        <f t="shared" si="21"/>
        <v>56</v>
      </c>
      <c r="G349">
        <f t="shared" si="22"/>
        <v>0</v>
      </c>
    </row>
    <row r="350" spans="1:7" x14ac:dyDescent="0.3">
      <c r="A350" s="5" t="s">
        <v>19</v>
      </c>
      <c r="B350" t="s">
        <v>162</v>
      </c>
      <c r="C350" t="s">
        <v>322</v>
      </c>
      <c r="D350" t="str">
        <f t="shared" si="16"/>
        <v>H2MOBPJactivity</v>
      </c>
      <c r="E350" t="str">
        <f t="shared" si="20"/>
        <v>'07|TRA_RD_LD4CPJsector|H2MOBPJactivity',</v>
      </c>
      <c r="F350">
        <f t="shared" si="21"/>
        <v>41</v>
      </c>
      <c r="G350">
        <f t="shared" si="22"/>
        <v>0</v>
      </c>
    </row>
    <row r="351" spans="1:7" x14ac:dyDescent="0.3">
      <c r="A351" s="5" t="s">
        <v>19</v>
      </c>
      <c r="B351" t="s">
        <v>162</v>
      </c>
      <c r="C351" t="s">
        <v>323</v>
      </c>
      <c r="D351" t="str">
        <f t="shared" si="16"/>
        <v>LPGMOBPJactivity</v>
      </c>
      <c r="E351" t="str">
        <f t="shared" si="20"/>
        <v>'07|TRA_RD_LD4CPJsector|LPGMOBPJactivity',</v>
      </c>
      <c r="F351">
        <f t="shared" si="21"/>
        <v>42</v>
      </c>
      <c r="G351">
        <f t="shared" si="22"/>
        <v>0</v>
      </c>
    </row>
    <row r="352" spans="1:7" x14ac:dyDescent="0.3">
      <c r="A352" s="5" t="s">
        <v>19</v>
      </c>
      <c r="B352" t="s">
        <v>162</v>
      </c>
      <c r="C352" t="s">
        <v>290</v>
      </c>
      <c r="D352" t="str">
        <f t="shared" si="16"/>
        <v>MDMOBPJactivity</v>
      </c>
      <c r="E352" t="str">
        <f t="shared" si="20"/>
        <v>'07|TRA_RD_LD4CPJsector|MDMOBPJactivity',</v>
      </c>
      <c r="F352">
        <f t="shared" si="21"/>
        <v>41</v>
      </c>
      <c r="G352">
        <f t="shared" si="22"/>
        <v>0</v>
      </c>
    </row>
    <row r="353" spans="1:7" x14ac:dyDescent="0.3">
      <c r="A353" s="5" t="s">
        <v>19</v>
      </c>
      <c r="B353" t="s">
        <v>162</v>
      </c>
      <c r="C353" t="s">
        <v>324</v>
      </c>
      <c r="D353" t="str">
        <f t="shared" si="16"/>
        <v>MD_MMOBPJactivity</v>
      </c>
      <c r="E353" t="str">
        <f t="shared" si="20"/>
        <v>'07|TRA_RD_LD4CPJsector|MD_MMOBPJactivity',</v>
      </c>
      <c r="F353">
        <f t="shared" si="21"/>
        <v>43</v>
      </c>
      <c r="G353">
        <f t="shared" si="22"/>
        <v>0</v>
      </c>
    </row>
    <row r="354" spans="1:7" x14ac:dyDescent="0.3">
      <c r="A354" s="5" t="s">
        <v>19</v>
      </c>
      <c r="B354" t="s">
        <v>163</v>
      </c>
      <c r="C354" t="s">
        <v>325</v>
      </c>
      <c r="D354" t="s">
        <v>375</v>
      </c>
      <c r="E354" t="str">
        <f t="shared" si="20"/>
        <v>'07|TRA_RD_LD4Cthousand of vehiclessector|MD_NV_HEMOB',</v>
      </c>
      <c r="F354">
        <f t="shared" si="21"/>
        <v>55</v>
      </c>
      <c r="G354">
        <f t="shared" si="22"/>
        <v>0</v>
      </c>
    </row>
    <row r="355" spans="1:7" x14ac:dyDescent="0.3">
      <c r="A355" s="5" t="s">
        <v>19</v>
      </c>
      <c r="B355" t="s">
        <v>161</v>
      </c>
      <c r="C355" t="s">
        <v>326</v>
      </c>
      <c r="D355" t="str">
        <f t="shared" si="16"/>
        <v>TYREMOBGvkmactivity</v>
      </c>
      <c r="E355" t="str">
        <f t="shared" si="20"/>
        <v>'07|TRA_RD_LD4CGvkmsector|TYREMOBGvkmactivity',</v>
      </c>
      <c r="F355">
        <f t="shared" si="21"/>
        <v>47</v>
      </c>
      <c r="G355">
        <f t="shared" si="22"/>
        <v>0</v>
      </c>
    </row>
    <row r="356" spans="1:7" x14ac:dyDescent="0.3">
      <c r="A356" s="5" t="s">
        <v>19</v>
      </c>
      <c r="B356" t="s">
        <v>164</v>
      </c>
      <c r="C356" t="s">
        <v>289</v>
      </c>
      <c r="D356" t="str">
        <f t="shared" si="16"/>
        <v>GSLMOBPJactivity</v>
      </c>
      <c r="E356" t="str">
        <f t="shared" si="20"/>
        <v>'07|TRA_RD_LD4C_EVPJsector|GSLMOBPJactivity',</v>
      </c>
      <c r="F356">
        <f t="shared" si="21"/>
        <v>45</v>
      </c>
      <c r="G356">
        <f t="shared" si="22"/>
        <v>0</v>
      </c>
    </row>
    <row r="357" spans="1:7" x14ac:dyDescent="0.3">
      <c r="A357" s="5" t="s">
        <v>19</v>
      </c>
      <c r="B357" t="s">
        <v>165</v>
      </c>
      <c r="C357" t="s">
        <v>317</v>
      </c>
      <c r="D357" t="str">
        <f t="shared" si="16"/>
        <v>ABRASIONMOBGvkmactivity</v>
      </c>
      <c r="E357" t="str">
        <f t="shared" si="20"/>
        <v>'07|TRA_RD_LD4TGvkmsector|ABRASIONMOBGvkmactivity',</v>
      </c>
      <c r="F357">
        <f t="shared" si="21"/>
        <v>51</v>
      </c>
      <c r="G357">
        <f t="shared" si="22"/>
        <v>0</v>
      </c>
    </row>
    <row r="358" spans="1:7" x14ac:dyDescent="0.3">
      <c r="A358" s="5" t="s">
        <v>19</v>
      </c>
      <c r="B358" t="s">
        <v>165</v>
      </c>
      <c r="C358" t="s">
        <v>318</v>
      </c>
      <c r="D358" t="str">
        <f t="shared" si="16"/>
        <v>BRAKEMOBGvkmactivity</v>
      </c>
      <c r="E358" t="str">
        <f t="shared" si="20"/>
        <v>'07|TRA_RD_LD4TGvkmsector|BRAKEMOBGvkmactivity',</v>
      </c>
      <c r="F358">
        <f t="shared" si="21"/>
        <v>48</v>
      </c>
      <c r="G358">
        <f t="shared" si="22"/>
        <v>0</v>
      </c>
    </row>
    <row r="359" spans="1:7" x14ac:dyDescent="0.3">
      <c r="A359" s="5" t="s">
        <v>19</v>
      </c>
      <c r="B359" t="s">
        <v>166</v>
      </c>
      <c r="C359" t="s">
        <v>296</v>
      </c>
      <c r="D359" t="str">
        <f t="shared" si="16"/>
        <v>GASMOBPJactivity</v>
      </c>
      <c r="E359" t="str">
        <f t="shared" si="20"/>
        <v>'07|TRA_RD_LD4TPJsector|GASMOBPJactivity',</v>
      </c>
      <c r="F359">
        <f t="shared" si="21"/>
        <v>42</v>
      </c>
      <c r="G359">
        <f t="shared" si="22"/>
        <v>0</v>
      </c>
    </row>
    <row r="360" spans="1:7" x14ac:dyDescent="0.3">
      <c r="A360" s="5" t="s">
        <v>19</v>
      </c>
      <c r="B360" t="s">
        <v>166</v>
      </c>
      <c r="C360" t="s">
        <v>319</v>
      </c>
      <c r="D360" t="str">
        <f t="shared" si="16"/>
        <v>GAS_MMOBPJactivity</v>
      </c>
      <c r="E360" t="str">
        <f t="shared" si="20"/>
        <v>'07|TRA_RD_LD4TPJsector|GAS_MMOBPJactivity',</v>
      </c>
      <c r="F360">
        <f t="shared" si="21"/>
        <v>44</v>
      </c>
      <c r="G360">
        <f t="shared" si="22"/>
        <v>0</v>
      </c>
    </row>
    <row r="361" spans="1:7" x14ac:dyDescent="0.3">
      <c r="A361" s="5" t="s">
        <v>19</v>
      </c>
      <c r="B361" t="s">
        <v>166</v>
      </c>
      <c r="C361" t="s">
        <v>289</v>
      </c>
      <c r="D361" t="str">
        <f t="shared" si="16"/>
        <v>GSLMOBPJactivity</v>
      </c>
      <c r="E361" t="str">
        <f t="shared" si="20"/>
        <v>'07|TRA_RD_LD4TPJsector|GSLMOBPJactivity',</v>
      </c>
      <c r="F361">
        <f t="shared" si="21"/>
        <v>42</v>
      </c>
      <c r="G361">
        <f t="shared" si="22"/>
        <v>0</v>
      </c>
    </row>
    <row r="362" spans="1:7" x14ac:dyDescent="0.3">
      <c r="A362" s="5" t="s">
        <v>19</v>
      </c>
      <c r="B362" t="s">
        <v>166</v>
      </c>
      <c r="C362" t="s">
        <v>320</v>
      </c>
      <c r="D362" t="str">
        <f t="shared" si="16"/>
        <v>GSL_MMOBPJactivity</v>
      </c>
      <c r="E362" t="str">
        <f t="shared" si="20"/>
        <v>'07|TRA_RD_LD4TPJsector|GSL_MMOBPJactivity',</v>
      </c>
      <c r="F362">
        <f t="shared" si="21"/>
        <v>44</v>
      </c>
      <c r="G362">
        <f t="shared" si="22"/>
        <v>0</v>
      </c>
    </row>
    <row r="363" spans="1:7" x14ac:dyDescent="0.3">
      <c r="A363" s="5" t="s">
        <v>19</v>
      </c>
      <c r="B363" t="s">
        <v>167</v>
      </c>
      <c r="C363" t="s">
        <v>321</v>
      </c>
      <c r="D363" t="s">
        <v>374</v>
      </c>
      <c r="E363" t="str">
        <f t="shared" si="20"/>
        <v>'07|TRA_RD_LD4Tthousand of vehiclessector|GSL_NV_HEMOB',</v>
      </c>
      <c r="F363">
        <f t="shared" si="21"/>
        <v>56</v>
      </c>
      <c r="G363">
        <f t="shared" si="22"/>
        <v>0</v>
      </c>
    </row>
    <row r="364" spans="1:7" x14ac:dyDescent="0.3">
      <c r="A364" s="5" t="s">
        <v>19</v>
      </c>
      <c r="B364" t="s">
        <v>166</v>
      </c>
      <c r="C364" t="s">
        <v>322</v>
      </c>
      <c r="D364" t="str">
        <f t="shared" si="16"/>
        <v>H2MOBPJactivity</v>
      </c>
      <c r="E364" t="str">
        <f t="shared" si="20"/>
        <v>'07|TRA_RD_LD4TPJsector|H2MOBPJactivity',</v>
      </c>
      <c r="F364">
        <f t="shared" si="21"/>
        <v>41</v>
      </c>
      <c r="G364">
        <f t="shared" si="22"/>
        <v>0</v>
      </c>
    </row>
    <row r="365" spans="1:7" x14ac:dyDescent="0.3">
      <c r="A365" s="5" t="s">
        <v>19</v>
      </c>
      <c r="B365" t="s">
        <v>166</v>
      </c>
      <c r="C365" t="s">
        <v>323</v>
      </c>
      <c r="D365" t="str">
        <f t="shared" si="16"/>
        <v>LPGMOBPJactivity</v>
      </c>
      <c r="E365" t="str">
        <f t="shared" si="20"/>
        <v>'07|TRA_RD_LD4TPJsector|LPGMOBPJactivity',</v>
      </c>
      <c r="F365">
        <f t="shared" si="21"/>
        <v>42</v>
      </c>
      <c r="G365">
        <f t="shared" si="22"/>
        <v>0</v>
      </c>
    </row>
    <row r="366" spans="1:7" x14ac:dyDescent="0.3">
      <c r="A366" s="5" t="s">
        <v>19</v>
      </c>
      <c r="B366" t="s">
        <v>166</v>
      </c>
      <c r="C366" t="s">
        <v>290</v>
      </c>
      <c r="D366" t="str">
        <f t="shared" si="16"/>
        <v>MDMOBPJactivity</v>
      </c>
      <c r="E366" t="str">
        <f t="shared" si="20"/>
        <v>'07|TRA_RD_LD4TPJsector|MDMOBPJactivity',</v>
      </c>
      <c r="F366">
        <f t="shared" si="21"/>
        <v>41</v>
      </c>
      <c r="G366">
        <f t="shared" si="22"/>
        <v>0</v>
      </c>
    </row>
    <row r="367" spans="1:7" x14ac:dyDescent="0.3">
      <c r="A367" s="5" t="s">
        <v>19</v>
      </c>
      <c r="B367" t="s">
        <v>166</v>
      </c>
      <c r="C367" t="s">
        <v>324</v>
      </c>
      <c r="D367" t="str">
        <f t="shared" si="16"/>
        <v>MD_MMOBPJactivity</v>
      </c>
      <c r="E367" t="str">
        <f t="shared" si="20"/>
        <v>'07|TRA_RD_LD4TPJsector|MD_MMOBPJactivity',</v>
      </c>
      <c r="F367">
        <f t="shared" si="21"/>
        <v>43</v>
      </c>
      <c r="G367">
        <f t="shared" si="22"/>
        <v>0</v>
      </c>
    </row>
    <row r="368" spans="1:7" x14ac:dyDescent="0.3">
      <c r="A368" s="5" t="s">
        <v>19</v>
      </c>
      <c r="B368" t="s">
        <v>167</v>
      </c>
      <c r="C368" t="s">
        <v>325</v>
      </c>
      <c r="D368" t="s">
        <v>375</v>
      </c>
      <c r="E368" t="str">
        <f t="shared" si="20"/>
        <v>'07|TRA_RD_LD4Tthousand of vehiclessector|MD_NV_HEMOB',</v>
      </c>
      <c r="F368">
        <f t="shared" si="21"/>
        <v>55</v>
      </c>
      <c r="G368">
        <f t="shared" si="22"/>
        <v>0</v>
      </c>
    </row>
    <row r="369" spans="1:7" x14ac:dyDescent="0.3">
      <c r="A369" s="5" t="s">
        <v>19</v>
      </c>
      <c r="B369" t="s">
        <v>165</v>
      </c>
      <c r="C369" t="s">
        <v>326</v>
      </c>
      <c r="D369" t="str">
        <f t="shared" si="16"/>
        <v>TYREMOBGvkmactivity</v>
      </c>
      <c r="E369" t="str">
        <f t="shared" si="20"/>
        <v>'07|TRA_RD_LD4TGvkmsector|TYREMOBGvkmactivity',</v>
      </c>
      <c r="F369">
        <f t="shared" si="21"/>
        <v>47</v>
      </c>
      <c r="G369">
        <f t="shared" si="22"/>
        <v>0</v>
      </c>
    </row>
    <row r="370" spans="1:7" x14ac:dyDescent="0.3">
      <c r="A370" s="5" t="s">
        <v>19</v>
      </c>
      <c r="B370" t="s">
        <v>168</v>
      </c>
      <c r="C370" t="s">
        <v>289</v>
      </c>
      <c r="D370" t="str">
        <f t="shared" si="16"/>
        <v>GSLMOBPJactivity</v>
      </c>
      <c r="E370" t="str">
        <f t="shared" si="20"/>
        <v>'07|TRA_RD_LD4T_EVPJsector|GSLMOBPJactivity',</v>
      </c>
      <c r="F370">
        <f t="shared" si="21"/>
        <v>45</v>
      </c>
      <c r="G370">
        <f t="shared" si="22"/>
        <v>0</v>
      </c>
    </row>
    <row r="371" spans="1:7" x14ac:dyDescent="0.3">
      <c r="A371" s="5" t="s">
        <v>19</v>
      </c>
      <c r="B371" t="s">
        <v>169</v>
      </c>
      <c r="C371" t="s">
        <v>317</v>
      </c>
      <c r="D371" t="str">
        <f t="shared" si="16"/>
        <v>ABRASIONMOBGvkmactivity</v>
      </c>
      <c r="E371" t="str">
        <f t="shared" si="20"/>
        <v>'07|TRA_RD_M4Gvkmsector|ABRASIONMOBGvkmactivity',</v>
      </c>
      <c r="F371">
        <f t="shared" si="21"/>
        <v>49</v>
      </c>
      <c r="G371">
        <f t="shared" si="22"/>
        <v>0</v>
      </c>
    </row>
    <row r="372" spans="1:7" x14ac:dyDescent="0.3">
      <c r="A372" s="5" t="s">
        <v>19</v>
      </c>
      <c r="B372" t="s">
        <v>169</v>
      </c>
      <c r="C372" t="s">
        <v>318</v>
      </c>
      <c r="D372" t="str">
        <f t="shared" si="16"/>
        <v>BRAKEMOBGvkmactivity</v>
      </c>
      <c r="E372" t="str">
        <f t="shared" si="20"/>
        <v>'07|TRA_RD_M4Gvkmsector|BRAKEMOBGvkmactivity',</v>
      </c>
      <c r="F372">
        <f t="shared" si="21"/>
        <v>46</v>
      </c>
      <c r="G372">
        <f t="shared" si="22"/>
        <v>0</v>
      </c>
    </row>
    <row r="373" spans="1:7" x14ac:dyDescent="0.3">
      <c r="A373" s="5" t="s">
        <v>19</v>
      </c>
      <c r="B373" t="s">
        <v>170</v>
      </c>
      <c r="C373" t="s">
        <v>289</v>
      </c>
      <c r="D373" t="str">
        <f t="shared" si="16"/>
        <v>GSLMOBPJactivity</v>
      </c>
      <c r="E373" t="str">
        <f t="shared" si="20"/>
        <v>'07|TRA_RD_M4PJsector|GSLMOBPJactivity',</v>
      </c>
      <c r="F373">
        <f t="shared" si="21"/>
        <v>40</v>
      </c>
      <c r="G373">
        <f t="shared" si="22"/>
        <v>0</v>
      </c>
    </row>
    <row r="374" spans="1:7" x14ac:dyDescent="0.3">
      <c r="A374" s="5" t="s">
        <v>19</v>
      </c>
      <c r="B374" t="s">
        <v>170</v>
      </c>
      <c r="C374" t="s">
        <v>320</v>
      </c>
      <c r="D374" t="str">
        <f t="shared" si="16"/>
        <v>GSL_MMOBPJactivity</v>
      </c>
      <c r="E374" t="str">
        <f t="shared" si="20"/>
        <v>'07|TRA_RD_M4PJsector|GSL_MMOBPJactivity',</v>
      </c>
      <c r="F374">
        <f t="shared" si="21"/>
        <v>42</v>
      </c>
      <c r="G374">
        <f t="shared" si="22"/>
        <v>0</v>
      </c>
    </row>
    <row r="375" spans="1:7" x14ac:dyDescent="0.3">
      <c r="A375" s="5" t="s">
        <v>19</v>
      </c>
      <c r="B375" t="s">
        <v>171</v>
      </c>
      <c r="C375" t="s">
        <v>321</v>
      </c>
      <c r="D375" t="s">
        <v>374</v>
      </c>
      <c r="E375" t="str">
        <f t="shared" si="20"/>
        <v>'07|TRA_RD_M4thousand of vehiclessector|GSL_NV_HEMOB',</v>
      </c>
      <c r="F375">
        <f t="shared" si="21"/>
        <v>54</v>
      </c>
      <c r="G375">
        <f t="shared" si="22"/>
        <v>0</v>
      </c>
    </row>
    <row r="376" spans="1:7" x14ac:dyDescent="0.3">
      <c r="A376" s="5" t="s">
        <v>19</v>
      </c>
      <c r="B376" t="s">
        <v>169</v>
      </c>
      <c r="C376" t="s">
        <v>326</v>
      </c>
      <c r="D376" t="str">
        <f t="shared" si="16"/>
        <v>TYREMOBGvkmactivity</v>
      </c>
      <c r="E376" t="str">
        <f t="shared" si="20"/>
        <v>'07|TRA_RD_M4Gvkmsector|TYREMOBGvkmactivity',</v>
      </c>
      <c r="F376">
        <f t="shared" si="21"/>
        <v>45</v>
      </c>
      <c r="G376">
        <f t="shared" si="22"/>
        <v>0</v>
      </c>
    </row>
    <row r="377" spans="1:7" x14ac:dyDescent="0.3">
      <c r="A377" s="5" t="s">
        <v>19</v>
      </c>
      <c r="B377" t="s">
        <v>172</v>
      </c>
      <c r="C377" t="s">
        <v>317</v>
      </c>
      <c r="D377" t="str">
        <f t="shared" si="16"/>
        <v>ABRASIONMOBGvkmactivity</v>
      </c>
      <c r="E377" t="str">
        <f t="shared" si="20"/>
        <v>'07|TRA_RD_OTHGvkmsector|ABRASIONMOBGvkmactivity',</v>
      </c>
      <c r="F377">
        <f t="shared" si="21"/>
        <v>50</v>
      </c>
      <c r="G377">
        <f t="shared" si="22"/>
        <v>0</v>
      </c>
    </row>
    <row r="378" spans="1:7" x14ac:dyDescent="0.3">
      <c r="A378" s="5" t="s">
        <v>19</v>
      </c>
      <c r="B378" t="s">
        <v>172</v>
      </c>
      <c r="C378" t="s">
        <v>318</v>
      </c>
      <c r="D378" t="str">
        <f t="shared" si="16"/>
        <v>BRAKEMOBGvkmactivity</v>
      </c>
      <c r="E378" t="str">
        <f t="shared" si="20"/>
        <v>'07|TRA_RD_OTHGvkmsector|BRAKEMOBGvkmactivity',</v>
      </c>
      <c r="F378">
        <f t="shared" si="21"/>
        <v>47</v>
      </c>
      <c r="G378">
        <f t="shared" si="22"/>
        <v>0</v>
      </c>
    </row>
    <row r="379" spans="1:7" x14ac:dyDescent="0.3">
      <c r="A379" s="5" t="s">
        <v>19</v>
      </c>
      <c r="B379" t="s">
        <v>173</v>
      </c>
      <c r="C379" t="s">
        <v>289</v>
      </c>
      <c r="D379" t="str">
        <f t="shared" si="16"/>
        <v>GSLMOBPJactivity</v>
      </c>
      <c r="E379" t="str">
        <f t="shared" si="20"/>
        <v>'07|TRA_RD_OTHPJsector|GSLMOBPJactivity',</v>
      </c>
      <c r="F379">
        <f t="shared" si="21"/>
        <v>41</v>
      </c>
      <c r="G379">
        <f t="shared" si="22"/>
        <v>0</v>
      </c>
    </row>
    <row r="380" spans="1:7" x14ac:dyDescent="0.3">
      <c r="A380" s="5" t="s">
        <v>19</v>
      </c>
      <c r="B380" t="s">
        <v>174</v>
      </c>
      <c r="C380" t="s">
        <v>321</v>
      </c>
      <c r="D380" t="s">
        <v>374</v>
      </c>
      <c r="E380" t="str">
        <f t="shared" si="20"/>
        <v>'07|TRA_RD_OTHthousand of vehiclessector|GSL_NV_HEMOB',</v>
      </c>
      <c r="F380">
        <f t="shared" si="21"/>
        <v>55</v>
      </c>
      <c r="G380">
        <f t="shared" si="22"/>
        <v>0</v>
      </c>
    </row>
    <row r="381" spans="1:7" x14ac:dyDescent="0.3">
      <c r="A381" s="5" t="s">
        <v>19</v>
      </c>
      <c r="B381" t="s">
        <v>172</v>
      </c>
      <c r="C381" t="s">
        <v>326</v>
      </c>
      <c r="D381" t="str">
        <f t="shared" si="16"/>
        <v>TYREMOBGvkmactivity</v>
      </c>
      <c r="E381" t="str">
        <f t="shared" si="20"/>
        <v>'07|TRA_RD_OTHGvkmsector|TYREMOBGvkmactivity',</v>
      </c>
      <c r="F381">
        <f t="shared" si="21"/>
        <v>46</v>
      </c>
      <c r="G381">
        <f t="shared" si="22"/>
        <v>0</v>
      </c>
    </row>
    <row r="382" spans="1:7" x14ac:dyDescent="0.3">
      <c r="A382" s="5" t="s">
        <v>20</v>
      </c>
      <c r="B382" t="s">
        <v>175</v>
      </c>
      <c r="C382" t="s">
        <v>327</v>
      </c>
      <c r="D382" t="str">
        <f t="shared" si="16"/>
        <v>HC1MOBPJactivity</v>
      </c>
      <c r="E382" t="str">
        <f t="shared" si="20"/>
        <v>'08|TRA_OTPJsector|HC1MOBPJactivity',</v>
      </c>
      <c r="F382">
        <f t="shared" si="21"/>
        <v>37</v>
      </c>
      <c r="G382">
        <f t="shared" si="22"/>
        <v>0</v>
      </c>
    </row>
    <row r="383" spans="1:7" x14ac:dyDescent="0.3">
      <c r="A383" s="5" t="s">
        <v>20</v>
      </c>
      <c r="B383" t="s">
        <v>176</v>
      </c>
      <c r="C383" t="s">
        <v>289</v>
      </c>
      <c r="D383" t="str">
        <f t="shared" si="16"/>
        <v>GSLMOBPJactivity</v>
      </c>
      <c r="E383" t="str">
        <f t="shared" si="20"/>
        <v>'08|TRA_OT_AGRPJsector|GSLMOBPJactivity',</v>
      </c>
      <c r="F383">
        <f t="shared" si="21"/>
        <v>41</v>
      </c>
      <c r="G383">
        <f t="shared" si="22"/>
        <v>0</v>
      </c>
    </row>
    <row r="384" spans="1:7" x14ac:dyDescent="0.3">
      <c r="A384" s="5" t="s">
        <v>20</v>
      </c>
      <c r="B384" t="s">
        <v>176</v>
      </c>
      <c r="C384" t="s">
        <v>320</v>
      </c>
      <c r="D384" t="str">
        <f t="shared" si="16"/>
        <v>GSL_MMOBPJactivity</v>
      </c>
      <c r="E384" t="str">
        <f t="shared" si="20"/>
        <v>'08|TRA_OT_AGRPJsector|GSL_MMOBPJactivity',</v>
      </c>
      <c r="F384">
        <f t="shared" si="21"/>
        <v>43</v>
      </c>
      <c r="G384">
        <f t="shared" si="22"/>
        <v>0</v>
      </c>
    </row>
    <row r="385" spans="1:7" x14ac:dyDescent="0.3">
      <c r="A385" s="5" t="s">
        <v>20</v>
      </c>
      <c r="B385" t="s">
        <v>177</v>
      </c>
      <c r="C385" t="s">
        <v>321</v>
      </c>
      <c r="D385" t="s">
        <v>374</v>
      </c>
      <c r="E385" t="str">
        <f t="shared" si="20"/>
        <v>'08|TRA_OT_AGRthousand of vehiclessector|GSL_NV_HEMOB',</v>
      </c>
      <c r="F385">
        <f t="shared" si="21"/>
        <v>55</v>
      </c>
      <c r="G385">
        <f t="shared" si="22"/>
        <v>0</v>
      </c>
    </row>
    <row r="386" spans="1:7" x14ac:dyDescent="0.3">
      <c r="A386" s="5" t="s">
        <v>20</v>
      </c>
      <c r="B386" t="s">
        <v>176</v>
      </c>
      <c r="C386" t="s">
        <v>290</v>
      </c>
      <c r="D386" t="str">
        <f t="shared" si="16"/>
        <v>MDMOBPJactivity</v>
      </c>
      <c r="E386" t="str">
        <f t="shared" si="20"/>
        <v>'08|TRA_OT_AGRPJsector|MDMOBPJactivity',</v>
      </c>
      <c r="F386">
        <f t="shared" si="21"/>
        <v>40</v>
      </c>
      <c r="G386">
        <f t="shared" si="22"/>
        <v>0</v>
      </c>
    </row>
    <row r="387" spans="1:7" x14ac:dyDescent="0.3">
      <c r="A387" s="5" t="s">
        <v>20</v>
      </c>
      <c r="B387" t="s">
        <v>176</v>
      </c>
      <c r="C387" t="s">
        <v>324</v>
      </c>
      <c r="D387" t="str">
        <f t="shared" si="16"/>
        <v>MD_MMOBPJactivity</v>
      </c>
      <c r="E387" t="str">
        <f t="shared" ref="E387:E450" si="23">"'"&amp;A387&amp;"|"&amp;B387&amp;"|"&amp;D387&amp;"'"&amp;","</f>
        <v>'08|TRA_OT_AGRPJsector|MD_MMOBPJactivity',</v>
      </c>
      <c r="F387">
        <f t="shared" ref="F387:F450" si="24">LEN(E387)</f>
        <v>42</v>
      </c>
      <c r="G387">
        <f t="shared" ref="G387:G450" si="25">IF(F387&lt;63,,10)</f>
        <v>0</v>
      </c>
    </row>
    <row r="388" spans="1:7" x14ac:dyDescent="0.3">
      <c r="A388" s="5" t="s">
        <v>20</v>
      </c>
      <c r="B388" t="s">
        <v>177</v>
      </c>
      <c r="C388" t="s">
        <v>325</v>
      </c>
      <c r="D388" t="s">
        <v>375</v>
      </c>
      <c r="E388" t="str">
        <f t="shared" si="23"/>
        <v>'08|TRA_OT_AGRthousand of vehiclessector|MD_NV_HEMOB',</v>
      </c>
      <c r="F388">
        <f t="shared" si="24"/>
        <v>54</v>
      </c>
      <c r="G388">
        <f t="shared" si="25"/>
        <v>0</v>
      </c>
    </row>
    <row r="389" spans="1:7" x14ac:dyDescent="0.3">
      <c r="A389" s="5" t="s">
        <v>20</v>
      </c>
      <c r="B389" t="s">
        <v>178</v>
      </c>
      <c r="C389" t="s">
        <v>289</v>
      </c>
      <c r="D389" t="str">
        <f t="shared" si="16"/>
        <v>GSLMOBPJactivity</v>
      </c>
      <c r="E389" t="str">
        <f t="shared" si="23"/>
        <v>'08|TRA_OT_AIRPJsector|GSLMOBPJactivity',</v>
      </c>
      <c r="F389">
        <f t="shared" si="24"/>
        <v>41</v>
      </c>
      <c r="G389">
        <f t="shared" si="25"/>
        <v>0</v>
      </c>
    </row>
    <row r="390" spans="1:7" x14ac:dyDescent="0.3">
      <c r="A390" s="5" t="s">
        <v>20</v>
      </c>
      <c r="B390" t="s">
        <v>179</v>
      </c>
      <c r="C390" t="s">
        <v>289</v>
      </c>
      <c r="D390" t="str">
        <f t="shared" si="16"/>
        <v>GSLMOBPJactivity</v>
      </c>
      <c r="E390" t="str">
        <f t="shared" si="23"/>
        <v>'08|TRA_OT_AIR_DOMPJsector|GSLMOBPJactivity',</v>
      </c>
      <c r="F390">
        <f t="shared" si="24"/>
        <v>45</v>
      </c>
      <c r="G390">
        <f t="shared" si="25"/>
        <v>0</v>
      </c>
    </row>
    <row r="391" spans="1:7" x14ac:dyDescent="0.3">
      <c r="A391" s="5" t="s">
        <v>20</v>
      </c>
      <c r="B391" t="s">
        <v>180</v>
      </c>
      <c r="C391" t="s">
        <v>296</v>
      </c>
      <c r="D391" t="str">
        <f t="shared" si="16"/>
        <v>GASMOBPJactivity</v>
      </c>
      <c r="E391" t="str">
        <f t="shared" si="23"/>
        <v>'08|TRA_OT_CNSPJsector|GASMOBPJactivity',</v>
      </c>
      <c r="F391">
        <f t="shared" si="24"/>
        <v>41</v>
      </c>
      <c r="G391">
        <f t="shared" si="25"/>
        <v>0</v>
      </c>
    </row>
    <row r="392" spans="1:7" x14ac:dyDescent="0.3">
      <c r="A392" s="5" t="s">
        <v>20</v>
      </c>
      <c r="B392" t="s">
        <v>180</v>
      </c>
      <c r="C392" t="s">
        <v>319</v>
      </c>
      <c r="D392" t="str">
        <f t="shared" si="16"/>
        <v>GAS_MMOBPJactivity</v>
      </c>
      <c r="E392" t="str">
        <f t="shared" si="23"/>
        <v>'08|TRA_OT_CNSPJsector|GAS_MMOBPJactivity',</v>
      </c>
      <c r="F392">
        <f t="shared" si="24"/>
        <v>43</v>
      </c>
      <c r="G392">
        <f t="shared" si="25"/>
        <v>0</v>
      </c>
    </row>
    <row r="393" spans="1:7" x14ac:dyDescent="0.3">
      <c r="A393" s="5" t="s">
        <v>20</v>
      </c>
      <c r="B393" t="s">
        <v>180</v>
      </c>
      <c r="C393" t="s">
        <v>289</v>
      </c>
      <c r="D393" t="str">
        <f t="shared" si="16"/>
        <v>GSLMOBPJactivity</v>
      </c>
      <c r="E393" t="str">
        <f t="shared" si="23"/>
        <v>'08|TRA_OT_CNSPJsector|GSLMOBPJactivity',</v>
      </c>
      <c r="F393">
        <f t="shared" si="24"/>
        <v>41</v>
      </c>
      <c r="G393">
        <f t="shared" si="25"/>
        <v>0</v>
      </c>
    </row>
    <row r="394" spans="1:7" x14ac:dyDescent="0.3">
      <c r="A394" s="5" t="s">
        <v>20</v>
      </c>
      <c r="B394" t="s">
        <v>180</v>
      </c>
      <c r="C394" t="s">
        <v>320</v>
      </c>
      <c r="D394" t="str">
        <f t="shared" si="16"/>
        <v>GSL_MMOBPJactivity</v>
      </c>
      <c r="E394" t="str">
        <f t="shared" si="23"/>
        <v>'08|TRA_OT_CNSPJsector|GSL_MMOBPJactivity',</v>
      </c>
      <c r="F394">
        <f t="shared" si="24"/>
        <v>43</v>
      </c>
      <c r="G394">
        <f t="shared" si="25"/>
        <v>0</v>
      </c>
    </row>
    <row r="395" spans="1:7" x14ac:dyDescent="0.3">
      <c r="A395" s="5" t="s">
        <v>20</v>
      </c>
      <c r="B395" t="s">
        <v>181</v>
      </c>
      <c r="C395" t="s">
        <v>321</v>
      </c>
      <c r="D395" t="s">
        <v>374</v>
      </c>
      <c r="E395" t="str">
        <f t="shared" si="23"/>
        <v>'08|TRA_OT_CNSthousand of vehiclessector|GSL_NV_HEMOB',</v>
      </c>
      <c r="F395">
        <f t="shared" si="24"/>
        <v>55</v>
      </c>
      <c r="G395">
        <f t="shared" si="25"/>
        <v>0</v>
      </c>
    </row>
    <row r="396" spans="1:7" x14ac:dyDescent="0.3">
      <c r="A396" s="5" t="s">
        <v>20</v>
      </c>
      <c r="B396" t="s">
        <v>180</v>
      </c>
      <c r="C396" t="s">
        <v>323</v>
      </c>
      <c r="D396" t="str">
        <f t="shared" si="16"/>
        <v>LPGMOBPJactivity</v>
      </c>
      <c r="E396" t="str">
        <f t="shared" si="23"/>
        <v>'08|TRA_OT_CNSPJsector|LPGMOBPJactivity',</v>
      </c>
      <c r="F396">
        <f t="shared" si="24"/>
        <v>41</v>
      </c>
      <c r="G396">
        <f t="shared" si="25"/>
        <v>0</v>
      </c>
    </row>
    <row r="397" spans="1:7" x14ac:dyDescent="0.3">
      <c r="A397" s="5" t="s">
        <v>20</v>
      </c>
      <c r="B397" t="s">
        <v>180</v>
      </c>
      <c r="C397" t="s">
        <v>290</v>
      </c>
      <c r="D397" t="str">
        <f t="shared" si="16"/>
        <v>MDMOBPJactivity</v>
      </c>
      <c r="E397" t="str">
        <f t="shared" si="23"/>
        <v>'08|TRA_OT_CNSPJsector|MDMOBPJactivity',</v>
      </c>
      <c r="F397">
        <f t="shared" si="24"/>
        <v>40</v>
      </c>
      <c r="G397">
        <f t="shared" si="25"/>
        <v>0</v>
      </c>
    </row>
    <row r="398" spans="1:7" x14ac:dyDescent="0.3">
      <c r="A398" s="5" t="s">
        <v>20</v>
      </c>
      <c r="B398" t="s">
        <v>180</v>
      </c>
      <c r="C398" t="s">
        <v>324</v>
      </c>
      <c r="D398" t="str">
        <f t="shared" si="16"/>
        <v>MD_MMOBPJactivity</v>
      </c>
      <c r="E398" t="str">
        <f t="shared" si="23"/>
        <v>'08|TRA_OT_CNSPJsector|MD_MMOBPJactivity',</v>
      </c>
      <c r="F398">
        <f t="shared" si="24"/>
        <v>42</v>
      </c>
      <c r="G398">
        <f t="shared" si="25"/>
        <v>0</v>
      </c>
    </row>
    <row r="399" spans="1:7" x14ac:dyDescent="0.3">
      <c r="A399" s="5" t="s">
        <v>20</v>
      </c>
      <c r="B399" t="s">
        <v>181</v>
      </c>
      <c r="C399" t="s">
        <v>325</v>
      </c>
      <c r="D399" t="s">
        <v>375</v>
      </c>
      <c r="E399" t="str">
        <f t="shared" si="23"/>
        <v>'08|TRA_OT_CNSthousand of vehiclessector|MD_NV_HEMOB',</v>
      </c>
      <c r="F399">
        <f t="shared" si="24"/>
        <v>54</v>
      </c>
      <c r="G399">
        <f t="shared" si="25"/>
        <v>0</v>
      </c>
    </row>
    <row r="400" spans="1:7" x14ac:dyDescent="0.3">
      <c r="A400" s="5" t="s">
        <v>20</v>
      </c>
      <c r="B400" t="s">
        <v>182</v>
      </c>
      <c r="C400" t="s">
        <v>289</v>
      </c>
      <c r="D400" t="str">
        <f>C400</f>
        <v>GSLMOBPJactivity</v>
      </c>
      <c r="E400" t="str">
        <f t="shared" si="23"/>
        <v>'08|TRA_OT_EVPJsector|GSLMOBPJactivity',</v>
      </c>
      <c r="F400">
        <f t="shared" si="24"/>
        <v>40</v>
      </c>
      <c r="G400">
        <f t="shared" si="25"/>
        <v>0</v>
      </c>
    </row>
    <row r="401" spans="1:7" x14ac:dyDescent="0.3">
      <c r="A401" s="5" t="s">
        <v>20</v>
      </c>
      <c r="B401" t="s">
        <v>183</v>
      </c>
      <c r="C401" t="s">
        <v>322</v>
      </c>
      <c r="D401" t="str">
        <f t="shared" ref="D401:D403" si="26">C401</f>
        <v>H2MOBPJactivity</v>
      </c>
      <c r="E401" t="str">
        <f t="shared" si="23"/>
        <v>'08|TRA_OT_INWPJsector|H2MOBPJactivity',</v>
      </c>
      <c r="F401">
        <f t="shared" si="24"/>
        <v>40</v>
      </c>
      <c r="G401">
        <f t="shared" si="25"/>
        <v>0</v>
      </c>
    </row>
    <row r="402" spans="1:7" x14ac:dyDescent="0.3">
      <c r="A402" s="5" t="s">
        <v>20</v>
      </c>
      <c r="B402" t="s">
        <v>183</v>
      </c>
      <c r="C402" t="s">
        <v>290</v>
      </c>
      <c r="D402" t="str">
        <f t="shared" si="26"/>
        <v>MDMOBPJactivity</v>
      </c>
      <c r="E402" t="str">
        <f t="shared" si="23"/>
        <v>'08|TRA_OT_INWPJsector|MDMOBPJactivity',</v>
      </c>
      <c r="F402">
        <f t="shared" si="24"/>
        <v>40</v>
      </c>
      <c r="G402">
        <f t="shared" si="25"/>
        <v>0</v>
      </c>
    </row>
    <row r="403" spans="1:7" x14ac:dyDescent="0.3">
      <c r="A403" s="5" t="s">
        <v>20</v>
      </c>
      <c r="B403" t="s">
        <v>183</v>
      </c>
      <c r="C403" t="s">
        <v>324</v>
      </c>
      <c r="D403" t="str">
        <f t="shared" si="26"/>
        <v>MD_MMOBPJactivity</v>
      </c>
      <c r="E403" t="str">
        <f t="shared" si="23"/>
        <v>'08|TRA_OT_INWPJsector|MD_MMOBPJactivity',</v>
      </c>
      <c r="F403">
        <f t="shared" si="24"/>
        <v>42</v>
      </c>
      <c r="G403">
        <f t="shared" si="25"/>
        <v>0</v>
      </c>
    </row>
    <row r="404" spans="1:7" x14ac:dyDescent="0.3">
      <c r="A404" s="5" t="s">
        <v>20</v>
      </c>
      <c r="B404" t="s">
        <v>184</v>
      </c>
      <c r="C404" t="s">
        <v>325</v>
      </c>
      <c r="D404" t="s">
        <v>375</v>
      </c>
      <c r="E404" t="str">
        <f t="shared" si="23"/>
        <v>'08|TRA_OT_INWthousand of vehiclessector|MD_NV_HEMOB',</v>
      </c>
      <c r="F404">
        <f t="shared" si="24"/>
        <v>54</v>
      </c>
      <c r="G404">
        <f t="shared" si="25"/>
        <v>0</v>
      </c>
    </row>
    <row r="405" spans="1:7" x14ac:dyDescent="0.3">
      <c r="A405" s="5" t="s">
        <v>20</v>
      </c>
      <c r="B405" t="s">
        <v>185</v>
      </c>
      <c r="C405" t="s">
        <v>296</v>
      </c>
      <c r="D405" t="str">
        <f>C405</f>
        <v>GASMOBPJactivity</v>
      </c>
      <c r="E405" t="str">
        <f t="shared" si="23"/>
        <v>'08|TRA_OT_LBPJsector|GASMOBPJactivity',</v>
      </c>
      <c r="F405">
        <f t="shared" si="24"/>
        <v>40</v>
      </c>
      <c r="G405">
        <f t="shared" si="25"/>
        <v>0</v>
      </c>
    </row>
    <row r="406" spans="1:7" x14ac:dyDescent="0.3">
      <c r="A406" s="5" t="s">
        <v>20</v>
      </c>
      <c r="B406" t="s">
        <v>185</v>
      </c>
      <c r="C406" t="s">
        <v>319</v>
      </c>
      <c r="D406" t="str">
        <f t="shared" ref="D406:D418" si="27">C406</f>
        <v>GAS_MMOBPJactivity</v>
      </c>
      <c r="E406" t="str">
        <f t="shared" si="23"/>
        <v>'08|TRA_OT_LBPJsector|GAS_MMOBPJactivity',</v>
      </c>
      <c r="F406">
        <f t="shared" si="24"/>
        <v>42</v>
      </c>
      <c r="G406">
        <f t="shared" si="25"/>
        <v>0</v>
      </c>
    </row>
    <row r="407" spans="1:7" x14ac:dyDescent="0.3">
      <c r="A407" s="5" t="s">
        <v>20</v>
      </c>
      <c r="B407" t="s">
        <v>185</v>
      </c>
      <c r="C407" t="s">
        <v>289</v>
      </c>
      <c r="D407" t="str">
        <f t="shared" si="27"/>
        <v>GSLMOBPJactivity</v>
      </c>
      <c r="E407" t="str">
        <f t="shared" si="23"/>
        <v>'08|TRA_OT_LBPJsector|GSLMOBPJactivity',</v>
      </c>
      <c r="F407">
        <f t="shared" si="24"/>
        <v>40</v>
      </c>
      <c r="G407">
        <f t="shared" si="25"/>
        <v>0</v>
      </c>
    </row>
    <row r="408" spans="1:7" x14ac:dyDescent="0.3">
      <c r="A408" s="5" t="s">
        <v>20</v>
      </c>
      <c r="B408" t="s">
        <v>185</v>
      </c>
      <c r="C408" t="s">
        <v>320</v>
      </c>
      <c r="D408" t="str">
        <f t="shared" si="27"/>
        <v>GSL_MMOBPJactivity</v>
      </c>
      <c r="E408" t="str">
        <f t="shared" si="23"/>
        <v>'08|TRA_OT_LBPJsector|GSL_MMOBPJactivity',</v>
      </c>
      <c r="F408">
        <f t="shared" si="24"/>
        <v>42</v>
      </c>
      <c r="G408">
        <f t="shared" si="25"/>
        <v>0</v>
      </c>
    </row>
    <row r="409" spans="1:7" x14ac:dyDescent="0.3">
      <c r="A409" s="5" t="s">
        <v>20</v>
      </c>
      <c r="B409" t="s">
        <v>186</v>
      </c>
      <c r="C409" t="s">
        <v>321</v>
      </c>
      <c r="D409" t="s">
        <v>374</v>
      </c>
      <c r="E409" t="str">
        <f t="shared" si="23"/>
        <v>'08|TRA_OT_LBthousand of vehiclessector|GSL_NV_HEMOB',</v>
      </c>
      <c r="F409">
        <f t="shared" si="24"/>
        <v>54</v>
      </c>
      <c r="G409">
        <f t="shared" si="25"/>
        <v>0</v>
      </c>
    </row>
    <row r="410" spans="1:7" x14ac:dyDescent="0.3">
      <c r="A410" s="5" t="s">
        <v>20</v>
      </c>
      <c r="B410" t="s">
        <v>185</v>
      </c>
      <c r="C410" t="s">
        <v>323</v>
      </c>
      <c r="D410" t="str">
        <f t="shared" si="27"/>
        <v>LPGMOBPJactivity</v>
      </c>
      <c r="E410" t="str">
        <f t="shared" si="23"/>
        <v>'08|TRA_OT_LBPJsector|LPGMOBPJactivity',</v>
      </c>
      <c r="F410">
        <f t="shared" si="24"/>
        <v>40</v>
      </c>
      <c r="G410">
        <f t="shared" si="25"/>
        <v>0</v>
      </c>
    </row>
    <row r="411" spans="1:7" x14ac:dyDescent="0.3">
      <c r="A411" s="5" t="s">
        <v>20</v>
      </c>
      <c r="B411" t="s">
        <v>185</v>
      </c>
      <c r="C411" t="s">
        <v>290</v>
      </c>
      <c r="D411" t="str">
        <f t="shared" si="27"/>
        <v>MDMOBPJactivity</v>
      </c>
      <c r="E411" t="str">
        <f t="shared" si="23"/>
        <v>'08|TRA_OT_LBPJsector|MDMOBPJactivity',</v>
      </c>
      <c r="F411">
        <f t="shared" si="24"/>
        <v>39</v>
      </c>
      <c r="G411">
        <f t="shared" si="25"/>
        <v>0</v>
      </c>
    </row>
    <row r="412" spans="1:7" x14ac:dyDescent="0.3">
      <c r="A412" s="5" t="s">
        <v>20</v>
      </c>
      <c r="B412" t="s">
        <v>185</v>
      </c>
      <c r="C412" t="s">
        <v>324</v>
      </c>
      <c r="D412" t="str">
        <f t="shared" si="27"/>
        <v>MD_MMOBPJactivity</v>
      </c>
      <c r="E412" t="str">
        <f t="shared" si="23"/>
        <v>'08|TRA_OT_LBPJsector|MD_MMOBPJactivity',</v>
      </c>
      <c r="F412">
        <f t="shared" si="24"/>
        <v>41</v>
      </c>
      <c r="G412">
        <f t="shared" si="25"/>
        <v>0</v>
      </c>
    </row>
    <row r="413" spans="1:7" x14ac:dyDescent="0.3">
      <c r="A413" s="5" t="s">
        <v>20</v>
      </c>
      <c r="B413" t="s">
        <v>186</v>
      </c>
      <c r="C413" t="s">
        <v>325</v>
      </c>
      <c r="D413" t="s">
        <v>375</v>
      </c>
      <c r="E413" t="str">
        <f t="shared" si="23"/>
        <v>'08|TRA_OT_LBthousand of vehiclessector|MD_NV_HEMOB',</v>
      </c>
      <c r="F413">
        <f t="shared" si="24"/>
        <v>53</v>
      </c>
      <c r="G413">
        <f t="shared" si="25"/>
        <v>0</v>
      </c>
    </row>
    <row r="414" spans="1:7" x14ac:dyDescent="0.3">
      <c r="A414" s="5" t="s">
        <v>20</v>
      </c>
      <c r="B414" t="s">
        <v>187</v>
      </c>
      <c r="C414" t="s">
        <v>289</v>
      </c>
      <c r="D414" t="str">
        <f t="shared" si="27"/>
        <v>GSLMOBPJactivity</v>
      </c>
      <c r="E414" t="str">
        <f t="shared" si="23"/>
        <v>'08|TRA_OT_LD2PJsector|GSLMOBPJactivity',</v>
      </c>
      <c r="F414">
        <f t="shared" si="24"/>
        <v>41</v>
      </c>
      <c r="G414">
        <f t="shared" si="25"/>
        <v>0</v>
      </c>
    </row>
    <row r="415" spans="1:7" x14ac:dyDescent="0.3">
      <c r="A415" s="5" t="s">
        <v>20</v>
      </c>
      <c r="B415" t="s">
        <v>187</v>
      </c>
      <c r="C415" t="s">
        <v>320</v>
      </c>
      <c r="D415" t="str">
        <f t="shared" si="27"/>
        <v>GSL_MMOBPJactivity</v>
      </c>
      <c r="E415" t="str">
        <f t="shared" si="23"/>
        <v>'08|TRA_OT_LD2PJsector|GSL_MMOBPJactivity',</v>
      </c>
      <c r="F415">
        <f t="shared" si="24"/>
        <v>43</v>
      </c>
      <c r="G415">
        <f t="shared" si="25"/>
        <v>0</v>
      </c>
    </row>
    <row r="416" spans="1:7" x14ac:dyDescent="0.3">
      <c r="A416" s="5" t="s">
        <v>20</v>
      </c>
      <c r="B416" t="s">
        <v>188</v>
      </c>
      <c r="C416" t="s">
        <v>321</v>
      </c>
      <c r="D416" t="s">
        <v>374</v>
      </c>
      <c r="E416" t="str">
        <f t="shared" si="23"/>
        <v>'08|TRA_OT_LD2thousand of vehiclessector|GSL_NV_HEMOB',</v>
      </c>
      <c r="F416">
        <f t="shared" si="24"/>
        <v>55</v>
      </c>
      <c r="G416">
        <f t="shared" si="25"/>
        <v>0</v>
      </c>
    </row>
    <row r="417" spans="1:7" x14ac:dyDescent="0.3">
      <c r="A417" s="5" t="s">
        <v>20</v>
      </c>
      <c r="B417" t="s">
        <v>189</v>
      </c>
      <c r="C417" t="s">
        <v>290</v>
      </c>
      <c r="D417" t="str">
        <f t="shared" si="27"/>
        <v>MDMOBPJactivity</v>
      </c>
      <c r="E417" t="str">
        <f t="shared" si="23"/>
        <v>'08|TRA_OT_RAIPJsector|MDMOBPJactivity',</v>
      </c>
      <c r="F417">
        <f t="shared" si="24"/>
        <v>40</v>
      </c>
      <c r="G417">
        <f t="shared" si="25"/>
        <v>0</v>
      </c>
    </row>
    <row r="418" spans="1:7" x14ac:dyDescent="0.3">
      <c r="A418" s="5" t="s">
        <v>20</v>
      </c>
      <c r="B418" t="s">
        <v>189</v>
      </c>
      <c r="C418" t="s">
        <v>324</v>
      </c>
      <c r="D418" t="str">
        <f t="shared" si="27"/>
        <v>MD_MMOBPJactivity</v>
      </c>
      <c r="E418" t="str">
        <f t="shared" si="23"/>
        <v>'08|TRA_OT_RAIPJsector|MD_MMOBPJactivity',</v>
      </c>
      <c r="F418">
        <f t="shared" si="24"/>
        <v>42</v>
      </c>
      <c r="G418">
        <f t="shared" si="25"/>
        <v>0</v>
      </c>
    </row>
    <row r="419" spans="1:7" x14ac:dyDescent="0.3">
      <c r="A419" s="5" t="s">
        <v>20</v>
      </c>
      <c r="B419" t="s">
        <v>190</v>
      </c>
      <c r="C419" t="s">
        <v>325</v>
      </c>
      <c r="D419" t="s">
        <v>375</v>
      </c>
      <c r="E419" t="str">
        <f t="shared" si="23"/>
        <v>'08|TRA_OT_RAIthousand of vehiclessector|MD_NV_HEMOB',</v>
      </c>
      <c r="F419">
        <f t="shared" si="24"/>
        <v>54</v>
      </c>
      <c r="G419">
        <f t="shared" si="25"/>
        <v>0</v>
      </c>
    </row>
    <row r="420" spans="1:7" x14ac:dyDescent="0.3">
      <c r="A420" s="5" t="s">
        <v>20</v>
      </c>
      <c r="B420" t="s">
        <v>191</v>
      </c>
      <c r="C420" t="s">
        <v>296</v>
      </c>
      <c r="D420" t="str">
        <f>C420</f>
        <v>GASMOBPJactivity</v>
      </c>
      <c r="E420" t="str">
        <f t="shared" si="23"/>
        <v>'08|TRA_OTS_LPJsector|GASMOBPJactivity',</v>
      </c>
      <c r="F420">
        <f t="shared" si="24"/>
        <v>40</v>
      </c>
      <c r="G420">
        <f t="shared" si="25"/>
        <v>0</v>
      </c>
    </row>
    <row r="421" spans="1:7" x14ac:dyDescent="0.3">
      <c r="A421" s="5" t="s">
        <v>20</v>
      </c>
      <c r="B421" t="s">
        <v>191</v>
      </c>
      <c r="C421" t="s">
        <v>328</v>
      </c>
      <c r="D421" t="str">
        <f t="shared" ref="D421:D484" si="28">C421</f>
        <v>HFMOBPJactivity</v>
      </c>
      <c r="E421" t="str">
        <f t="shared" si="23"/>
        <v>'08|TRA_OTS_LPJsector|HFMOBPJactivity',</v>
      </c>
      <c r="F421">
        <f t="shared" si="24"/>
        <v>39</v>
      </c>
      <c r="G421">
        <f t="shared" si="25"/>
        <v>0</v>
      </c>
    </row>
    <row r="422" spans="1:7" x14ac:dyDescent="0.3">
      <c r="A422" s="5" t="s">
        <v>20</v>
      </c>
      <c r="B422" t="s">
        <v>191</v>
      </c>
      <c r="C422" t="s">
        <v>290</v>
      </c>
      <c r="D422" t="str">
        <f t="shared" si="28"/>
        <v>MDMOBPJactivity</v>
      </c>
      <c r="E422" t="str">
        <f t="shared" si="23"/>
        <v>'08|TRA_OTS_LPJsector|MDMOBPJactivity',</v>
      </c>
      <c r="F422">
        <f t="shared" si="24"/>
        <v>39</v>
      </c>
      <c r="G422">
        <f t="shared" si="25"/>
        <v>0</v>
      </c>
    </row>
    <row r="423" spans="1:7" x14ac:dyDescent="0.3">
      <c r="A423" s="5" t="s">
        <v>20</v>
      </c>
      <c r="B423" t="s">
        <v>191</v>
      </c>
      <c r="C423" t="s">
        <v>324</v>
      </c>
      <c r="D423" t="str">
        <f t="shared" si="28"/>
        <v>MD_MMOBPJactivity</v>
      </c>
      <c r="E423" t="str">
        <f t="shared" si="23"/>
        <v>'08|TRA_OTS_LPJsector|MD_MMOBPJactivity',</v>
      </c>
      <c r="F423">
        <f t="shared" si="24"/>
        <v>41</v>
      </c>
      <c r="G423">
        <f t="shared" si="25"/>
        <v>0</v>
      </c>
    </row>
    <row r="424" spans="1:7" x14ac:dyDescent="0.3">
      <c r="A424" s="5" t="s">
        <v>21</v>
      </c>
      <c r="B424" t="s">
        <v>192</v>
      </c>
      <c r="C424" t="s">
        <v>329</v>
      </c>
      <c r="D424" t="str">
        <f t="shared" si="28"/>
        <v>NOFPROCkt CODactivity</v>
      </c>
      <c r="E424" t="str">
        <f t="shared" si="23"/>
        <v>'09|IND_FOOD_NOCkt CODsector|NOFPROCkt CODactivity',</v>
      </c>
      <c r="F424">
        <f t="shared" si="24"/>
        <v>52</v>
      </c>
      <c r="G424">
        <f t="shared" si="25"/>
        <v>0</v>
      </c>
    </row>
    <row r="425" spans="1:7" x14ac:dyDescent="0.3">
      <c r="A425" s="5" t="s">
        <v>21</v>
      </c>
      <c r="B425" t="s">
        <v>193</v>
      </c>
      <c r="C425" t="s">
        <v>329</v>
      </c>
      <c r="D425" t="str">
        <f t="shared" si="28"/>
        <v>NOFPROCkt CODactivity</v>
      </c>
      <c r="E425" t="str">
        <f t="shared" si="23"/>
        <v>'09|IND_FOOD_TRMkt CODsector|NOFPROCkt CODactivity',</v>
      </c>
      <c r="F425">
        <f t="shared" si="24"/>
        <v>52</v>
      </c>
      <c r="G425">
        <f t="shared" si="25"/>
        <v>0</v>
      </c>
    </row>
    <row r="426" spans="1:7" x14ac:dyDescent="0.3">
      <c r="A426" s="5" t="s">
        <v>21</v>
      </c>
      <c r="B426" t="s">
        <v>194</v>
      </c>
      <c r="C426" t="s">
        <v>329</v>
      </c>
      <c r="D426" t="str">
        <f t="shared" si="28"/>
        <v>NOFPROCkt CODactivity</v>
      </c>
      <c r="E426" t="str">
        <f t="shared" si="23"/>
        <v>'09|IND_OTH_NOCkt CODsector|NOFPROCkt CODactivity',</v>
      </c>
      <c r="F426">
        <f t="shared" si="24"/>
        <v>51</v>
      </c>
      <c r="G426">
        <f t="shared" si="25"/>
        <v>0</v>
      </c>
    </row>
    <row r="427" spans="1:7" x14ac:dyDescent="0.3">
      <c r="A427" s="5" t="s">
        <v>21</v>
      </c>
      <c r="B427" t="s">
        <v>195</v>
      </c>
      <c r="C427" t="s">
        <v>329</v>
      </c>
      <c r="D427" t="str">
        <f t="shared" si="28"/>
        <v>NOFPROCkt CODactivity</v>
      </c>
      <c r="E427" t="str">
        <f t="shared" si="23"/>
        <v>'09|IND_OTH_TRMkt CODsector|NOFPROCkt CODactivity',</v>
      </c>
      <c r="F427">
        <f t="shared" si="24"/>
        <v>51</v>
      </c>
      <c r="G427">
        <f t="shared" si="25"/>
        <v>0</v>
      </c>
    </row>
    <row r="428" spans="1:7" x14ac:dyDescent="0.3">
      <c r="A428" s="5" t="s">
        <v>21</v>
      </c>
      <c r="B428" t="s">
        <v>196</v>
      </c>
      <c r="C428" t="s">
        <v>329</v>
      </c>
      <c r="D428" t="str">
        <f t="shared" si="28"/>
        <v>NOFPROCkt CODactivity</v>
      </c>
      <c r="E428" t="str">
        <f t="shared" si="23"/>
        <v>'09|IND_PAP_NOCkt CODsector|NOFPROCkt CODactivity',</v>
      </c>
      <c r="F428">
        <f t="shared" si="24"/>
        <v>51</v>
      </c>
      <c r="G428">
        <f t="shared" si="25"/>
        <v>0</v>
      </c>
    </row>
    <row r="429" spans="1:7" x14ac:dyDescent="0.3">
      <c r="A429" s="5" t="s">
        <v>21</v>
      </c>
      <c r="B429" t="s">
        <v>197</v>
      </c>
      <c r="C429" t="s">
        <v>329</v>
      </c>
      <c r="D429" t="str">
        <f t="shared" si="28"/>
        <v>NOFPROCkt CODactivity</v>
      </c>
      <c r="E429" t="str">
        <f t="shared" si="23"/>
        <v>'09|IND_PAP_TRMkt CODsector|NOFPROCkt CODactivity',</v>
      </c>
      <c r="F429">
        <f t="shared" si="24"/>
        <v>51</v>
      </c>
      <c r="G429">
        <f t="shared" si="25"/>
        <v>0</v>
      </c>
    </row>
    <row r="430" spans="1:7" x14ac:dyDescent="0.3">
      <c r="A430" s="5" t="s">
        <v>21</v>
      </c>
      <c r="B430" t="s">
        <v>198</v>
      </c>
      <c r="C430" t="s">
        <v>330</v>
      </c>
      <c r="D430" t="str">
        <f t="shared" si="28"/>
        <v>10YR_BPPROCMt wasteactivity</v>
      </c>
      <c r="E430" t="str">
        <f t="shared" si="23"/>
        <v>'09|INW_FOODMt wastesector|10YR_BPPROCMt wasteactivity',</v>
      </c>
      <c r="F430">
        <f t="shared" si="24"/>
        <v>56</v>
      </c>
      <c r="G430">
        <f t="shared" si="25"/>
        <v>0</v>
      </c>
    </row>
    <row r="431" spans="1:7" x14ac:dyDescent="0.3">
      <c r="A431" s="5" t="s">
        <v>21</v>
      </c>
      <c r="B431" t="s">
        <v>198</v>
      </c>
      <c r="C431" t="s">
        <v>331</v>
      </c>
      <c r="D431" t="str">
        <f t="shared" si="28"/>
        <v>NOFPROCMt wasteactivity</v>
      </c>
      <c r="E431" t="str">
        <f t="shared" si="23"/>
        <v>'09|INW_FOODMt wastesector|NOFPROCMt wasteactivity',</v>
      </c>
      <c r="F431">
        <f t="shared" si="24"/>
        <v>52</v>
      </c>
      <c r="G431">
        <f t="shared" si="25"/>
        <v>0</v>
      </c>
    </row>
    <row r="432" spans="1:7" x14ac:dyDescent="0.3">
      <c r="A432" s="5" t="s">
        <v>21</v>
      </c>
      <c r="B432" t="s">
        <v>199</v>
      </c>
      <c r="C432" t="s">
        <v>331</v>
      </c>
      <c r="D432" t="str">
        <f t="shared" si="28"/>
        <v>NOFPROCMt wasteactivity</v>
      </c>
      <c r="E432" t="str">
        <f t="shared" si="23"/>
        <v>'09|INW_OTHMt wastesector|NOFPROCMt wasteactivity',</v>
      </c>
      <c r="F432">
        <f t="shared" si="24"/>
        <v>51</v>
      </c>
      <c r="G432">
        <f t="shared" si="25"/>
        <v>0</v>
      </c>
    </row>
    <row r="433" spans="1:7" x14ac:dyDescent="0.3">
      <c r="A433" s="5" t="s">
        <v>21</v>
      </c>
      <c r="B433" t="s">
        <v>200</v>
      </c>
      <c r="C433" t="s">
        <v>332</v>
      </c>
      <c r="D433" t="str">
        <f t="shared" si="28"/>
        <v>20YR_BPPROCMt wasteactivity</v>
      </c>
      <c r="E433" t="str">
        <f t="shared" si="23"/>
        <v>'09|INW_PAPMt wastesector|20YR_BPPROCMt wasteactivity',</v>
      </c>
      <c r="F433">
        <f t="shared" si="24"/>
        <v>55</v>
      </c>
      <c r="G433">
        <f t="shared" si="25"/>
        <v>0</v>
      </c>
    </row>
    <row r="434" spans="1:7" x14ac:dyDescent="0.3">
      <c r="A434" s="5" t="s">
        <v>21</v>
      </c>
      <c r="B434" t="s">
        <v>200</v>
      </c>
      <c r="C434" t="s">
        <v>331</v>
      </c>
      <c r="D434" t="str">
        <f t="shared" si="28"/>
        <v>NOFPROCMt wasteactivity</v>
      </c>
      <c r="E434" t="str">
        <f t="shared" si="23"/>
        <v>'09|INW_PAPMt wastesector|NOFPROCMt wasteactivity',</v>
      </c>
      <c r="F434">
        <f t="shared" si="24"/>
        <v>51</v>
      </c>
      <c r="G434">
        <f t="shared" si="25"/>
        <v>0</v>
      </c>
    </row>
    <row r="435" spans="1:7" x14ac:dyDescent="0.3">
      <c r="A435" s="5" t="s">
        <v>21</v>
      </c>
      <c r="B435" t="s">
        <v>201</v>
      </c>
      <c r="C435" t="s">
        <v>331</v>
      </c>
      <c r="D435" t="str">
        <f t="shared" si="28"/>
        <v>NOFPROCMt wasteactivity</v>
      </c>
      <c r="E435" t="str">
        <f t="shared" si="23"/>
        <v>'09|INW_RUBMt wastesector|NOFPROCMt wasteactivity',</v>
      </c>
      <c r="F435">
        <f t="shared" si="24"/>
        <v>51</v>
      </c>
      <c r="G435">
        <f t="shared" si="25"/>
        <v>0</v>
      </c>
    </row>
    <row r="436" spans="1:7" x14ac:dyDescent="0.3">
      <c r="A436" s="5" t="s">
        <v>21</v>
      </c>
      <c r="B436" t="s">
        <v>202</v>
      </c>
      <c r="C436" t="s">
        <v>332</v>
      </c>
      <c r="D436" t="str">
        <f t="shared" si="28"/>
        <v>20YR_BPPROCMt wasteactivity</v>
      </c>
      <c r="E436" t="str">
        <f t="shared" si="23"/>
        <v>'09|INW_TEXMt wastesector|20YR_BPPROCMt wasteactivity',</v>
      </c>
      <c r="F436">
        <f t="shared" si="24"/>
        <v>55</v>
      </c>
      <c r="G436">
        <f t="shared" si="25"/>
        <v>0</v>
      </c>
    </row>
    <row r="437" spans="1:7" x14ac:dyDescent="0.3">
      <c r="A437" s="5" t="s">
        <v>21</v>
      </c>
      <c r="B437" t="s">
        <v>202</v>
      </c>
      <c r="C437" t="s">
        <v>331</v>
      </c>
      <c r="D437" t="str">
        <f t="shared" si="28"/>
        <v>NOFPROCMt wasteactivity</v>
      </c>
      <c r="E437" t="str">
        <f t="shared" si="23"/>
        <v>'09|INW_TEXMt wastesector|NOFPROCMt wasteactivity',</v>
      </c>
      <c r="F437">
        <f t="shared" si="24"/>
        <v>51</v>
      </c>
      <c r="G437">
        <f t="shared" si="25"/>
        <v>0</v>
      </c>
    </row>
    <row r="438" spans="1:7" x14ac:dyDescent="0.3">
      <c r="A438" s="5" t="s">
        <v>21</v>
      </c>
      <c r="B438" t="s">
        <v>203</v>
      </c>
      <c r="C438" t="s">
        <v>332</v>
      </c>
      <c r="D438" t="str">
        <f t="shared" si="28"/>
        <v>20YR_BPPROCMt wasteactivity</v>
      </c>
      <c r="E438" t="str">
        <f t="shared" si="23"/>
        <v>'09|INW_WOODMt wastesector|20YR_BPPROCMt wasteactivity',</v>
      </c>
      <c r="F438">
        <f t="shared" si="24"/>
        <v>56</v>
      </c>
      <c r="G438">
        <f t="shared" si="25"/>
        <v>0</v>
      </c>
    </row>
    <row r="439" spans="1:7" x14ac:dyDescent="0.3">
      <c r="A439" s="5" t="s">
        <v>21</v>
      </c>
      <c r="B439" t="s">
        <v>203</v>
      </c>
      <c r="C439" t="s">
        <v>331</v>
      </c>
      <c r="D439" t="str">
        <f t="shared" si="28"/>
        <v>NOFPROCMt wasteactivity</v>
      </c>
      <c r="E439" t="str">
        <f t="shared" si="23"/>
        <v>'09|INW_WOODMt wastesector|NOFPROCMt wasteactivity',</v>
      </c>
      <c r="F439">
        <f t="shared" si="24"/>
        <v>52</v>
      </c>
      <c r="G439">
        <f t="shared" si="25"/>
        <v>0</v>
      </c>
    </row>
    <row r="440" spans="1:7" x14ac:dyDescent="0.3">
      <c r="A440" s="5" t="s">
        <v>21</v>
      </c>
      <c r="B440" t="s">
        <v>204</v>
      </c>
      <c r="C440" t="s">
        <v>330</v>
      </c>
      <c r="D440" t="str">
        <f t="shared" si="28"/>
        <v>10YR_BPPROCMt wasteactivity</v>
      </c>
      <c r="E440" t="str">
        <f t="shared" si="23"/>
        <v>'09|MSW_RUR_FOODMt wastesector|10YR_BPPROCMt wasteactivity',</v>
      </c>
      <c r="F440">
        <f t="shared" si="24"/>
        <v>60</v>
      </c>
      <c r="G440">
        <f t="shared" si="25"/>
        <v>0</v>
      </c>
    </row>
    <row r="441" spans="1:7" x14ac:dyDescent="0.3">
      <c r="A441" s="5" t="s">
        <v>21</v>
      </c>
      <c r="B441" t="s">
        <v>204</v>
      </c>
      <c r="C441" t="s">
        <v>331</v>
      </c>
      <c r="D441" t="str">
        <f t="shared" si="28"/>
        <v>NOFPROCMt wasteactivity</v>
      </c>
      <c r="E441" t="str">
        <f t="shared" si="23"/>
        <v>'09|MSW_RUR_FOODMt wastesector|NOFPROCMt wasteactivity',</v>
      </c>
      <c r="F441">
        <f t="shared" si="24"/>
        <v>56</v>
      </c>
      <c r="G441">
        <f t="shared" si="25"/>
        <v>0</v>
      </c>
    </row>
    <row r="442" spans="1:7" x14ac:dyDescent="0.3">
      <c r="A442" s="5" t="s">
        <v>21</v>
      </c>
      <c r="B442" t="s">
        <v>205</v>
      </c>
      <c r="C442" t="s">
        <v>331</v>
      </c>
      <c r="D442" t="str">
        <f t="shared" si="28"/>
        <v>NOFPROCMt wasteactivity</v>
      </c>
      <c r="E442" t="str">
        <f t="shared" si="23"/>
        <v>'09|MSW_RUR_GLAMt wastesector|NOFPROCMt wasteactivity',</v>
      </c>
      <c r="F442">
        <f t="shared" si="24"/>
        <v>55</v>
      </c>
      <c r="G442">
        <f t="shared" si="25"/>
        <v>0</v>
      </c>
    </row>
    <row r="443" spans="1:7" x14ac:dyDescent="0.3">
      <c r="A443" s="5" t="s">
        <v>21</v>
      </c>
      <c r="B443" t="s">
        <v>206</v>
      </c>
      <c r="C443" t="s">
        <v>331</v>
      </c>
      <c r="D443" t="str">
        <f t="shared" si="28"/>
        <v>NOFPROCMt wasteactivity</v>
      </c>
      <c r="E443" t="str">
        <f t="shared" si="23"/>
        <v>'09|MSW_RUR_METMt wastesector|NOFPROCMt wasteactivity',</v>
      </c>
      <c r="F443">
        <f t="shared" si="24"/>
        <v>55</v>
      </c>
      <c r="G443">
        <f t="shared" si="25"/>
        <v>0</v>
      </c>
    </row>
    <row r="444" spans="1:7" x14ac:dyDescent="0.3">
      <c r="A444" s="5" t="s">
        <v>21</v>
      </c>
      <c r="B444" t="s">
        <v>207</v>
      </c>
      <c r="C444" t="s">
        <v>332</v>
      </c>
      <c r="D444" t="str">
        <f t="shared" si="28"/>
        <v>20YR_BPPROCMt wasteactivity</v>
      </c>
      <c r="E444" t="str">
        <f t="shared" si="23"/>
        <v>'09|MSW_RUR_OTHMt wastesector|20YR_BPPROCMt wasteactivity',</v>
      </c>
      <c r="F444">
        <f t="shared" si="24"/>
        <v>59</v>
      </c>
      <c r="G444">
        <f t="shared" si="25"/>
        <v>0</v>
      </c>
    </row>
    <row r="445" spans="1:7" x14ac:dyDescent="0.3">
      <c r="A445" s="5" t="s">
        <v>21</v>
      </c>
      <c r="B445" t="s">
        <v>207</v>
      </c>
      <c r="C445" t="s">
        <v>331</v>
      </c>
      <c r="D445" t="str">
        <f t="shared" si="28"/>
        <v>NOFPROCMt wasteactivity</v>
      </c>
      <c r="E445" t="str">
        <f t="shared" si="23"/>
        <v>'09|MSW_RUR_OTHMt wastesector|NOFPROCMt wasteactivity',</v>
      </c>
      <c r="F445">
        <f t="shared" si="24"/>
        <v>55</v>
      </c>
      <c r="G445">
        <f t="shared" si="25"/>
        <v>0</v>
      </c>
    </row>
    <row r="446" spans="1:7" x14ac:dyDescent="0.3">
      <c r="A446" s="5" t="s">
        <v>21</v>
      </c>
      <c r="B446" t="s">
        <v>208</v>
      </c>
      <c r="C446" t="s">
        <v>332</v>
      </c>
      <c r="D446" t="str">
        <f t="shared" si="28"/>
        <v>20YR_BPPROCMt wasteactivity</v>
      </c>
      <c r="E446" t="str">
        <f t="shared" si="23"/>
        <v>'09|MSW_RUR_PAPMt wastesector|20YR_BPPROCMt wasteactivity',</v>
      </c>
      <c r="F446">
        <f t="shared" si="24"/>
        <v>59</v>
      </c>
      <c r="G446">
        <f t="shared" si="25"/>
        <v>0</v>
      </c>
    </row>
    <row r="447" spans="1:7" x14ac:dyDescent="0.3">
      <c r="A447" s="5" t="s">
        <v>21</v>
      </c>
      <c r="B447" t="s">
        <v>208</v>
      </c>
      <c r="C447" t="s">
        <v>331</v>
      </c>
      <c r="D447" t="str">
        <f t="shared" si="28"/>
        <v>NOFPROCMt wasteactivity</v>
      </c>
      <c r="E447" t="str">
        <f t="shared" si="23"/>
        <v>'09|MSW_RUR_PAPMt wastesector|NOFPROCMt wasteactivity',</v>
      </c>
      <c r="F447">
        <f t="shared" si="24"/>
        <v>55</v>
      </c>
      <c r="G447">
        <f t="shared" si="25"/>
        <v>0</v>
      </c>
    </row>
    <row r="448" spans="1:7" x14ac:dyDescent="0.3">
      <c r="A448" s="5" t="s">
        <v>21</v>
      </c>
      <c r="B448" t="s">
        <v>209</v>
      </c>
      <c r="C448" t="s">
        <v>331</v>
      </c>
      <c r="D448" t="str">
        <f t="shared" si="28"/>
        <v>NOFPROCMt wasteactivity</v>
      </c>
      <c r="E448" t="str">
        <f t="shared" si="23"/>
        <v>'09|MSW_RUR_PLAMt wastesector|NOFPROCMt wasteactivity',</v>
      </c>
      <c r="F448">
        <f t="shared" si="24"/>
        <v>55</v>
      </c>
      <c r="G448">
        <f t="shared" si="25"/>
        <v>0</v>
      </c>
    </row>
    <row r="449" spans="1:7" x14ac:dyDescent="0.3">
      <c r="A449" s="5" t="s">
        <v>21</v>
      </c>
      <c r="B449" t="s">
        <v>210</v>
      </c>
      <c r="C449" t="s">
        <v>332</v>
      </c>
      <c r="D449" t="str">
        <f t="shared" si="28"/>
        <v>20YR_BPPROCMt wasteactivity</v>
      </c>
      <c r="E449" t="str">
        <f t="shared" si="23"/>
        <v>'09|MSW_RUR_TEXMt wastesector|20YR_BPPROCMt wasteactivity',</v>
      </c>
      <c r="F449">
        <f t="shared" si="24"/>
        <v>59</v>
      </c>
      <c r="G449">
        <f t="shared" si="25"/>
        <v>0</v>
      </c>
    </row>
    <row r="450" spans="1:7" x14ac:dyDescent="0.3">
      <c r="A450" s="5" t="s">
        <v>21</v>
      </c>
      <c r="B450" t="s">
        <v>210</v>
      </c>
      <c r="C450" t="s">
        <v>331</v>
      </c>
      <c r="D450" t="str">
        <f t="shared" si="28"/>
        <v>NOFPROCMt wasteactivity</v>
      </c>
      <c r="E450" t="str">
        <f t="shared" si="23"/>
        <v>'09|MSW_RUR_TEXMt wastesector|NOFPROCMt wasteactivity',</v>
      </c>
      <c r="F450">
        <f t="shared" si="24"/>
        <v>55</v>
      </c>
      <c r="G450">
        <f t="shared" si="25"/>
        <v>0</v>
      </c>
    </row>
    <row r="451" spans="1:7" x14ac:dyDescent="0.3">
      <c r="A451" s="5" t="s">
        <v>21</v>
      </c>
      <c r="B451" t="s">
        <v>211</v>
      </c>
      <c r="C451" t="s">
        <v>332</v>
      </c>
      <c r="D451" t="str">
        <f t="shared" si="28"/>
        <v>20YR_BPPROCMt wasteactivity</v>
      </c>
      <c r="E451" t="str">
        <f t="shared" ref="E451:E514" si="29">"'"&amp;A451&amp;"|"&amp;B451&amp;"|"&amp;D451&amp;"'"&amp;","</f>
        <v>'09|MSW_RUR_WOODMt wastesector|20YR_BPPROCMt wasteactivity',</v>
      </c>
      <c r="F451">
        <f t="shared" ref="F451:F514" si="30">LEN(E451)</f>
        <v>60</v>
      </c>
      <c r="G451">
        <f t="shared" ref="G451:G514" si="31">IF(F451&lt;63,,10)</f>
        <v>0</v>
      </c>
    </row>
    <row r="452" spans="1:7" x14ac:dyDescent="0.3">
      <c r="A452" s="5" t="s">
        <v>21</v>
      </c>
      <c r="B452" t="s">
        <v>211</v>
      </c>
      <c r="C452" t="s">
        <v>331</v>
      </c>
      <c r="D452" t="str">
        <f t="shared" si="28"/>
        <v>NOFPROCMt wasteactivity</v>
      </c>
      <c r="E452" t="str">
        <f t="shared" si="29"/>
        <v>'09|MSW_RUR_WOODMt wastesector|NOFPROCMt wasteactivity',</v>
      </c>
      <c r="F452">
        <f t="shared" si="30"/>
        <v>56</v>
      </c>
      <c r="G452">
        <f t="shared" si="31"/>
        <v>0</v>
      </c>
    </row>
    <row r="453" spans="1:7" x14ac:dyDescent="0.3">
      <c r="A453" s="5" t="s">
        <v>21</v>
      </c>
      <c r="B453" t="s">
        <v>212</v>
      </c>
      <c r="C453" t="s">
        <v>330</v>
      </c>
      <c r="D453" t="str">
        <f t="shared" si="28"/>
        <v>10YR_BPPROCMt wasteactivity</v>
      </c>
      <c r="E453" t="str">
        <f t="shared" si="29"/>
        <v>'09|MSW_URB_FOODMt wastesector|10YR_BPPROCMt wasteactivity',</v>
      </c>
      <c r="F453">
        <f t="shared" si="30"/>
        <v>60</v>
      </c>
      <c r="G453">
        <f t="shared" si="31"/>
        <v>0</v>
      </c>
    </row>
    <row r="454" spans="1:7" x14ac:dyDescent="0.3">
      <c r="A454" s="5" t="s">
        <v>21</v>
      </c>
      <c r="B454" t="s">
        <v>212</v>
      </c>
      <c r="C454" t="s">
        <v>331</v>
      </c>
      <c r="D454" t="str">
        <f t="shared" si="28"/>
        <v>NOFPROCMt wasteactivity</v>
      </c>
      <c r="E454" t="str">
        <f t="shared" si="29"/>
        <v>'09|MSW_URB_FOODMt wastesector|NOFPROCMt wasteactivity',</v>
      </c>
      <c r="F454">
        <f t="shared" si="30"/>
        <v>56</v>
      </c>
      <c r="G454">
        <f t="shared" si="31"/>
        <v>0</v>
      </c>
    </row>
    <row r="455" spans="1:7" x14ac:dyDescent="0.3">
      <c r="A455" s="5" t="s">
        <v>21</v>
      </c>
      <c r="B455" t="s">
        <v>213</v>
      </c>
      <c r="C455" t="s">
        <v>331</v>
      </c>
      <c r="D455" t="str">
        <f t="shared" si="28"/>
        <v>NOFPROCMt wasteactivity</v>
      </c>
      <c r="E455" t="str">
        <f t="shared" si="29"/>
        <v>'09|MSW_URB_GLAMt wastesector|NOFPROCMt wasteactivity',</v>
      </c>
      <c r="F455">
        <f t="shared" si="30"/>
        <v>55</v>
      </c>
      <c r="G455">
        <f t="shared" si="31"/>
        <v>0</v>
      </c>
    </row>
    <row r="456" spans="1:7" x14ac:dyDescent="0.3">
      <c r="A456" s="5" t="s">
        <v>21</v>
      </c>
      <c r="B456" t="s">
        <v>214</v>
      </c>
      <c r="C456" t="s">
        <v>331</v>
      </c>
      <c r="D456" t="str">
        <f t="shared" si="28"/>
        <v>NOFPROCMt wasteactivity</v>
      </c>
      <c r="E456" t="str">
        <f t="shared" si="29"/>
        <v>'09|MSW_URB_METMt wastesector|NOFPROCMt wasteactivity',</v>
      </c>
      <c r="F456">
        <f t="shared" si="30"/>
        <v>55</v>
      </c>
      <c r="G456">
        <f t="shared" si="31"/>
        <v>0</v>
      </c>
    </row>
    <row r="457" spans="1:7" x14ac:dyDescent="0.3">
      <c r="A457" s="5" t="s">
        <v>21</v>
      </c>
      <c r="B457" t="s">
        <v>215</v>
      </c>
      <c r="C457" t="s">
        <v>332</v>
      </c>
      <c r="D457" t="str">
        <f t="shared" si="28"/>
        <v>20YR_BPPROCMt wasteactivity</v>
      </c>
      <c r="E457" t="str">
        <f t="shared" si="29"/>
        <v>'09|MSW_URB_OTHMt wastesector|20YR_BPPROCMt wasteactivity',</v>
      </c>
      <c r="F457">
        <f t="shared" si="30"/>
        <v>59</v>
      </c>
      <c r="G457">
        <f t="shared" si="31"/>
        <v>0</v>
      </c>
    </row>
    <row r="458" spans="1:7" x14ac:dyDescent="0.3">
      <c r="A458" s="5" t="s">
        <v>21</v>
      </c>
      <c r="B458" t="s">
        <v>215</v>
      </c>
      <c r="C458" t="s">
        <v>331</v>
      </c>
      <c r="D458" t="str">
        <f t="shared" si="28"/>
        <v>NOFPROCMt wasteactivity</v>
      </c>
      <c r="E458" t="str">
        <f t="shared" si="29"/>
        <v>'09|MSW_URB_OTHMt wastesector|NOFPROCMt wasteactivity',</v>
      </c>
      <c r="F458">
        <f t="shared" si="30"/>
        <v>55</v>
      </c>
      <c r="G458">
        <f t="shared" si="31"/>
        <v>0</v>
      </c>
    </row>
    <row r="459" spans="1:7" x14ac:dyDescent="0.3">
      <c r="A459" s="5" t="s">
        <v>21</v>
      </c>
      <c r="B459" t="s">
        <v>216</v>
      </c>
      <c r="C459" t="s">
        <v>332</v>
      </c>
      <c r="D459" t="str">
        <f t="shared" si="28"/>
        <v>20YR_BPPROCMt wasteactivity</v>
      </c>
      <c r="E459" t="str">
        <f t="shared" si="29"/>
        <v>'09|MSW_URB_PAPMt wastesector|20YR_BPPROCMt wasteactivity',</v>
      </c>
      <c r="F459">
        <f t="shared" si="30"/>
        <v>59</v>
      </c>
      <c r="G459">
        <f t="shared" si="31"/>
        <v>0</v>
      </c>
    </row>
    <row r="460" spans="1:7" x14ac:dyDescent="0.3">
      <c r="A460" s="5" t="s">
        <v>21</v>
      </c>
      <c r="B460" t="s">
        <v>216</v>
      </c>
      <c r="C460" t="s">
        <v>331</v>
      </c>
      <c r="D460" t="str">
        <f t="shared" si="28"/>
        <v>NOFPROCMt wasteactivity</v>
      </c>
      <c r="E460" t="str">
        <f t="shared" si="29"/>
        <v>'09|MSW_URB_PAPMt wastesector|NOFPROCMt wasteactivity',</v>
      </c>
      <c r="F460">
        <f t="shared" si="30"/>
        <v>55</v>
      </c>
      <c r="G460">
        <f t="shared" si="31"/>
        <v>0</v>
      </c>
    </row>
    <row r="461" spans="1:7" x14ac:dyDescent="0.3">
      <c r="A461" s="5" t="s">
        <v>21</v>
      </c>
      <c r="B461" t="s">
        <v>217</v>
      </c>
      <c r="C461" t="s">
        <v>331</v>
      </c>
      <c r="D461" t="str">
        <f t="shared" si="28"/>
        <v>NOFPROCMt wasteactivity</v>
      </c>
      <c r="E461" t="str">
        <f t="shared" si="29"/>
        <v>'09|MSW_URB_PLAMt wastesector|NOFPROCMt wasteactivity',</v>
      </c>
      <c r="F461">
        <f t="shared" si="30"/>
        <v>55</v>
      </c>
      <c r="G461">
        <f t="shared" si="31"/>
        <v>0</v>
      </c>
    </row>
    <row r="462" spans="1:7" x14ac:dyDescent="0.3">
      <c r="A462" s="5" t="s">
        <v>21</v>
      </c>
      <c r="B462" t="s">
        <v>218</v>
      </c>
      <c r="C462" t="s">
        <v>332</v>
      </c>
      <c r="D462" t="str">
        <f t="shared" si="28"/>
        <v>20YR_BPPROCMt wasteactivity</v>
      </c>
      <c r="E462" t="str">
        <f t="shared" si="29"/>
        <v>'09|MSW_URB_TEXMt wastesector|20YR_BPPROCMt wasteactivity',</v>
      </c>
      <c r="F462">
        <f t="shared" si="30"/>
        <v>59</v>
      </c>
      <c r="G462">
        <f t="shared" si="31"/>
        <v>0</v>
      </c>
    </row>
    <row r="463" spans="1:7" x14ac:dyDescent="0.3">
      <c r="A463" s="5" t="s">
        <v>21</v>
      </c>
      <c r="B463" t="s">
        <v>218</v>
      </c>
      <c r="C463" t="s">
        <v>331</v>
      </c>
      <c r="D463" t="str">
        <f t="shared" si="28"/>
        <v>NOFPROCMt wasteactivity</v>
      </c>
      <c r="E463" t="str">
        <f t="shared" si="29"/>
        <v>'09|MSW_URB_TEXMt wastesector|NOFPROCMt wasteactivity',</v>
      </c>
      <c r="F463">
        <f t="shared" si="30"/>
        <v>55</v>
      </c>
      <c r="G463">
        <f t="shared" si="31"/>
        <v>0</v>
      </c>
    </row>
    <row r="464" spans="1:7" x14ac:dyDescent="0.3">
      <c r="A464" s="5" t="s">
        <v>21</v>
      </c>
      <c r="B464" t="s">
        <v>219</v>
      </c>
      <c r="C464" t="s">
        <v>332</v>
      </c>
      <c r="D464" t="str">
        <f t="shared" si="28"/>
        <v>20YR_BPPROCMt wasteactivity</v>
      </c>
      <c r="E464" t="str">
        <f t="shared" si="29"/>
        <v>'09|MSW_URB_WOODMt wastesector|20YR_BPPROCMt wasteactivity',</v>
      </c>
      <c r="F464">
        <f t="shared" si="30"/>
        <v>60</v>
      </c>
      <c r="G464">
        <f t="shared" si="31"/>
        <v>0</v>
      </c>
    </row>
    <row r="465" spans="1:7" x14ac:dyDescent="0.3">
      <c r="A465" s="5" t="s">
        <v>21</v>
      </c>
      <c r="B465" t="s">
        <v>219</v>
      </c>
      <c r="C465" t="s">
        <v>331</v>
      </c>
      <c r="D465" t="str">
        <f t="shared" si="28"/>
        <v>NOFPROCMt wasteactivity</v>
      </c>
      <c r="E465" t="str">
        <f t="shared" si="29"/>
        <v>'09|MSW_URB_WOODMt wastesector|NOFPROCMt wasteactivity',</v>
      </c>
      <c r="F465">
        <f t="shared" si="30"/>
        <v>56</v>
      </c>
      <c r="G465">
        <f t="shared" si="31"/>
        <v>0</v>
      </c>
    </row>
    <row r="466" spans="1:7" x14ac:dyDescent="0.3">
      <c r="A466" s="5" t="s">
        <v>21</v>
      </c>
      <c r="B466" t="s">
        <v>220</v>
      </c>
      <c r="C466" t="s">
        <v>285</v>
      </c>
      <c r="D466" t="str">
        <f t="shared" si="28"/>
        <v>NOFPROCM peopleactivity</v>
      </c>
      <c r="E466" t="str">
        <f t="shared" si="29"/>
        <v>'09|RES_CREMM peoplesector|NOFPROCM peopleactivity',</v>
      </c>
      <c r="F466">
        <f t="shared" si="30"/>
        <v>52</v>
      </c>
      <c r="G466">
        <f t="shared" si="31"/>
        <v>0</v>
      </c>
    </row>
    <row r="467" spans="1:7" x14ac:dyDescent="0.3">
      <c r="A467" s="5" t="s">
        <v>21</v>
      </c>
      <c r="B467" t="s">
        <v>221</v>
      </c>
      <c r="C467" t="s">
        <v>333</v>
      </c>
      <c r="D467" t="str">
        <f t="shared" si="28"/>
        <v>NOFPROCPJactivity</v>
      </c>
      <c r="E467" t="str">
        <f t="shared" si="29"/>
        <v>'09|WASTE_FLRPJsector|NOFPROCPJactivity',</v>
      </c>
      <c r="F467">
        <f t="shared" si="30"/>
        <v>41</v>
      </c>
      <c r="G467">
        <f t="shared" si="31"/>
        <v>0</v>
      </c>
    </row>
    <row r="468" spans="1:7" x14ac:dyDescent="0.3">
      <c r="A468" s="5" t="s">
        <v>21</v>
      </c>
      <c r="B468" t="s">
        <v>222</v>
      </c>
      <c r="C468" t="s">
        <v>281</v>
      </c>
      <c r="D468" t="str">
        <f t="shared" si="28"/>
        <v>EMIVOCPkt VOCactivity</v>
      </c>
      <c r="E468" t="str">
        <f t="shared" si="29"/>
        <v>'09|WASTE_VOCkt VOCsector|EMIVOCPkt VOCactivity',</v>
      </c>
      <c r="F468">
        <f t="shared" si="30"/>
        <v>49</v>
      </c>
      <c r="G468">
        <f t="shared" si="31"/>
        <v>0</v>
      </c>
    </row>
    <row r="469" spans="1:7" x14ac:dyDescent="0.3">
      <c r="A469" s="5" t="s">
        <v>21</v>
      </c>
      <c r="B469" t="s">
        <v>223</v>
      </c>
      <c r="C469" t="s">
        <v>306</v>
      </c>
      <c r="D469" t="str">
        <f t="shared" si="28"/>
        <v>POPPROCM peopleactivity</v>
      </c>
      <c r="E469" t="str">
        <f t="shared" si="29"/>
        <v>'09|WW_DOMM peoplesector|POPPROCM peopleactivity',</v>
      </c>
      <c r="F469">
        <f t="shared" si="30"/>
        <v>50</v>
      </c>
      <c r="G469">
        <f t="shared" si="31"/>
        <v>0</v>
      </c>
    </row>
    <row r="470" spans="1:7" x14ac:dyDescent="0.3">
      <c r="A470" s="5" t="s">
        <v>21</v>
      </c>
      <c r="B470" t="s">
        <v>224</v>
      </c>
      <c r="C470" t="s">
        <v>306</v>
      </c>
      <c r="D470" t="str">
        <f t="shared" si="28"/>
        <v>POPPROCM peopleactivity</v>
      </c>
      <c r="E470" t="str">
        <f t="shared" si="29"/>
        <v>'09|WW_DOM_CC_NOCM peoplesector|POPPROCM peopleactivity',</v>
      </c>
      <c r="F470">
        <f t="shared" si="30"/>
        <v>57</v>
      </c>
      <c r="G470">
        <f t="shared" si="31"/>
        <v>0</v>
      </c>
    </row>
    <row r="471" spans="1:7" x14ac:dyDescent="0.3">
      <c r="A471" s="5" t="s">
        <v>21</v>
      </c>
      <c r="B471" t="s">
        <v>225</v>
      </c>
      <c r="C471" t="s">
        <v>306</v>
      </c>
      <c r="D471" t="str">
        <f t="shared" si="28"/>
        <v>POPPROCM peopleactivity</v>
      </c>
      <c r="E471" t="str">
        <f t="shared" si="29"/>
        <v>'09|WW_DOM_CC_TRMM peoplesector|POPPROCM peopleactivity',</v>
      </c>
      <c r="F471">
        <f t="shared" si="30"/>
        <v>57</v>
      </c>
      <c r="G471">
        <f t="shared" si="31"/>
        <v>0</v>
      </c>
    </row>
    <row r="472" spans="1:7" x14ac:dyDescent="0.3">
      <c r="A472" s="5" t="s">
        <v>21</v>
      </c>
      <c r="B472" t="s">
        <v>226</v>
      </c>
      <c r="C472" t="s">
        <v>306</v>
      </c>
      <c r="D472" t="str">
        <f t="shared" si="28"/>
        <v>POPPROCM peopleactivity</v>
      </c>
      <c r="E472" t="str">
        <f t="shared" si="29"/>
        <v>'09|WW_DOM_DC_NOCM peoplesector|POPPROCM peopleactivity',</v>
      </c>
      <c r="F472">
        <f t="shared" si="30"/>
        <v>57</v>
      </c>
      <c r="G472">
        <f t="shared" si="31"/>
        <v>0</v>
      </c>
    </row>
    <row r="473" spans="1:7" x14ac:dyDescent="0.3">
      <c r="A473" s="5" t="s">
        <v>21</v>
      </c>
      <c r="B473" t="s">
        <v>227</v>
      </c>
      <c r="C473" t="s">
        <v>306</v>
      </c>
      <c r="D473" t="str">
        <f t="shared" si="28"/>
        <v>POPPROCM peopleactivity</v>
      </c>
      <c r="E473" t="str">
        <f t="shared" si="29"/>
        <v>'09|WW_DOM_DC_TRMM peoplesector|POPPROCM peopleactivity',</v>
      </c>
      <c r="F473">
        <f t="shared" si="30"/>
        <v>57</v>
      </c>
      <c r="G473">
        <f t="shared" si="31"/>
        <v>0</v>
      </c>
    </row>
    <row r="474" spans="1:7" x14ac:dyDescent="0.3">
      <c r="A474" s="5" t="s">
        <v>22</v>
      </c>
      <c r="B474" t="s">
        <v>228</v>
      </c>
      <c r="C474" t="s">
        <v>334</v>
      </c>
      <c r="D474" t="str">
        <f t="shared" si="28"/>
        <v>NOFAGRM haactivity</v>
      </c>
      <c r="E474" t="str">
        <f t="shared" si="29"/>
        <v>'10|AGR_ARABLEM hasector|NOFAGRM haactivity',</v>
      </c>
      <c r="F474">
        <f t="shared" si="30"/>
        <v>45</v>
      </c>
      <c r="G474">
        <f t="shared" si="31"/>
        <v>0</v>
      </c>
    </row>
    <row r="475" spans="1:7" x14ac:dyDescent="0.3">
      <c r="A475" s="5" t="s">
        <v>22</v>
      </c>
      <c r="B475" t="s">
        <v>229</v>
      </c>
      <c r="C475" t="s">
        <v>335</v>
      </c>
      <c r="D475" t="str">
        <f t="shared" si="28"/>
        <v>NOFAGRM animalsactivity</v>
      </c>
      <c r="E475" t="str">
        <f t="shared" si="29"/>
        <v>'10|AGR_BEEFM animalssector|NOFAGRM animalsactivity',</v>
      </c>
      <c r="F475">
        <f t="shared" si="30"/>
        <v>53</v>
      </c>
      <c r="G475">
        <f t="shared" si="31"/>
        <v>0</v>
      </c>
    </row>
    <row r="476" spans="1:7" x14ac:dyDescent="0.3">
      <c r="A476" s="5" t="s">
        <v>22</v>
      </c>
      <c r="B476" t="s">
        <v>229</v>
      </c>
      <c r="C476" t="s">
        <v>336</v>
      </c>
      <c r="D476" t="str">
        <f t="shared" si="28"/>
        <v>OLAGRM animalsactivity</v>
      </c>
      <c r="E476" t="str">
        <f t="shared" si="29"/>
        <v>'10|AGR_BEEFM animalssector|OLAGRM animalsactivity',</v>
      </c>
      <c r="F476">
        <f t="shared" si="30"/>
        <v>52</v>
      </c>
      <c r="G476">
        <f t="shared" si="31"/>
        <v>0</v>
      </c>
    </row>
    <row r="477" spans="1:7" x14ac:dyDescent="0.3">
      <c r="A477" s="5" t="s">
        <v>22</v>
      </c>
      <c r="B477" t="s">
        <v>229</v>
      </c>
      <c r="C477" t="s">
        <v>337</v>
      </c>
      <c r="D477" t="str">
        <f t="shared" si="28"/>
        <v>OL_FAGRM animalsactivity</v>
      </c>
      <c r="E477" t="str">
        <f t="shared" si="29"/>
        <v>'10|AGR_BEEFM animalssector|OL_FAGRM animalsactivity',</v>
      </c>
      <c r="F477">
        <f t="shared" si="30"/>
        <v>54</v>
      </c>
      <c r="G477">
        <f t="shared" si="31"/>
        <v>0</v>
      </c>
    </row>
    <row r="478" spans="1:7" x14ac:dyDescent="0.3">
      <c r="A478" s="5" t="s">
        <v>22</v>
      </c>
      <c r="B478" t="s">
        <v>229</v>
      </c>
      <c r="C478" t="s">
        <v>338</v>
      </c>
      <c r="D478" t="str">
        <f t="shared" si="28"/>
        <v>OSAGRM animalsactivity</v>
      </c>
      <c r="E478" t="str">
        <f t="shared" si="29"/>
        <v>'10|AGR_BEEFM animalssector|OSAGRM animalsactivity',</v>
      </c>
      <c r="F478">
        <f t="shared" si="30"/>
        <v>52</v>
      </c>
      <c r="G478">
        <f t="shared" si="31"/>
        <v>0</v>
      </c>
    </row>
    <row r="479" spans="1:7" x14ac:dyDescent="0.3">
      <c r="A479" s="5" t="s">
        <v>22</v>
      </c>
      <c r="B479" t="s">
        <v>230</v>
      </c>
      <c r="C479" t="s">
        <v>339</v>
      </c>
      <c r="D479" t="str">
        <f t="shared" si="28"/>
        <v>DLAGRM animalsactivity</v>
      </c>
      <c r="E479" t="str">
        <f t="shared" si="29"/>
        <v>'10|AGR_COWSM animalssector|DLAGRM animalsactivity',</v>
      </c>
      <c r="F479">
        <f t="shared" si="30"/>
        <v>52</v>
      </c>
      <c r="G479">
        <f t="shared" si="31"/>
        <v>0</v>
      </c>
    </row>
    <row r="480" spans="1:7" x14ac:dyDescent="0.3">
      <c r="A480" s="5" t="s">
        <v>22</v>
      </c>
      <c r="B480" t="s">
        <v>230</v>
      </c>
      <c r="C480" t="s">
        <v>340</v>
      </c>
      <c r="D480" t="str">
        <f t="shared" si="28"/>
        <v>DL_FAGRM animalsactivity</v>
      </c>
      <c r="E480" t="str">
        <f t="shared" si="29"/>
        <v>'10|AGR_COWSM animalssector|DL_FAGRM animalsactivity',</v>
      </c>
      <c r="F480">
        <f t="shared" si="30"/>
        <v>54</v>
      </c>
      <c r="G480">
        <f t="shared" si="31"/>
        <v>0</v>
      </c>
    </row>
    <row r="481" spans="1:7" x14ac:dyDescent="0.3">
      <c r="A481" s="5" t="s">
        <v>22</v>
      </c>
      <c r="B481" t="s">
        <v>230</v>
      </c>
      <c r="C481" t="s">
        <v>341</v>
      </c>
      <c r="D481" t="str">
        <f t="shared" si="28"/>
        <v>DSAGRM animalsactivity</v>
      </c>
      <c r="E481" t="str">
        <f t="shared" si="29"/>
        <v>'10|AGR_COWSM animalssector|DSAGRM animalsactivity',</v>
      </c>
      <c r="F481">
        <f t="shared" si="30"/>
        <v>52</v>
      </c>
      <c r="G481">
        <f t="shared" si="31"/>
        <v>0</v>
      </c>
    </row>
    <row r="482" spans="1:7" x14ac:dyDescent="0.3">
      <c r="A482" s="5" t="s">
        <v>22</v>
      </c>
      <c r="B482" t="s">
        <v>230</v>
      </c>
      <c r="C482" t="s">
        <v>335</v>
      </c>
      <c r="D482" t="str">
        <f t="shared" si="28"/>
        <v>NOFAGRM animalsactivity</v>
      </c>
      <c r="E482" t="str">
        <f t="shared" si="29"/>
        <v>'10|AGR_COWSM animalssector|NOFAGRM animalsactivity',</v>
      </c>
      <c r="F482">
        <f t="shared" si="30"/>
        <v>53</v>
      </c>
      <c r="G482">
        <f t="shared" si="31"/>
        <v>0</v>
      </c>
    </row>
    <row r="483" spans="1:7" x14ac:dyDescent="0.3">
      <c r="A483" s="5" t="s">
        <v>22</v>
      </c>
      <c r="B483" t="s">
        <v>231</v>
      </c>
      <c r="C483" t="s">
        <v>342</v>
      </c>
      <c r="D483" t="str">
        <f t="shared" si="28"/>
        <v>BSAGRM animalsactivity</v>
      </c>
      <c r="E483" t="str">
        <f t="shared" si="29"/>
        <v>'10|AGR_OTANIM animalssector|BSAGRM animalsactivity',</v>
      </c>
      <c r="F483">
        <f t="shared" si="30"/>
        <v>53</v>
      </c>
      <c r="G483">
        <f t="shared" si="31"/>
        <v>0</v>
      </c>
    </row>
    <row r="484" spans="1:7" x14ac:dyDescent="0.3">
      <c r="A484" s="5" t="s">
        <v>22</v>
      </c>
      <c r="B484" t="s">
        <v>231</v>
      </c>
      <c r="C484" t="s">
        <v>343</v>
      </c>
      <c r="D484" t="str">
        <f t="shared" si="28"/>
        <v>CMAGRM animalsactivity</v>
      </c>
      <c r="E484" t="str">
        <f t="shared" si="29"/>
        <v>'10|AGR_OTANIM animalssector|CMAGRM animalsactivity',</v>
      </c>
      <c r="F484">
        <f t="shared" si="30"/>
        <v>53</v>
      </c>
      <c r="G484">
        <f t="shared" si="31"/>
        <v>0</v>
      </c>
    </row>
    <row r="485" spans="1:7" x14ac:dyDescent="0.3">
      <c r="A485" s="5" t="s">
        <v>22</v>
      </c>
      <c r="B485" t="s">
        <v>231</v>
      </c>
      <c r="C485" t="s">
        <v>344</v>
      </c>
      <c r="D485" t="str">
        <f t="shared" ref="D485:D534" si="32">C485</f>
        <v>HOAGRM animalsactivity</v>
      </c>
      <c r="E485" t="str">
        <f t="shared" si="29"/>
        <v>'10|AGR_OTANIM animalssector|HOAGRM animalsactivity',</v>
      </c>
      <c r="F485">
        <f t="shared" si="30"/>
        <v>53</v>
      </c>
      <c r="G485">
        <f t="shared" si="31"/>
        <v>0</v>
      </c>
    </row>
    <row r="486" spans="1:7" x14ac:dyDescent="0.3">
      <c r="A486" s="5" t="s">
        <v>22</v>
      </c>
      <c r="B486" t="s">
        <v>231</v>
      </c>
      <c r="C486" t="s">
        <v>335</v>
      </c>
      <c r="D486" t="str">
        <f t="shared" si="32"/>
        <v>NOFAGRM animalsactivity</v>
      </c>
      <c r="E486" t="str">
        <f t="shared" si="29"/>
        <v>'10|AGR_OTANIM animalssector|NOFAGRM animalsactivity',</v>
      </c>
      <c r="F486">
        <f t="shared" si="30"/>
        <v>54</v>
      </c>
      <c r="G486">
        <f t="shared" si="31"/>
        <v>0</v>
      </c>
    </row>
    <row r="487" spans="1:7" x14ac:dyDescent="0.3">
      <c r="A487" s="5" t="s">
        <v>22</v>
      </c>
      <c r="B487" t="s">
        <v>231</v>
      </c>
      <c r="C487" t="s">
        <v>345</v>
      </c>
      <c r="D487" t="str">
        <f t="shared" si="32"/>
        <v>SHAGRM animalsactivity</v>
      </c>
      <c r="E487" t="str">
        <f t="shared" si="29"/>
        <v>'10|AGR_OTANIM animalssector|SHAGRM animalsactivity',</v>
      </c>
      <c r="F487">
        <f t="shared" si="30"/>
        <v>53</v>
      </c>
      <c r="G487">
        <f t="shared" si="31"/>
        <v>0</v>
      </c>
    </row>
    <row r="488" spans="1:7" x14ac:dyDescent="0.3">
      <c r="A488" s="5" t="s">
        <v>22</v>
      </c>
      <c r="B488" t="s">
        <v>232</v>
      </c>
      <c r="C488" t="s">
        <v>335</v>
      </c>
      <c r="D488" t="str">
        <f t="shared" si="32"/>
        <v>NOFAGRM animalsactivity</v>
      </c>
      <c r="E488" t="str">
        <f t="shared" si="29"/>
        <v>'10|AGR_PIGM animalssector|NOFAGRM animalsactivity',</v>
      </c>
      <c r="F488">
        <f t="shared" si="30"/>
        <v>52</v>
      </c>
      <c r="G488">
        <f t="shared" si="31"/>
        <v>0</v>
      </c>
    </row>
    <row r="489" spans="1:7" x14ac:dyDescent="0.3">
      <c r="A489" s="5" t="s">
        <v>22</v>
      </c>
      <c r="B489" t="s">
        <v>232</v>
      </c>
      <c r="C489" t="s">
        <v>346</v>
      </c>
      <c r="D489" t="str">
        <f t="shared" si="32"/>
        <v>PLAGRM animalsactivity</v>
      </c>
      <c r="E489" t="str">
        <f t="shared" si="29"/>
        <v>'10|AGR_PIGM animalssector|PLAGRM animalsactivity',</v>
      </c>
      <c r="F489">
        <f t="shared" si="30"/>
        <v>51</v>
      </c>
      <c r="G489">
        <f t="shared" si="31"/>
        <v>0</v>
      </c>
    </row>
    <row r="490" spans="1:7" x14ac:dyDescent="0.3">
      <c r="A490" s="5" t="s">
        <v>22</v>
      </c>
      <c r="B490" t="s">
        <v>232</v>
      </c>
      <c r="C490" t="s">
        <v>347</v>
      </c>
      <c r="D490" t="str">
        <f t="shared" si="32"/>
        <v>PSAGRM animalsactivity</v>
      </c>
      <c r="E490" t="str">
        <f t="shared" si="29"/>
        <v>'10|AGR_PIGM animalssector|PSAGRM animalsactivity',</v>
      </c>
      <c r="F490">
        <f t="shared" si="30"/>
        <v>51</v>
      </c>
      <c r="G490">
        <f t="shared" si="31"/>
        <v>0</v>
      </c>
    </row>
    <row r="491" spans="1:7" x14ac:dyDescent="0.3">
      <c r="A491" s="5" t="s">
        <v>22</v>
      </c>
      <c r="B491" t="s">
        <v>233</v>
      </c>
      <c r="C491" t="s">
        <v>348</v>
      </c>
      <c r="D491" t="str">
        <f t="shared" si="32"/>
        <v>LHAGRM animalsactivity</v>
      </c>
      <c r="E491" t="str">
        <f t="shared" si="29"/>
        <v>'10|AGR_POULTM animalssector|LHAGRM animalsactivity',</v>
      </c>
      <c r="F491">
        <f t="shared" si="30"/>
        <v>53</v>
      </c>
      <c r="G491">
        <f t="shared" si="31"/>
        <v>0</v>
      </c>
    </row>
    <row r="492" spans="1:7" x14ac:dyDescent="0.3">
      <c r="A492" s="5" t="s">
        <v>22</v>
      </c>
      <c r="B492" t="s">
        <v>233</v>
      </c>
      <c r="C492" t="s">
        <v>335</v>
      </c>
      <c r="D492" t="str">
        <f t="shared" si="32"/>
        <v>NOFAGRM animalsactivity</v>
      </c>
      <c r="E492" t="str">
        <f t="shared" si="29"/>
        <v>'10|AGR_POULTM animalssector|NOFAGRM animalsactivity',</v>
      </c>
      <c r="F492">
        <f t="shared" si="30"/>
        <v>54</v>
      </c>
      <c r="G492">
        <f t="shared" si="31"/>
        <v>0</v>
      </c>
    </row>
    <row r="493" spans="1:7" x14ac:dyDescent="0.3">
      <c r="A493" s="5" t="s">
        <v>22</v>
      </c>
      <c r="B493" t="s">
        <v>233</v>
      </c>
      <c r="C493" t="s">
        <v>349</v>
      </c>
      <c r="D493" t="str">
        <f t="shared" si="32"/>
        <v>OPAGRM animalsactivity</v>
      </c>
      <c r="E493" t="str">
        <f t="shared" si="29"/>
        <v>'10|AGR_POULTM animalssector|OPAGRM animalsactivity',</v>
      </c>
      <c r="F493">
        <f t="shared" si="30"/>
        <v>53</v>
      </c>
      <c r="G493">
        <f t="shared" si="31"/>
        <v>0</v>
      </c>
    </row>
    <row r="494" spans="1:7" x14ac:dyDescent="0.3">
      <c r="A494" s="5" t="s">
        <v>22</v>
      </c>
      <c r="B494" t="s">
        <v>234</v>
      </c>
      <c r="C494" t="s">
        <v>350</v>
      </c>
      <c r="D494" t="str">
        <f t="shared" si="32"/>
        <v>MANURE_NAGRkt Nactivity</v>
      </c>
      <c r="E494" t="str">
        <f t="shared" si="29"/>
        <v>'10|APPLIC_Lkt Nsector|MANURE_NAGRkt Nactivity',</v>
      </c>
      <c r="F494">
        <f t="shared" si="30"/>
        <v>48</v>
      </c>
      <c r="G494">
        <f t="shared" si="31"/>
        <v>0</v>
      </c>
    </row>
    <row r="495" spans="1:7" x14ac:dyDescent="0.3">
      <c r="A495" s="5" t="s">
        <v>22</v>
      </c>
      <c r="B495" t="s">
        <v>234</v>
      </c>
      <c r="C495" t="s">
        <v>351</v>
      </c>
      <c r="D495" t="str">
        <f t="shared" si="32"/>
        <v>RICE_NAGRkt Nactivity</v>
      </c>
      <c r="E495" t="str">
        <f t="shared" si="29"/>
        <v>'10|APPLIC_Lkt Nsector|RICE_NAGRkt Nactivity',</v>
      </c>
      <c r="F495">
        <f t="shared" si="30"/>
        <v>46</v>
      </c>
      <c r="G495">
        <f t="shared" si="31"/>
        <v>0</v>
      </c>
    </row>
    <row r="496" spans="1:7" x14ac:dyDescent="0.3">
      <c r="A496" s="5" t="s">
        <v>22</v>
      </c>
      <c r="B496" t="s">
        <v>234</v>
      </c>
      <c r="C496" t="s">
        <v>352</v>
      </c>
      <c r="D496" t="str">
        <f t="shared" si="32"/>
        <v>SOIL_NAGRkt Nactivity</v>
      </c>
      <c r="E496" t="str">
        <f t="shared" si="29"/>
        <v>'10|APPLIC_Lkt Nsector|SOIL_NAGRkt Nactivity',</v>
      </c>
      <c r="F496">
        <f t="shared" si="30"/>
        <v>46</v>
      </c>
      <c r="G496">
        <f t="shared" si="31"/>
        <v>0</v>
      </c>
    </row>
    <row r="497" spans="1:7" x14ac:dyDescent="0.3">
      <c r="A497" s="5" t="s">
        <v>22</v>
      </c>
      <c r="B497" t="s">
        <v>235</v>
      </c>
      <c r="C497" t="s">
        <v>350</v>
      </c>
      <c r="D497" t="str">
        <f t="shared" si="32"/>
        <v>MANURE_NAGRkt Nactivity</v>
      </c>
      <c r="E497" t="str">
        <f t="shared" si="29"/>
        <v>'10|APPLIC_Mkt Nsector|MANURE_NAGRkt Nactivity',</v>
      </c>
      <c r="F497">
        <f t="shared" si="30"/>
        <v>48</v>
      </c>
      <c r="G497">
        <f t="shared" si="31"/>
        <v>0</v>
      </c>
    </row>
    <row r="498" spans="1:7" x14ac:dyDescent="0.3">
      <c r="A498" s="5" t="s">
        <v>22</v>
      </c>
      <c r="B498" t="s">
        <v>235</v>
      </c>
      <c r="C498" t="s">
        <v>351</v>
      </c>
      <c r="D498" t="str">
        <f t="shared" si="32"/>
        <v>RICE_NAGRkt Nactivity</v>
      </c>
      <c r="E498" t="str">
        <f t="shared" si="29"/>
        <v>'10|APPLIC_Mkt Nsector|RICE_NAGRkt Nactivity',</v>
      </c>
      <c r="F498">
        <f t="shared" si="30"/>
        <v>46</v>
      </c>
      <c r="G498">
        <f t="shared" si="31"/>
        <v>0</v>
      </c>
    </row>
    <row r="499" spans="1:7" x14ac:dyDescent="0.3">
      <c r="A499" s="5" t="s">
        <v>22</v>
      </c>
      <c r="B499" t="s">
        <v>235</v>
      </c>
      <c r="C499" t="s">
        <v>352</v>
      </c>
      <c r="D499" t="str">
        <f t="shared" si="32"/>
        <v>SOIL_NAGRkt Nactivity</v>
      </c>
      <c r="E499" t="str">
        <f t="shared" si="29"/>
        <v>'10|APPLIC_Mkt Nsector|SOIL_NAGRkt Nactivity',</v>
      </c>
      <c r="F499">
        <f t="shared" si="30"/>
        <v>46</v>
      </c>
      <c r="G499">
        <f t="shared" si="31"/>
        <v>0</v>
      </c>
    </row>
    <row r="500" spans="1:7" x14ac:dyDescent="0.3">
      <c r="A500" s="5" t="s">
        <v>22</v>
      </c>
      <c r="B500" t="s">
        <v>236</v>
      </c>
      <c r="C500" t="s">
        <v>350</v>
      </c>
      <c r="D500" t="str">
        <f t="shared" si="32"/>
        <v>MANURE_NAGRkt Nactivity</v>
      </c>
      <c r="E500" t="str">
        <f t="shared" si="29"/>
        <v>'10|APPLIC_Skt Nsector|MANURE_NAGRkt Nactivity',</v>
      </c>
      <c r="F500">
        <f t="shared" si="30"/>
        <v>48</v>
      </c>
      <c r="G500">
        <f t="shared" si="31"/>
        <v>0</v>
      </c>
    </row>
    <row r="501" spans="1:7" x14ac:dyDescent="0.3">
      <c r="A501" s="5" t="s">
        <v>22</v>
      </c>
      <c r="B501" t="s">
        <v>236</v>
      </c>
      <c r="C501" t="s">
        <v>351</v>
      </c>
      <c r="D501" t="str">
        <f t="shared" si="32"/>
        <v>RICE_NAGRkt Nactivity</v>
      </c>
      <c r="E501" t="str">
        <f t="shared" si="29"/>
        <v>'10|APPLIC_Skt Nsector|RICE_NAGRkt Nactivity',</v>
      </c>
      <c r="F501">
        <f t="shared" si="30"/>
        <v>46</v>
      </c>
      <c r="G501">
        <f t="shared" si="31"/>
        <v>0</v>
      </c>
    </row>
    <row r="502" spans="1:7" x14ac:dyDescent="0.3">
      <c r="A502" s="5" t="s">
        <v>22</v>
      </c>
      <c r="B502" t="s">
        <v>236</v>
      </c>
      <c r="C502" t="s">
        <v>352</v>
      </c>
      <c r="D502" t="str">
        <f t="shared" si="32"/>
        <v>SOIL_NAGRkt Nactivity</v>
      </c>
      <c r="E502" t="str">
        <f t="shared" si="29"/>
        <v>'10|APPLIC_Skt Nsector|SOIL_NAGRkt Nactivity',</v>
      </c>
      <c r="F502">
        <f t="shared" si="30"/>
        <v>46</v>
      </c>
      <c r="G502">
        <f t="shared" si="31"/>
        <v>0</v>
      </c>
    </row>
    <row r="503" spans="1:7" x14ac:dyDescent="0.3">
      <c r="A503" s="5" t="s">
        <v>22</v>
      </c>
      <c r="B503" t="s">
        <v>237</v>
      </c>
      <c r="C503" t="s">
        <v>353</v>
      </c>
      <c r="D503" t="str">
        <f t="shared" si="32"/>
        <v>DLAGRkt milkactivity</v>
      </c>
      <c r="E503" t="str">
        <f t="shared" si="29"/>
        <v>'10|COWS_3000_MILKkt milksector|DLAGRkt milkactivity',</v>
      </c>
      <c r="F503">
        <f t="shared" si="30"/>
        <v>54</v>
      </c>
      <c r="G503">
        <f t="shared" si="31"/>
        <v>0</v>
      </c>
    </row>
    <row r="504" spans="1:7" x14ac:dyDescent="0.3">
      <c r="A504" s="5" t="s">
        <v>22</v>
      </c>
      <c r="B504" t="s">
        <v>237</v>
      </c>
      <c r="C504" t="s">
        <v>354</v>
      </c>
      <c r="D504" t="str">
        <f t="shared" si="32"/>
        <v>DL_FAGRkt milkactivity</v>
      </c>
      <c r="E504" t="str">
        <f t="shared" si="29"/>
        <v>'10|COWS_3000_MILKkt milksector|DL_FAGRkt milkactivity',</v>
      </c>
      <c r="F504">
        <f t="shared" si="30"/>
        <v>56</v>
      </c>
      <c r="G504">
        <f t="shared" si="31"/>
        <v>0</v>
      </c>
    </row>
    <row r="505" spans="1:7" x14ac:dyDescent="0.3">
      <c r="A505" s="5" t="s">
        <v>22</v>
      </c>
      <c r="B505" t="s">
        <v>237</v>
      </c>
      <c r="C505" t="s">
        <v>355</v>
      </c>
      <c r="D505" t="str">
        <f t="shared" si="32"/>
        <v>DSAGRkt milkactivity</v>
      </c>
      <c r="E505" t="str">
        <f t="shared" si="29"/>
        <v>'10|COWS_3000_MILKkt milksector|DSAGRkt milkactivity',</v>
      </c>
      <c r="F505">
        <f t="shared" si="30"/>
        <v>54</v>
      </c>
      <c r="G505">
        <f t="shared" si="31"/>
        <v>0</v>
      </c>
    </row>
    <row r="506" spans="1:7" x14ac:dyDescent="0.3">
      <c r="A506" s="5" t="s">
        <v>22</v>
      </c>
      <c r="B506" t="s">
        <v>238</v>
      </c>
      <c r="C506" t="s">
        <v>280</v>
      </c>
      <c r="D506" t="str">
        <f t="shared" si="32"/>
        <v>NOFAGRkt Nactivity</v>
      </c>
      <c r="E506" t="str">
        <f t="shared" si="29"/>
        <v>'10|FCON_OTHNkt Nsector|NOFAGRkt Nactivity',</v>
      </c>
      <c r="F506">
        <f t="shared" si="30"/>
        <v>44</v>
      </c>
      <c r="G506">
        <f t="shared" si="31"/>
        <v>0</v>
      </c>
    </row>
    <row r="507" spans="1:7" x14ac:dyDescent="0.3">
      <c r="A507" s="5" t="s">
        <v>22</v>
      </c>
      <c r="B507" t="s">
        <v>239</v>
      </c>
      <c r="C507" t="s">
        <v>280</v>
      </c>
      <c r="D507" t="str">
        <f t="shared" si="32"/>
        <v>NOFAGRkt Nactivity</v>
      </c>
      <c r="E507" t="str">
        <f t="shared" si="29"/>
        <v>'10|FCON_UREAkt Nsector|NOFAGRkt Nactivity',</v>
      </c>
      <c r="F507">
        <f t="shared" si="30"/>
        <v>44</v>
      </c>
      <c r="G507">
        <f t="shared" si="31"/>
        <v>0</v>
      </c>
    </row>
    <row r="508" spans="1:7" x14ac:dyDescent="0.3">
      <c r="A508" s="5" t="s">
        <v>22</v>
      </c>
      <c r="B508" t="s">
        <v>240</v>
      </c>
      <c r="C508" t="s">
        <v>356</v>
      </c>
      <c r="D508" t="str">
        <f t="shared" si="32"/>
        <v>AREAAGRM haactivity</v>
      </c>
      <c r="E508" t="str">
        <f t="shared" si="29"/>
        <v>'10|GRASSLANDM hasector|AREAAGRM haactivity',</v>
      </c>
      <c r="F508">
        <f t="shared" si="30"/>
        <v>45</v>
      </c>
      <c r="G508">
        <f t="shared" si="31"/>
        <v>0</v>
      </c>
    </row>
    <row r="509" spans="1:7" x14ac:dyDescent="0.3">
      <c r="A509" s="5" t="s">
        <v>22</v>
      </c>
      <c r="B509" t="s">
        <v>241</v>
      </c>
      <c r="C509" t="s">
        <v>357</v>
      </c>
      <c r="D509" t="str">
        <f t="shared" si="32"/>
        <v>FIRE_MASSAGRMt biomassactivity</v>
      </c>
      <c r="E509" t="str">
        <f t="shared" si="29"/>
        <v>'10|GRASSLANDMt biomasssector|FIRE_MASSAGRMt biomassactivity',</v>
      </c>
      <c r="F509">
        <f t="shared" si="30"/>
        <v>62</v>
      </c>
      <c r="G509">
        <f t="shared" si="31"/>
        <v>0</v>
      </c>
    </row>
    <row r="510" spans="1:7" x14ac:dyDescent="0.3">
      <c r="A510" s="5" t="s">
        <v>22</v>
      </c>
      <c r="B510" t="s">
        <v>242</v>
      </c>
      <c r="C510" t="s">
        <v>358</v>
      </c>
      <c r="D510" t="str">
        <f t="shared" si="32"/>
        <v>EX_CTTLAGRkt Nactivity</v>
      </c>
      <c r="E510" t="str">
        <f t="shared" si="29"/>
        <v>'10|GRAZE_Lkt Nsector|EX_CTTLAGRkt Nactivity',</v>
      </c>
      <c r="F510">
        <f t="shared" si="30"/>
        <v>46</v>
      </c>
      <c r="G510">
        <f t="shared" si="31"/>
        <v>0</v>
      </c>
    </row>
    <row r="511" spans="1:7" x14ac:dyDescent="0.3">
      <c r="A511" s="5" t="s">
        <v>22</v>
      </c>
      <c r="B511" t="s">
        <v>242</v>
      </c>
      <c r="C511" t="s">
        <v>359</v>
      </c>
      <c r="D511" t="str">
        <f t="shared" si="32"/>
        <v>EX_SHAGRkt Nactivity</v>
      </c>
      <c r="E511" t="str">
        <f t="shared" si="29"/>
        <v>'10|GRAZE_Lkt Nsector|EX_SHAGRkt Nactivity',</v>
      </c>
      <c r="F511">
        <f t="shared" si="30"/>
        <v>44</v>
      </c>
      <c r="G511">
        <f t="shared" si="31"/>
        <v>0</v>
      </c>
    </row>
    <row r="512" spans="1:7" x14ac:dyDescent="0.3">
      <c r="A512" s="5" t="s">
        <v>22</v>
      </c>
      <c r="B512" t="s">
        <v>243</v>
      </c>
      <c r="C512" t="s">
        <v>358</v>
      </c>
      <c r="D512" t="str">
        <f t="shared" si="32"/>
        <v>EX_CTTLAGRkt Nactivity</v>
      </c>
      <c r="E512" t="str">
        <f t="shared" si="29"/>
        <v>'10|GRAZE_Mkt Nsector|EX_CTTLAGRkt Nactivity',</v>
      </c>
      <c r="F512">
        <f t="shared" si="30"/>
        <v>46</v>
      </c>
      <c r="G512">
        <f t="shared" si="31"/>
        <v>0</v>
      </c>
    </row>
    <row r="513" spans="1:7" x14ac:dyDescent="0.3">
      <c r="A513" s="5" t="s">
        <v>22</v>
      </c>
      <c r="B513" t="s">
        <v>243</v>
      </c>
      <c r="C513" t="s">
        <v>359</v>
      </c>
      <c r="D513" t="str">
        <f t="shared" si="32"/>
        <v>EX_SHAGRkt Nactivity</v>
      </c>
      <c r="E513" t="str">
        <f t="shared" si="29"/>
        <v>'10|GRAZE_Mkt Nsector|EX_SHAGRkt Nactivity',</v>
      </c>
      <c r="F513">
        <f t="shared" si="30"/>
        <v>44</v>
      </c>
      <c r="G513">
        <f t="shared" si="31"/>
        <v>0</v>
      </c>
    </row>
    <row r="514" spans="1:7" x14ac:dyDescent="0.3">
      <c r="A514" s="5" t="s">
        <v>22</v>
      </c>
      <c r="B514" t="s">
        <v>244</v>
      </c>
      <c r="C514" t="s">
        <v>358</v>
      </c>
      <c r="D514" t="str">
        <f t="shared" si="32"/>
        <v>EX_CTTLAGRkt Nactivity</v>
      </c>
      <c r="E514" t="str">
        <f t="shared" si="29"/>
        <v>'10|GRAZE_Skt Nsector|EX_CTTLAGRkt Nactivity',</v>
      </c>
      <c r="F514">
        <f t="shared" si="30"/>
        <v>46</v>
      </c>
      <c r="G514">
        <f t="shared" si="31"/>
        <v>0</v>
      </c>
    </row>
    <row r="515" spans="1:7" x14ac:dyDescent="0.3">
      <c r="A515" s="5" t="s">
        <v>22</v>
      </c>
      <c r="B515" t="s">
        <v>244</v>
      </c>
      <c r="C515" t="s">
        <v>359</v>
      </c>
      <c r="D515" t="str">
        <f t="shared" si="32"/>
        <v>EX_SHAGRkt Nactivity</v>
      </c>
      <c r="E515" t="str">
        <f t="shared" ref="E515:E534" si="33">"'"&amp;A515&amp;"|"&amp;B515&amp;"|"&amp;D515&amp;"'"&amp;","</f>
        <v>'10|GRAZE_Skt Nsector|EX_SHAGRkt Nactivity',</v>
      </c>
      <c r="F515">
        <f t="shared" ref="F515:F534" si="34">LEN(E515)</f>
        <v>44</v>
      </c>
      <c r="G515">
        <f t="shared" ref="G515:G534" si="35">IF(F515&lt;63,,10)</f>
        <v>0</v>
      </c>
    </row>
    <row r="516" spans="1:7" x14ac:dyDescent="0.3">
      <c r="A516" s="5" t="s">
        <v>22</v>
      </c>
      <c r="B516" t="s">
        <v>245</v>
      </c>
      <c r="C516" t="s">
        <v>356</v>
      </c>
      <c r="D516" t="str">
        <f t="shared" si="32"/>
        <v>AREAAGRM haactivity</v>
      </c>
      <c r="E516" t="str">
        <f t="shared" si="33"/>
        <v>'10|HISTOSOLSM hasector|AREAAGRM haactivity',</v>
      </c>
      <c r="F516">
        <f t="shared" si="34"/>
        <v>45</v>
      </c>
      <c r="G516">
        <f t="shared" si="35"/>
        <v>0</v>
      </c>
    </row>
    <row r="517" spans="1:7" x14ac:dyDescent="0.3">
      <c r="A517" s="5" t="s">
        <v>22</v>
      </c>
      <c r="B517" t="s">
        <v>246</v>
      </c>
      <c r="C517" t="s">
        <v>360</v>
      </c>
      <c r="D517" t="str">
        <f t="shared" si="32"/>
        <v>BSAGRkt Nactivity</v>
      </c>
      <c r="E517" t="str">
        <f t="shared" si="33"/>
        <v>'10|MANUREkt Nsector|BSAGRkt Nactivity',</v>
      </c>
      <c r="F517">
        <f t="shared" si="34"/>
        <v>40</v>
      </c>
      <c r="G517">
        <f t="shared" si="35"/>
        <v>0</v>
      </c>
    </row>
    <row r="518" spans="1:7" x14ac:dyDescent="0.3">
      <c r="A518" s="5" t="s">
        <v>22</v>
      </c>
      <c r="B518" t="s">
        <v>246</v>
      </c>
      <c r="C518" t="s">
        <v>361</v>
      </c>
      <c r="D518" t="str">
        <f t="shared" si="32"/>
        <v>CMAGRkt Nactivity</v>
      </c>
      <c r="E518" t="str">
        <f t="shared" si="33"/>
        <v>'10|MANUREkt Nsector|CMAGRkt Nactivity',</v>
      </c>
      <c r="F518">
        <f t="shared" si="34"/>
        <v>40</v>
      </c>
      <c r="G518">
        <f t="shared" si="35"/>
        <v>0</v>
      </c>
    </row>
    <row r="519" spans="1:7" x14ac:dyDescent="0.3">
      <c r="A519" s="5" t="s">
        <v>22</v>
      </c>
      <c r="B519" t="s">
        <v>246</v>
      </c>
      <c r="C519" t="s">
        <v>362</v>
      </c>
      <c r="D519" t="str">
        <f t="shared" si="32"/>
        <v>DLAGRkt Nactivity</v>
      </c>
      <c r="E519" t="str">
        <f t="shared" si="33"/>
        <v>'10|MANUREkt Nsector|DLAGRkt Nactivity',</v>
      </c>
      <c r="F519">
        <f t="shared" si="34"/>
        <v>40</v>
      </c>
      <c r="G519">
        <f t="shared" si="35"/>
        <v>0</v>
      </c>
    </row>
    <row r="520" spans="1:7" x14ac:dyDescent="0.3">
      <c r="A520" s="5" t="s">
        <v>22</v>
      </c>
      <c r="B520" t="s">
        <v>246</v>
      </c>
      <c r="C520" t="s">
        <v>363</v>
      </c>
      <c r="D520" t="str">
        <f t="shared" si="32"/>
        <v>DSAGRkt Nactivity</v>
      </c>
      <c r="E520" t="str">
        <f t="shared" si="33"/>
        <v>'10|MANUREkt Nsector|DSAGRkt Nactivity',</v>
      </c>
      <c r="F520">
        <f t="shared" si="34"/>
        <v>40</v>
      </c>
      <c r="G520">
        <f t="shared" si="35"/>
        <v>0</v>
      </c>
    </row>
    <row r="521" spans="1:7" x14ac:dyDescent="0.3">
      <c r="A521" s="5" t="s">
        <v>22</v>
      </c>
      <c r="B521" t="s">
        <v>246</v>
      </c>
      <c r="C521" t="s">
        <v>364</v>
      </c>
      <c r="D521" t="str">
        <f t="shared" si="32"/>
        <v>HOAGRkt Nactivity</v>
      </c>
      <c r="E521" t="str">
        <f t="shared" si="33"/>
        <v>'10|MANUREkt Nsector|HOAGRkt Nactivity',</v>
      </c>
      <c r="F521">
        <f t="shared" si="34"/>
        <v>40</v>
      </c>
      <c r="G521">
        <f t="shared" si="35"/>
        <v>0</v>
      </c>
    </row>
    <row r="522" spans="1:7" x14ac:dyDescent="0.3">
      <c r="A522" s="5" t="s">
        <v>22</v>
      </c>
      <c r="B522" t="s">
        <v>246</v>
      </c>
      <c r="C522" t="s">
        <v>365</v>
      </c>
      <c r="D522" t="str">
        <f t="shared" si="32"/>
        <v>LHAGRkt Nactivity</v>
      </c>
      <c r="E522" t="str">
        <f t="shared" si="33"/>
        <v>'10|MANUREkt Nsector|LHAGRkt Nactivity',</v>
      </c>
      <c r="F522">
        <f t="shared" si="34"/>
        <v>40</v>
      </c>
      <c r="G522">
        <f t="shared" si="35"/>
        <v>0</v>
      </c>
    </row>
    <row r="523" spans="1:7" x14ac:dyDescent="0.3">
      <c r="A523" s="5" t="s">
        <v>22</v>
      </c>
      <c r="B523" t="s">
        <v>246</v>
      </c>
      <c r="C523" t="s">
        <v>366</v>
      </c>
      <c r="D523" t="str">
        <f t="shared" si="32"/>
        <v>OLAGRkt Nactivity</v>
      </c>
      <c r="E523" t="str">
        <f t="shared" si="33"/>
        <v>'10|MANUREkt Nsector|OLAGRkt Nactivity',</v>
      </c>
      <c r="F523">
        <f t="shared" si="34"/>
        <v>40</v>
      </c>
      <c r="G523">
        <f t="shared" si="35"/>
        <v>0</v>
      </c>
    </row>
    <row r="524" spans="1:7" x14ac:dyDescent="0.3">
      <c r="A524" s="5" t="s">
        <v>22</v>
      </c>
      <c r="B524" t="s">
        <v>246</v>
      </c>
      <c r="C524" t="s">
        <v>367</v>
      </c>
      <c r="D524" t="str">
        <f t="shared" si="32"/>
        <v>OPAGRkt Nactivity</v>
      </c>
      <c r="E524" t="str">
        <f t="shared" si="33"/>
        <v>'10|MANUREkt Nsector|OPAGRkt Nactivity',</v>
      </c>
      <c r="F524">
        <f t="shared" si="34"/>
        <v>40</v>
      </c>
      <c r="G524">
        <f t="shared" si="35"/>
        <v>0</v>
      </c>
    </row>
    <row r="525" spans="1:7" x14ac:dyDescent="0.3">
      <c r="A525" s="5" t="s">
        <v>22</v>
      </c>
      <c r="B525" t="s">
        <v>246</v>
      </c>
      <c r="C525" t="s">
        <v>368</v>
      </c>
      <c r="D525" t="str">
        <f t="shared" si="32"/>
        <v>OSAGRkt Nactivity</v>
      </c>
      <c r="E525" t="str">
        <f t="shared" si="33"/>
        <v>'10|MANUREkt Nsector|OSAGRkt Nactivity',</v>
      </c>
      <c r="F525">
        <f t="shared" si="34"/>
        <v>40</v>
      </c>
      <c r="G525">
        <f t="shared" si="35"/>
        <v>0</v>
      </c>
    </row>
    <row r="526" spans="1:7" x14ac:dyDescent="0.3">
      <c r="A526" s="5" t="s">
        <v>22</v>
      </c>
      <c r="B526" t="s">
        <v>246</v>
      </c>
      <c r="C526" t="s">
        <v>369</v>
      </c>
      <c r="D526" t="str">
        <f t="shared" si="32"/>
        <v>PLAGRkt Nactivity</v>
      </c>
      <c r="E526" t="str">
        <f t="shared" si="33"/>
        <v>'10|MANUREkt Nsector|PLAGRkt Nactivity',</v>
      </c>
      <c r="F526">
        <f t="shared" si="34"/>
        <v>40</v>
      </c>
      <c r="G526">
        <f t="shared" si="35"/>
        <v>0</v>
      </c>
    </row>
    <row r="527" spans="1:7" x14ac:dyDescent="0.3">
      <c r="A527" s="5" t="s">
        <v>22</v>
      </c>
      <c r="B527" t="s">
        <v>246</v>
      </c>
      <c r="C527" t="s">
        <v>370</v>
      </c>
      <c r="D527" t="str">
        <f t="shared" si="32"/>
        <v>PSAGRkt Nactivity</v>
      </c>
      <c r="E527" t="str">
        <f t="shared" si="33"/>
        <v>'10|MANUREkt Nsector|PSAGRkt Nactivity',</v>
      </c>
      <c r="F527">
        <f t="shared" si="34"/>
        <v>40</v>
      </c>
      <c r="G527">
        <f t="shared" si="35"/>
        <v>0</v>
      </c>
    </row>
    <row r="528" spans="1:7" x14ac:dyDescent="0.3">
      <c r="A528" s="5" t="s">
        <v>22</v>
      </c>
      <c r="B528" t="s">
        <v>246</v>
      </c>
      <c r="C528" t="s">
        <v>371</v>
      </c>
      <c r="D528" t="str">
        <f t="shared" si="32"/>
        <v>SHAGRkt Nactivity</v>
      </c>
      <c r="E528" t="str">
        <f t="shared" si="33"/>
        <v>'10|MANUREkt Nsector|SHAGRkt Nactivity',</v>
      </c>
      <c r="F528">
        <f t="shared" si="34"/>
        <v>40</v>
      </c>
      <c r="G528">
        <f t="shared" si="35"/>
        <v>0</v>
      </c>
    </row>
    <row r="529" spans="1:7" x14ac:dyDescent="0.3">
      <c r="A529" s="5" t="s">
        <v>22</v>
      </c>
      <c r="B529" t="s">
        <v>247</v>
      </c>
      <c r="C529" t="s">
        <v>356</v>
      </c>
      <c r="D529" t="str">
        <f t="shared" si="32"/>
        <v>AREAAGRM haactivity</v>
      </c>
      <c r="E529" t="str">
        <f t="shared" si="33"/>
        <v>'10|RICE_FLOODM hasector|AREAAGRM haactivity',</v>
      </c>
      <c r="F529">
        <f t="shared" si="34"/>
        <v>46</v>
      </c>
      <c r="G529">
        <f t="shared" si="35"/>
        <v>0</v>
      </c>
    </row>
    <row r="530" spans="1:7" x14ac:dyDescent="0.3">
      <c r="A530" s="5" t="s">
        <v>22</v>
      </c>
      <c r="B530" t="s">
        <v>248</v>
      </c>
      <c r="C530" t="s">
        <v>356</v>
      </c>
      <c r="D530" t="str">
        <f t="shared" si="32"/>
        <v>AREAAGRM haactivity</v>
      </c>
      <c r="E530" t="str">
        <f t="shared" si="33"/>
        <v>'10|RICE_INTERM hasector|AREAAGRM haactivity',</v>
      </c>
      <c r="F530">
        <f t="shared" si="34"/>
        <v>46</v>
      </c>
      <c r="G530">
        <f t="shared" si="35"/>
        <v>0</v>
      </c>
    </row>
    <row r="531" spans="1:7" x14ac:dyDescent="0.3">
      <c r="A531" s="5" t="s">
        <v>22</v>
      </c>
      <c r="B531" t="s">
        <v>249</v>
      </c>
      <c r="C531" t="s">
        <v>278</v>
      </c>
      <c r="D531" t="str">
        <f t="shared" si="32"/>
        <v>NOFPROCMtactivity</v>
      </c>
      <c r="E531" t="str">
        <f t="shared" si="33"/>
        <v>'10|STH_AGRMtsector|NOFPROCMtactivity',</v>
      </c>
      <c r="F531">
        <f t="shared" si="34"/>
        <v>39</v>
      </c>
      <c r="G531">
        <f t="shared" si="35"/>
        <v>0</v>
      </c>
    </row>
    <row r="532" spans="1:7" x14ac:dyDescent="0.3">
      <c r="A532" s="5" t="s">
        <v>22</v>
      </c>
      <c r="B532" t="s">
        <v>250</v>
      </c>
      <c r="C532" t="s">
        <v>283</v>
      </c>
      <c r="D532" t="str">
        <f t="shared" si="32"/>
        <v>NOFAGRMtactivity</v>
      </c>
      <c r="E532" t="str">
        <f t="shared" si="33"/>
        <v>'10|WASTE_AGRMtsector|NOFAGRMtactivity',</v>
      </c>
      <c r="F532">
        <f t="shared" si="34"/>
        <v>40</v>
      </c>
      <c r="G532">
        <f t="shared" si="35"/>
        <v>0</v>
      </c>
    </row>
    <row r="533" spans="1:7" x14ac:dyDescent="0.3">
      <c r="A533" s="5" t="s">
        <v>23</v>
      </c>
      <c r="B533" t="s">
        <v>251</v>
      </c>
      <c r="C533" t="s">
        <v>357</v>
      </c>
      <c r="D533" t="str">
        <f t="shared" si="32"/>
        <v>FIRE_MASSAGRMt biomassactivity</v>
      </c>
      <c r="E533" t="str">
        <f t="shared" si="33"/>
        <v>'11|FORESTMt biomasssector|FIRE_MASSAGRMt biomassactivity',</v>
      </c>
      <c r="F533">
        <f t="shared" si="34"/>
        <v>59</v>
      </c>
      <c r="G533">
        <f t="shared" si="35"/>
        <v>0</v>
      </c>
    </row>
    <row r="534" spans="1:7" x14ac:dyDescent="0.3">
      <c r="A534" s="5" t="s">
        <v>23</v>
      </c>
      <c r="B534" t="s">
        <v>252</v>
      </c>
      <c r="C534" t="s">
        <v>282</v>
      </c>
      <c r="D534" t="str">
        <f t="shared" si="32"/>
        <v>NOFAGRkt NH3activity</v>
      </c>
      <c r="E534" t="str">
        <f t="shared" si="33"/>
        <v>'11|OTH_NH3_EMISSkt NH3sector|NOFAGRkt NH3activity',</v>
      </c>
      <c r="F534">
        <f t="shared" si="34"/>
        <v>52</v>
      </c>
      <c r="G534">
        <f t="shared" si="3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AQ_Linkage_Format</vt:lpstr>
      <vt:lpstr>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2024-07-16T04:22:37Z</dcterms:created>
  <dcterms:modified xsi:type="dcterms:W3CDTF">2024-07-16T05:59:00Z</dcterms:modified>
</cp:coreProperties>
</file>